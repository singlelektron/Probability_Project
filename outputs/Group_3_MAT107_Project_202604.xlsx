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1cfb6d531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_Info" sheetId="4" r:id="R63d4739d642f4f61"/>
    <x:sheet xmlns:r="http://schemas.openxmlformats.org/officeDocument/2006/relationships" name="Problem1_Data_Generation" sheetId="3" r:id="R25438a1983544b7a"/>
    <x:sheet xmlns:r="http://schemas.openxmlformats.org/officeDocument/2006/relationships" name="Problem1_Computations" sheetId="6" r:id="R4ff10c2f0b964a59"/>
    <x:sheet xmlns:r="http://schemas.openxmlformats.org/officeDocument/2006/relationships" name="Problem2_Data_Generation" sheetId="7" r:id="R9150229cda9b467f"/>
    <x:sheet xmlns:r="http://schemas.openxmlformats.org/officeDocument/2006/relationships" name="Problem2_Computations" sheetId="8" r:id="Rb9cea496300649a3"/>
  </x:sheets>
</x:workbook>
</file>

<file path=xl/sharedStrings.xml><?xml version="1.0" encoding="utf-8"?>
<x:sst xmlns:x="http://schemas.openxmlformats.org/spreadsheetml/2006/main">
  <x:si>
    <x:t xml:space="preserve">Group</x:t>
  </x:si>
  <x:si>
    <x:t xml:space="preserve">Experiment</x:t>
  </x:si>
  <x:si>
    <x:t xml:space="preserve">Ball 1</x:t>
  </x:si>
  <x:si>
    <x:t xml:space="preserve">Ball 2</x:t>
  </x:si>
  <x:si>
    <x:t xml:space="preserve">Ball 3</x:t>
  </x:si>
  <x:si>
    <x:t xml:space="preserve">Ball 4</x:t>
  </x:si>
  <x:si>
    <x:t xml:space="preserve">Ball 5</x:t>
  </x:si>
  <x:si>
    <x:t xml:space="preserve">Ball 6</x:t>
  </x:si>
  <x:si>
    <x:t xml:space="preserve">Ball 7</x:t>
  </x:si>
  <x:si>
    <x:t xml:space="preserve">Ball 8</x:t>
  </x:si>
  <x:si>
    <x:t xml:space="preserve">Ball 9</x:t>
  </x:si>
  <x:si>
    <x:t xml:space="preserve">Ball 10</x:t>
  </x:si>
  <x:si>
    <x:t xml:space="preserve">Ball 11</x:t>
  </x:si>
  <x:si>
    <x:t xml:space="preserve">Ball 12</x:t>
  </x:si>
  <x:si>
    <x:t xml:space="preserve">Ball 13</x:t>
  </x:si>
  <x:si>
    <x:t xml:space="preserve">Ball 14</x:t>
  </x:si>
  <x:si>
    <x:t xml:space="preserve">Ball 15</x:t>
  </x:si>
  <x:si>
    <x:t xml:space="preserve">Ball 16</x:t>
  </x:si>
  <x:si>
    <x:t xml:space="preserve">Ball 17</x:t>
  </x:si>
  <x:si>
    <x:t xml:space="preserve">Ball 18</x:t>
  </x:si>
  <x:si>
    <x:t xml:space="preserve">Ball 19</x:t>
  </x:si>
  <x:si>
    <x:t xml:space="preserve">Ball 20</x:t>
  </x:si>
  <x:si>
    <x:t xml:space="preserve">number of white balls</x:t>
  </x:si>
  <x:si>
    <x:t xml:space="preserve">white ball among first 3 balls? Y/N</x:t>
  </x:si>
  <x:si>
    <x:t xml:space="preserve">4 white balls before 5 black balls? Y/N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</x:si>
</x:sst>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%"/>
  </x:numFmts>
  <x:fonts count="5">
    <x:font>
      <x:sz val="11"/>
      <x:color theme="1"/>
      <x:name val="Calibri"/>
    </x:font>
    <x:font>
      <x:b/>
      <x:sz val="11"/>
      <x:color theme="0"/>
      <x:name val="Calibri"/>
    </x:font>
    <x:font>
      <x:sz val="8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theme="5" tint="0.39995"/>
      </x:patternFill>
    </x:fill>
    <x:fill>
      <x:patternFill patternType="solid">
        <x:fgColor theme="5" tint="-0.24995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2F5597"/>
      </x:patternFill>
    </x:fill>
    <x:fill>
      <x:patternFill patternType="solid">
        <x:fgColor rgb="FFD9E7F7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1">
    <x:dxf>
      <x:numFmt numFmtId="0" formatCode="General"/>
    </x:dxf>
    <x:dxf>
      <x:numFmt numFmtId="0" formatCode="General"/>
    </x:dxf>
    <x:dxf/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/>
    <x:dxf/>
    <x:dxf/>
    <x:dxf/>
    <x:dxf/>
    <x:dxf/>
    <x:dxf/>
    <x:dxf/>
    <x:dxf/>
    <x:dxf/>
    <x:dxf/>
    <x:dxf/>
    <x:dxf/>
    <x:dxf/>
    <x:dxf/>
    <x:dxf/>
    <x:dxf/>
    <x:dxf/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/>
    <x:dxf/>
    <x:dxf/>
    <x:dxf/>
    <x:dxf/>
    <x:dxf/>
    <x:dxf/>
    <x:dxf/>
    <x:dxf/>
    <x:dxf/>
    <x:dxf/>
    <x:dxf/>
    <x:dxf/>
    <x:dxf/>
    <x:dxf/>
    <x:dxf/>
    <x:dxf/>
    <x:dxf/>
    <x:dxf>
      <x:numFmt numFmtId="0" formatCode="General"/>
    </x:dxf>
    <x:dxf>
      <x:numFmt numFmtId="0" formatCode="General"/>
    </x:dxf>
    <x:dxf/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/>
    <x:dxf/>
    <x:dxf/>
    <x:dxf/>
    <x:dxf/>
    <x:dxf/>
    <x:dxf/>
    <x:dxf/>
    <x:dxf/>
    <x:dxf/>
    <x:dxf/>
    <x:dxf/>
    <x:dxf/>
    <x:dxf/>
    <x:dxf/>
    <x:dxf/>
    <x:dxf/>
    <x:dxf/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ef2478c904b20" /><Relationship Type="http://schemas.openxmlformats.org/officeDocument/2006/relationships/theme" Target="/xl/theme/theme1.xml" Id="Rd9acea69a2bc4f03" /><Relationship Type="http://schemas.openxmlformats.org/officeDocument/2006/relationships/sharedStrings" Target="/xl/sharedStrings.xml" Id="R27e1127d51af4bf2" /><Relationship Type="http://schemas.openxmlformats.org/officeDocument/2006/relationships/worksheet" Target="/xl/worksheets/sheet1.xml" Id="R63d4739d642f4f61" /><Relationship Type="http://schemas.openxmlformats.org/officeDocument/2006/relationships/worksheet" Target="/xl/worksheets/sheet2.xml" Id="R25438a1983544b7a" /><Relationship Type="http://schemas.openxmlformats.org/officeDocument/2006/relationships/worksheet" Target="/xl/worksheets/sheet3.xml" Id="R4ff10c2f0b964a59" /><Relationship Type="http://schemas.openxmlformats.org/officeDocument/2006/relationships/worksheet" Target="/xl/worksheets/sheet4.xml" Id="R9150229cda9b467f" /><Relationship Type="http://schemas.openxmlformats.org/officeDocument/2006/relationships/worksheet" Target="/xl/worksheets/sheet5.xml" Id="Rb9cea496300649a3" /></Relationships>
</file>

<file path=xl/tables/table1.xml><?xml version="1.0" encoding="utf-8"?>
<x:table xmlns:x="http://schemas.openxmlformats.org/spreadsheetml/2006/main" id="6" name="eam_Info" displayName="eam_Info" ref="A3:B7" totalsRowShown="0" dataDxfId="99">
  <x:autoFilter ref="A3:B7"/>
  <x:tableColumns count="2">
    <x:tableColumn id="1" name="Student ID" dataDxfId="98"/>
    <x:tableColumn id="2" name="Student Name" dataDxfId="9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roblem2" displayName="Problem2" ref="A1:U501" totalsRowShown="0" dataDxfId="95">
  <x:autoFilter ref="A1:U501"/>
  <x:tableColumns count="21">
    <x:tableColumn id="1" name="Experiment" dataDxfId="94"/>
    <x:tableColumn id="2" name="Ball 1" dataDxfId="93"/>
    <x:tableColumn id="3" name="Ball 2" dataDxfId="92"/>
    <x:tableColumn id="4" name="Ball 3" dataDxfId="91"/>
    <x:tableColumn id="5" name="Ball 4" dataDxfId="90"/>
    <x:tableColumn id="6" name="Ball 5" dataDxfId="89"/>
    <x:tableColumn id="7" name="Ball 6" dataDxfId="88"/>
    <x:tableColumn id="8" name="Ball 7" dataDxfId="87"/>
    <x:tableColumn id="9" name="Ball 8" dataDxfId="86"/>
    <x:tableColumn id="10" name="Ball 9" dataDxfId="85"/>
    <x:tableColumn id="12" name="Ball 10" dataDxfId="84"/>
    <x:tableColumn id="13" name="Ball 11" dataDxfId="83"/>
    <x:tableColumn id="14" name="Ball 12" dataDxfId="82"/>
    <x:tableColumn id="25" name="Ball 13" dataDxfId="81"/>
    <x:tableColumn id="26" name="Ball 14" dataDxfId="80"/>
    <x:tableColumn id="11" name="Ball 15" dataDxfId="79"/>
    <x:tableColumn id="15" name="Ball 16" dataDxfId="78">
      <x:calculatedColumnFormula>IF(B2=1,1,0)</x:calculatedColumnFormula>
    </x:tableColumn>
    <x:tableColumn id="16" name="Ball 17" dataDxfId="77">
      <x:calculatedColumnFormula>IF(C2=2,1,0)</x:calculatedColumnFormula>
    </x:tableColumn>
    <x:tableColumn id="17" name="Ball 18" dataDxfId="76">
      <x:calculatedColumnFormula>IF(D2=3,1,0)</x:calculatedColumnFormula>
    </x:tableColumn>
    <x:tableColumn id="18" name="Ball 19" dataDxfId="75">
      <x:calculatedColumnFormula>IF(E2=4,1,0)</x:calculatedColumnFormula>
    </x:tableColumn>
    <x:tableColumn id="19" name="Ball 20" dataDxfId="74">
      <x:calculatedColumnFormula>IF(F2=5,1,0)</x:calculatedColumnFormula>
    </x:tableColumn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Problem22" displayName="Problem22" ref="A1:X501" totalsRowShown="0" dataDxfId="72">
  <x:autoFilter ref="A1:X501"/>
  <x:tableColumns count="24">
    <x:tableColumn id="1" name="Experiment" dataDxfId="71"/>
    <x:tableColumn id="2" name="Ball 1" dataDxfId="70"/>
    <x:tableColumn id="3" name="Ball 2" dataDxfId="69"/>
    <x:tableColumn id="4" name="Ball 3" dataDxfId="68"/>
    <x:tableColumn id="5" name="Ball 4" dataDxfId="67"/>
    <x:tableColumn id="6" name="Ball 5" dataDxfId="66"/>
    <x:tableColumn id="7" name="Ball 6" dataDxfId="65"/>
    <x:tableColumn id="8" name="Ball 7" dataDxfId="64"/>
    <x:tableColumn id="9" name="Ball 8" dataDxfId="63"/>
    <x:tableColumn id="10" name="Ball 9" dataDxfId="62"/>
    <x:tableColumn id="12" name="Ball 10" dataDxfId="61"/>
    <x:tableColumn id="13" name="Ball 11" dataDxfId="60"/>
    <x:tableColumn id="14" name="Ball 12" dataDxfId="59"/>
    <x:tableColumn id="25" name="Ball 13" dataDxfId="58"/>
    <x:tableColumn id="26" name="Ball 14" dataDxfId="57"/>
    <x:tableColumn id="11" name="Ball 15" dataDxfId="56"/>
    <x:tableColumn id="15" name="Ball 16" dataDxfId="55">
      <x:calculatedColumnFormula>IF(B2=1,1,0)</x:calculatedColumnFormula>
    </x:tableColumn>
    <x:tableColumn id="16" name="Ball 17" dataDxfId="54">
      <x:calculatedColumnFormula>IF(C2=2,1,0)</x:calculatedColumnFormula>
    </x:tableColumn>
    <x:tableColumn id="17" name="Ball 18" dataDxfId="53">
      <x:calculatedColumnFormula>IF(D2=3,1,0)</x:calculatedColumnFormula>
    </x:tableColumn>
    <x:tableColumn id="18" name="Ball 19" dataDxfId="52">
      <x:calculatedColumnFormula>IF(E2=4,1,0)</x:calculatedColumnFormula>
    </x:tableColumn>
    <x:tableColumn id="20" name="Ball 20" dataDxfId="51"/>
    <x:tableColumn id="19" name="number of white balls" dataDxfId="50">
      <x:calculatedColumnFormula>IF(F2=5,1,0)</x:calculatedColumnFormula>
    </x:tableColumn>
    <x:tableColumn id="21" name="white ball among first 3 balls? Y/N" dataDxfId="49"/>
    <x:tableColumn id="22" name="4 white balls before 5 black balls? Y/N" dataDxfId="2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roblem23" displayName="Problem23" ref="A1:U501" totalsRowShown="0" dataDxfId="47">
  <x:autoFilter ref="A1:U501"/>
  <x:tableColumns count="21">
    <x:tableColumn id="1" name="Experiment" dataDxfId="46"/>
    <x:tableColumn id="2" name="Ball 1" dataDxfId="45"/>
    <x:tableColumn id="3" name="Ball 2" dataDxfId="44"/>
    <x:tableColumn id="4" name="Ball 3" dataDxfId="43"/>
    <x:tableColumn id="5" name="Ball 4" dataDxfId="42"/>
    <x:tableColumn id="6" name="Ball 5" dataDxfId="41"/>
    <x:tableColumn id="7" name="Ball 6" dataDxfId="40"/>
    <x:tableColumn id="8" name="Ball 7" dataDxfId="39"/>
    <x:tableColumn id="9" name="Ball 8" dataDxfId="38"/>
    <x:tableColumn id="10" name="Ball 9" dataDxfId="37"/>
    <x:tableColumn id="12" name="Ball 10" dataDxfId="36"/>
    <x:tableColumn id="13" name="Ball 11" dataDxfId="35"/>
    <x:tableColumn id="14" name="Ball 12" dataDxfId="34"/>
    <x:tableColumn id="25" name="Ball 13" dataDxfId="33"/>
    <x:tableColumn id="26" name="Ball 14" dataDxfId="32"/>
    <x:tableColumn id="11" name="Ball 15" dataDxfId="31"/>
    <x:tableColumn id="15" name="Ball 16" dataDxfId="30">
      <x:calculatedColumnFormula>IF(B2=1,1,0)</x:calculatedColumnFormula>
    </x:tableColumn>
    <x:tableColumn id="16" name="Ball 17" dataDxfId="29">
      <x:calculatedColumnFormula>IF(C2=2,1,0)</x:calculatedColumnFormula>
    </x:tableColumn>
    <x:tableColumn id="17" name="Ball 18" dataDxfId="28">
      <x:calculatedColumnFormula>IF(D2=3,1,0)</x:calculatedColumnFormula>
    </x:tableColumn>
    <x:tableColumn id="18" name="Ball 19" dataDxfId="27">
      <x:calculatedColumnFormula>IF(E2=4,1,0)</x:calculatedColumnFormula>
    </x:tableColumn>
    <x:tableColumn id="19" name="Ball 20" dataDxfId="26">
      <x:calculatedColumnFormula>IF(F2=5,1,0)</x:calculatedColumnFormula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Problem224" displayName="Problem224" ref="A1:W501" totalsRowShown="0" dataDxfId="23">
  <x:autoFilter ref="A1:W501"/>
  <x:tableColumns count="23">
    <x:tableColumn id="1" name="Experiment" dataDxfId="22"/>
    <x:tableColumn id="2" name="Ball 1" dataDxfId="21"/>
    <x:tableColumn id="3" name="Ball 2" dataDxfId="20"/>
    <x:tableColumn id="4" name="Ball 3" dataDxfId="19"/>
    <x:tableColumn id="5" name="Ball 4" dataDxfId="18"/>
    <x:tableColumn id="6" name="Ball 5" dataDxfId="17"/>
    <x:tableColumn id="7" name="Ball 6" dataDxfId="16"/>
    <x:tableColumn id="8" name="Ball 7" dataDxfId="15"/>
    <x:tableColumn id="9" name="Ball 8" dataDxfId="14"/>
    <x:tableColumn id="10" name="Ball 9" dataDxfId="13"/>
    <x:tableColumn id="12" name="Ball 10" dataDxfId="12"/>
    <x:tableColumn id="13" name="Ball 11" dataDxfId="11"/>
    <x:tableColumn id="14" name="Ball 12" dataDxfId="10"/>
    <x:tableColumn id="25" name="Ball 13" dataDxfId="9"/>
    <x:tableColumn id="26" name="Ball 14" dataDxfId="8"/>
    <x:tableColumn id="11" name="Ball 15" dataDxfId="7"/>
    <x:tableColumn id="15" name="Ball 16" dataDxfId="6">
      <x:calculatedColumnFormula>IF(B2=1,1,0)</x:calculatedColumnFormula>
    </x:tableColumn>
    <x:tableColumn id="16" name="Ball 17" dataDxfId="5">
      <x:calculatedColumnFormula>IF(C2=2,1,0)</x:calculatedColumnFormula>
    </x:tableColumn>
    <x:tableColumn id="17" name="Ball 18" dataDxfId="4">
      <x:calculatedColumnFormula>IF(D2=3,1,0)</x:calculatedColumnFormula>
    </x:tableColumn>
    <x:tableColumn id="18" name="Ball 19" dataDxfId="3">
      <x:calculatedColumnFormula>IF(E2=4,1,0)</x:calculatedColumnFormula>
    </x:tableColumn>
    <x:tableColumn id="20" name="Ball 20" dataDxfId="2"/>
    <x:tableColumn id="19" name="number of white balls" dataDxfId="1">
      <x:calculatedColumnFormula>IF(F2=5,1,0)</x:calculatedColumnFormula>
    </x:tableColumn>
    <x:tableColumn id="21" name="white ball among first 3 balls? Y/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009e47d08343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cf71ace0a542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0b4fb469ae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52879c3b98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bc7b217670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8" style="1" hidden="0" customWidth="1"/>
    <x:col min="2" max="2" width="20" style="2" hidden="0" customWidth="1"/>
    <x:col min="3" max="5" width="8.77734375" style="1" customWidth="0"/>
    <x:col min="4" max="4" width="25" hidden="0" customWidth="1"/>
    <x:col min="5" max="5" width="18" hidden="0" customWidth="1"/>
  </x:cols>
  <x:sheetData>
    <x:row r="1" ht="22" customHeight="1">
      <x:c r="A1" s="24" t="s">
        <x:v>0</x:v>
      </x:c>
      <x:c r="B1" s="25" t="n">
        <x:v>3</x:v>
      </x:c>
      <x:c r="C1" s="26"/>
      <x:c r="D1" s="20" t="str">
        <x:v>Project Inputs</x:v>
      </x:c>
      <x:c r="E1" s="20" t="str">
        <x:v>Value</x:v>
      </x:c>
    </x:row>
    <x:row r="2" ht="22" customHeight="1">
      <x:c r="A2" s="26"/>
      <x:c r="B2" s="26"/>
      <x:c r="C2" s="26"/>
      <x:c r="D2" s="21" t="str">
        <x:v>White balls (m)</x:v>
      </x:c>
      <x:c r="E2" s="22" t="n">
        <x:v>117</x:v>
      </x:c>
    </x:row>
    <x:row r="3" ht="22" customHeight="1">
      <x:c r="A3" s="14" t="str">
        <x:v>Student ID</x:v>
      </x:c>
      <x:c r="B3" s="14" t="str">
        <x:v>Student Name</x:v>
      </x:c>
      <x:c r="C3" s="26"/>
      <x:c r="D3" s="21" t="str">
        <x:v>Black balls (n)</x:v>
      </x:c>
      <x:c r="E3" s="22" t="n">
        <x:v>191</x:v>
      </x:c>
    </x:row>
    <x:row r="4" ht="22" customHeight="1">
      <x:c r="A4" s="15" t="str">
        <x:v>MAT2509036</x:v>
      </x:c>
      <x:c r="B4" s="15" t="str">
        <x:v>Zhang Yang</x:v>
      </x:c>
      <x:c r="C4" s="26"/>
      <x:c r="D4" s="21" t="str">
        <x:v>Total balls (N)</x:v>
      </x:c>
      <x:c r="E4" s="22" t="n">
        <x:v>308</x:v>
      </x:c>
    </x:row>
    <x:row r="5" ht="22" customHeight="1">
      <x:c r="A5" s="15" t="str">
        <x:v>MAT2509040</x:v>
      </x:c>
      <x:c r="B5" s="15" t="str">
        <x:v>Zhu Xinbo</x:v>
      </x:c>
      <x:c r="C5" s="26"/>
      <x:c r="D5" s="21" t="str">
        <x:v>White probability (p)</x:v>
      </x:c>
      <x:c r="E5" s="23" t="n">
        <x:f>E2/E4</x:f>
        <x:v>0.37987012987012986</x:v>
      </x:c>
    </x:row>
    <x:row r="6" ht="22" customHeight="1">
      <x:c r="A6" s="15" t="str">
        <x:v>MAT2509003</x:v>
      </x:c>
      <x:c r="B6" s="15" t="str">
        <x:v>Chen Yanfu</x:v>
      </x:c>
      <x:c r="C6" s="26"/>
      <x:c r="D6" s="21" t="str">
        <x:v>Frozen simulation seed</x:v>
      </x:c>
      <x:c r="E6" s="22" t="n">
        <x:v>107202604</x:v>
      </x:c>
    </x:row>
    <x:row r="7" ht="22" customHeight="1">
      <x:c r="A7" s="15" t="str">
        <x:v>MAT2509034</x:v>
      </x:c>
      <x:c r="B7" s="15" t="str">
        <x:v>Zhang Qixuan</x:v>
      </x:c>
      <x:c r="C7" s="26"/>
      <x:c r="D7" s="26"/>
      <x:c r="E7" s="26"/>
    </x:row>
  </x:sheetData>
  <x:pageMargins left="0.7" right="0.7" top="0.75" bottom="0.75" header="0.3" footer="0.3"/>
  <x:tableParts count="1">
    <x:tablePart xmlns:r="http://schemas.openxmlformats.org/officeDocument/2006/relationships" r:id="Re2009e47d08343ab"/>
  </x:tableParts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2.44140625" style="1" customWidth="1"/>
    <x:col min="2" max="16" width="8.77734375" style="1" customWidth="1"/>
    <x:col min="17" max="22" width="8.77734375" style="1" customWidth="0"/>
    <x:col min="23" max="24" width="10.21875" style="1" customWidth="1"/>
    <x:col min="25" max="27" width="8.77734375" style="1" customWidth="0"/>
    <x:col min="23" max="23" width="15" hidden="0" customWidth="1"/>
    <x:col min="24" max="24" width="15" hidden="0" customWidth="1"/>
    <x:col min="25" max="25" width="15" hidden="0" customWidth="1"/>
  </x:cols>
  <x:sheetData>
    <x:row r="1">
      <x:c r="A1" s="1" t="s">
        <x:v>1</x:v>
      </x:c>
      <x:c r="B1" s="2" t="s">
        <x:v>2</x:v>
      </x:c>
      <x:c r="C1" s="2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2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13</x:v>
      </x:c>
      <x:c r="N1" s="2" t="s">
        <x:v>14</x:v>
      </x:c>
      <x:c r="O1" s="2" t="s">
        <x:v>15</x:v>
      </x:c>
      <x:c r="P1" s="2" t="s">
        <x:v>16</x:v>
      </x:c>
      <x:c r="Q1" s="2" t="s">
        <x:v>17</x:v>
      </x:c>
      <x:c r="R1" s="2" t="s">
        <x:v>18</x:v>
      </x:c>
      <x:c r="S1" s="2" t="s">
        <x:v>19</x:v>
      </x:c>
      <x:c r="T1" s="2" t="s">
        <x:v>20</x:v>
      </x:c>
      <x:c r="U1" s="2" t="s">
        <x:v>21</x:v>
      </x:c>
      <x:c r="W1" s="19" t="str">
        <x:v>Generation note</x:v>
      </x:c>
      <x:c r="X1" s="19"/>
      <x:c r="Y1" s="19"/>
    </x:row>
    <x:row r="2">
      <x:c r="A2" s="1">
        <x:v>1</x:v>
      </x:c>
      <x:c r="B2" t="str">
        <x:f>IF(RAND()&lt;'Team_Info'!$E$5,"W","B")</x:f>
        <x:v>B</x:v>
      </x:c>
      <x:c r="C2" t="str">
        <x:f>IF(RAND()&lt;'Team_Info'!$E$5,"W","B")</x:f>
        <x:v>B</x:v>
      </x:c>
      <x:c r="D2" t="str">
        <x:f>IF(RAND()&lt;'Team_Info'!$E$5,"W","B")</x:f>
        <x:v>B</x:v>
      </x:c>
      <x:c r="E2" t="str">
        <x:f>IF(RAND()&lt;'Team_Info'!$E$5,"W","B")</x:f>
        <x:v>B</x:v>
      </x:c>
      <x:c r="F2" t="str">
        <x:f>IF(RAND()&lt;'Team_Info'!$E$5,"W","B")</x:f>
        <x:v>B</x:v>
      </x:c>
      <x:c r="G2" t="str">
        <x:f>IF(RAND()&lt;'Team_Info'!$E$5,"W","B")</x:f>
        <x:v>B</x:v>
      </x:c>
      <x:c r="H2" t="str">
        <x:f>IF(RAND()&lt;'Team_Info'!$E$5,"W","B")</x:f>
        <x:v>W</x:v>
      </x:c>
      <x:c r="I2" t="str">
        <x:f>IF(RAND()&lt;'Team_Info'!$E$5,"W","B")</x:f>
        <x:v>B</x:v>
      </x:c>
      <x:c r="J2" t="str">
        <x:f>IF(RAND()&lt;'Team_Info'!$E$5,"W","B")</x:f>
        <x:v>B</x:v>
      </x:c>
      <x:c r="K2" t="str">
        <x:f>IF(RAND()&lt;'Team_Info'!$E$5,"W","B")</x:f>
        <x:v>W</x:v>
      </x:c>
      <x:c r="L2" t="str">
        <x:f>IF(RAND()&lt;'Team_Info'!$E$5,"W","B")</x:f>
        <x:v>B</x:v>
      </x:c>
      <x:c r="M2" t="str">
        <x:f>IF(RAND()&lt;'Team_Info'!$E$5,"W","B")</x:f>
        <x:v>B</x:v>
      </x:c>
      <x:c r="N2" t="str">
        <x:f>IF(RAND()&lt;'Team_Info'!$E$5,"W","B")</x:f>
        <x:v>W</x:v>
      </x:c>
      <x:c r="O2" t="str">
        <x:f>IF(RAND()&lt;'Team_Info'!$E$5,"W","B")</x:f>
        <x:v>B</x:v>
      </x:c>
      <x:c r="P2" t="str">
        <x:f>IF(RAND()&lt;'Team_Info'!$E$5,"W","B")</x:f>
        <x:v>B</x:v>
      </x:c>
      <x:c r="Q2" t="str">
        <x:f>IF(RAND()&lt;'Team_Info'!$E$5,"W","B")</x:f>
        <x:v>B</x:v>
      </x:c>
      <x:c r="R2" t="str">
        <x:f>IF(RAND()&lt;'Team_Info'!$E$5,"W","B")</x:f>
        <x:v>W</x:v>
      </x:c>
      <x:c r="S2" t="str">
        <x:f>IF(RAND()&lt;'Team_Info'!$E$5,"W","B")</x:f>
        <x:v>B</x:v>
      </x:c>
      <x:c r="T2" t="str">
        <x:f>IF(RAND()&lt;'Team_Info'!$E$5,"W","B")</x:f>
        <x:v>W</x:v>
      </x:c>
      <x:c r="U2" t="str">
        <x:f>IF(RAND()&lt;'Team_Info'!$E$5,"W","B")</x:f>
        <x:v>W</x:v>
      </x:c>
      <x:c r="W2" s="28" t="str">
        <x:v>These RAND() cells are volatile.</x:v>
      </x:c>
      <x:c r="X2" s="28"/>
      <x:c r="Y2" s="28"/>
    </x:row>
    <x:row r="3">
      <x:c r="A3" s="1">
        <x:v>2</x:v>
      </x:c>
      <x:c r="B3" t="str">
        <x:f>IF(RAND()&lt;'Team_Info'!$E$5,"W","B")</x:f>
        <x:v>B</x:v>
      </x:c>
      <x:c r="C3" t="str">
        <x:f>IF(RAND()&lt;'Team_Info'!$E$5,"W","B")</x:f>
        <x:v>B</x:v>
      </x:c>
      <x:c r="D3" t="str">
        <x:f>IF(RAND()&lt;'Team_Info'!$E$5,"W","B")</x:f>
        <x:v>B</x:v>
      </x:c>
      <x:c r="E3" t="str">
        <x:f>IF(RAND()&lt;'Team_Info'!$E$5,"W","B")</x:f>
        <x:v>B</x:v>
      </x:c>
      <x:c r="F3" t="str">
        <x:f>IF(RAND()&lt;'Team_Info'!$E$5,"W","B")</x:f>
        <x:v>B</x:v>
      </x:c>
      <x:c r="G3" t="str">
        <x:f>IF(RAND()&lt;'Team_Info'!$E$5,"W","B")</x:f>
        <x:v>B</x:v>
      </x:c>
      <x:c r="H3" t="str">
        <x:f>IF(RAND()&lt;'Team_Info'!$E$5,"W","B")</x:f>
        <x:v>B</x:v>
      </x:c>
      <x:c r="I3" t="str">
        <x:f>IF(RAND()&lt;'Team_Info'!$E$5,"W","B")</x:f>
        <x:v>B</x:v>
      </x:c>
      <x:c r="J3" t="str">
        <x:f>IF(RAND()&lt;'Team_Info'!$E$5,"W","B")</x:f>
        <x:v>B</x:v>
      </x:c>
      <x:c r="K3" t="str">
        <x:f>IF(RAND()&lt;'Team_Info'!$E$5,"W","B")</x:f>
        <x:v>B</x:v>
      </x:c>
      <x:c r="L3" t="str">
        <x:f>IF(RAND()&lt;'Team_Info'!$E$5,"W","B")</x:f>
        <x:v>B</x:v>
      </x:c>
      <x:c r="M3" t="str">
        <x:f>IF(RAND()&lt;'Team_Info'!$E$5,"W","B")</x:f>
        <x:v>W</x:v>
      </x:c>
      <x:c r="N3" t="str">
        <x:f>IF(RAND()&lt;'Team_Info'!$E$5,"W","B")</x:f>
        <x:v>W</x:v>
      </x:c>
      <x:c r="O3" t="str">
        <x:f>IF(RAND()&lt;'Team_Info'!$E$5,"W","B")</x:f>
        <x:v>W</x:v>
      </x:c>
      <x:c r="P3" t="str">
        <x:f>IF(RAND()&lt;'Team_Info'!$E$5,"W","B")</x:f>
        <x:v>B</x:v>
      </x:c>
      <x:c r="Q3" t="str">
        <x:f>IF(RAND()&lt;'Team_Info'!$E$5,"W","B")</x:f>
        <x:v>B</x:v>
      </x:c>
      <x:c r="R3" t="str">
        <x:f>IF(RAND()&lt;'Team_Info'!$E$5,"W","B")</x:f>
        <x:v>W</x:v>
      </x:c>
      <x:c r="S3" t="str">
        <x:f>IF(RAND()&lt;'Team_Info'!$E$5,"W","B")</x:f>
        <x:v>B</x:v>
      </x:c>
      <x:c r="T3" t="str">
        <x:f>IF(RAND()&lt;'Team_Info'!$E$5,"W","B")</x:f>
        <x:v>B</x:v>
      </x:c>
      <x:c r="U3" t="str">
        <x:f>IF(RAND()&lt;'Team_Info'!$E$5,"W","B")</x:f>
        <x:v>W</x:v>
      </x:c>
      <x:c r="W3" s="28" t="str">
        <x:v>The submitted results use the fixed snapshot in Problem1_Computations.</x:v>
      </x:c>
      <x:c r="X3" s="28"/>
      <x:c r="Y3" s="28"/>
    </x:row>
    <x:row r="4">
      <x:c r="A4" s="1">
        <x:v>3</x:v>
      </x:c>
      <x:c r="B4" t="str">
        <x:f>IF(RAND()&lt;'Team_Info'!$E$5,"W","B")</x:f>
        <x:v>W</x:v>
      </x:c>
      <x:c r="C4" t="str">
        <x:f>IF(RAND()&lt;'Team_Info'!$E$5,"W","B")</x:f>
        <x:v>W</x:v>
      </x:c>
      <x:c r="D4" t="str">
        <x:f>IF(RAND()&lt;'Team_Info'!$E$5,"W","B")</x:f>
        <x:v>W</x:v>
      </x:c>
      <x:c r="E4" t="str">
        <x:f>IF(RAND()&lt;'Team_Info'!$E$5,"W","B")</x:f>
        <x:v>B</x:v>
      </x:c>
      <x:c r="F4" t="str">
        <x:f>IF(RAND()&lt;'Team_Info'!$E$5,"W","B")</x:f>
        <x:v>W</x:v>
      </x:c>
      <x:c r="G4" t="str">
        <x:f>IF(RAND()&lt;'Team_Info'!$E$5,"W","B")</x:f>
        <x:v>B</x:v>
      </x:c>
      <x:c r="H4" t="str">
        <x:f>IF(RAND()&lt;'Team_Info'!$E$5,"W","B")</x:f>
        <x:v>W</x:v>
      </x:c>
      <x:c r="I4" t="str">
        <x:f>IF(RAND()&lt;'Team_Info'!$E$5,"W","B")</x:f>
        <x:v>W</x:v>
      </x:c>
      <x:c r="J4" t="str">
        <x:f>IF(RAND()&lt;'Team_Info'!$E$5,"W","B")</x:f>
        <x:v>W</x:v>
      </x:c>
      <x:c r="K4" t="str">
        <x:f>IF(RAND()&lt;'Team_Info'!$E$5,"W","B")</x:f>
        <x:v>B</x:v>
      </x:c>
      <x:c r="L4" t="str">
        <x:f>IF(RAND()&lt;'Team_Info'!$E$5,"W","B")</x:f>
        <x:v>W</x:v>
      </x:c>
      <x:c r="M4" t="str">
        <x:f>IF(RAND()&lt;'Team_Info'!$E$5,"W","B")</x:f>
        <x:v>W</x:v>
      </x:c>
      <x:c r="N4" t="str">
        <x:f>IF(RAND()&lt;'Team_Info'!$E$5,"W","B")</x:f>
        <x:v>W</x:v>
      </x:c>
      <x:c r="O4" t="str">
        <x:f>IF(RAND()&lt;'Team_Info'!$E$5,"W","B")</x:f>
        <x:v>W</x:v>
      </x:c>
      <x:c r="P4" t="str">
        <x:f>IF(RAND()&lt;'Team_Info'!$E$5,"W","B")</x:f>
        <x:v>B</x:v>
      </x:c>
      <x:c r="Q4" t="str">
        <x:f>IF(RAND()&lt;'Team_Info'!$E$5,"W","B")</x:f>
        <x:v>W</x:v>
      </x:c>
      <x:c r="R4" t="str">
        <x:f>IF(RAND()&lt;'Team_Info'!$E$5,"W","B")</x:f>
        <x:v>B</x:v>
      </x:c>
      <x:c r="S4" t="str">
        <x:f>IF(RAND()&lt;'Team_Info'!$E$5,"W","B")</x:f>
        <x:v>W</x:v>
      </x:c>
      <x:c r="T4" t="str">
        <x:f>IF(RAND()&lt;'Team_Info'!$E$5,"W","B")</x:f>
        <x:v>W</x:v>
      </x:c>
      <x:c r="U4" t="str">
        <x:f>IF(RAND()&lt;'Team_Info'!$E$5,"W","B")</x:f>
        <x:v>B</x:v>
      </x:c>
    </x:row>
    <x:row r="5">
      <x:c r="A5" s="1">
        <x:v>4</x:v>
      </x:c>
      <x:c r="B5" t="str">
        <x:f>IF(RAND()&lt;'Team_Info'!$E$5,"W","B")</x:f>
        <x:v>B</x:v>
      </x:c>
      <x:c r="C5" t="str">
        <x:f>IF(RAND()&lt;'Team_Info'!$E$5,"W","B")</x:f>
        <x:v>W</x:v>
      </x:c>
      <x:c r="D5" t="str">
        <x:f>IF(RAND()&lt;'Team_Info'!$E$5,"W","B")</x:f>
        <x:v>W</x:v>
      </x:c>
      <x:c r="E5" t="str">
        <x:f>IF(RAND()&lt;'Team_Info'!$E$5,"W","B")</x:f>
        <x:v>W</x:v>
      </x:c>
      <x:c r="F5" t="str">
        <x:f>IF(RAND()&lt;'Team_Info'!$E$5,"W","B")</x:f>
        <x:v>W</x:v>
      </x:c>
      <x:c r="G5" t="str">
        <x:f>IF(RAND()&lt;'Team_Info'!$E$5,"W","B")</x:f>
        <x:v>B</x:v>
      </x:c>
      <x:c r="H5" t="str">
        <x:f>IF(RAND()&lt;'Team_Info'!$E$5,"W","B")</x:f>
        <x:v>B</x:v>
      </x:c>
      <x:c r="I5" t="str">
        <x:f>IF(RAND()&lt;'Team_Info'!$E$5,"W","B")</x:f>
        <x:v>W</x:v>
      </x:c>
      <x:c r="J5" t="str">
        <x:f>IF(RAND()&lt;'Team_Info'!$E$5,"W","B")</x:f>
        <x:v>W</x:v>
      </x:c>
      <x:c r="K5" t="str">
        <x:f>IF(RAND()&lt;'Team_Info'!$E$5,"W","B")</x:f>
        <x:v>B</x:v>
      </x:c>
      <x:c r="L5" t="str">
        <x:f>IF(RAND()&lt;'Team_Info'!$E$5,"W","B")</x:f>
        <x:v>B</x:v>
      </x:c>
      <x:c r="M5" t="str">
        <x:f>IF(RAND()&lt;'Team_Info'!$E$5,"W","B")</x:f>
        <x:v>B</x:v>
      </x:c>
      <x:c r="N5" t="str">
        <x:f>IF(RAND()&lt;'Team_Info'!$E$5,"W","B")</x:f>
        <x:v>B</x:v>
      </x:c>
      <x:c r="O5" t="str">
        <x:f>IF(RAND()&lt;'Team_Info'!$E$5,"W","B")</x:f>
        <x:v>W</x:v>
      </x:c>
      <x:c r="P5" t="str">
        <x:f>IF(RAND()&lt;'Team_Info'!$E$5,"W","B")</x:f>
        <x:v>B</x:v>
      </x:c>
      <x:c r="Q5" t="str">
        <x:f>IF(RAND()&lt;'Team_Info'!$E$5,"W","B")</x:f>
        <x:v>B</x:v>
      </x:c>
      <x:c r="R5" t="str">
        <x:f>IF(RAND()&lt;'Team_Info'!$E$5,"W","B")</x:f>
        <x:v>W</x:v>
      </x:c>
      <x:c r="S5" t="str">
        <x:f>IF(RAND()&lt;'Team_Info'!$E$5,"W","B")</x:f>
        <x:v>B</x:v>
      </x:c>
      <x:c r="T5" t="str">
        <x:f>IF(RAND()&lt;'Team_Info'!$E$5,"W","B")</x:f>
        <x:v>W</x:v>
      </x:c>
      <x:c r="U5" t="str">
        <x:f>IF(RAND()&lt;'Team_Info'!$E$5,"W","B")</x:f>
        <x:v>W</x:v>
      </x:c>
    </x:row>
    <x:row r="6">
      <x:c r="A6" s="1">
        <x:v>5</x:v>
      </x:c>
      <x:c r="B6" t="str">
        <x:f>IF(RAND()&lt;'Team_Info'!$E$5,"W","B")</x:f>
        <x:v>B</x:v>
      </x:c>
      <x:c r="C6" t="str">
        <x:f>IF(RAND()&lt;'Team_Info'!$E$5,"W","B")</x:f>
        <x:v>B</x:v>
      </x:c>
      <x:c r="D6" t="str">
        <x:f>IF(RAND()&lt;'Team_Info'!$E$5,"W","B")</x:f>
        <x:v>B</x:v>
      </x:c>
      <x:c r="E6" t="str">
        <x:f>IF(RAND()&lt;'Team_Info'!$E$5,"W","B")</x:f>
        <x:v>W</x:v>
      </x:c>
      <x:c r="F6" t="str">
        <x:f>IF(RAND()&lt;'Team_Info'!$E$5,"W","B")</x:f>
        <x:v>B</x:v>
      </x:c>
      <x:c r="G6" t="str">
        <x:f>IF(RAND()&lt;'Team_Info'!$E$5,"W","B")</x:f>
        <x:v>B</x:v>
      </x:c>
      <x:c r="H6" t="str">
        <x:f>IF(RAND()&lt;'Team_Info'!$E$5,"W","B")</x:f>
        <x:v>B</x:v>
      </x:c>
      <x:c r="I6" t="str">
        <x:f>IF(RAND()&lt;'Team_Info'!$E$5,"W","B")</x:f>
        <x:v>B</x:v>
      </x:c>
      <x:c r="J6" t="str">
        <x:f>IF(RAND()&lt;'Team_Info'!$E$5,"W","B")</x:f>
        <x:v>W</x:v>
      </x:c>
      <x:c r="K6" t="str">
        <x:f>IF(RAND()&lt;'Team_Info'!$E$5,"W","B")</x:f>
        <x:v>B</x:v>
      </x:c>
      <x:c r="L6" t="str">
        <x:f>IF(RAND()&lt;'Team_Info'!$E$5,"W","B")</x:f>
        <x:v>B</x:v>
      </x:c>
      <x:c r="M6" t="str">
        <x:f>IF(RAND()&lt;'Team_Info'!$E$5,"W","B")</x:f>
        <x:v>B</x:v>
      </x:c>
      <x:c r="N6" t="str">
        <x:f>IF(RAND()&lt;'Team_Info'!$E$5,"W","B")</x:f>
        <x:v>W</x:v>
      </x:c>
      <x:c r="O6" t="str">
        <x:f>IF(RAND()&lt;'Team_Info'!$E$5,"W","B")</x:f>
        <x:v>B</x:v>
      </x:c>
      <x:c r="P6" t="str">
        <x:f>IF(RAND()&lt;'Team_Info'!$E$5,"W","B")</x:f>
        <x:v>W</x:v>
      </x:c>
      <x:c r="Q6" t="str">
        <x:f>IF(RAND()&lt;'Team_Info'!$E$5,"W","B")</x:f>
        <x:v>B</x:v>
      </x:c>
      <x:c r="R6" t="str">
        <x:f>IF(RAND()&lt;'Team_Info'!$E$5,"W","B")</x:f>
        <x:v>W</x:v>
      </x:c>
      <x:c r="S6" t="str">
        <x:f>IF(RAND()&lt;'Team_Info'!$E$5,"W","B")</x:f>
        <x:v>W</x:v>
      </x:c>
      <x:c r="T6" t="str">
        <x:f>IF(RAND()&lt;'Team_Info'!$E$5,"W","B")</x:f>
        <x:v>B</x:v>
      </x:c>
      <x:c r="U6" t="str">
        <x:f>IF(RAND()&lt;'Team_Info'!$E$5,"W","B")</x:f>
        <x:v>W</x:v>
      </x:c>
    </x:row>
    <x:row r="7">
      <x:c r="A7" s="1">
        <x:v>6</x:v>
      </x:c>
      <x:c r="B7" t="str">
        <x:f>IF(RAND()&lt;'Team_Info'!$E$5,"W","B")</x:f>
        <x:v>B</x:v>
      </x:c>
      <x:c r="C7" t="str">
        <x:f>IF(RAND()&lt;'Team_Info'!$E$5,"W","B")</x:f>
        <x:v>B</x:v>
      </x:c>
      <x:c r="D7" t="str">
        <x:f>IF(RAND()&lt;'Team_Info'!$E$5,"W","B")</x:f>
        <x:v>W</x:v>
      </x:c>
      <x:c r="E7" t="str">
        <x:f>IF(RAND()&lt;'Team_Info'!$E$5,"W","B")</x:f>
        <x:v>W</x:v>
      </x:c>
      <x:c r="F7" t="str">
        <x:f>IF(RAND()&lt;'Team_Info'!$E$5,"W","B")</x:f>
        <x:v>B</x:v>
      </x:c>
      <x:c r="G7" t="str">
        <x:f>IF(RAND()&lt;'Team_Info'!$E$5,"W","B")</x:f>
        <x:v>W</x:v>
      </x:c>
      <x:c r="H7" t="str">
        <x:f>IF(RAND()&lt;'Team_Info'!$E$5,"W","B")</x:f>
        <x:v>B</x:v>
      </x:c>
      <x:c r="I7" t="str">
        <x:f>IF(RAND()&lt;'Team_Info'!$E$5,"W","B")</x:f>
        <x:v>B</x:v>
      </x:c>
      <x:c r="J7" t="str">
        <x:f>IF(RAND()&lt;'Team_Info'!$E$5,"W","B")</x:f>
        <x:v>B</x:v>
      </x:c>
      <x:c r="K7" t="str">
        <x:f>IF(RAND()&lt;'Team_Info'!$E$5,"W","B")</x:f>
        <x:v>B</x:v>
      </x:c>
      <x:c r="L7" t="str">
        <x:f>IF(RAND()&lt;'Team_Info'!$E$5,"W","B")</x:f>
        <x:v>W</x:v>
      </x:c>
      <x:c r="M7" t="str">
        <x:f>IF(RAND()&lt;'Team_Info'!$E$5,"W","B")</x:f>
        <x:v>W</x:v>
      </x:c>
      <x:c r="N7" t="str">
        <x:f>IF(RAND()&lt;'Team_Info'!$E$5,"W","B")</x:f>
        <x:v>B</x:v>
      </x:c>
      <x:c r="O7" t="str">
        <x:f>IF(RAND()&lt;'Team_Info'!$E$5,"W","B")</x:f>
        <x:v>W</x:v>
      </x:c>
      <x:c r="P7" t="str">
        <x:f>IF(RAND()&lt;'Team_Info'!$E$5,"W","B")</x:f>
        <x:v>B</x:v>
      </x:c>
      <x:c r="Q7" t="str">
        <x:f>IF(RAND()&lt;'Team_Info'!$E$5,"W","B")</x:f>
        <x:v>W</x:v>
      </x:c>
      <x:c r="R7" t="str">
        <x:f>IF(RAND()&lt;'Team_Info'!$E$5,"W","B")</x:f>
        <x:v>W</x:v>
      </x:c>
      <x:c r="S7" t="str">
        <x:f>IF(RAND()&lt;'Team_Info'!$E$5,"W","B")</x:f>
        <x:v>B</x:v>
      </x:c>
      <x:c r="T7" t="str">
        <x:f>IF(RAND()&lt;'Team_Info'!$E$5,"W","B")</x:f>
        <x:v>B</x:v>
      </x:c>
      <x:c r="U7" t="str">
        <x:f>IF(RAND()&lt;'Team_Info'!$E$5,"W","B")</x:f>
        <x:v>B</x:v>
      </x:c>
    </x:row>
    <x:row r="8">
      <x:c r="A8" s="1">
        <x:v>7</x:v>
      </x:c>
      <x:c r="B8" t="str">
        <x:f>IF(RAND()&lt;'Team_Info'!$E$5,"W","B")</x:f>
        <x:v>W</x:v>
      </x:c>
      <x:c r="C8" t="str">
        <x:f>IF(RAND()&lt;'Team_Info'!$E$5,"W","B")</x:f>
        <x:v>B</x:v>
      </x:c>
      <x:c r="D8" t="str">
        <x:f>IF(RAND()&lt;'Team_Info'!$E$5,"W","B")</x:f>
        <x:v>W</x:v>
      </x:c>
      <x:c r="E8" t="str">
        <x:f>IF(RAND()&lt;'Team_Info'!$E$5,"W","B")</x:f>
        <x:v>W</x:v>
      </x:c>
      <x:c r="F8" t="str">
        <x:f>IF(RAND()&lt;'Team_Info'!$E$5,"W","B")</x:f>
        <x:v>W</x:v>
      </x:c>
      <x:c r="G8" t="str">
        <x:f>IF(RAND()&lt;'Team_Info'!$E$5,"W","B")</x:f>
        <x:v>B</x:v>
      </x:c>
      <x:c r="H8" t="str">
        <x:f>IF(RAND()&lt;'Team_Info'!$E$5,"W","B")</x:f>
        <x:v>B</x:v>
      </x:c>
      <x:c r="I8" t="str">
        <x:f>IF(RAND()&lt;'Team_Info'!$E$5,"W","B")</x:f>
        <x:v>B</x:v>
      </x:c>
      <x:c r="J8" t="str">
        <x:f>IF(RAND()&lt;'Team_Info'!$E$5,"W","B")</x:f>
        <x:v>W</x:v>
      </x:c>
      <x:c r="K8" t="str">
        <x:f>IF(RAND()&lt;'Team_Info'!$E$5,"W","B")</x:f>
        <x:v>B</x:v>
      </x:c>
      <x:c r="L8" t="str">
        <x:f>IF(RAND()&lt;'Team_Info'!$E$5,"W","B")</x:f>
        <x:v>B</x:v>
      </x:c>
      <x:c r="M8" t="str">
        <x:f>IF(RAND()&lt;'Team_Info'!$E$5,"W","B")</x:f>
        <x:v>B</x:v>
      </x:c>
      <x:c r="N8" t="str">
        <x:f>IF(RAND()&lt;'Team_Info'!$E$5,"W","B")</x:f>
        <x:v>W</x:v>
      </x:c>
      <x:c r="O8" t="str">
        <x:f>IF(RAND()&lt;'Team_Info'!$E$5,"W","B")</x:f>
        <x:v>W</x:v>
      </x:c>
      <x:c r="P8" t="str">
        <x:f>IF(RAND()&lt;'Team_Info'!$E$5,"W","B")</x:f>
        <x:v>W</x:v>
      </x:c>
      <x:c r="Q8" t="str">
        <x:f>IF(RAND()&lt;'Team_Info'!$E$5,"W","B")</x:f>
        <x:v>W</x:v>
      </x:c>
      <x:c r="R8" t="str">
        <x:f>IF(RAND()&lt;'Team_Info'!$E$5,"W","B")</x:f>
        <x:v>B</x:v>
      </x:c>
      <x:c r="S8" t="str">
        <x:f>IF(RAND()&lt;'Team_Info'!$E$5,"W","B")</x:f>
        <x:v>B</x:v>
      </x:c>
      <x:c r="T8" t="str">
        <x:f>IF(RAND()&lt;'Team_Info'!$E$5,"W","B")</x:f>
        <x:v>W</x:v>
      </x:c>
      <x:c r="U8" t="str">
        <x:f>IF(RAND()&lt;'Team_Info'!$E$5,"W","B")</x:f>
        <x:v>B</x:v>
      </x:c>
    </x:row>
    <x:row r="9">
      <x:c r="A9" s="1">
        <x:v>8</x:v>
      </x:c>
      <x:c r="B9" t="str">
        <x:f>IF(RAND()&lt;'Team_Info'!$E$5,"W","B")</x:f>
        <x:v>B</x:v>
      </x:c>
      <x:c r="C9" t="str">
        <x:f>IF(RAND()&lt;'Team_Info'!$E$5,"W","B")</x:f>
        <x:v>W</x:v>
      </x:c>
      <x:c r="D9" t="str">
        <x:f>IF(RAND()&lt;'Team_Info'!$E$5,"W","B")</x:f>
        <x:v>B</x:v>
      </x:c>
      <x:c r="E9" t="str">
        <x:f>IF(RAND()&lt;'Team_Info'!$E$5,"W","B")</x:f>
        <x:v>W</x:v>
      </x:c>
      <x:c r="F9" t="str">
        <x:f>IF(RAND()&lt;'Team_Info'!$E$5,"W","B")</x:f>
        <x:v>W</x:v>
      </x:c>
      <x:c r="G9" t="str">
        <x:f>IF(RAND()&lt;'Team_Info'!$E$5,"W","B")</x:f>
        <x:v>B</x:v>
      </x:c>
      <x:c r="H9" t="str">
        <x:f>IF(RAND()&lt;'Team_Info'!$E$5,"W","B")</x:f>
        <x:v>B</x:v>
      </x:c>
      <x:c r="I9" t="str">
        <x:f>IF(RAND()&lt;'Team_Info'!$E$5,"W","B")</x:f>
        <x:v>B</x:v>
      </x:c>
      <x:c r="J9" t="str">
        <x:f>IF(RAND()&lt;'Team_Info'!$E$5,"W","B")</x:f>
        <x:v>B</x:v>
      </x:c>
      <x:c r="K9" t="str">
        <x:f>IF(RAND()&lt;'Team_Info'!$E$5,"W","B")</x:f>
        <x:v>W</x:v>
      </x:c>
      <x:c r="L9" t="str">
        <x:f>IF(RAND()&lt;'Team_Info'!$E$5,"W","B")</x:f>
        <x:v>W</x:v>
      </x:c>
      <x:c r="M9" t="str">
        <x:f>IF(RAND()&lt;'Team_Info'!$E$5,"W","B")</x:f>
        <x:v>W</x:v>
      </x:c>
      <x:c r="N9" t="str">
        <x:f>IF(RAND()&lt;'Team_Info'!$E$5,"W","B")</x:f>
        <x:v>W</x:v>
      </x:c>
      <x:c r="O9" t="str">
        <x:f>IF(RAND()&lt;'Team_Info'!$E$5,"W","B")</x:f>
        <x:v>W</x:v>
      </x:c>
      <x:c r="P9" t="str">
        <x:f>IF(RAND()&lt;'Team_Info'!$E$5,"W","B")</x:f>
        <x:v>W</x:v>
      </x:c>
      <x:c r="Q9" t="str">
        <x:f>IF(RAND()&lt;'Team_Info'!$E$5,"W","B")</x:f>
        <x:v>W</x:v>
      </x:c>
      <x:c r="R9" t="str">
        <x:f>IF(RAND()&lt;'Team_Info'!$E$5,"W","B")</x:f>
        <x:v>B</x:v>
      </x:c>
      <x:c r="S9" t="str">
        <x:f>IF(RAND()&lt;'Team_Info'!$E$5,"W","B")</x:f>
        <x:v>B</x:v>
      </x:c>
      <x:c r="T9" t="str">
        <x:f>IF(RAND()&lt;'Team_Info'!$E$5,"W","B")</x:f>
        <x:v>B</x:v>
      </x:c>
      <x:c r="U9" t="str">
        <x:f>IF(RAND()&lt;'Team_Info'!$E$5,"W","B")</x:f>
        <x:v>B</x:v>
      </x:c>
    </x:row>
    <x:row r="10">
      <x:c r="A10" s="1">
        <x:v>9</x:v>
      </x:c>
      <x:c r="B10" t="str">
        <x:f>IF(RAND()&lt;'Team_Info'!$E$5,"W","B")</x:f>
        <x:v>W</x:v>
      </x:c>
      <x:c r="C10" t="str">
        <x:f>IF(RAND()&lt;'Team_Info'!$E$5,"W","B")</x:f>
        <x:v>B</x:v>
      </x:c>
      <x:c r="D10" t="str">
        <x:f>IF(RAND()&lt;'Team_Info'!$E$5,"W","B")</x:f>
        <x:v>W</x:v>
      </x:c>
      <x:c r="E10" t="str">
        <x:f>IF(RAND()&lt;'Team_Info'!$E$5,"W","B")</x:f>
        <x:v>B</x:v>
      </x:c>
      <x:c r="F10" t="str">
        <x:f>IF(RAND()&lt;'Team_Info'!$E$5,"W","B")</x:f>
        <x:v>W</x:v>
      </x:c>
      <x:c r="G10" t="str">
        <x:f>IF(RAND()&lt;'Team_Info'!$E$5,"W","B")</x:f>
        <x:v>B</x:v>
      </x:c>
      <x:c r="H10" t="str">
        <x:f>IF(RAND()&lt;'Team_Info'!$E$5,"W","B")</x:f>
        <x:v>B</x:v>
      </x:c>
      <x:c r="I10" t="str">
        <x:f>IF(RAND()&lt;'Team_Info'!$E$5,"W","B")</x:f>
        <x:v>W</x:v>
      </x:c>
      <x:c r="J10" t="str">
        <x:f>IF(RAND()&lt;'Team_Info'!$E$5,"W","B")</x:f>
        <x:v>W</x:v>
      </x:c>
      <x:c r="K10" t="str">
        <x:f>IF(RAND()&lt;'Team_Info'!$E$5,"W","B")</x:f>
        <x:v>W</x:v>
      </x:c>
      <x:c r="L10" t="str">
        <x:f>IF(RAND()&lt;'Team_Info'!$E$5,"W","B")</x:f>
        <x:v>W</x:v>
      </x:c>
      <x:c r="M10" t="str">
        <x:f>IF(RAND()&lt;'Team_Info'!$E$5,"W","B")</x:f>
        <x:v>W</x:v>
      </x:c>
      <x:c r="N10" t="str">
        <x:f>IF(RAND()&lt;'Team_Info'!$E$5,"W","B")</x:f>
        <x:v>B</x:v>
      </x:c>
      <x:c r="O10" t="str">
        <x:f>IF(RAND()&lt;'Team_Info'!$E$5,"W","B")</x:f>
        <x:v>W</x:v>
      </x:c>
      <x:c r="P10" t="str">
        <x:f>IF(RAND()&lt;'Team_Info'!$E$5,"W","B")</x:f>
        <x:v>B</x:v>
      </x:c>
      <x:c r="Q10" t="str">
        <x:f>IF(RAND()&lt;'Team_Info'!$E$5,"W","B")</x:f>
        <x:v>W</x:v>
      </x:c>
      <x:c r="R10" t="str">
        <x:f>IF(RAND()&lt;'Team_Info'!$E$5,"W","B")</x:f>
        <x:v>B</x:v>
      </x:c>
      <x:c r="S10" t="str">
        <x:f>IF(RAND()&lt;'Team_Info'!$E$5,"W","B")</x:f>
        <x:v>W</x:v>
      </x:c>
      <x:c r="T10" t="str">
        <x:f>IF(RAND()&lt;'Team_Info'!$E$5,"W","B")</x:f>
        <x:v>B</x:v>
      </x:c>
      <x:c r="U10" t="str">
        <x:f>IF(RAND()&lt;'Team_Info'!$E$5,"W","B")</x:f>
        <x:v>B</x:v>
      </x:c>
    </x:row>
    <x:row r="11">
      <x:c r="A11" s="1">
        <x:v>10</x:v>
      </x:c>
      <x:c r="B11" t="str">
        <x:f>IF(RAND()&lt;'Team_Info'!$E$5,"W","B")</x:f>
        <x:v>B</x:v>
      </x:c>
      <x:c r="C11" t="str">
        <x:f>IF(RAND()&lt;'Team_Info'!$E$5,"W","B")</x:f>
        <x:v>B</x:v>
      </x:c>
      <x:c r="D11" t="str">
        <x:f>IF(RAND()&lt;'Team_Info'!$E$5,"W","B")</x:f>
        <x:v>B</x:v>
      </x:c>
      <x:c r="E11" t="str">
        <x:f>IF(RAND()&lt;'Team_Info'!$E$5,"W","B")</x:f>
        <x:v>W</x:v>
      </x:c>
      <x:c r="F11" t="str">
        <x:f>IF(RAND()&lt;'Team_Info'!$E$5,"W","B")</x:f>
        <x:v>B</x:v>
      </x:c>
      <x:c r="G11" t="str">
        <x:f>IF(RAND()&lt;'Team_Info'!$E$5,"W","B")</x:f>
        <x:v>W</x:v>
      </x:c>
      <x:c r="H11" t="str">
        <x:f>IF(RAND()&lt;'Team_Info'!$E$5,"W","B")</x:f>
        <x:v>W</x:v>
      </x:c>
      <x:c r="I11" t="str">
        <x:f>IF(RAND()&lt;'Team_Info'!$E$5,"W","B")</x:f>
        <x:v>B</x:v>
      </x:c>
      <x:c r="J11" t="str">
        <x:f>IF(RAND()&lt;'Team_Info'!$E$5,"W","B")</x:f>
        <x:v>B</x:v>
      </x:c>
      <x:c r="K11" t="str">
        <x:f>IF(RAND()&lt;'Team_Info'!$E$5,"W","B")</x:f>
        <x:v>B</x:v>
      </x:c>
      <x:c r="L11" t="str">
        <x:f>IF(RAND()&lt;'Team_Info'!$E$5,"W","B")</x:f>
        <x:v>W</x:v>
      </x:c>
      <x:c r="M11" t="str">
        <x:f>IF(RAND()&lt;'Team_Info'!$E$5,"W","B")</x:f>
        <x:v>B</x:v>
      </x:c>
      <x:c r="N11" t="str">
        <x:f>IF(RAND()&lt;'Team_Info'!$E$5,"W","B")</x:f>
        <x:v>W</x:v>
      </x:c>
      <x:c r="O11" t="str">
        <x:f>IF(RAND()&lt;'Team_Info'!$E$5,"W","B")</x:f>
        <x:v>B</x:v>
      </x:c>
      <x:c r="P11" t="str">
        <x:f>IF(RAND()&lt;'Team_Info'!$E$5,"W","B")</x:f>
        <x:v>B</x:v>
      </x:c>
      <x:c r="Q11" t="str">
        <x:f>IF(RAND()&lt;'Team_Info'!$E$5,"W","B")</x:f>
        <x:v>B</x:v>
      </x:c>
      <x:c r="R11" t="str">
        <x:f>IF(RAND()&lt;'Team_Info'!$E$5,"W","B")</x:f>
        <x:v>B</x:v>
      </x:c>
      <x:c r="S11" t="str">
        <x:f>IF(RAND()&lt;'Team_Info'!$E$5,"W","B")</x:f>
        <x:v>B</x:v>
      </x:c>
      <x:c r="T11" t="str">
        <x:f>IF(RAND()&lt;'Team_Info'!$E$5,"W","B")</x:f>
        <x:v>B</x:v>
      </x:c>
      <x:c r="U11" t="str">
        <x:f>IF(RAND()&lt;'Team_Info'!$E$5,"W","B")</x:f>
        <x:v>W</x:v>
      </x:c>
    </x:row>
    <x:row r="12">
      <x:c r="A12" s="1">
        <x:v>11</x:v>
      </x:c>
      <x:c r="B12" t="str">
        <x:f>IF(RAND()&lt;'Team_Info'!$E$5,"W","B")</x:f>
        <x:v>W</x:v>
      </x:c>
      <x:c r="C12" t="str">
        <x:f>IF(RAND()&lt;'Team_Info'!$E$5,"W","B")</x:f>
        <x:v>W</x:v>
      </x:c>
      <x:c r="D12" t="str">
        <x:f>IF(RAND()&lt;'Team_Info'!$E$5,"W","B")</x:f>
        <x:v>B</x:v>
      </x:c>
      <x:c r="E12" t="str">
        <x:f>IF(RAND()&lt;'Team_Info'!$E$5,"W","B")</x:f>
        <x:v>B</x:v>
      </x:c>
      <x:c r="F12" t="str">
        <x:f>IF(RAND()&lt;'Team_Info'!$E$5,"W","B")</x:f>
        <x:v>B</x:v>
      </x:c>
      <x:c r="G12" t="str">
        <x:f>IF(RAND()&lt;'Team_Info'!$E$5,"W","B")</x:f>
        <x:v>B</x:v>
      </x:c>
      <x:c r="H12" t="str">
        <x:f>IF(RAND()&lt;'Team_Info'!$E$5,"W","B")</x:f>
        <x:v>W</x:v>
      </x:c>
      <x:c r="I12" t="str">
        <x:f>IF(RAND()&lt;'Team_Info'!$E$5,"W","B")</x:f>
        <x:v>B</x:v>
      </x:c>
      <x:c r="J12" t="str">
        <x:f>IF(RAND()&lt;'Team_Info'!$E$5,"W","B")</x:f>
        <x:v>B</x:v>
      </x:c>
      <x:c r="K12" t="str">
        <x:f>IF(RAND()&lt;'Team_Info'!$E$5,"W","B")</x:f>
        <x:v>B</x:v>
      </x:c>
      <x:c r="L12" t="str">
        <x:f>IF(RAND()&lt;'Team_Info'!$E$5,"W","B")</x:f>
        <x:v>B</x:v>
      </x:c>
      <x:c r="M12" t="str">
        <x:f>IF(RAND()&lt;'Team_Info'!$E$5,"W","B")</x:f>
        <x:v>W</x:v>
      </x:c>
      <x:c r="N12" t="str">
        <x:f>IF(RAND()&lt;'Team_Info'!$E$5,"W","B")</x:f>
        <x:v>B</x:v>
      </x:c>
      <x:c r="O12" t="str">
        <x:f>IF(RAND()&lt;'Team_Info'!$E$5,"W","B")</x:f>
        <x:v>B</x:v>
      </x:c>
      <x:c r="P12" t="str">
        <x:f>IF(RAND()&lt;'Team_Info'!$E$5,"W","B")</x:f>
        <x:v>B</x:v>
      </x:c>
      <x:c r="Q12" t="str">
        <x:f>IF(RAND()&lt;'Team_Info'!$E$5,"W","B")</x:f>
        <x:v>B</x:v>
      </x:c>
      <x:c r="R12" t="str">
        <x:f>IF(RAND()&lt;'Team_Info'!$E$5,"W","B")</x:f>
        <x:v>W</x:v>
      </x:c>
      <x:c r="S12" t="str">
        <x:f>IF(RAND()&lt;'Team_Info'!$E$5,"W","B")</x:f>
        <x:v>B</x:v>
      </x:c>
      <x:c r="T12" t="str">
        <x:f>IF(RAND()&lt;'Team_Info'!$E$5,"W","B")</x:f>
        <x:v>B</x:v>
      </x:c>
      <x:c r="U12" t="str">
        <x:f>IF(RAND()&lt;'Team_Info'!$E$5,"W","B")</x:f>
        <x:v>W</x:v>
      </x:c>
    </x:row>
    <x:row r="13">
      <x:c r="A13" s="1">
        <x:v>12</x:v>
      </x:c>
      <x:c r="B13" t="str">
        <x:f>IF(RAND()&lt;'Team_Info'!$E$5,"W","B")</x:f>
        <x:v>B</x:v>
      </x:c>
      <x:c r="C13" t="str">
        <x:f>IF(RAND()&lt;'Team_Info'!$E$5,"W","B")</x:f>
        <x:v>B</x:v>
      </x:c>
      <x:c r="D13" t="str">
        <x:f>IF(RAND()&lt;'Team_Info'!$E$5,"W","B")</x:f>
        <x:v>B</x:v>
      </x:c>
      <x:c r="E13" t="str">
        <x:f>IF(RAND()&lt;'Team_Info'!$E$5,"W","B")</x:f>
        <x:v>W</x:v>
      </x:c>
      <x:c r="F13" t="str">
        <x:f>IF(RAND()&lt;'Team_Info'!$E$5,"W","B")</x:f>
        <x:v>B</x:v>
      </x:c>
      <x:c r="G13" t="str">
        <x:f>IF(RAND()&lt;'Team_Info'!$E$5,"W","B")</x:f>
        <x:v>B</x:v>
      </x:c>
      <x:c r="H13" t="str">
        <x:f>IF(RAND()&lt;'Team_Info'!$E$5,"W","B")</x:f>
        <x:v>W</x:v>
      </x:c>
      <x:c r="I13" t="str">
        <x:f>IF(RAND()&lt;'Team_Info'!$E$5,"W","B")</x:f>
        <x:v>B</x:v>
      </x:c>
      <x:c r="J13" t="str">
        <x:f>IF(RAND()&lt;'Team_Info'!$E$5,"W","B")</x:f>
        <x:v>W</x:v>
      </x:c>
      <x:c r="K13" t="str">
        <x:f>IF(RAND()&lt;'Team_Info'!$E$5,"W","B")</x:f>
        <x:v>B</x:v>
      </x:c>
      <x:c r="L13" t="str">
        <x:f>IF(RAND()&lt;'Team_Info'!$E$5,"W","B")</x:f>
        <x:v>B</x:v>
      </x:c>
      <x:c r="M13" t="str">
        <x:f>IF(RAND()&lt;'Team_Info'!$E$5,"W","B")</x:f>
        <x:v>B</x:v>
      </x:c>
      <x:c r="N13" t="str">
        <x:f>IF(RAND()&lt;'Team_Info'!$E$5,"W","B")</x:f>
        <x:v>B</x:v>
      </x:c>
      <x:c r="O13" t="str">
        <x:f>IF(RAND()&lt;'Team_Info'!$E$5,"W","B")</x:f>
        <x:v>B</x:v>
      </x:c>
      <x:c r="P13" t="str">
        <x:f>IF(RAND()&lt;'Team_Info'!$E$5,"W","B")</x:f>
        <x:v>B</x:v>
      </x:c>
      <x:c r="Q13" t="str">
        <x:f>IF(RAND()&lt;'Team_Info'!$E$5,"W","B")</x:f>
        <x:v>B</x:v>
      </x:c>
      <x:c r="R13" t="str">
        <x:f>IF(RAND()&lt;'Team_Info'!$E$5,"W","B")</x:f>
        <x:v>B</x:v>
      </x:c>
      <x:c r="S13" t="str">
        <x:f>IF(RAND()&lt;'Team_Info'!$E$5,"W","B")</x:f>
        <x:v>B</x:v>
      </x:c>
      <x:c r="T13" t="str">
        <x:f>IF(RAND()&lt;'Team_Info'!$E$5,"W","B")</x:f>
        <x:v>W</x:v>
      </x:c>
      <x:c r="U13" t="str">
        <x:f>IF(RAND()&lt;'Team_Info'!$E$5,"W","B")</x:f>
        <x:v>B</x:v>
      </x:c>
    </x:row>
    <x:row r="14">
      <x:c r="A14" s="1">
        <x:v>13</x:v>
      </x:c>
      <x:c r="B14" t="str">
        <x:f>IF(RAND()&lt;'Team_Info'!$E$5,"W","B")</x:f>
        <x:v>W</x:v>
      </x:c>
      <x:c r="C14" t="str">
        <x:f>IF(RAND()&lt;'Team_Info'!$E$5,"W","B")</x:f>
        <x:v>W</x:v>
      </x:c>
      <x:c r="D14" t="str">
        <x:f>IF(RAND()&lt;'Team_Info'!$E$5,"W","B")</x:f>
        <x:v>B</x:v>
      </x:c>
      <x:c r="E14" t="str">
        <x:f>IF(RAND()&lt;'Team_Info'!$E$5,"W","B")</x:f>
        <x:v>B</x:v>
      </x:c>
      <x:c r="F14" t="str">
        <x:f>IF(RAND()&lt;'Team_Info'!$E$5,"W","B")</x:f>
        <x:v>W</x:v>
      </x:c>
      <x:c r="G14" t="str">
        <x:f>IF(RAND()&lt;'Team_Info'!$E$5,"W","B")</x:f>
        <x:v>B</x:v>
      </x:c>
      <x:c r="H14" t="str">
        <x:f>IF(RAND()&lt;'Team_Info'!$E$5,"W","B")</x:f>
        <x:v>B</x:v>
      </x:c>
      <x:c r="I14" t="str">
        <x:f>IF(RAND()&lt;'Team_Info'!$E$5,"W","B")</x:f>
        <x:v>B</x:v>
      </x:c>
      <x:c r="J14" t="str">
        <x:f>IF(RAND()&lt;'Team_Info'!$E$5,"W","B")</x:f>
        <x:v>B</x:v>
      </x:c>
      <x:c r="K14" t="str">
        <x:f>IF(RAND()&lt;'Team_Info'!$E$5,"W","B")</x:f>
        <x:v>B</x:v>
      </x:c>
      <x:c r="L14" t="str">
        <x:f>IF(RAND()&lt;'Team_Info'!$E$5,"W","B")</x:f>
        <x:v>W</x:v>
      </x:c>
      <x:c r="M14" t="str">
        <x:f>IF(RAND()&lt;'Team_Info'!$E$5,"W","B")</x:f>
        <x:v>W</x:v>
      </x:c>
      <x:c r="N14" t="str">
        <x:f>IF(RAND()&lt;'Team_Info'!$E$5,"W","B")</x:f>
        <x:v>B</x:v>
      </x:c>
      <x:c r="O14" t="str">
        <x:f>IF(RAND()&lt;'Team_Info'!$E$5,"W","B")</x:f>
        <x:v>B</x:v>
      </x:c>
      <x:c r="P14" t="str">
        <x:f>IF(RAND()&lt;'Team_Info'!$E$5,"W","B")</x:f>
        <x:v>W</x:v>
      </x:c>
      <x:c r="Q14" t="str">
        <x:f>IF(RAND()&lt;'Team_Info'!$E$5,"W","B")</x:f>
        <x:v>B</x:v>
      </x:c>
      <x:c r="R14" t="str">
        <x:f>IF(RAND()&lt;'Team_Info'!$E$5,"W","B")</x:f>
        <x:v>W</x:v>
      </x:c>
      <x:c r="S14" t="str">
        <x:f>IF(RAND()&lt;'Team_Info'!$E$5,"W","B")</x:f>
        <x:v>B</x:v>
      </x:c>
      <x:c r="T14" t="str">
        <x:f>IF(RAND()&lt;'Team_Info'!$E$5,"W","B")</x:f>
        <x:v>W</x:v>
      </x:c>
      <x:c r="U14" t="str">
        <x:f>IF(RAND()&lt;'Team_Info'!$E$5,"W","B")</x:f>
        <x:v>B</x:v>
      </x:c>
    </x:row>
    <x:row r="15">
      <x:c r="A15" s="1">
        <x:v>14</x:v>
      </x:c>
      <x:c r="B15" t="str">
        <x:f>IF(RAND()&lt;'Team_Info'!$E$5,"W","B")</x:f>
        <x:v>W</x:v>
      </x:c>
      <x:c r="C15" t="str">
        <x:f>IF(RAND()&lt;'Team_Info'!$E$5,"W","B")</x:f>
        <x:v>B</x:v>
      </x:c>
      <x:c r="D15" t="str">
        <x:f>IF(RAND()&lt;'Team_Info'!$E$5,"W","B")</x:f>
        <x:v>W</x:v>
      </x:c>
      <x:c r="E15" t="str">
        <x:f>IF(RAND()&lt;'Team_Info'!$E$5,"W","B")</x:f>
        <x:v>W</x:v>
      </x:c>
      <x:c r="F15" t="str">
        <x:f>IF(RAND()&lt;'Team_Info'!$E$5,"W","B")</x:f>
        <x:v>W</x:v>
      </x:c>
      <x:c r="G15" t="str">
        <x:f>IF(RAND()&lt;'Team_Info'!$E$5,"W","B")</x:f>
        <x:v>B</x:v>
      </x:c>
      <x:c r="H15" t="str">
        <x:f>IF(RAND()&lt;'Team_Info'!$E$5,"W","B")</x:f>
        <x:v>W</x:v>
      </x:c>
      <x:c r="I15" t="str">
        <x:f>IF(RAND()&lt;'Team_Info'!$E$5,"W","B")</x:f>
        <x:v>W</x:v>
      </x:c>
      <x:c r="J15" t="str">
        <x:f>IF(RAND()&lt;'Team_Info'!$E$5,"W","B")</x:f>
        <x:v>W</x:v>
      </x:c>
      <x:c r="K15" t="str">
        <x:f>IF(RAND()&lt;'Team_Info'!$E$5,"W","B")</x:f>
        <x:v>B</x:v>
      </x:c>
      <x:c r="L15" t="str">
        <x:f>IF(RAND()&lt;'Team_Info'!$E$5,"W","B")</x:f>
        <x:v>B</x:v>
      </x:c>
      <x:c r="M15" t="str">
        <x:f>IF(RAND()&lt;'Team_Info'!$E$5,"W","B")</x:f>
        <x:v>B</x:v>
      </x:c>
      <x:c r="N15" t="str">
        <x:f>IF(RAND()&lt;'Team_Info'!$E$5,"W","B")</x:f>
        <x:v>W</x:v>
      </x:c>
      <x:c r="O15" t="str">
        <x:f>IF(RAND()&lt;'Team_Info'!$E$5,"W","B")</x:f>
        <x:v>W</x:v>
      </x:c>
      <x:c r="P15" t="str">
        <x:f>IF(RAND()&lt;'Team_Info'!$E$5,"W","B")</x:f>
        <x:v>B</x:v>
      </x:c>
      <x:c r="Q15" t="str">
        <x:f>IF(RAND()&lt;'Team_Info'!$E$5,"W","B")</x:f>
        <x:v>W</x:v>
      </x:c>
      <x:c r="R15" t="str">
        <x:f>IF(RAND()&lt;'Team_Info'!$E$5,"W","B")</x:f>
        <x:v>B</x:v>
      </x:c>
      <x:c r="S15" t="str">
        <x:f>IF(RAND()&lt;'Team_Info'!$E$5,"W","B")</x:f>
        <x:v>B</x:v>
      </x:c>
      <x:c r="T15" t="str">
        <x:f>IF(RAND()&lt;'Team_Info'!$E$5,"W","B")</x:f>
        <x:v>B</x:v>
      </x:c>
      <x:c r="U15" t="str">
        <x:f>IF(RAND()&lt;'Team_Info'!$E$5,"W","B")</x:f>
        <x:v>B</x:v>
      </x:c>
    </x:row>
    <x:row r="16">
      <x:c r="A16" s="1">
        <x:v>15</x:v>
      </x:c>
      <x:c r="B16" t="str">
        <x:f>IF(RAND()&lt;'Team_Info'!$E$5,"W","B")</x:f>
        <x:v>B</x:v>
      </x:c>
      <x:c r="C16" t="str">
        <x:f>IF(RAND()&lt;'Team_Info'!$E$5,"W","B")</x:f>
        <x:v>B</x:v>
      </x:c>
      <x:c r="D16" t="str">
        <x:f>IF(RAND()&lt;'Team_Info'!$E$5,"W","B")</x:f>
        <x:v>B</x:v>
      </x:c>
      <x:c r="E16" t="str">
        <x:f>IF(RAND()&lt;'Team_Info'!$E$5,"W","B")</x:f>
        <x:v>W</x:v>
      </x:c>
      <x:c r="F16" t="str">
        <x:f>IF(RAND()&lt;'Team_Info'!$E$5,"W","B")</x:f>
        <x:v>B</x:v>
      </x:c>
      <x:c r="G16" t="str">
        <x:f>IF(RAND()&lt;'Team_Info'!$E$5,"W","B")</x:f>
        <x:v>W</x:v>
      </x:c>
      <x:c r="H16" t="str">
        <x:f>IF(RAND()&lt;'Team_Info'!$E$5,"W","B")</x:f>
        <x:v>W</x:v>
      </x:c>
      <x:c r="I16" t="str">
        <x:f>IF(RAND()&lt;'Team_Info'!$E$5,"W","B")</x:f>
        <x:v>B</x:v>
      </x:c>
      <x:c r="J16" t="str">
        <x:f>IF(RAND()&lt;'Team_Info'!$E$5,"W","B")</x:f>
        <x:v>W</x:v>
      </x:c>
      <x:c r="K16" t="str">
        <x:f>IF(RAND()&lt;'Team_Info'!$E$5,"W","B")</x:f>
        <x:v>W</x:v>
      </x:c>
      <x:c r="L16" t="str">
        <x:f>IF(RAND()&lt;'Team_Info'!$E$5,"W","B")</x:f>
        <x:v>B</x:v>
      </x:c>
      <x:c r="M16" t="str">
        <x:f>IF(RAND()&lt;'Team_Info'!$E$5,"W","B")</x:f>
        <x:v>B</x:v>
      </x:c>
      <x:c r="N16" t="str">
        <x:f>IF(RAND()&lt;'Team_Info'!$E$5,"W","B")</x:f>
        <x:v>W</x:v>
      </x:c>
      <x:c r="O16" t="str">
        <x:f>IF(RAND()&lt;'Team_Info'!$E$5,"W","B")</x:f>
        <x:v>B</x:v>
      </x:c>
      <x:c r="P16" t="str">
        <x:f>IF(RAND()&lt;'Team_Info'!$E$5,"W","B")</x:f>
        <x:v>B</x:v>
      </x:c>
      <x:c r="Q16" t="str">
        <x:f>IF(RAND()&lt;'Team_Info'!$E$5,"W","B")</x:f>
        <x:v>B</x:v>
      </x:c>
      <x:c r="R16" t="str">
        <x:f>IF(RAND()&lt;'Team_Info'!$E$5,"W","B")</x:f>
        <x:v>W</x:v>
      </x:c>
      <x:c r="S16" t="str">
        <x:f>IF(RAND()&lt;'Team_Info'!$E$5,"W","B")</x:f>
        <x:v>B</x:v>
      </x:c>
      <x:c r="T16" t="str">
        <x:f>IF(RAND()&lt;'Team_Info'!$E$5,"W","B")</x:f>
        <x:v>B</x:v>
      </x:c>
      <x:c r="U16" t="str">
        <x:f>IF(RAND()&lt;'Team_Info'!$E$5,"W","B")</x:f>
        <x:v>B</x:v>
      </x:c>
    </x:row>
    <x:row r="17">
      <x:c r="A17" s="1">
        <x:v>16</x:v>
      </x:c>
      <x:c r="B17" t="str">
        <x:f>IF(RAND()&lt;'Team_Info'!$E$5,"W","B")</x:f>
        <x:v>B</x:v>
      </x:c>
      <x:c r="C17" t="str">
        <x:f>IF(RAND()&lt;'Team_Info'!$E$5,"W","B")</x:f>
        <x:v>B</x:v>
      </x:c>
      <x:c r="D17" t="str">
        <x:f>IF(RAND()&lt;'Team_Info'!$E$5,"W","B")</x:f>
        <x:v>B</x:v>
      </x:c>
      <x:c r="E17" t="str">
        <x:f>IF(RAND()&lt;'Team_Info'!$E$5,"W","B")</x:f>
        <x:v>W</x:v>
      </x:c>
      <x:c r="F17" t="str">
        <x:f>IF(RAND()&lt;'Team_Info'!$E$5,"W","B")</x:f>
        <x:v>B</x:v>
      </x:c>
      <x:c r="G17" t="str">
        <x:f>IF(RAND()&lt;'Team_Info'!$E$5,"W","B")</x:f>
        <x:v>B</x:v>
      </x:c>
      <x:c r="H17" t="str">
        <x:f>IF(RAND()&lt;'Team_Info'!$E$5,"W","B")</x:f>
        <x:v>W</x:v>
      </x:c>
      <x:c r="I17" t="str">
        <x:f>IF(RAND()&lt;'Team_Info'!$E$5,"W","B")</x:f>
        <x:v>B</x:v>
      </x:c>
      <x:c r="J17" t="str">
        <x:f>IF(RAND()&lt;'Team_Info'!$E$5,"W","B")</x:f>
        <x:v>W</x:v>
      </x:c>
      <x:c r="K17" t="str">
        <x:f>IF(RAND()&lt;'Team_Info'!$E$5,"W","B")</x:f>
        <x:v>W</x:v>
      </x:c>
      <x:c r="L17" t="str">
        <x:f>IF(RAND()&lt;'Team_Info'!$E$5,"W","B")</x:f>
        <x:v>B</x:v>
      </x:c>
      <x:c r="M17" t="str">
        <x:f>IF(RAND()&lt;'Team_Info'!$E$5,"W","B")</x:f>
        <x:v>B</x:v>
      </x:c>
      <x:c r="N17" t="str">
        <x:f>IF(RAND()&lt;'Team_Info'!$E$5,"W","B")</x:f>
        <x:v>B</x:v>
      </x:c>
      <x:c r="O17" t="str">
        <x:f>IF(RAND()&lt;'Team_Info'!$E$5,"W","B")</x:f>
        <x:v>W</x:v>
      </x:c>
      <x:c r="P17" t="str">
        <x:f>IF(RAND()&lt;'Team_Info'!$E$5,"W","B")</x:f>
        <x:v>B</x:v>
      </x:c>
      <x:c r="Q17" t="str">
        <x:f>IF(RAND()&lt;'Team_Info'!$E$5,"W","B")</x:f>
        <x:v>B</x:v>
      </x:c>
      <x:c r="R17" t="str">
        <x:f>IF(RAND()&lt;'Team_Info'!$E$5,"W","B")</x:f>
        <x:v>B</x:v>
      </x:c>
      <x:c r="S17" t="str">
        <x:f>IF(RAND()&lt;'Team_Info'!$E$5,"W","B")</x:f>
        <x:v>W</x:v>
      </x:c>
      <x:c r="T17" t="str">
        <x:f>IF(RAND()&lt;'Team_Info'!$E$5,"W","B")</x:f>
        <x:v>W</x:v>
      </x:c>
      <x:c r="U17" t="str">
        <x:f>IF(RAND()&lt;'Team_Info'!$E$5,"W","B")</x:f>
        <x:v>B</x:v>
      </x:c>
    </x:row>
    <x:row r="18">
      <x:c r="A18" s="1">
        <x:v>17</x:v>
      </x:c>
      <x:c r="B18" t="str">
        <x:f>IF(RAND()&lt;'Team_Info'!$E$5,"W","B")</x:f>
        <x:v>B</x:v>
      </x:c>
      <x:c r="C18" t="str">
        <x:f>IF(RAND()&lt;'Team_Info'!$E$5,"W","B")</x:f>
        <x:v>W</x:v>
      </x:c>
      <x:c r="D18" t="str">
        <x:f>IF(RAND()&lt;'Team_Info'!$E$5,"W","B")</x:f>
        <x:v>B</x:v>
      </x:c>
      <x:c r="E18" t="str">
        <x:f>IF(RAND()&lt;'Team_Info'!$E$5,"W","B")</x:f>
        <x:v>B</x:v>
      </x:c>
      <x:c r="F18" t="str">
        <x:f>IF(RAND()&lt;'Team_Info'!$E$5,"W","B")</x:f>
        <x:v>B</x:v>
      </x:c>
      <x:c r="G18" t="str">
        <x:f>IF(RAND()&lt;'Team_Info'!$E$5,"W","B")</x:f>
        <x:v>W</x:v>
      </x:c>
      <x:c r="H18" t="str">
        <x:f>IF(RAND()&lt;'Team_Info'!$E$5,"W","B")</x:f>
        <x:v>W</x:v>
      </x:c>
      <x:c r="I18" t="str">
        <x:f>IF(RAND()&lt;'Team_Info'!$E$5,"W","B")</x:f>
        <x:v>W</x:v>
      </x:c>
      <x:c r="J18" t="str">
        <x:f>IF(RAND()&lt;'Team_Info'!$E$5,"W","B")</x:f>
        <x:v>W</x:v>
      </x:c>
      <x:c r="K18" t="str">
        <x:f>IF(RAND()&lt;'Team_Info'!$E$5,"W","B")</x:f>
        <x:v>B</x:v>
      </x:c>
      <x:c r="L18" t="str">
        <x:f>IF(RAND()&lt;'Team_Info'!$E$5,"W","B")</x:f>
        <x:v>B</x:v>
      </x:c>
      <x:c r="M18" t="str">
        <x:f>IF(RAND()&lt;'Team_Info'!$E$5,"W","B")</x:f>
        <x:v>B</x:v>
      </x:c>
      <x:c r="N18" t="str">
        <x:f>IF(RAND()&lt;'Team_Info'!$E$5,"W","B")</x:f>
        <x:v>B</x:v>
      </x:c>
      <x:c r="O18" t="str">
        <x:f>IF(RAND()&lt;'Team_Info'!$E$5,"W","B")</x:f>
        <x:v>B</x:v>
      </x:c>
      <x:c r="P18" t="str">
        <x:f>IF(RAND()&lt;'Team_Info'!$E$5,"W","B")</x:f>
        <x:v>B</x:v>
      </x:c>
      <x:c r="Q18" t="str">
        <x:f>IF(RAND()&lt;'Team_Info'!$E$5,"W","B")</x:f>
        <x:v>B</x:v>
      </x:c>
      <x:c r="R18" t="str">
        <x:f>IF(RAND()&lt;'Team_Info'!$E$5,"W","B")</x:f>
        <x:v>B</x:v>
      </x:c>
      <x:c r="S18" t="str">
        <x:f>IF(RAND()&lt;'Team_Info'!$E$5,"W","B")</x:f>
        <x:v>W</x:v>
      </x:c>
      <x:c r="T18" t="str">
        <x:f>IF(RAND()&lt;'Team_Info'!$E$5,"W","B")</x:f>
        <x:v>B</x:v>
      </x:c>
      <x:c r="U18" t="str">
        <x:f>IF(RAND()&lt;'Team_Info'!$E$5,"W","B")</x:f>
        <x:v>B</x:v>
      </x:c>
    </x:row>
    <x:row r="19">
      <x:c r="A19" s="1">
        <x:v>18</x:v>
      </x:c>
      <x:c r="B19" t="str">
        <x:f>IF(RAND()&lt;'Team_Info'!$E$5,"W","B")</x:f>
        <x:v>W</x:v>
      </x:c>
      <x:c r="C19" t="str">
        <x:f>IF(RAND()&lt;'Team_Info'!$E$5,"W","B")</x:f>
        <x:v>B</x:v>
      </x:c>
      <x:c r="D19" t="str">
        <x:f>IF(RAND()&lt;'Team_Info'!$E$5,"W","B")</x:f>
        <x:v>B</x:v>
      </x:c>
      <x:c r="E19" t="str">
        <x:f>IF(RAND()&lt;'Team_Info'!$E$5,"W","B")</x:f>
        <x:v>W</x:v>
      </x:c>
      <x:c r="F19" t="str">
        <x:f>IF(RAND()&lt;'Team_Info'!$E$5,"W","B")</x:f>
        <x:v>B</x:v>
      </x:c>
      <x:c r="G19" t="str">
        <x:f>IF(RAND()&lt;'Team_Info'!$E$5,"W","B")</x:f>
        <x:v>B</x:v>
      </x:c>
      <x:c r="H19" t="str">
        <x:f>IF(RAND()&lt;'Team_Info'!$E$5,"W","B")</x:f>
        <x:v>W</x:v>
      </x:c>
      <x:c r="I19" t="str">
        <x:f>IF(RAND()&lt;'Team_Info'!$E$5,"W","B")</x:f>
        <x:v>B</x:v>
      </x:c>
      <x:c r="J19" t="str">
        <x:f>IF(RAND()&lt;'Team_Info'!$E$5,"W","B")</x:f>
        <x:v>W</x:v>
      </x:c>
      <x:c r="K19" t="str">
        <x:f>IF(RAND()&lt;'Team_Info'!$E$5,"W","B")</x:f>
        <x:v>B</x:v>
      </x:c>
      <x:c r="L19" t="str">
        <x:f>IF(RAND()&lt;'Team_Info'!$E$5,"W","B")</x:f>
        <x:v>B</x:v>
      </x:c>
      <x:c r="M19" t="str">
        <x:f>IF(RAND()&lt;'Team_Info'!$E$5,"W","B")</x:f>
        <x:v>W</x:v>
      </x:c>
      <x:c r="N19" t="str">
        <x:f>IF(RAND()&lt;'Team_Info'!$E$5,"W","B")</x:f>
        <x:v>W</x:v>
      </x:c>
      <x:c r="O19" t="str">
        <x:f>IF(RAND()&lt;'Team_Info'!$E$5,"W","B")</x:f>
        <x:v>B</x:v>
      </x:c>
      <x:c r="P19" t="str">
        <x:f>IF(RAND()&lt;'Team_Info'!$E$5,"W","B")</x:f>
        <x:v>B</x:v>
      </x:c>
      <x:c r="Q19" t="str">
        <x:f>IF(RAND()&lt;'Team_Info'!$E$5,"W","B")</x:f>
        <x:v>W</x:v>
      </x:c>
      <x:c r="R19" t="str">
        <x:f>IF(RAND()&lt;'Team_Info'!$E$5,"W","B")</x:f>
        <x:v>B</x:v>
      </x:c>
      <x:c r="S19" t="str">
        <x:f>IF(RAND()&lt;'Team_Info'!$E$5,"W","B")</x:f>
        <x:v>B</x:v>
      </x:c>
      <x:c r="T19" t="str">
        <x:f>IF(RAND()&lt;'Team_Info'!$E$5,"W","B")</x:f>
        <x:v>W</x:v>
      </x:c>
      <x:c r="U19" t="str">
        <x:f>IF(RAND()&lt;'Team_Info'!$E$5,"W","B")</x:f>
        <x:v>B</x:v>
      </x:c>
    </x:row>
    <x:row r="20">
      <x:c r="A20" s="1">
        <x:v>19</x:v>
      </x:c>
      <x:c r="B20" t="str">
        <x:f>IF(RAND()&lt;'Team_Info'!$E$5,"W","B")</x:f>
        <x:v>W</x:v>
      </x:c>
      <x:c r="C20" t="str">
        <x:f>IF(RAND()&lt;'Team_Info'!$E$5,"W","B")</x:f>
        <x:v>B</x:v>
      </x:c>
      <x:c r="D20" t="str">
        <x:f>IF(RAND()&lt;'Team_Info'!$E$5,"W","B")</x:f>
        <x:v>B</x:v>
      </x:c>
      <x:c r="E20" t="str">
        <x:f>IF(RAND()&lt;'Team_Info'!$E$5,"W","B")</x:f>
        <x:v>B</x:v>
      </x:c>
      <x:c r="F20" t="str">
        <x:f>IF(RAND()&lt;'Team_Info'!$E$5,"W","B")</x:f>
        <x:v>B</x:v>
      </x:c>
      <x:c r="G20" t="str">
        <x:f>IF(RAND()&lt;'Team_Info'!$E$5,"W","B")</x:f>
        <x:v>B</x:v>
      </x:c>
      <x:c r="H20" t="str">
        <x:f>IF(RAND()&lt;'Team_Info'!$E$5,"W","B")</x:f>
        <x:v>B</x:v>
      </x:c>
      <x:c r="I20" t="str">
        <x:f>IF(RAND()&lt;'Team_Info'!$E$5,"W","B")</x:f>
        <x:v>B</x:v>
      </x:c>
      <x:c r="J20" t="str">
        <x:f>IF(RAND()&lt;'Team_Info'!$E$5,"W","B")</x:f>
        <x:v>W</x:v>
      </x:c>
      <x:c r="K20" t="str">
        <x:f>IF(RAND()&lt;'Team_Info'!$E$5,"W","B")</x:f>
        <x:v>W</x:v>
      </x:c>
      <x:c r="L20" t="str">
        <x:f>IF(RAND()&lt;'Team_Info'!$E$5,"W","B")</x:f>
        <x:v>W</x:v>
      </x:c>
      <x:c r="M20" t="str">
        <x:f>IF(RAND()&lt;'Team_Info'!$E$5,"W","B")</x:f>
        <x:v>B</x:v>
      </x:c>
      <x:c r="N20" t="str">
        <x:f>IF(RAND()&lt;'Team_Info'!$E$5,"W","B")</x:f>
        <x:v>B</x:v>
      </x:c>
      <x:c r="O20" t="str">
        <x:f>IF(RAND()&lt;'Team_Info'!$E$5,"W","B")</x:f>
        <x:v>W</x:v>
      </x:c>
      <x:c r="P20" t="str">
        <x:f>IF(RAND()&lt;'Team_Info'!$E$5,"W","B")</x:f>
        <x:v>B</x:v>
      </x:c>
      <x:c r="Q20" t="str">
        <x:f>IF(RAND()&lt;'Team_Info'!$E$5,"W","B")</x:f>
        <x:v>W</x:v>
      </x:c>
      <x:c r="R20" t="str">
        <x:f>IF(RAND()&lt;'Team_Info'!$E$5,"W","B")</x:f>
        <x:v>W</x:v>
      </x:c>
      <x:c r="S20" t="str">
        <x:f>IF(RAND()&lt;'Team_Info'!$E$5,"W","B")</x:f>
        <x:v>B</x:v>
      </x:c>
      <x:c r="T20" t="str">
        <x:f>IF(RAND()&lt;'Team_Info'!$E$5,"W","B")</x:f>
        <x:v>B</x:v>
      </x:c>
      <x:c r="U20" t="str">
        <x:f>IF(RAND()&lt;'Team_Info'!$E$5,"W","B")</x:f>
        <x:v>W</x:v>
      </x:c>
    </x:row>
    <x:row r="21">
      <x:c r="A21" s="1">
        <x:v>20</x:v>
      </x:c>
      <x:c r="B21" t="str">
        <x:f>IF(RAND()&lt;'Team_Info'!$E$5,"W","B")</x:f>
        <x:v>B</x:v>
      </x:c>
      <x:c r="C21" t="str">
        <x:f>IF(RAND()&lt;'Team_Info'!$E$5,"W","B")</x:f>
        <x:v>B</x:v>
      </x:c>
      <x:c r="D21" t="str">
        <x:f>IF(RAND()&lt;'Team_Info'!$E$5,"W","B")</x:f>
        <x:v>B</x:v>
      </x:c>
      <x:c r="E21" t="str">
        <x:f>IF(RAND()&lt;'Team_Info'!$E$5,"W","B")</x:f>
        <x:v>B</x:v>
      </x:c>
      <x:c r="F21" t="str">
        <x:f>IF(RAND()&lt;'Team_Info'!$E$5,"W","B")</x:f>
        <x:v>B</x:v>
      </x:c>
      <x:c r="G21" t="str">
        <x:f>IF(RAND()&lt;'Team_Info'!$E$5,"W","B")</x:f>
        <x:v>B</x:v>
      </x:c>
      <x:c r="H21" t="str">
        <x:f>IF(RAND()&lt;'Team_Info'!$E$5,"W","B")</x:f>
        <x:v>W</x:v>
      </x:c>
      <x:c r="I21" t="str">
        <x:f>IF(RAND()&lt;'Team_Info'!$E$5,"W","B")</x:f>
        <x:v>B</x:v>
      </x:c>
      <x:c r="J21" t="str">
        <x:f>IF(RAND()&lt;'Team_Info'!$E$5,"W","B")</x:f>
        <x:v>W</x:v>
      </x:c>
      <x:c r="K21" t="str">
        <x:f>IF(RAND()&lt;'Team_Info'!$E$5,"W","B")</x:f>
        <x:v>W</x:v>
      </x:c>
      <x:c r="L21" t="str">
        <x:f>IF(RAND()&lt;'Team_Info'!$E$5,"W","B")</x:f>
        <x:v>B</x:v>
      </x:c>
      <x:c r="M21" t="str">
        <x:f>IF(RAND()&lt;'Team_Info'!$E$5,"W","B")</x:f>
        <x:v>W</x:v>
      </x:c>
      <x:c r="N21" t="str">
        <x:f>IF(RAND()&lt;'Team_Info'!$E$5,"W","B")</x:f>
        <x:v>W</x:v>
      </x:c>
      <x:c r="O21" t="str">
        <x:f>IF(RAND()&lt;'Team_Info'!$E$5,"W","B")</x:f>
        <x:v>B</x:v>
      </x:c>
      <x:c r="P21" t="str">
        <x:f>IF(RAND()&lt;'Team_Info'!$E$5,"W","B")</x:f>
        <x:v>W</x:v>
      </x:c>
      <x:c r="Q21" t="str">
        <x:f>IF(RAND()&lt;'Team_Info'!$E$5,"W","B")</x:f>
        <x:v>W</x:v>
      </x:c>
      <x:c r="R21" t="str">
        <x:f>IF(RAND()&lt;'Team_Info'!$E$5,"W","B")</x:f>
        <x:v>B</x:v>
      </x:c>
      <x:c r="S21" t="str">
        <x:f>IF(RAND()&lt;'Team_Info'!$E$5,"W","B")</x:f>
        <x:v>W</x:v>
      </x:c>
      <x:c r="T21" t="str">
        <x:f>IF(RAND()&lt;'Team_Info'!$E$5,"W","B")</x:f>
        <x:v>W</x:v>
      </x:c>
      <x:c r="U21" t="str">
        <x:f>IF(RAND()&lt;'Team_Info'!$E$5,"W","B")</x:f>
        <x:v>B</x:v>
      </x:c>
    </x:row>
    <x:row r="22">
      <x:c r="A22" s="1">
        <x:v>21</x:v>
      </x:c>
      <x:c r="B22" t="str">
        <x:f>IF(RAND()&lt;'Team_Info'!$E$5,"W","B")</x:f>
        <x:v>B</x:v>
      </x:c>
      <x:c r="C22" t="str">
        <x:f>IF(RAND()&lt;'Team_Info'!$E$5,"W","B")</x:f>
        <x:v>W</x:v>
      </x:c>
      <x:c r="D22" t="str">
        <x:f>IF(RAND()&lt;'Team_Info'!$E$5,"W","B")</x:f>
        <x:v>B</x:v>
      </x:c>
      <x:c r="E22" t="str">
        <x:f>IF(RAND()&lt;'Team_Info'!$E$5,"W","B")</x:f>
        <x:v>B</x:v>
      </x:c>
      <x:c r="F22" t="str">
        <x:f>IF(RAND()&lt;'Team_Info'!$E$5,"W","B")</x:f>
        <x:v>W</x:v>
      </x:c>
      <x:c r="G22" t="str">
        <x:f>IF(RAND()&lt;'Team_Info'!$E$5,"W","B")</x:f>
        <x:v>B</x:v>
      </x:c>
      <x:c r="H22" t="str">
        <x:f>IF(RAND()&lt;'Team_Info'!$E$5,"W","B")</x:f>
        <x:v>B</x:v>
      </x:c>
      <x:c r="I22" t="str">
        <x:f>IF(RAND()&lt;'Team_Info'!$E$5,"W","B")</x:f>
        <x:v>B</x:v>
      </x:c>
      <x:c r="J22" t="str">
        <x:f>IF(RAND()&lt;'Team_Info'!$E$5,"W","B")</x:f>
        <x:v>W</x:v>
      </x:c>
      <x:c r="K22" t="str">
        <x:f>IF(RAND()&lt;'Team_Info'!$E$5,"W","B")</x:f>
        <x:v>B</x:v>
      </x:c>
      <x:c r="L22" t="str">
        <x:f>IF(RAND()&lt;'Team_Info'!$E$5,"W","B")</x:f>
        <x:v>B</x:v>
      </x:c>
      <x:c r="M22" t="str">
        <x:f>IF(RAND()&lt;'Team_Info'!$E$5,"W","B")</x:f>
        <x:v>W</x:v>
      </x:c>
      <x:c r="N22" t="str">
        <x:f>IF(RAND()&lt;'Team_Info'!$E$5,"W","B")</x:f>
        <x:v>W</x:v>
      </x:c>
      <x:c r="O22" t="str">
        <x:f>IF(RAND()&lt;'Team_Info'!$E$5,"W","B")</x:f>
        <x:v>B</x:v>
      </x:c>
      <x:c r="P22" t="str">
        <x:f>IF(RAND()&lt;'Team_Info'!$E$5,"W","B")</x:f>
        <x:v>W</x:v>
      </x:c>
      <x:c r="Q22" t="str">
        <x:f>IF(RAND()&lt;'Team_Info'!$E$5,"W","B")</x:f>
        <x:v>W</x:v>
      </x:c>
      <x:c r="R22" t="str">
        <x:f>IF(RAND()&lt;'Team_Info'!$E$5,"W","B")</x:f>
        <x:v>B</x:v>
      </x:c>
      <x:c r="S22" t="str">
        <x:f>IF(RAND()&lt;'Team_Info'!$E$5,"W","B")</x:f>
        <x:v>B</x:v>
      </x:c>
      <x:c r="T22" t="str">
        <x:f>IF(RAND()&lt;'Team_Info'!$E$5,"W","B")</x:f>
        <x:v>W</x:v>
      </x:c>
      <x:c r="U22" t="str">
        <x:f>IF(RAND()&lt;'Team_Info'!$E$5,"W","B")</x:f>
        <x:v>W</x:v>
      </x:c>
    </x:row>
    <x:row r="23">
      <x:c r="A23" s="1">
        <x:v>22</x:v>
      </x:c>
      <x:c r="B23" t="str">
        <x:f>IF(RAND()&lt;'Team_Info'!$E$5,"W","B")</x:f>
        <x:v>B</x:v>
      </x:c>
      <x:c r="C23" t="str">
        <x:f>IF(RAND()&lt;'Team_Info'!$E$5,"W","B")</x:f>
        <x:v>B</x:v>
      </x:c>
      <x:c r="D23" t="str">
        <x:f>IF(RAND()&lt;'Team_Info'!$E$5,"W","B")</x:f>
        <x:v>B</x:v>
      </x:c>
      <x:c r="E23" t="str">
        <x:f>IF(RAND()&lt;'Team_Info'!$E$5,"W","B")</x:f>
        <x:v>B</x:v>
      </x:c>
      <x:c r="F23" t="str">
        <x:f>IF(RAND()&lt;'Team_Info'!$E$5,"W","B")</x:f>
        <x:v>W</x:v>
      </x:c>
      <x:c r="G23" t="str">
        <x:f>IF(RAND()&lt;'Team_Info'!$E$5,"W","B")</x:f>
        <x:v>B</x:v>
      </x:c>
      <x:c r="H23" t="str">
        <x:f>IF(RAND()&lt;'Team_Info'!$E$5,"W","B")</x:f>
        <x:v>B</x:v>
      </x:c>
      <x:c r="I23" t="str">
        <x:f>IF(RAND()&lt;'Team_Info'!$E$5,"W","B")</x:f>
        <x:v>B</x:v>
      </x:c>
      <x:c r="J23" t="str">
        <x:f>IF(RAND()&lt;'Team_Info'!$E$5,"W","B")</x:f>
        <x:v>B</x:v>
      </x:c>
      <x:c r="K23" t="str">
        <x:f>IF(RAND()&lt;'Team_Info'!$E$5,"W","B")</x:f>
        <x:v>B</x:v>
      </x:c>
      <x:c r="L23" t="str">
        <x:f>IF(RAND()&lt;'Team_Info'!$E$5,"W","B")</x:f>
        <x:v>B</x:v>
      </x:c>
      <x:c r="M23" t="str">
        <x:f>IF(RAND()&lt;'Team_Info'!$E$5,"W","B")</x:f>
        <x:v>B</x:v>
      </x:c>
      <x:c r="N23" t="str">
        <x:f>IF(RAND()&lt;'Team_Info'!$E$5,"W","B")</x:f>
        <x:v>W</x:v>
      </x:c>
      <x:c r="O23" t="str">
        <x:f>IF(RAND()&lt;'Team_Info'!$E$5,"W","B")</x:f>
        <x:v>W</x:v>
      </x:c>
      <x:c r="P23" t="str">
        <x:f>IF(RAND()&lt;'Team_Info'!$E$5,"W","B")</x:f>
        <x:v>W</x:v>
      </x:c>
      <x:c r="Q23" t="str">
        <x:f>IF(RAND()&lt;'Team_Info'!$E$5,"W","B")</x:f>
        <x:v>B</x:v>
      </x:c>
      <x:c r="R23" t="str">
        <x:f>IF(RAND()&lt;'Team_Info'!$E$5,"W","B")</x:f>
        <x:v>B</x:v>
      </x:c>
      <x:c r="S23" t="str">
        <x:f>IF(RAND()&lt;'Team_Info'!$E$5,"W","B")</x:f>
        <x:v>B</x:v>
      </x:c>
      <x:c r="T23" t="str">
        <x:f>IF(RAND()&lt;'Team_Info'!$E$5,"W","B")</x:f>
        <x:v>W</x:v>
      </x:c>
      <x:c r="U23" t="str">
        <x:f>IF(RAND()&lt;'Team_Info'!$E$5,"W","B")</x:f>
        <x:v>W</x:v>
      </x:c>
    </x:row>
    <x:row r="24">
      <x:c r="A24" s="1">
        <x:v>23</x:v>
      </x:c>
      <x:c r="B24" t="str">
        <x:f>IF(RAND()&lt;'Team_Info'!$E$5,"W","B")</x:f>
        <x:v>B</x:v>
      </x:c>
      <x:c r="C24" t="str">
        <x:f>IF(RAND()&lt;'Team_Info'!$E$5,"W","B")</x:f>
        <x:v>B</x:v>
      </x:c>
      <x:c r="D24" t="str">
        <x:f>IF(RAND()&lt;'Team_Info'!$E$5,"W","B")</x:f>
        <x:v>B</x:v>
      </x:c>
      <x:c r="E24" t="str">
        <x:f>IF(RAND()&lt;'Team_Info'!$E$5,"W","B")</x:f>
        <x:v>W</x:v>
      </x:c>
      <x:c r="F24" t="str">
        <x:f>IF(RAND()&lt;'Team_Info'!$E$5,"W","B")</x:f>
        <x:v>B</x:v>
      </x:c>
      <x:c r="G24" t="str">
        <x:f>IF(RAND()&lt;'Team_Info'!$E$5,"W","B")</x:f>
        <x:v>B</x:v>
      </x:c>
      <x:c r="H24" t="str">
        <x:f>IF(RAND()&lt;'Team_Info'!$E$5,"W","B")</x:f>
        <x:v>W</x:v>
      </x:c>
      <x:c r="I24" t="str">
        <x:f>IF(RAND()&lt;'Team_Info'!$E$5,"W","B")</x:f>
        <x:v>W</x:v>
      </x:c>
      <x:c r="J24" t="str">
        <x:f>IF(RAND()&lt;'Team_Info'!$E$5,"W","B")</x:f>
        <x:v>W</x:v>
      </x:c>
      <x:c r="K24" t="str">
        <x:f>IF(RAND()&lt;'Team_Info'!$E$5,"W","B")</x:f>
        <x:v>W</x:v>
      </x:c>
      <x:c r="L24" t="str">
        <x:f>IF(RAND()&lt;'Team_Info'!$E$5,"W","B")</x:f>
        <x:v>W</x:v>
      </x:c>
      <x:c r="M24" t="str">
        <x:f>IF(RAND()&lt;'Team_Info'!$E$5,"W","B")</x:f>
        <x:v>B</x:v>
      </x:c>
      <x:c r="N24" t="str">
        <x:f>IF(RAND()&lt;'Team_Info'!$E$5,"W","B")</x:f>
        <x:v>B</x:v>
      </x:c>
      <x:c r="O24" t="str">
        <x:f>IF(RAND()&lt;'Team_Info'!$E$5,"W","B")</x:f>
        <x:v>W</x:v>
      </x:c>
      <x:c r="P24" t="str">
        <x:f>IF(RAND()&lt;'Team_Info'!$E$5,"W","B")</x:f>
        <x:v>W</x:v>
      </x:c>
      <x:c r="Q24" t="str">
        <x:f>IF(RAND()&lt;'Team_Info'!$E$5,"W","B")</x:f>
        <x:v>W</x:v>
      </x:c>
      <x:c r="R24" t="str">
        <x:f>IF(RAND()&lt;'Team_Info'!$E$5,"W","B")</x:f>
        <x:v>B</x:v>
      </x:c>
      <x:c r="S24" t="str">
        <x:f>IF(RAND()&lt;'Team_Info'!$E$5,"W","B")</x:f>
        <x:v>W</x:v>
      </x:c>
      <x:c r="T24" t="str">
        <x:f>IF(RAND()&lt;'Team_Info'!$E$5,"W","B")</x:f>
        <x:v>W</x:v>
      </x:c>
      <x:c r="U24" t="str">
        <x:f>IF(RAND()&lt;'Team_Info'!$E$5,"W","B")</x:f>
        <x:v>W</x:v>
      </x:c>
    </x:row>
    <x:row r="25">
      <x:c r="A25" s="1">
        <x:v>24</x:v>
      </x:c>
      <x:c r="B25" t="str">
        <x:f>IF(RAND()&lt;'Team_Info'!$E$5,"W","B")</x:f>
        <x:v>W</x:v>
      </x:c>
      <x:c r="C25" t="str">
        <x:f>IF(RAND()&lt;'Team_Info'!$E$5,"W","B")</x:f>
        <x:v>W</x:v>
      </x:c>
      <x:c r="D25" t="str">
        <x:f>IF(RAND()&lt;'Team_Info'!$E$5,"W","B")</x:f>
        <x:v>B</x:v>
      </x:c>
      <x:c r="E25" t="str">
        <x:f>IF(RAND()&lt;'Team_Info'!$E$5,"W","B")</x:f>
        <x:v>B</x:v>
      </x:c>
      <x:c r="F25" t="str">
        <x:f>IF(RAND()&lt;'Team_Info'!$E$5,"W","B")</x:f>
        <x:v>B</x:v>
      </x:c>
      <x:c r="G25" t="str">
        <x:f>IF(RAND()&lt;'Team_Info'!$E$5,"W","B")</x:f>
        <x:v>W</x:v>
      </x:c>
      <x:c r="H25" t="str">
        <x:f>IF(RAND()&lt;'Team_Info'!$E$5,"W","B")</x:f>
        <x:v>W</x:v>
      </x:c>
      <x:c r="I25" t="str">
        <x:f>IF(RAND()&lt;'Team_Info'!$E$5,"W","B")</x:f>
        <x:v>B</x:v>
      </x:c>
      <x:c r="J25" t="str">
        <x:f>IF(RAND()&lt;'Team_Info'!$E$5,"W","B")</x:f>
        <x:v>B</x:v>
      </x:c>
      <x:c r="K25" t="str">
        <x:f>IF(RAND()&lt;'Team_Info'!$E$5,"W","B")</x:f>
        <x:v>W</x:v>
      </x:c>
      <x:c r="L25" t="str">
        <x:f>IF(RAND()&lt;'Team_Info'!$E$5,"W","B")</x:f>
        <x:v>B</x:v>
      </x:c>
      <x:c r="M25" t="str">
        <x:f>IF(RAND()&lt;'Team_Info'!$E$5,"W","B")</x:f>
        <x:v>W</x:v>
      </x:c>
      <x:c r="N25" t="str">
        <x:f>IF(RAND()&lt;'Team_Info'!$E$5,"W","B")</x:f>
        <x:v>W</x:v>
      </x:c>
      <x:c r="O25" t="str">
        <x:f>IF(RAND()&lt;'Team_Info'!$E$5,"W","B")</x:f>
        <x:v>B</x:v>
      </x:c>
      <x:c r="P25" t="str">
        <x:f>IF(RAND()&lt;'Team_Info'!$E$5,"W","B")</x:f>
        <x:v>B</x:v>
      </x:c>
      <x:c r="Q25" t="str">
        <x:f>IF(RAND()&lt;'Team_Info'!$E$5,"W","B")</x:f>
        <x:v>W</x:v>
      </x:c>
      <x:c r="R25" t="str">
        <x:f>IF(RAND()&lt;'Team_Info'!$E$5,"W","B")</x:f>
        <x:v>W</x:v>
      </x:c>
      <x:c r="S25" t="str">
        <x:f>IF(RAND()&lt;'Team_Info'!$E$5,"W","B")</x:f>
        <x:v>W</x:v>
      </x:c>
      <x:c r="T25" t="str">
        <x:f>IF(RAND()&lt;'Team_Info'!$E$5,"W","B")</x:f>
        <x:v>W</x:v>
      </x:c>
      <x:c r="U25" t="str">
        <x:f>IF(RAND()&lt;'Team_Info'!$E$5,"W","B")</x:f>
        <x:v>B</x:v>
      </x:c>
    </x:row>
    <x:row r="26">
      <x:c r="A26" s="1">
        <x:v>25</x:v>
      </x:c>
      <x:c r="B26" t="str">
        <x:f>IF(RAND()&lt;'Team_Info'!$E$5,"W","B")</x:f>
        <x:v>B</x:v>
      </x:c>
      <x:c r="C26" t="str">
        <x:f>IF(RAND()&lt;'Team_Info'!$E$5,"W","B")</x:f>
        <x:v>W</x:v>
      </x:c>
      <x:c r="D26" t="str">
        <x:f>IF(RAND()&lt;'Team_Info'!$E$5,"W","B")</x:f>
        <x:v>B</x:v>
      </x:c>
      <x:c r="E26" t="str">
        <x:f>IF(RAND()&lt;'Team_Info'!$E$5,"W","B")</x:f>
        <x:v>B</x:v>
      </x:c>
      <x:c r="F26" t="str">
        <x:f>IF(RAND()&lt;'Team_Info'!$E$5,"W","B")</x:f>
        <x:v>B</x:v>
      </x:c>
      <x:c r="G26" t="str">
        <x:f>IF(RAND()&lt;'Team_Info'!$E$5,"W","B")</x:f>
        <x:v>B</x:v>
      </x:c>
      <x:c r="H26" t="str">
        <x:f>IF(RAND()&lt;'Team_Info'!$E$5,"W","B")</x:f>
        <x:v>B</x:v>
      </x:c>
      <x:c r="I26" t="str">
        <x:f>IF(RAND()&lt;'Team_Info'!$E$5,"W","B")</x:f>
        <x:v>B</x:v>
      </x:c>
      <x:c r="J26" t="str">
        <x:f>IF(RAND()&lt;'Team_Info'!$E$5,"W","B")</x:f>
        <x:v>B</x:v>
      </x:c>
      <x:c r="K26" t="str">
        <x:f>IF(RAND()&lt;'Team_Info'!$E$5,"W","B")</x:f>
        <x:v>B</x:v>
      </x:c>
      <x:c r="L26" t="str">
        <x:f>IF(RAND()&lt;'Team_Info'!$E$5,"W","B")</x:f>
        <x:v>W</x:v>
      </x:c>
      <x:c r="M26" t="str">
        <x:f>IF(RAND()&lt;'Team_Info'!$E$5,"W","B")</x:f>
        <x:v>B</x:v>
      </x:c>
      <x:c r="N26" t="str">
        <x:f>IF(RAND()&lt;'Team_Info'!$E$5,"W","B")</x:f>
        <x:v>W</x:v>
      </x:c>
      <x:c r="O26" t="str">
        <x:f>IF(RAND()&lt;'Team_Info'!$E$5,"W","B")</x:f>
        <x:v>W</x:v>
      </x:c>
      <x:c r="P26" t="str">
        <x:f>IF(RAND()&lt;'Team_Info'!$E$5,"W","B")</x:f>
        <x:v>B</x:v>
      </x:c>
      <x:c r="Q26" t="str">
        <x:f>IF(RAND()&lt;'Team_Info'!$E$5,"W","B")</x:f>
        <x:v>W</x:v>
      </x:c>
      <x:c r="R26" t="str">
        <x:f>IF(RAND()&lt;'Team_Info'!$E$5,"W","B")</x:f>
        <x:v>W</x:v>
      </x:c>
      <x:c r="S26" t="str">
        <x:f>IF(RAND()&lt;'Team_Info'!$E$5,"W","B")</x:f>
        <x:v>W</x:v>
      </x:c>
      <x:c r="T26" t="str">
        <x:f>IF(RAND()&lt;'Team_Info'!$E$5,"W","B")</x:f>
        <x:v>B</x:v>
      </x:c>
      <x:c r="U26" t="str">
        <x:f>IF(RAND()&lt;'Team_Info'!$E$5,"W","B")</x:f>
        <x:v>B</x:v>
      </x:c>
    </x:row>
    <x:row r="27">
      <x:c r="A27" s="1">
        <x:v>26</x:v>
      </x:c>
      <x:c r="B27" t="str">
        <x:f>IF(RAND()&lt;'Team_Info'!$E$5,"W","B")</x:f>
        <x:v>B</x:v>
      </x:c>
      <x:c r="C27" t="str">
        <x:f>IF(RAND()&lt;'Team_Info'!$E$5,"W","B")</x:f>
        <x:v>B</x:v>
      </x:c>
      <x:c r="D27" t="str">
        <x:f>IF(RAND()&lt;'Team_Info'!$E$5,"W","B")</x:f>
        <x:v>B</x:v>
      </x:c>
      <x:c r="E27" t="str">
        <x:f>IF(RAND()&lt;'Team_Info'!$E$5,"W","B")</x:f>
        <x:v>W</x:v>
      </x:c>
      <x:c r="F27" t="str">
        <x:f>IF(RAND()&lt;'Team_Info'!$E$5,"W","B")</x:f>
        <x:v>B</x:v>
      </x:c>
      <x:c r="G27" t="str">
        <x:f>IF(RAND()&lt;'Team_Info'!$E$5,"W","B")</x:f>
        <x:v>W</x:v>
      </x:c>
      <x:c r="H27" t="str">
        <x:f>IF(RAND()&lt;'Team_Info'!$E$5,"W","B")</x:f>
        <x:v>B</x:v>
      </x:c>
      <x:c r="I27" t="str">
        <x:f>IF(RAND()&lt;'Team_Info'!$E$5,"W","B")</x:f>
        <x:v>B</x:v>
      </x:c>
      <x:c r="J27" t="str">
        <x:f>IF(RAND()&lt;'Team_Info'!$E$5,"W","B")</x:f>
        <x:v>B</x:v>
      </x:c>
      <x:c r="K27" t="str">
        <x:f>IF(RAND()&lt;'Team_Info'!$E$5,"W","B")</x:f>
        <x:v>W</x:v>
      </x:c>
      <x:c r="L27" t="str">
        <x:f>IF(RAND()&lt;'Team_Info'!$E$5,"W","B")</x:f>
        <x:v>B</x:v>
      </x:c>
      <x:c r="M27" t="str">
        <x:f>IF(RAND()&lt;'Team_Info'!$E$5,"W","B")</x:f>
        <x:v>B</x:v>
      </x:c>
      <x:c r="N27" t="str">
        <x:f>IF(RAND()&lt;'Team_Info'!$E$5,"W","B")</x:f>
        <x:v>B</x:v>
      </x:c>
      <x:c r="O27" t="str">
        <x:f>IF(RAND()&lt;'Team_Info'!$E$5,"W","B")</x:f>
        <x:v>B</x:v>
      </x:c>
      <x:c r="P27" t="str">
        <x:f>IF(RAND()&lt;'Team_Info'!$E$5,"W","B")</x:f>
        <x:v>B</x:v>
      </x:c>
      <x:c r="Q27" t="str">
        <x:f>IF(RAND()&lt;'Team_Info'!$E$5,"W","B")</x:f>
        <x:v>B</x:v>
      </x:c>
      <x:c r="R27" t="str">
        <x:f>IF(RAND()&lt;'Team_Info'!$E$5,"W","B")</x:f>
        <x:v>B</x:v>
      </x:c>
      <x:c r="S27" t="str">
        <x:f>IF(RAND()&lt;'Team_Info'!$E$5,"W","B")</x:f>
        <x:v>B</x:v>
      </x:c>
      <x:c r="T27" t="str">
        <x:f>IF(RAND()&lt;'Team_Info'!$E$5,"W","B")</x:f>
        <x:v>W</x:v>
      </x:c>
      <x:c r="U27" t="str">
        <x:f>IF(RAND()&lt;'Team_Info'!$E$5,"W","B")</x:f>
        <x:v>W</x:v>
      </x:c>
    </x:row>
    <x:row r="28">
      <x:c r="A28" s="1">
        <x:v>27</x:v>
      </x:c>
      <x:c r="B28" t="str">
        <x:f>IF(RAND()&lt;'Team_Info'!$E$5,"W","B")</x:f>
        <x:v>W</x:v>
      </x:c>
      <x:c r="C28" t="str">
        <x:f>IF(RAND()&lt;'Team_Info'!$E$5,"W","B")</x:f>
        <x:v>B</x:v>
      </x:c>
      <x:c r="D28" t="str">
        <x:f>IF(RAND()&lt;'Team_Info'!$E$5,"W","B")</x:f>
        <x:v>W</x:v>
      </x:c>
      <x:c r="E28" t="str">
        <x:f>IF(RAND()&lt;'Team_Info'!$E$5,"W","B")</x:f>
        <x:v>W</x:v>
      </x:c>
      <x:c r="F28" t="str">
        <x:f>IF(RAND()&lt;'Team_Info'!$E$5,"W","B")</x:f>
        <x:v>W</x:v>
      </x:c>
      <x:c r="G28" t="str">
        <x:f>IF(RAND()&lt;'Team_Info'!$E$5,"W","B")</x:f>
        <x:v>B</x:v>
      </x:c>
      <x:c r="H28" t="str">
        <x:f>IF(RAND()&lt;'Team_Info'!$E$5,"W","B")</x:f>
        <x:v>B</x:v>
      </x:c>
      <x:c r="I28" t="str">
        <x:f>IF(RAND()&lt;'Team_Info'!$E$5,"W","B")</x:f>
        <x:v>B</x:v>
      </x:c>
      <x:c r="J28" t="str">
        <x:f>IF(RAND()&lt;'Team_Info'!$E$5,"W","B")</x:f>
        <x:v>B</x:v>
      </x:c>
      <x:c r="K28" t="str">
        <x:f>IF(RAND()&lt;'Team_Info'!$E$5,"W","B")</x:f>
        <x:v>B</x:v>
      </x:c>
      <x:c r="L28" t="str">
        <x:f>IF(RAND()&lt;'Team_Info'!$E$5,"W","B")</x:f>
        <x:v>B</x:v>
      </x:c>
      <x:c r="M28" t="str">
        <x:f>IF(RAND()&lt;'Team_Info'!$E$5,"W","B")</x:f>
        <x:v>B</x:v>
      </x:c>
      <x:c r="N28" t="str">
        <x:f>IF(RAND()&lt;'Team_Info'!$E$5,"W","B")</x:f>
        <x:v>B</x:v>
      </x:c>
      <x:c r="O28" t="str">
        <x:f>IF(RAND()&lt;'Team_Info'!$E$5,"W","B")</x:f>
        <x:v>W</x:v>
      </x:c>
      <x:c r="P28" t="str">
        <x:f>IF(RAND()&lt;'Team_Info'!$E$5,"W","B")</x:f>
        <x:v>B</x:v>
      </x:c>
      <x:c r="Q28" t="str">
        <x:f>IF(RAND()&lt;'Team_Info'!$E$5,"W","B")</x:f>
        <x:v>B</x:v>
      </x:c>
      <x:c r="R28" t="str">
        <x:f>IF(RAND()&lt;'Team_Info'!$E$5,"W","B")</x:f>
        <x:v>W</x:v>
      </x:c>
      <x:c r="S28" t="str">
        <x:f>IF(RAND()&lt;'Team_Info'!$E$5,"W","B")</x:f>
        <x:v>B</x:v>
      </x:c>
      <x:c r="T28" t="str">
        <x:f>IF(RAND()&lt;'Team_Info'!$E$5,"W","B")</x:f>
        <x:v>W</x:v>
      </x:c>
      <x:c r="U28" t="str">
        <x:f>IF(RAND()&lt;'Team_Info'!$E$5,"W","B")</x:f>
        <x:v>W</x:v>
      </x:c>
    </x:row>
    <x:row r="29">
      <x:c r="A29" s="1">
        <x:v>28</x:v>
      </x:c>
      <x:c r="B29" t="str">
        <x:f>IF(RAND()&lt;'Team_Info'!$E$5,"W","B")</x:f>
        <x:v>W</x:v>
      </x:c>
      <x:c r="C29" t="str">
        <x:f>IF(RAND()&lt;'Team_Info'!$E$5,"W","B")</x:f>
        <x:v>B</x:v>
      </x:c>
      <x:c r="D29" t="str">
        <x:f>IF(RAND()&lt;'Team_Info'!$E$5,"W","B")</x:f>
        <x:v>B</x:v>
      </x:c>
      <x:c r="E29" t="str">
        <x:f>IF(RAND()&lt;'Team_Info'!$E$5,"W","B")</x:f>
        <x:v>W</x:v>
      </x:c>
      <x:c r="F29" t="str">
        <x:f>IF(RAND()&lt;'Team_Info'!$E$5,"W","B")</x:f>
        <x:v>B</x:v>
      </x:c>
      <x:c r="G29" t="str">
        <x:f>IF(RAND()&lt;'Team_Info'!$E$5,"W","B")</x:f>
        <x:v>B</x:v>
      </x:c>
      <x:c r="H29" t="str">
        <x:f>IF(RAND()&lt;'Team_Info'!$E$5,"W","B")</x:f>
        <x:v>B</x:v>
      </x:c>
      <x:c r="I29" t="str">
        <x:f>IF(RAND()&lt;'Team_Info'!$E$5,"W","B")</x:f>
        <x:v>B</x:v>
      </x:c>
      <x:c r="J29" t="str">
        <x:f>IF(RAND()&lt;'Team_Info'!$E$5,"W","B")</x:f>
        <x:v>B</x:v>
      </x:c>
      <x:c r="K29" t="str">
        <x:f>IF(RAND()&lt;'Team_Info'!$E$5,"W","B")</x:f>
        <x:v>W</x:v>
      </x:c>
      <x:c r="L29" t="str">
        <x:f>IF(RAND()&lt;'Team_Info'!$E$5,"W","B")</x:f>
        <x:v>W</x:v>
      </x:c>
      <x:c r="M29" t="str">
        <x:f>IF(RAND()&lt;'Team_Info'!$E$5,"W","B")</x:f>
        <x:v>B</x:v>
      </x:c>
      <x:c r="N29" t="str">
        <x:f>IF(RAND()&lt;'Team_Info'!$E$5,"W","B")</x:f>
        <x:v>B</x:v>
      </x:c>
      <x:c r="O29" t="str">
        <x:f>IF(RAND()&lt;'Team_Info'!$E$5,"W","B")</x:f>
        <x:v>B</x:v>
      </x:c>
      <x:c r="P29" t="str">
        <x:f>IF(RAND()&lt;'Team_Info'!$E$5,"W","B")</x:f>
        <x:v>B</x:v>
      </x:c>
      <x:c r="Q29" t="str">
        <x:f>IF(RAND()&lt;'Team_Info'!$E$5,"W","B")</x:f>
        <x:v>B</x:v>
      </x:c>
      <x:c r="R29" t="str">
        <x:f>IF(RAND()&lt;'Team_Info'!$E$5,"W","B")</x:f>
        <x:v>B</x:v>
      </x:c>
      <x:c r="S29" t="str">
        <x:f>IF(RAND()&lt;'Team_Info'!$E$5,"W","B")</x:f>
        <x:v>B</x:v>
      </x:c>
      <x:c r="T29" t="str">
        <x:f>IF(RAND()&lt;'Team_Info'!$E$5,"W","B")</x:f>
        <x:v>W</x:v>
      </x:c>
      <x:c r="U29" t="str">
        <x:f>IF(RAND()&lt;'Team_Info'!$E$5,"W","B")</x:f>
        <x:v>B</x:v>
      </x:c>
    </x:row>
    <x:row r="30">
      <x:c r="A30" s="1">
        <x:v>29</x:v>
      </x:c>
      <x:c r="B30" t="str">
        <x:f>IF(RAND()&lt;'Team_Info'!$E$5,"W","B")</x:f>
        <x:v>W</x:v>
      </x:c>
      <x:c r="C30" t="str">
        <x:f>IF(RAND()&lt;'Team_Info'!$E$5,"W","B")</x:f>
        <x:v>B</x:v>
      </x:c>
      <x:c r="D30" t="str">
        <x:f>IF(RAND()&lt;'Team_Info'!$E$5,"W","B")</x:f>
        <x:v>B</x:v>
      </x:c>
      <x:c r="E30" t="str">
        <x:f>IF(RAND()&lt;'Team_Info'!$E$5,"W","B")</x:f>
        <x:v>B</x:v>
      </x:c>
      <x:c r="F30" t="str">
        <x:f>IF(RAND()&lt;'Team_Info'!$E$5,"W","B")</x:f>
        <x:v>B</x:v>
      </x:c>
      <x:c r="G30" t="str">
        <x:f>IF(RAND()&lt;'Team_Info'!$E$5,"W","B")</x:f>
        <x:v>B</x:v>
      </x:c>
      <x:c r="H30" t="str">
        <x:f>IF(RAND()&lt;'Team_Info'!$E$5,"W","B")</x:f>
        <x:v>W</x:v>
      </x:c>
      <x:c r="I30" t="str">
        <x:f>IF(RAND()&lt;'Team_Info'!$E$5,"W","B")</x:f>
        <x:v>B</x:v>
      </x:c>
      <x:c r="J30" t="str">
        <x:f>IF(RAND()&lt;'Team_Info'!$E$5,"W","B")</x:f>
        <x:v>B</x:v>
      </x:c>
      <x:c r="K30" t="str">
        <x:f>IF(RAND()&lt;'Team_Info'!$E$5,"W","B")</x:f>
        <x:v>W</x:v>
      </x:c>
      <x:c r="L30" t="str">
        <x:f>IF(RAND()&lt;'Team_Info'!$E$5,"W","B")</x:f>
        <x:v>B</x:v>
      </x:c>
      <x:c r="M30" t="str">
        <x:f>IF(RAND()&lt;'Team_Info'!$E$5,"W","B")</x:f>
        <x:v>W</x:v>
      </x:c>
      <x:c r="N30" t="str">
        <x:f>IF(RAND()&lt;'Team_Info'!$E$5,"W","B")</x:f>
        <x:v>W</x:v>
      </x:c>
      <x:c r="O30" t="str">
        <x:f>IF(RAND()&lt;'Team_Info'!$E$5,"W","B")</x:f>
        <x:v>B</x:v>
      </x:c>
      <x:c r="P30" t="str">
        <x:f>IF(RAND()&lt;'Team_Info'!$E$5,"W","B")</x:f>
        <x:v>B</x:v>
      </x:c>
      <x:c r="Q30" t="str">
        <x:f>IF(RAND()&lt;'Team_Info'!$E$5,"W","B")</x:f>
        <x:v>B</x:v>
      </x:c>
      <x:c r="R30" t="str">
        <x:f>IF(RAND()&lt;'Team_Info'!$E$5,"W","B")</x:f>
        <x:v>B</x:v>
      </x:c>
      <x:c r="S30" t="str">
        <x:f>IF(RAND()&lt;'Team_Info'!$E$5,"W","B")</x:f>
        <x:v>B</x:v>
      </x:c>
      <x:c r="T30" t="str">
        <x:f>IF(RAND()&lt;'Team_Info'!$E$5,"W","B")</x:f>
        <x:v>B</x:v>
      </x:c>
      <x:c r="U30" t="str">
        <x:f>IF(RAND()&lt;'Team_Info'!$E$5,"W","B")</x:f>
        <x:v>W</x:v>
      </x:c>
    </x:row>
    <x:row r="31">
      <x:c r="A31" s="1">
        <x:v>30</x:v>
      </x:c>
      <x:c r="B31" t="str">
        <x:f>IF(RAND()&lt;'Team_Info'!$E$5,"W","B")</x:f>
        <x:v>W</x:v>
      </x:c>
      <x:c r="C31" t="str">
        <x:f>IF(RAND()&lt;'Team_Info'!$E$5,"W","B")</x:f>
        <x:v>B</x:v>
      </x:c>
      <x:c r="D31" t="str">
        <x:f>IF(RAND()&lt;'Team_Info'!$E$5,"W","B")</x:f>
        <x:v>B</x:v>
      </x:c>
      <x:c r="E31" t="str">
        <x:f>IF(RAND()&lt;'Team_Info'!$E$5,"W","B")</x:f>
        <x:v>B</x:v>
      </x:c>
      <x:c r="F31" t="str">
        <x:f>IF(RAND()&lt;'Team_Info'!$E$5,"W","B")</x:f>
        <x:v>W</x:v>
      </x:c>
      <x:c r="G31" t="str">
        <x:f>IF(RAND()&lt;'Team_Info'!$E$5,"W","B")</x:f>
        <x:v>B</x:v>
      </x:c>
      <x:c r="H31" t="str">
        <x:f>IF(RAND()&lt;'Team_Info'!$E$5,"W","B")</x:f>
        <x:v>B</x:v>
      </x:c>
      <x:c r="I31" t="str">
        <x:f>IF(RAND()&lt;'Team_Info'!$E$5,"W","B")</x:f>
        <x:v>B</x:v>
      </x:c>
      <x:c r="J31" t="str">
        <x:f>IF(RAND()&lt;'Team_Info'!$E$5,"W","B")</x:f>
        <x:v>B</x:v>
      </x:c>
      <x:c r="K31" t="str">
        <x:f>IF(RAND()&lt;'Team_Info'!$E$5,"W","B")</x:f>
        <x:v>W</x:v>
      </x:c>
      <x:c r="L31" t="str">
        <x:f>IF(RAND()&lt;'Team_Info'!$E$5,"W","B")</x:f>
        <x:v>W</x:v>
      </x:c>
      <x:c r="M31" t="str">
        <x:f>IF(RAND()&lt;'Team_Info'!$E$5,"W","B")</x:f>
        <x:v>B</x:v>
      </x:c>
      <x:c r="N31" t="str">
        <x:f>IF(RAND()&lt;'Team_Info'!$E$5,"W","B")</x:f>
        <x:v>W</x:v>
      </x:c>
      <x:c r="O31" t="str">
        <x:f>IF(RAND()&lt;'Team_Info'!$E$5,"W","B")</x:f>
        <x:v>B</x:v>
      </x:c>
      <x:c r="P31" t="str">
        <x:f>IF(RAND()&lt;'Team_Info'!$E$5,"W","B")</x:f>
        <x:v>W</x:v>
      </x:c>
      <x:c r="Q31" t="str">
        <x:f>IF(RAND()&lt;'Team_Info'!$E$5,"W","B")</x:f>
        <x:v>B</x:v>
      </x:c>
      <x:c r="R31" t="str">
        <x:f>IF(RAND()&lt;'Team_Info'!$E$5,"W","B")</x:f>
        <x:v>W</x:v>
      </x:c>
      <x:c r="S31" t="str">
        <x:f>IF(RAND()&lt;'Team_Info'!$E$5,"W","B")</x:f>
        <x:v>W</x:v>
      </x:c>
      <x:c r="T31" t="str">
        <x:f>IF(RAND()&lt;'Team_Info'!$E$5,"W","B")</x:f>
        <x:v>B</x:v>
      </x:c>
      <x:c r="U31" t="str">
        <x:f>IF(RAND()&lt;'Team_Info'!$E$5,"W","B")</x:f>
        <x:v>W</x:v>
      </x:c>
    </x:row>
    <x:row r="32">
      <x:c r="A32" s="1">
        <x:v>31</x:v>
      </x:c>
      <x:c r="B32" t="str">
        <x:f>IF(RAND()&lt;'Team_Info'!$E$5,"W","B")</x:f>
        <x:v>B</x:v>
      </x:c>
      <x:c r="C32" t="str">
        <x:f>IF(RAND()&lt;'Team_Info'!$E$5,"W","B")</x:f>
        <x:v>B</x:v>
      </x:c>
      <x:c r="D32" t="str">
        <x:f>IF(RAND()&lt;'Team_Info'!$E$5,"W","B")</x:f>
        <x:v>B</x:v>
      </x:c>
      <x:c r="E32" t="str">
        <x:f>IF(RAND()&lt;'Team_Info'!$E$5,"W","B")</x:f>
        <x:v>B</x:v>
      </x:c>
      <x:c r="F32" t="str">
        <x:f>IF(RAND()&lt;'Team_Info'!$E$5,"W","B")</x:f>
        <x:v>W</x:v>
      </x:c>
      <x:c r="G32" t="str">
        <x:f>IF(RAND()&lt;'Team_Info'!$E$5,"W","B")</x:f>
        <x:v>B</x:v>
      </x:c>
      <x:c r="H32" t="str">
        <x:f>IF(RAND()&lt;'Team_Info'!$E$5,"W","B")</x:f>
        <x:v>B</x:v>
      </x:c>
      <x:c r="I32" t="str">
        <x:f>IF(RAND()&lt;'Team_Info'!$E$5,"W","B")</x:f>
        <x:v>W</x:v>
      </x:c>
      <x:c r="J32" t="str">
        <x:f>IF(RAND()&lt;'Team_Info'!$E$5,"W","B")</x:f>
        <x:v>B</x:v>
      </x:c>
      <x:c r="K32" t="str">
        <x:f>IF(RAND()&lt;'Team_Info'!$E$5,"W","B")</x:f>
        <x:v>B</x:v>
      </x:c>
      <x:c r="L32" t="str">
        <x:f>IF(RAND()&lt;'Team_Info'!$E$5,"W","B")</x:f>
        <x:v>W</x:v>
      </x:c>
      <x:c r="M32" t="str">
        <x:f>IF(RAND()&lt;'Team_Info'!$E$5,"W","B")</x:f>
        <x:v>B</x:v>
      </x:c>
      <x:c r="N32" t="str">
        <x:f>IF(RAND()&lt;'Team_Info'!$E$5,"W","B")</x:f>
        <x:v>W</x:v>
      </x:c>
      <x:c r="O32" t="str">
        <x:f>IF(RAND()&lt;'Team_Info'!$E$5,"W","B")</x:f>
        <x:v>B</x:v>
      </x:c>
      <x:c r="P32" t="str">
        <x:f>IF(RAND()&lt;'Team_Info'!$E$5,"W","B")</x:f>
        <x:v>B</x:v>
      </x:c>
      <x:c r="Q32" t="str">
        <x:f>IF(RAND()&lt;'Team_Info'!$E$5,"W","B")</x:f>
        <x:v>W</x:v>
      </x:c>
      <x:c r="R32" t="str">
        <x:f>IF(RAND()&lt;'Team_Info'!$E$5,"W","B")</x:f>
        <x:v>B</x:v>
      </x:c>
      <x:c r="S32" t="str">
        <x:f>IF(RAND()&lt;'Team_Info'!$E$5,"W","B")</x:f>
        <x:v>B</x:v>
      </x:c>
      <x:c r="T32" t="str">
        <x:f>IF(RAND()&lt;'Team_Info'!$E$5,"W","B")</x:f>
        <x:v>W</x:v>
      </x:c>
      <x:c r="U32" t="str">
        <x:f>IF(RAND()&lt;'Team_Info'!$E$5,"W","B")</x:f>
        <x:v>B</x:v>
      </x:c>
    </x:row>
    <x:row r="33">
      <x:c r="A33" s="1">
        <x:v>32</x:v>
      </x:c>
      <x:c r="B33" t="str">
        <x:f>IF(RAND()&lt;'Team_Info'!$E$5,"W","B")</x:f>
        <x:v>W</x:v>
      </x:c>
      <x:c r="C33" t="str">
        <x:f>IF(RAND()&lt;'Team_Info'!$E$5,"W","B")</x:f>
        <x:v>W</x:v>
      </x:c>
      <x:c r="D33" t="str">
        <x:f>IF(RAND()&lt;'Team_Info'!$E$5,"W","B")</x:f>
        <x:v>B</x:v>
      </x:c>
      <x:c r="E33" t="str">
        <x:f>IF(RAND()&lt;'Team_Info'!$E$5,"W","B")</x:f>
        <x:v>B</x:v>
      </x:c>
      <x:c r="F33" t="str">
        <x:f>IF(RAND()&lt;'Team_Info'!$E$5,"W","B")</x:f>
        <x:v>B</x:v>
      </x:c>
      <x:c r="G33" t="str">
        <x:f>IF(RAND()&lt;'Team_Info'!$E$5,"W","B")</x:f>
        <x:v>W</x:v>
      </x:c>
      <x:c r="H33" t="str">
        <x:f>IF(RAND()&lt;'Team_Info'!$E$5,"W","B")</x:f>
        <x:v>B</x:v>
      </x:c>
      <x:c r="I33" t="str">
        <x:f>IF(RAND()&lt;'Team_Info'!$E$5,"W","B")</x:f>
        <x:v>B</x:v>
      </x:c>
      <x:c r="J33" t="str">
        <x:f>IF(RAND()&lt;'Team_Info'!$E$5,"W","B")</x:f>
        <x:v>B</x:v>
      </x:c>
      <x:c r="K33" t="str">
        <x:f>IF(RAND()&lt;'Team_Info'!$E$5,"W","B")</x:f>
        <x:v>W</x:v>
      </x:c>
      <x:c r="L33" t="str">
        <x:f>IF(RAND()&lt;'Team_Info'!$E$5,"W","B")</x:f>
        <x:v>B</x:v>
      </x:c>
      <x:c r="M33" t="str">
        <x:f>IF(RAND()&lt;'Team_Info'!$E$5,"W","B")</x:f>
        <x:v>B</x:v>
      </x:c>
      <x:c r="N33" t="str">
        <x:f>IF(RAND()&lt;'Team_Info'!$E$5,"W","B")</x:f>
        <x:v>B</x:v>
      </x:c>
      <x:c r="O33" t="str">
        <x:f>IF(RAND()&lt;'Team_Info'!$E$5,"W","B")</x:f>
        <x:v>B</x:v>
      </x:c>
      <x:c r="P33" t="str">
        <x:f>IF(RAND()&lt;'Team_Info'!$E$5,"W","B")</x:f>
        <x:v>W</x:v>
      </x:c>
      <x:c r="Q33" t="str">
        <x:f>IF(RAND()&lt;'Team_Info'!$E$5,"W","B")</x:f>
        <x:v>B</x:v>
      </x:c>
      <x:c r="R33" t="str">
        <x:f>IF(RAND()&lt;'Team_Info'!$E$5,"W","B")</x:f>
        <x:v>W</x:v>
      </x:c>
      <x:c r="S33" t="str">
        <x:f>IF(RAND()&lt;'Team_Info'!$E$5,"W","B")</x:f>
        <x:v>W</x:v>
      </x:c>
      <x:c r="T33" t="str">
        <x:f>IF(RAND()&lt;'Team_Info'!$E$5,"W","B")</x:f>
        <x:v>W</x:v>
      </x:c>
      <x:c r="U33" t="str">
        <x:f>IF(RAND()&lt;'Team_Info'!$E$5,"W","B")</x:f>
        <x:v>B</x:v>
      </x:c>
    </x:row>
    <x:row r="34">
      <x:c r="A34" s="1">
        <x:v>33</x:v>
      </x:c>
      <x:c r="B34" t="str">
        <x:f>IF(RAND()&lt;'Team_Info'!$E$5,"W","B")</x:f>
        <x:v>W</x:v>
      </x:c>
      <x:c r="C34" t="str">
        <x:f>IF(RAND()&lt;'Team_Info'!$E$5,"W","B")</x:f>
        <x:v>B</x:v>
      </x:c>
      <x:c r="D34" t="str">
        <x:f>IF(RAND()&lt;'Team_Info'!$E$5,"W","B")</x:f>
        <x:v>B</x:v>
      </x:c>
      <x:c r="E34" t="str">
        <x:f>IF(RAND()&lt;'Team_Info'!$E$5,"W","B")</x:f>
        <x:v>W</x:v>
      </x:c>
      <x:c r="F34" t="str">
        <x:f>IF(RAND()&lt;'Team_Info'!$E$5,"W","B")</x:f>
        <x:v>B</x:v>
      </x:c>
      <x:c r="G34" t="str">
        <x:f>IF(RAND()&lt;'Team_Info'!$E$5,"W","B")</x:f>
        <x:v>B</x:v>
      </x:c>
      <x:c r="H34" t="str">
        <x:f>IF(RAND()&lt;'Team_Info'!$E$5,"W","B")</x:f>
        <x:v>B</x:v>
      </x:c>
      <x:c r="I34" t="str">
        <x:f>IF(RAND()&lt;'Team_Info'!$E$5,"W","B")</x:f>
        <x:v>B</x:v>
      </x:c>
      <x:c r="J34" t="str">
        <x:f>IF(RAND()&lt;'Team_Info'!$E$5,"W","B")</x:f>
        <x:v>B</x:v>
      </x:c>
      <x:c r="K34" t="str">
        <x:f>IF(RAND()&lt;'Team_Info'!$E$5,"W","B")</x:f>
        <x:v>W</x:v>
      </x:c>
      <x:c r="L34" t="str">
        <x:f>IF(RAND()&lt;'Team_Info'!$E$5,"W","B")</x:f>
        <x:v>W</x:v>
      </x:c>
      <x:c r="M34" t="str">
        <x:f>IF(RAND()&lt;'Team_Info'!$E$5,"W","B")</x:f>
        <x:v>W</x:v>
      </x:c>
      <x:c r="N34" t="str">
        <x:f>IF(RAND()&lt;'Team_Info'!$E$5,"W","B")</x:f>
        <x:v>W</x:v>
      </x:c>
      <x:c r="O34" t="str">
        <x:f>IF(RAND()&lt;'Team_Info'!$E$5,"W","B")</x:f>
        <x:v>W</x:v>
      </x:c>
      <x:c r="P34" t="str">
        <x:f>IF(RAND()&lt;'Team_Info'!$E$5,"W","B")</x:f>
        <x:v>B</x:v>
      </x:c>
      <x:c r="Q34" t="str">
        <x:f>IF(RAND()&lt;'Team_Info'!$E$5,"W","B")</x:f>
        <x:v>W</x:v>
      </x:c>
      <x:c r="R34" t="str">
        <x:f>IF(RAND()&lt;'Team_Info'!$E$5,"W","B")</x:f>
        <x:v>B</x:v>
      </x:c>
      <x:c r="S34" t="str">
        <x:f>IF(RAND()&lt;'Team_Info'!$E$5,"W","B")</x:f>
        <x:v>W</x:v>
      </x:c>
      <x:c r="T34" t="str">
        <x:f>IF(RAND()&lt;'Team_Info'!$E$5,"W","B")</x:f>
        <x:v>B</x:v>
      </x:c>
      <x:c r="U34" t="str">
        <x:f>IF(RAND()&lt;'Team_Info'!$E$5,"W","B")</x:f>
        <x:v>B</x:v>
      </x:c>
    </x:row>
    <x:row r="35">
      <x:c r="A35" s="1">
        <x:v>34</x:v>
      </x:c>
      <x:c r="B35" t="str">
        <x:f>IF(RAND()&lt;'Team_Info'!$E$5,"W","B")</x:f>
        <x:v>W</x:v>
      </x:c>
      <x:c r="C35" t="str">
        <x:f>IF(RAND()&lt;'Team_Info'!$E$5,"W","B")</x:f>
        <x:v>W</x:v>
      </x:c>
      <x:c r="D35" t="str">
        <x:f>IF(RAND()&lt;'Team_Info'!$E$5,"W","B")</x:f>
        <x:v>B</x:v>
      </x:c>
      <x:c r="E35" t="str">
        <x:f>IF(RAND()&lt;'Team_Info'!$E$5,"W","B")</x:f>
        <x:v>B</x:v>
      </x:c>
      <x:c r="F35" t="str">
        <x:f>IF(RAND()&lt;'Team_Info'!$E$5,"W","B")</x:f>
        <x:v>B</x:v>
      </x:c>
      <x:c r="G35" t="str">
        <x:f>IF(RAND()&lt;'Team_Info'!$E$5,"W","B")</x:f>
        <x:v>B</x:v>
      </x:c>
      <x:c r="H35" t="str">
        <x:f>IF(RAND()&lt;'Team_Info'!$E$5,"W","B")</x:f>
        <x:v>B</x:v>
      </x:c>
      <x:c r="I35" t="str">
        <x:f>IF(RAND()&lt;'Team_Info'!$E$5,"W","B")</x:f>
        <x:v>W</x:v>
      </x:c>
      <x:c r="J35" t="str">
        <x:f>IF(RAND()&lt;'Team_Info'!$E$5,"W","B")</x:f>
        <x:v>B</x:v>
      </x:c>
      <x:c r="K35" t="str">
        <x:f>IF(RAND()&lt;'Team_Info'!$E$5,"W","B")</x:f>
        <x:v>B</x:v>
      </x:c>
      <x:c r="L35" t="str">
        <x:f>IF(RAND()&lt;'Team_Info'!$E$5,"W","B")</x:f>
        <x:v>B</x:v>
      </x:c>
      <x:c r="M35" t="str">
        <x:f>IF(RAND()&lt;'Team_Info'!$E$5,"W","B")</x:f>
        <x:v>B</x:v>
      </x:c>
      <x:c r="N35" t="str">
        <x:f>IF(RAND()&lt;'Team_Info'!$E$5,"W","B")</x:f>
        <x:v>B</x:v>
      </x:c>
      <x:c r="O35" t="str">
        <x:f>IF(RAND()&lt;'Team_Info'!$E$5,"W","B")</x:f>
        <x:v>W</x:v>
      </x:c>
      <x:c r="P35" t="str">
        <x:f>IF(RAND()&lt;'Team_Info'!$E$5,"W","B")</x:f>
        <x:v>B</x:v>
      </x:c>
      <x:c r="Q35" t="str">
        <x:f>IF(RAND()&lt;'Team_Info'!$E$5,"W","B")</x:f>
        <x:v>B</x:v>
      </x:c>
      <x:c r="R35" t="str">
        <x:f>IF(RAND()&lt;'Team_Info'!$E$5,"W","B")</x:f>
        <x:v>B</x:v>
      </x:c>
      <x:c r="S35" t="str">
        <x:f>IF(RAND()&lt;'Team_Info'!$E$5,"W","B")</x:f>
        <x:v>B</x:v>
      </x:c>
      <x:c r="T35" t="str">
        <x:f>IF(RAND()&lt;'Team_Info'!$E$5,"W","B")</x:f>
        <x:v>B</x:v>
      </x:c>
      <x:c r="U35" t="str">
        <x:f>IF(RAND()&lt;'Team_Info'!$E$5,"W","B")</x:f>
        <x:v>W</x:v>
      </x:c>
    </x:row>
    <x:row r="36">
      <x:c r="A36" s="1">
        <x:v>35</x:v>
      </x:c>
      <x:c r="B36" t="str">
        <x:f>IF(RAND()&lt;'Team_Info'!$E$5,"W","B")</x:f>
        <x:v>B</x:v>
      </x:c>
      <x:c r="C36" t="str">
        <x:f>IF(RAND()&lt;'Team_Info'!$E$5,"W","B")</x:f>
        <x:v>B</x:v>
      </x:c>
      <x:c r="D36" t="str">
        <x:f>IF(RAND()&lt;'Team_Info'!$E$5,"W","B")</x:f>
        <x:v>B</x:v>
      </x:c>
      <x:c r="E36" t="str">
        <x:f>IF(RAND()&lt;'Team_Info'!$E$5,"W","B")</x:f>
        <x:v>W</x:v>
      </x:c>
      <x:c r="F36" t="str">
        <x:f>IF(RAND()&lt;'Team_Info'!$E$5,"W","B")</x:f>
        <x:v>W</x:v>
      </x:c>
      <x:c r="G36" t="str">
        <x:f>IF(RAND()&lt;'Team_Info'!$E$5,"W","B")</x:f>
        <x:v>B</x:v>
      </x:c>
      <x:c r="H36" t="str">
        <x:f>IF(RAND()&lt;'Team_Info'!$E$5,"W","B")</x:f>
        <x:v>B</x:v>
      </x:c>
      <x:c r="I36" t="str">
        <x:f>IF(RAND()&lt;'Team_Info'!$E$5,"W","B")</x:f>
        <x:v>W</x:v>
      </x:c>
      <x:c r="J36" t="str">
        <x:f>IF(RAND()&lt;'Team_Info'!$E$5,"W","B")</x:f>
        <x:v>W</x:v>
      </x:c>
      <x:c r="K36" t="str">
        <x:f>IF(RAND()&lt;'Team_Info'!$E$5,"W","B")</x:f>
        <x:v>B</x:v>
      </x:c>
      <x:c r="L36" t="str">
        <x:f>IF(RAND()&lt;'Team_Info'!$E$5,"W","B")</x:f>
        <x:v>B</x:v>
      </x:c>
      <x:c r="M36" t="str">
        <x:f>IF(RAND()&lt;'Team_Info'!$E$5,"W","B")</x:f>
        <x:v>B</x:v>
      </x:c>
      <x:c r="N36" t="str">
        <x:f>IF(RAND()&lt;'Team_Info'!$E$5,"W","B")</x:f>
        <x:v>B</x:v>
      </x:c>
      <x:c r="O36" t="str">
        <x:f>IF(RAND()&lt;'Team_Info'!$E$5,"W","B")</x:f>
        <x:v>B</x:v>
      </x:c>
      <x:c r="P36" t="str">
        <x:f>IF(RAND()&lt;'Team_Info'!$E$5,"W","B")</x:f>
        <x:v>W</x:v>
      </x:c>
      <x:c r="Q36" t="str">
        <x:f>IF(RAND()&lt;'Team_Info'!$E$5,"W","B")</x:f>
        <x:v>W</x:v>
      </x:c>
      <x:c r="R36" t="str">
        <x:f>IF(RAND()&lt;'Team_Info'!$E$5,"W","B")</x:f>
        <x:v>B</x:v>
      </x:c>
      <x:c r="S36" t="str">
        <x:f>IF(RAND()&lt;'Team_Info'!$E$5,"W","B")</x:f>
        <x:v>W</x:v>
      </x:c>
      <x:c r="T36" t="str">
        <x:f>IF(RAND()&lt;'Team_Info'!$E$5,"W","B")</x:f>
        <x:v>B</x:v>
      </x:c>
      <x:c r="U36" t="str">
        <x:f>IF(RAND()&lt;'Team_Info'!$E$5,"W","B")</x:f>
        <x:v>W</x:v>
      </x:c>
    </x:row>
    <x:row r="37">
      <x:c r="A37" s="1">
        <x:v>36</x:v>
      </x:c>
      <x:c r="B37" t="str">
        <x:f>IF(RAND()&lt;'Team_Info'!$E$5,"W","B")</x:f>
        <x:v>W</x:v>
      </x:c>
      <x:c r="C37" t="str">
        <x:f>IF(RAND()&lt;'Team_Info'!$E$5,"W","B")</x:f>
        <x:v>W</x:v>
      </x:c>
      <x:c r="D37" t="str">
        <x:f>IF(RAND()&lt;'Team_Info'!$E$5,"W","B")</x:f>
        <x:v>B</x:v>
      </x:c>
      <x:c r="E37" t="str">
        <x:f>IF(RAND()&lt;'Team_Info'!$E$5,"W","B")</x:f>
        <x:v>W</x:v>
      </x:c>
      <x:c r="F37" t="str">
        <x:f>IF(RAND()&lt;'Team_Info'!$E$5,"W","B")</x:f>
        <x:v>W</x:v>
      </x:c>
      <x:c r="G37" t="str">
        <x:f>IF(RAND()&lt;'Team_Info'!$E$5,"W","B")</x:f>
        <x:v>B</x:v>
      </x:c>
      <x:c r="H37" t="str">
        <x:f>IF(RAND()&lt;'Team_Info'!$E$5,"W","B")</x:f>
        <x:v>B</x:v>
      </x:c>
      <x:c r="I37" t="str">
        <x:f>IF(RAND()&lt;'Team_Info'!$E$5,"W","B")</x:f>
        <x:v>W</x:v>
      </x:c>
      <x:c r="J37" t="str">
        <x:f>IF(RAND()&lt;'Team_Info'!$E$5,"W","B")</x:f>
        <x:v>B</x:v>
      </x:c>
      <x:c r="K37" t="str">
        <x:f>IF(RAND()&lt;'Team_Info'!$E$5,"W","B")</x:f>
        <x:v>B</x:v>
      </x:c>
      <x:c r="L37" t="str">
        <x:f>IF(RAND()&lt;'Team_Info'!$E$5,"W","B")</x:f>
        <x:v>W</x:v>
      </x:c>
      <x:c r="M37" t="str">
        <x:f>IF(RAND()&lt;'Team_Info'!$E$5,"W","B")</x:f>
        <x:v>B</x:v>
      </x:c>
      <x:c r="N37" t="str">
        <x:f>IF(RAND()&lt;'Team_Info'!$E$5,"W","B")</x:f>
        <x:v>B</x:v>
      </x:c>
      <x:c r="O37" t="str">
        <x:f>IF(RAND()&lt;'Team_Info'!$E$5,"W","B")</x:f>
        <x:v>W</x:v>
      </x:c>
      <x:c r="P37" t="str">
        <x:f>IF(RAND()&lt;'Team_Info'!$E$5,"W","B")</x:f>
        <x:v>W</x:v>
      </x:c>
      <x:c r="Q37" t="str">
        <x:f>IF(RAND()&lt;'Team_Info'!$E$5,"W","B")</x:f>
        <x:v>B</x:v>
      </x:c>
      <x:c r="R37" t="str">
        <x:f>IF(RAND()&lt;'Team_Info'!$E$5,"W","B")</x:f>
        <x:v>B</x:v>
      </x:c>
      <x:c r="S37" t="str">
        <x:f>IF(RAND()&lt;'Team_Info'!$E$5,"W","B")</x:f>
        <x:v>B</x:v>
      </x:c>
      <x:c r="T37" t="str">
        <x:f>IF(RAND()&lt;'Team_Info'!$E$5,"W","B")</x:f>
        <x:v>B</x:v>
      </x:c>
      <x:c r="U37" t="str">
        <x:f>IF(RAND()&lt;'Team_Info'!$E$5,"W","B")</x:f>
        <x:v>B</x:v>
      </x:c>
    </x:row>
    <x:row r="38">
      <x:c r="A38" s="1">
        <x:v>37</x:v>
      </x:c>
      <x:c r="B38" t="str">
        <x:f>IF(RAND()&lt;'Team_Info'!$E$5,"W","B")</x:f>
        <x:v>W</x:v>
      </x:c>
      <x:c r="C38" t="str">
        <x:f>IF(RAND()&lt;'Team_Info'!$E$5,"W","B")</x:f>
        <x:v>W</x:v>
      </x:c>
      <x:c r="D38" t="str">
        <x:f>IF(RAND()&lt;'Team_Info'!$E$5,"W","B")</x:f>
        <x:v>B</x:v>
      </x:c>
      <x:c r="E38" t="str">
        <x:f>IF(RAND()&lt;'Team_Info'!$E$5,"W","B")</x:f>
        <x:v>W</x:v>
      </x:c>
      <x:c r="F38" t="str">
        <x:f>IF(RAND()&lt;'Team_Info'!$E$5,"W","B")</x:f>
        <x:v>B</x:v>
      </x:c>
      <x:c r="G38" t="str">
        <x:f>IF(RAND()&lt;'Team_Info'!$E$5,"W","B")</x:f>
        <x:v>B</x:v>
      </x:c>
      <x:c r="H38" t="str">
        <x:f>IF(RAND()&lt;'Team_Info'!$E$5,"W","B")</x:f>
        <x:v>B</x:v>
      </x:c>
      <x:c r="I38" t="str">
        <x:f>IF(RAND()&lt;'Team_Info'!$E$5,"W","B")</x:f>
        <x:v>W</x:v>
      </x:c>
      <x:c r="J38" t="str">
        <x:f>IF(RAND()&lt;'Team_Info'!$E$5,"W","B")</x:f>
        <x:v>B</x:v>
      </x:c>
      <x:c r="K38" t="str">
        <x:f>IF(RAND()&lt;'Team_Info'!$E$5,"W","B")</x:f>
        <x:v>B</x:v>
      </x:c>
      <x:c r="L38" t="str">
        <x:f>IF(RAND()&lt;'Team_Info'!$E$5,"W","B")</x:f>
        <x:v>B</x:v>
      </x:c>
      <x:c r="M38" t="str">
        <x:f>IF(RAND()&lt;'Team_Info'!$E$5,"W","B")</x:f>
        <x:v>W</x:v>
      </x:c>
      <x:c r="N38" t="str">
        <x:f>IF(RAND()&lt;'Team_Info'!$E$5,"W","B")</x:f>
        <x:v>W</x:v>
      </x:c>
      <x:c r="O38" t="str">
        <x:f>IF(RAND()&lt;'Team_Info'!$E$5,"W","B")</x:f>
        <x:v>B</x:v>
      </x:c>
      <x:c r="P38" t="str">
        <x:f>IF(RAND()&lt;'Team_Info'!$E$5,"W","B")</x:f>
        <x:v>B</x:v>
      </x:c>
      <x:c r="Q38" t="str">
        <x:f>IF(RAND()&lt;'Team_Info'!$E$5,"W","B")</x:f>
        <x:v>B</x:v>
      </x:c>
      <x:c r="R38" t="str">
        <x:f>IF(RAND()&lt;'Team_Info'!$E$5,"W","B")</x:f>
        <x:v>B</x:v>
      </x:c>
      <x:c r="S38" t="str">
        <x:f>IF(RAND()&lt;'Team_Info'!$E$5,"W","B")</x:f>
        <x:v>B</x:v>
      </x:c>
      <x:c r="T38" t="str">
        <x:f>IF(RAND()&lt;'Team_Info'!$E$5,"W","B")</x:f>
        <x:v>W</x:v>
      </x:c>
      <x:c r="U38" t="str">
        <x:f>IF(RAND()&lt;'Team_Info'!$E$5,"W","B")</x:f>
        <x:v>B</x:v>
      </x:c>
    </x:row>
    <x:row r="39">
      <x:c r="A39" s="1">
        <x:v>38</x:v>
      </x:c>
      <x:c r="B39" t="str">
        <x:f>IF(RAND()&lt;'Team_Info'!$E$5,"W","B")</x:f>
        <x:v>W</x:v>
      </x:c>
      <x:c r="C39" t="str">
        <x:f>IF(RAND()&lt;'Team_Info'!$E$5,"W","B")</x:f>
        <x:v>B</x:v>
      </x:c>
      <x:c r="D39" t="str">
        <x:f>IF(RAND()&lt;'Team_Info'!$E$5,"W","B")</x:f>
        <x:v>W</x:v>
      </x:c>
      <x:c r="E39" t="str">
        <x:f>IF(RAND()&lt;'Team_Info'!$E$5,"W","B")</x:f>
        <x:v>B</x:v>
      </x:c>
      <x:c r="F39" t="str">
        <x:f>IF(RAND()&lt;'Team_Info'!$E$5,"W","B")</x:f>
        <x:v>W</x:v>
      </x:c>
      <x:c r="G39" t="str">
        <x:f>IF(RAND()&lt;'Team_Info'!$E$5,"W","B")</x:f>
        <x:v>B</x:v>
      </x:c>
      <x:c r="H39" t="str">
        <x:f>IF(RAND()&lt;'Team_Info'!$E$5,"W","B")</x:f>
        <x:v>W</x:v>
      </x:c>
      <x:c r="I39" t="str">
        <x:f>IF(RAND()&lt;'Team_Info'!$E$5,"W","B")</x:f>
        <x:v>B</x:v>
      </x:c>
      <x:c r="J39" t="str">
        <x:f>IF(RAND()&lt;'Team_Info'!$E$5,"W","B")</x:f>
        <x:v>B</x:v>
      </x:c>
      <x:c r="K39" t="str">
        <x:f>IF(RAND()&lt;'Team_Info'!$E$5,"W","B")</x:f>
        <x:v>W</x:v>
      </x:c>
      <x:c r="L39" t="str">
        <x:f>IF(RAND()&lt;'Team_Info'!$E$5,"W","B")</x:f>
        <x:v>B</x:v>
      </x:c>
      <x:c r="M39" t="str">
        <x:f>IF(RAND()&lt;'Team_Info'!$E$5,"W","B")</x:f>
        <x:v>B</x:v>
      </x:c>
      <x:c r="N39" t="str">
        <x:f>IF(RAND()&lt;'Team_Info'!$E$5,"W","B")</x:f>
        <x:v>W</x:v>
      </x:c>
      <x:c r="O39" t="str">
        <x:f>IF(RAND()&lt;'Team_Info'!$E$5,"W","B")</x:f>
        <x:v>W</x:v>
      </x:c>
      <x:c r="P39" t="str">
        <x:f>IF(RAND()&lt;'Team_Info'!$E$5,"W","B")</x:f>
        <x:v>B</x:v>
      </x:c>
      <x:c r="Q39" t="str">
        <x:f>IF(RAND()&lt;'Team_Info'!$E$5,"W","B")</x:f>
        <x:v>W</x:v>
      </x:c>
      <x:c r="R39" t="str">
        <x:f>IF(RAND()&lt;'Team_Info'!$E$5,"W","B")</x:f>
        <x:v>W</x:v>
      </x:c>
      <x:c r="S39" t="str">
        <x:f>IF(RAND()&lt;'Team_Info'!$E$5,"W","B")</x:f>
        <x:v>B</x:v>
      </x:c>
      <x:c r="T39" t="str">
        <x:f>IF(RAND()&lt;'Team_Info'!$E$5,"W","B")</x:f>
        <x:v>W</x:v>
      </x:c>
      <x:c r="U39" t="str">
        <x:f>IF(RAND()&lt;'Team_Info'!$E$5,"W","B")</x:f>
        <x:v>B</x:v>
      </x:c>
    </x:row>
    <x:row r="40">
      <x:c r="A40" s="1">
        <x:v>39</x:v>
      </x:c>
      <x:c r="B40" t="str">
        <x:f>IF(RAND()&lt;'Team_Info'!$E$5,"W","B")</x:f>
        <x:v>B</x:v>
      </x:c>
      <x:c r="C40" t="str">
        <x:f>IF(RAND()&lt;'Team_Info'!$E$5,"W","B")</x:f>
        <x:v>W</x:v>
      </x:c>
      <x:c r="D40" t="str">
        <x:f>IF(RAND()&lt;'Team_Info'!$E$5,"W","B")</x:f>
        <x:v>B</x:v>
      </x:c>
      <x:c r="E40" t="str">
        <x:f>IF(RAND()&lt;'Team_Info'!$E$5,"W","B")</x:f>
        <x:v>B</x:v>
      </x:c>
      <x:c r="F40" t="str">
        <x:f>IF(RAND()&lt;'Team_Info'!$E$5,"W","B")</x:f>
        <x:v>W</x:v>
      </x:c>
      <x:c r="G40" t="str">
        <x:f>IF(RAND()&lt;'Team_Info'!$E$5,"W","B")</x:f>
        <x:v>W</x:v>
      </x:c>
      <x:c r="H40" t="str">
        <x:f>IF(RAND()&lt;'Team_Info'!$E$5,"W","B")</x:f>
        <x:v>W</x:v>
      </x:c>
      <x:c r="I40" t="str">
        <x:f>IF(RAND()&lt;'Team_Info'!$E$5,"W","B")</x:f>
        <x:v>B</x:v>
      </x:c>
      <x:c r="J40" t="str">
        <x:f>IF(RAND()&lt;'Team_Info'!$E$5,"W","B")</x:f>
        <x:v>B</x:v>
      </x:c>
      <x:c r="K40" t="str">
        <x:f>IF(RAND()&lt;'Team_Info'!$E$5,"W","B")</x:f>
        <x:v>W</x:v>
      </x:c>
      <x:c r="L40" t="str">
        <x:f>IF(RAND()&lt;'Team_Info'!$E$5,"W","B")</x:f>
        <x:v>B</x:v>
      </x:c>
      <x:c r="M40" t="str">
        <x:f>IF(RAND()&lt;'Team_Info'!$E$5,"W","B")</x:f>
        <x:v>B</x:v>
      </x:c>
      <x:c r="N40" t="str">
        <x:f>IF(RAND()&lt;'Team_Info'!$E$5,"W","B")</x:f>
        <x:v>B</x:v>
      </x:c>
      <x:c r="O40" t="str">
        <x:f>IF(RAND()&lt;'Team_Info'!$E$5,"W","B")</x:f>
        <x:v>W</x:v>
      </x:c>
      <x:c r="P40" t="str">
        <x:f>IF(RAND()&lt;'Team_Info'!$E$5,"W","B")</x:f>
        <x:v>B</x:v>
      </x:c>
      <x:c r="Q40" t="str">
        <x:f>IF(RAND()&lt;'Team_Info'!$E$5,"W","B")</x:f>
        <x:v>W</x:v>
      </x:c>
      <x:c r="R40" t="str">
        <x:f>IF(RAND()&lt;'Team_Info'!$E$5,"W","B")</x:f>
        <x:v>W</x:v>
      </x:c>
      <x:c r="S40" t="str">
        <x:f>IF(RAND()&lt;'Team_Info'!$E$5,"W","B")</x:f>
        <x:v>B</x:v>
      </x:c>
      <x:c r="T40" t="str">
        <x:f>IF(RAND()&lt;'Team_Info'!$E$5,"W","B")</x:f>
        <x:v>B</x:v>
      </x:c>
      <x:c r="U40" t="str">
        <x:f>IF(RAND()&lt;'Team_Info'!$E$5,"W","B")</x:f>
        <x:v>W</x:v>
      </x:c>
    </x:row>
    <x:row r="41">
      <x:c r="A41" s="1">
        <x:v>40</x:v>
      </x:c>
      <x:c r="B41" t="str">
        <x:f>IF(RAND()&lt;'Team_Info'!$E$5,"W","B")</x:f>
        <x:v>B</x:v>
      </x:c>
      <x:c r="C41" t="str">
        <x:f>IF(RAND()&lt;'Team_Info'!$E$5,"W","B")</x:f>
        <x:v>B</x:v>
      </x:c>
      <x:c r="D41" t="str">
        <x:f>IF(RAND()&lt;'Team_Info'!$E$5,"W","B")</x:f>
        <x:v>W</x:v>
      </x:c>
      <x:c r="E41" t="str">
        <x:f>IF(RAND()&lt;'Team_Info'!$E$5,"W","B")</x:f>
        <x:v>B</x:v>
      </x:c>
      <x:c r="F41" t="str">
        <x:f>IF(RAND()&lt;'Team_Info'!$E$5,"W","B")</x:f>
        <x:v>B</x:v>
      </x:c>
      <x:c r="G41" t="str">
        <x:f>IF(RAND()&lt;'Team_Info'!$E$5,"W","B")</x:f>
        <x:v>W</x:v>
      </x:c>
      <x:c r="H41" t="str">
        <x:f>IF(RAND()&lt;'Team_Info'!$E$5,"W","B")</x:f>
        <x:v>B</x:v>
      </x:c>
      <x:c r="I41" t="str">
        <x:f>IF(RAND()&lt;'Team_Info'!$E$5,"W","B")</x:f>
        <x:v>B</x:v>
      </x:c>
      <x:c r="J41" t="str">
        <x:f>IF(RAND()&lt;'Team_Info'!$E$5,"W","B")</x:f>
        <x:v>B</x:v>
      </x:c>
      <x:c r="K41" t="str">
        <x:f>IF(RAND()&lt;'Team_Info'!$E$5,"W","B")</x:f>
        <x:v>B</x:v>
      </x:c>
      <x:c r="L41" t="str">
        <x:f>IF(RAND()&lt;'Team_Info'!$E$5,"W","B")</x:f>
        <x:v>W</x:v>
      </x:c>
      <x:c r="M41" t="str">
        <x:f>IF(RAND()&lt;'Team_Info'!$E$5,"W","B")</x:f>
        <x:v>W</x:v>
      </x:c>
      <x:c r="N41" t="str">
        <x:f>IF(RAND()&lt;'Team_Info'!$E$5,"W","B")</x:f>
        <x:v>B</x:v>
      </x:c>
      <x:c r="O41" t="str">
        <x:f>IF(RAND()&lt;'Team_Info'!$E$5,"W","B")</x:f>
        <x:v>B</x:v>
      </x:c>
      <x:c r="P41" t="str">
        <x:f>IF(RAND()&lt;'Team_Info'!$E$5,"W","B")</x:f>
        <x:v>B</x:v>
      </x:c>
      <x:c r="Q41" t="str">
        <x:f>IF(RAND()&lt;'Team_Info'!$E$5,"W","B")</x:f>
        <x:v>B</x:v>
      </x:c>
      <x:c r="R41" t="str">
        <x:f>IF(RAND()&lt;'Team_Info'!$E$5,"W","B")</x:f>
        <x:v>W</x:v>
      </x:c>
      <x:c r="S41" t="str">
        <x:f>IF(RAND()&lt;'Team_Info'!$E$5,"W","B")</x:f>
        <x:v>B</x:v>
      </x:c>
      <x:c r="T41" t="str">
        <x:f>IF(RAND()&lt;'Team_Info'!$E$5,"W","B")</x:f>
        <x:v>B</x:v>
      </x:c>
      <x:c r="U41" t="str">
        <x:f>IF(RAND()&lt;'Team_Info'!$E$5,"W","B")</x:f>
        <x:v>W</x:v>
      </x:c>
    </x:row>
    <x:row r="42">
      <x:c r="A42" s="1">
        <x:v>41</x:v>
      </x:c>
      <x:c r="B42" t="str">
        <x:f>IF(RAND()&lt;'Team_Info'!$E$5,"W","B")</x:f>
        <x:v>W</x:v>
      </x:c>
      <x:c r="C42" t="str">
        <x:f>IF(RAND()&lt;'Team_Info'!$E$5,"W","B")</x:f>
        <x:v>W</x:v>
      </x:c>
      <x:c r="D42" t="str">
        <x:f>IF(RAND()&lt;'Team_Info'!$E$5,"W","B")</x:f>
        <x:v>B</x:v>
      </x:c>
      <x:c r="E42" t="str">
        <x:f>IF(RAND()&lt;'Team_Info'!$E$5,"W","B")</x:f>
        <x:v>W</x:v>
      </x:c>
      <x:c r="F42" t="str">
        <x:f>IF(RAND()&lt;'Team_Info'!$E$5,"W","B")</x:f>
        <x:v>B</x:v>
      </x:c>
      <x:c r="G42" t="str">
        <x:f>IF(RAND()&lt;'Team_Info'!$E$5,"W","B")</x:f>
        <x:v>W</x:v>
      </x:c>
      <x:c r="H42" t="str">
        <x:f>IF(RAND()&lt;'Team_Info'!$E$5,"W","B")</x:f>
        <x:v>W</x:v>
      </x:c>
      <x:c r="I42" t="str">
        <x:f>IF(RAND()&lt;'Team_Info'!$E$5,"W","B")</x:f>
        <x:v>W</x:v>
      </x:c>
      <x:c r="J42" t="str">
        <x:f>IF(RAND()&lt;'Team_Info'!$E$5,"W","B")</x:f>
        <x:v>W</x:v>
      </x:c>
      <x:c r="K42" t="str">
        <x:f>IF(RAND()&lt;'Team_Info'!$E$5,"W","B")</x:f>
        <x:v>B</x:v>
      </x:c>
      <x:c r="L42" t="str">
        <x:f>IF(RAND()&lt;'Team_Info'!$E$5,"W","B")</x:f>
        <x:v>B</x:v>
      </x:c>
      <x:c r="M42" t="str">
        <x:f>IF(RAND()&lt;'Team_Info'!$E$5,"W","B")</x:f>
        <x:v>B</x:v>
      </x:c>
      <x:c r="N42" t="str">
        <x:f>IF(RAND()&lt;'Team_Info'!$E$5,"W","B")</x:f>
        <x:v>B</x:v>
      </x:c>
      <x:c r="O42" t="str">
        <x:f>IF(RAND()&lt;'Team_Info'!$E$5,"W","B")</x:f>
        <x:v>W</x:v>
      </x:c>
      <x:c r="P42" t="str">
        <x:f>IF(RAND()&lt;'Team_Info'!$E$5,"W","B")</x:f>
        <x:v>W</x:v>
      </x:c>
      <x:c r="Q42" t="str">
        <x:f>IF(RAND()&lt;'Team_Info'!$E$5,"W","B")</x:f>
        <x:v>W</x:v>
      </x:c>
      <x:c r="R42" t="str">
        <x:f>IF(RAND()&lt;'Team_Info'!$E$5,"W","B")</x:f>
        <x:v>B</x:v>
      </x:c>
      <x:c r="S42" t="str">
        <x:f>IF(RAND()&lt;'Team_Info'!$E$5,"W","B")</x:f>
        <x:v>B</x:v>
      </x:c>
      <x:c r="T42" t="str">
        <x:f>IF(RAND()&lt;'Team_Info'!$E$5,"W","B")</x:f>
        <x:v>B</x:v>
      </x:c>
      <x:c r="U42" t="str">
        <x:f>IF(RAND()&lt;'Team_Info'!$E$5,"W","B")</x:f>
        <x:v>B</x:v>
      </x:c>
    </x:row>
    <x:row r="43">
      <x:c r="A43" s="1">
        <x:v>42</x:v>
      </x:c>
      <x:c r="B43" t="str">
        <x:f>IF(RAND()&lt;'Team_Info'!$E$5,"W","B")</x:f>
        <x:v>B</x:v>
      </x:c>
      <x:c r="C43" t="str">
        <x:f>IF(RAND()&lt;'Team_Info'!$E$5,"W","B")</x:f>
        <x:v>W</x:v>
      </x:c>
      <x:c r="D43" t="str">
        <x:f>IF(RAND()&lt;'Team_Info'!$E$5,"W","B")</x:f>
        <x:v>B</x:v>
      </x:c>
      <x:c r="E43" t="str">
        <x:f>IF(RAND()&lt;'Team_Info'!$E$5,"W","B")</x:f>
        <x:v>W</x:v>
      </x:c>
      <x:c r="F43" t="str">
        <x:f>IF(RAND()&lt;'Team_Info'!$E$5,"W","B")</x:f>
        <x:v>B</x:v>
      </x:c>
      <x:c r="G43" t="str">
        <x:f>IF(RAND()&lt;'Team_Info'!$E$5,"W","B")</x:f>
        <x:v>W</x:v>
      </x:c>
      <x:c r="H43" t="str">
        <x:f>IF(RAND()&lt;'Team_Info'!$E$5,"W","B")</x:f>
        <x:v>B</x:v>
      </x:c>
      <x:c r="I43" t="str">
        <x:f>IF(RAND()&lt;'Team_Info'!$E$5,"W","B")</x:f>
        <x:v>W</x:v>
      </x:c>
      <x:c r="J43" t="str">
        <x:f>IF(RAND()&lt;'Team_Info'!$E$5,"W","B")</x:f>
        <x:v>B</x:v>
      </x:c>
      <x:c r="K43" t="str">
        <x:f>IF(RAND()&lt;'Team_Info'!$E$5,"W","B")</x:f>
        <x:v>B</x:v>
      </x:c>
      <x:c r="L43" t="str">
        <x:f>IF(RAND()&lt;'Team_Info'!$E$5,"W","B")</x:f>
        <x:v>W</x:v>
      </x:c>
      <x:c r="M43" t="str">
        <x:f>IF(RAND()&lt;'Team_Info'!$E$5,"W","B")</x:f>
        <x:v>B</x:v>
      </x:c>
      <x:c r="N43" t="str">
        <x:f>IF(RAND()&lt;'Team_Info'!$E$5,"W","B")</x:f>
        <x:v>W</x:v>
      </x:c>
      <x:c r="O43" t="str">
        <x:f>IF(RAND()&lt;'Team_Info'!$E$5,"W","B")</x:f>
        <x:v>W</x:v>
      </x:c>
      <x:c r="P43" t="str">
        <x:f>IF(RAND()&lt;'Team_Info'!$E$5,"W","B")</x:f>
        <x:v>B</x:v>
      </x:c>
      <x:c r="Q43" t="str">
        <x:f>IF(RAND()&lt;'Team_Info'!$E$5,"W","B")</x:f>
        <x:v>B</x:v>
      </x:c>
      <x:c r="R43" t="str">
        <x:f>IF(RAND()&lt;'Team_Info'!$E$5,"W","B")</x:f>
        <x:v>W</x:v>
      </x:c>
      <x:c r="S43" t="str">
        <x:f>IF(RAND()&lt;'Team_Info'!$E$5,"W","B")</x:f>
        <x:v>B</x:v>
      </x:c>
      <x:c r="T43" t="str">
        <x:f>IF(RAND()&lt;'Team_Info'!$E$5,"W","B")</x:f>
        <x:v>B</x:v>
      </x:c>
      <x:c r="U43" t="str">
        <x:f>IF(RAND()&lt;'Team_Info'!$E$5,"W","B")</x:f>
        <x:v>B</x:v>
      </x:c>
    </x:row>
    <x:row r="44">
      <x:c r="A44" s="1">
        <x:v>43</x:v>
      </x:c>
      <x:c r="B44" t="str">
        <x:f>IF(RAND()&lt;'Team_Info'!$E$5,"W","B")</x:f>
        <x:v>W</x:v>
      </x:c>
      <x:c r="C44" t="str">
        <x:f>IF(RAND()&lt;'Team_Info'!$E$5,"W","B")</x:f>
        <x:v>B</x:v>
      </x:c>
      <x:c r="D44" t="str">
        <x:f>IF(RAND()&lt;'Team_Info'!$E$5,"W","B")</x:f>
        <x:v>W</x:v>
      </x:c>
      <x:c r="E44" t="str">
        <x:f>IF(RAND()&lt;'Team_Info'!$E$5,"W","B")</x:f>
        <x:v>B</x:v>
      </x:c>
      <x:c r="F44" t="str">
        <x:f>IF(RAND()&lt;'Team_Info'!$E$5,"W","B")</x:f>
        <x:v>B</x:v>
      </x:c>
      <x:c r="G44" t="str">
        <x:f>IF(RAND()&lt;'Team_Info'!$E$5,"W","B")</x:f>
        <x:v>B</x:v>
      </x:c>
      <x:c r="H44" t="str">
        <x:f>IF(RAND()&lt;'Team_Info'!$E$5,"W","B")</x:f>
        <x:v>B</x:v>
      </x:c>
      <x:c r="I44" t="str">
        <x:f>IF(RAND()&lt;'Team_Info'!$E$5,"W","B")</x:f>
        <x:v>W</x:v>
      </x:c>
      <x:c r="J44" t="str">
        <x:f>IF(RAND()&lt;'Team_Info'!$E$5,"W","B")</x:f>
        <x:v>W</x:v>
      </x:c>
      <x:c r="K44" t="str">
        <x:f>IF(RAND()&lt;'Team_Info'!$E$5,"W","B")</x:f>
        <x:v>W</x:v>
      </x:c>
      <x:c r="L44" t="str">
        <x:f>IF(RAND()&lt;'Team_Info'!$E$5,"W","B")</x:f>
        <x:v>B</x:v>
      </x:c>
      <x:c r="M44" t="str">
        <x:f>IF(RAND()&lt;'Team_Info'!$E$5,"W","B")</x:f>
        <x:v>W</x:v>
      </x:c>
      <x:c r="N44" t="str">
        <x:f>IF(RAND()&lt;'Team_Info'!$E$5,"W","B")</x:f>
        <x:v>B</x:v>
      </x:c>
      <x:c r="O44" t="str">
        <x:f>IF(RAND()&lt;'Team_Info'!$E$5,"W","B")</x:f>
        <x:v>W</x:v>
      </x:c>
      <x:c r="P44" t="str">
        <x:f>IF(RAND()&lt;'Team_Info'!$E$5,"W","B")</x:f>
        <x:v>B</x:v>
      </x:c>
      <x:c r="Q44" t="str">
        <x:f>IF(RAND()&lt;'Team_Info'!$E$5,"W","B")</x:f>
        <x:v>W</x:v>
      </x:c>
      <x:c r="R44" t="str">
        <x:f>IF(RAND()&lt;'Team_Info'!$E$5,"W","B")</x:f>
        <x:v>B</x:v>
      </x:c>
      <x:c r="S44" t="str">
        <x:f>IF(RAND()&lt;'Team_Info'!$E$5,"W","B")</x:f>
        <x:v>W</x:v>
      </x:c>
      <x:c r="T44" t="str">
        <x:f>IF(RAND()&lt;'Team_Info'!$E$5,"W","B")</x:f>
        <x:v>W</x:v>
      </x:c>
      <x:c r="U44" t="str">
        <x:f>IF(RAND()&lt;'Team_Info'!$E$5,"W","B")</x:f>
        <x:v>W</x:v>
      </x:c>
    </x:row>
    <x:row r="45">
      <x:c r="A45" s="1">
        <x:v>44</x:v>
      </x:c>
      <x:c r="B45" t="str">
        <x:f>IF(RAND()&lt;'Team_Info'!$E$5,"W","B")</x:f>
        <x:v>W</x:v>
      </x:c>
      <x:c r="C45" t="str">
        <x:f>IF(RAND()&lt;'Team_Info'!$E$5,"W","B")</x:f>
        <x:v>W</x:v>
      </x:c>
      <x:c r="D45" t="str">
        <x:f>IF(RAND()&lt;'Team_Info'!$E$5,"W","B")</x:f>
        <x:v>B</x:v>
      </x:c>
      <x:c r="E45" t="str">
        <x:f>IF(RAND()&lt;'Team_Info'!$E$5,"W","B")</x:f>
        <x:v>B</x:v>
      </x:c>
      <x:c r="F45" t="str">
        <x:f>IF(RAND()&lt;'Team_Info'!$E$5,"W","B")</x:f>
        <x:v>B</x:v>
      </x:c>
      <x:c r="G45" t="str">
        <x:f>IF(RAND()&lt;'Team_Info'!$E$5,"W","B")</x:f>
        <x:v>W</x:v>
      </x:c>
      <x:c r="H45" t="str">
        <x:f>IF(RAND()&lt;'Team_Info'!$E$5,"W","B")</x:f>
        <x:v>W</x:v>
      </x:c>
      <x:c r="I45" t="str">
        <x:f>IF(RAND()&lt;'Team_Info'!$E$5,"W","B")</x:f>
        <x:v>W</x:v>
      </x:c>
      <x:c r="J45" t="str">
        <x:f>IF(RAND()&lt;'Team_Info'!$E$5,"W","B")</x:f>
        <x:v>B</x:v>
      </x:c>
      <x:c r="K45" t="str">
        <x:f>IF(RAND()&lt;'Team_Info'!$E$5,"W","B")</x:f>
        <x:v>B</x:v>
      </x:c>
      <x:c r="L45" t="str">
        <x:f>IF(RAND()&lt;'Team_Info'!$E$5,"W","B")</x:f>
        <x:v>W</x:v>
      </x:c>
      <x:c r="M45" t="str">
        <x:f>IF(RAND()&lt;'Team_Info'!$E$5,"W","B")</x:f>
        <x:v>B</x:v>
      </x:c>
      <x:c r="N45" t="str">
        <x:f>IF(RAND()&lt;'Team_Info'!$E$5,"W","B")</x:f>
        <x:v>B</x:v>
      </x:c>
      <x:c r="O45" t="str">
        <x:f>IF(RAND()&lt;'Team_Info'!$E$5,"W","B")</x:f>
        <x:v>W</x:v>
      </x:c>
      <x:c r="P45" t="str">
        <x:f>IF(RAND()&lt;'Team_Info'!$E$5,"W","B")</x:f>
        <x:v>B</x:v>
      </x:c>
      <x:c r="Q45" t="str">
        <x:f>IF(RAND()&lt;'Team_Info'!$E$5,"W","B")</x:f>
        <x:v>B</x:v>
      </x:c>
      <x:c r="R45" t="str">
        <x:f>IF(RAND()&lt;'Team_Info'!$E$5,"W","B")</x:f>
        <x:v>B</x:v>
      </x:c>
      <x:c r="S45" t="str">
        <x:f>IF(RAND()&lt;'Team_Info'!$E$5,"W","B")</x:f>
        <x:v>W</x:v>
      </x:c>
      <x:c r="T45" t="str">
        <x:f>IF(RAND()&lt;'Team_Info'!$E$5,"W","B")</x:f>
        <x:v>B</x:v>
      </x:c>
      <x:c r="U45" t="str">
        <x:f>IF(RAND()&lt;'Team_Info'!$E$5,"W","B")</x:f>
        <x:v>W</x:v>
      </x:c>
    </x:row>
    <x:row r="46">
      <x:c r="A46" s="1">
        <x:v>45</x:v>
      </x:c>
      <x:c r="B46" t="str">
        <x:f>IF(RAND()&lt;'Team_Info'!$E$5,"W","B")</x:f>
        <x:v>W</x:v>
      </x:c>
      <x:c r="C46" t="str">
        <x:f>IF(RAND()&lt;'Team_Info'!$E$5,"W","B")</x:f>
        <x:v>W</x:v>
      </x:c>
      <x:c r="D46" t="str">
        <x:f>IF(RAND()&lt;'Team_Info'!$E$5,"W","B")</x:f>
        <x:v>W</x:v>
      </x:c>
      <x:c r="E46" t="str">
        <x:f>IF(RAND()&lt;'Team_Info'!$E$5,"W","B")</x:f>
        <x:v>W</x:v>
      </x:c>
      <x:c r="F46" t="str">
        <x:f>IF(RAND()&lt;'Team_Info'!$E$5,"W","B")</x:f>
        <x:v>W</x:v>
      </x:c>
      <x:c r="G46" t="str">
        <x:f>IF(RAND()&lt;'Team_Info'!$E$5,"W","B")</x:f>
        <x:v>W</x:v>
      </x:c>
      <x:c r="H46" t="str">
        <x:f>IF(RAND()&lt;'Team_Info'!$E$5,"W","B")</x:f>
        <x:v>B</x:v>
      </x:c>
      <x:c r="I46" t="str">
        <x:f>IF(RAND()&lt;'Team_Info'!$E$5,"W","B")</x:f>
        <x:v>W</x:v>
      </x:c>
      <x:c r="J46" t="str">
        <x:f>IF(RAND()&lt;'Team_Info'!$E$5,"W","B")</x:f>
        <x:v>W</x:v>
      </x:c>
      <x:c r="K46" t="str">
        <x:f>IF(RAND()&lt;'Team_Info'!$E$5,"W","B")</x:f>
        <x:v>B</x:v>
      </x:c>
      <x:c r="L46" t="str">
        <x:f>IF(RAND()&lt;'Team_Info'!$E$5,"W","B")</x:f>
        <x:v>B</x:v>
      </x:c>
      <x:c r="M46" t="str">
        <x:f>IF(RAND()&lt;'Team_Info'!$E$5,"W","B")</x:f>
        <x:v>B</x:v>
      </x:c>
      <x:c r="N46" t="str">
        <x:f>IF(RAND()&lt;'Team_Info'!$E$5,"W","B")</x:f>
        <x:v>B</x:v>
      </x:c>
      <x:c r="O46" t="str">
        <x:f>IF(RAND()&lt;'Team_Info'!$E$5,"W","B")</x:f>
        <x:v>W</x:v>
      </x:c>
      <x:c r="P46" t="str">
        <x:f>IF(RAND()&lt;'Team_Info'!$E$5,"W","B")</x:f>
        <x:v>B</x:v>
      </x:c>
      <x:c r="Q46" t="str">
        <x:f>IF(RAND()&lt;'Team_Info'!$E$5,"W","B")</x:f>
        <x:v>W</x:v>
      </x:c>
      <x:c r="R46" t="str">
        <x:f>IF(RAND()&lt;'Team_Info'!$E$5,"W","B")</x:f>
        <x:v>B</x:v>
      </x:c>
      <x:c r="S46" t="str">
        <x:f>IF(RAND()&lt;'Team_Info'!$E$5,"W","B")</x:f>
        <x:v>B</x:v>
      </x:c>
      <x:c r="T46" t="str">
        <x:f>IF(RAND()&lt;'Team_Info'!$E$5,"W","B")</x:f>
        <x:v>W</x:v>
      </x:c>
      <x:c r="U46" t="str">
        <x:f>IF(RAND()&lt;'Team_Info'!$E$5,"W","B")</x:f>
        <x:v>B</x:v>
      </x:c>
    </x:row>
    <x:row r="47">
      <x:c r="A47" s="1">
        <x:v>46</x:v>
      </x:c>
      <x:c r="B47" t="str">
        <x:f>IF(RAND()&lt;'Team_Info'!$E$5,"W","B")</x:f>
        <x:v>B</x:v>
      </x:c>
      <x:c r="C47" t="str">
        <x:f>IF(RAND()&lt;'Team_Info'!$E$5,"W","B")</x:f>
        <x:v>W</x:v>
      </x:c>
      <x:c r="D47" t="str">
        <x:f>IF(RAND()&lt;'Team_Info'!$E$5,"W","B")</x:f>
        <x:v>B</x:v>
      </x:c>
      <x:c r="E47" t="str">
        <x:f>IF(RAND()&lt;'Team_Info'!$E$5,"W","B")</x:f>
        <x:v>W</x:v>
      </x:c>
      <x:c r="F47" t="str">
        <x:f>IF(RAND()&lt;'Team_Info'!$E$5,"W","B")</x:f>
        <x:v>B</x:v>
      </x:c>
      <x:c r="G47" t="str">
        <x:f>IF(RAND()&lt;'Team_Info'!$E$5,"W","B")</x:f>
        <x:v>B</x:v>
      </x:c>
      <x:c r="H47" t="str">
        <x:f>IF(RAND()&lt;'Team_Info'!$E$5,"W","B")</x:f>
        <x:v>B</x:v>
      </x:c>
      <x:c r="I47" t="str">
        <x:f>IF(RAND()&lt;'Team_Info'!$E$5,"W","B")</x:f>
        <x:v>B</x:v>
      </x:c>
      <x:c r="J47" t="str">
        <x:f>IF(RAND()&lt;'Team_Info'!$E$5,"W","B")</x:f>
        <x:v>B</x:v>
      </x:c>
      <x:c r="K47" t="str">
        <x:f>IF(RAND()&lt;'Team_Info'!$E$5,"W","B")</x:f>
        <x:v>W</x:v>
      </x:c>
      <x:c r="L47" t="str">
        <x:f>IF(RAND()&lt;'Team_Info'!$E$5,"W","B")</x:f>
        <x:v>B</x:v>
      </x:c>
      <x:c r="M47" t="str">
        <x:f>IF(RAND()&lt;'Team_Info'!$E$5,"W","B")</x:f>
        <x:v>W</x:v>
      </x:c>
      <x:c r="N47" t="str">
        <x:f>IF(RAND()&lt;'Team_Info'!$E$5,"W","B")</x:f>
        <x:v>B</x:v>
      </x:c>
      <x:c r="O47" t="str">
        <x:f>IF(RAND()&lt;'Team_Info'!$E$5,"W","B")</x:f>
        <x:v>W</x:v>
      </x:c>
      <x:c r="P47" t="str">
        <x:f>IF(RAND()&lt;'Team_Info'!$E$5,"W","B")</x:f>
        <x:v>B</x:v>
      </x:c>
      <x:c r="Q47" t="str">
        <x:f>IF(RAND()&lt;'Team_Info'!$E$5,"W","B")</x:f>
        <x:v>W</x:v>
      </x:c>
      <x:c r="R47" t="str">
        <x:f>IF(RAND()&lt;'Team_Info'!$E$5,"W","B")</x:f>
        <x:v>B</x:v>
      </x:c>
      <x:c r="S47" t="str">
        <x:f>IF(RAND()&lt;'Team_Info'!$E$5,"W","B")</x:f>
        <x:v>B</x:v>
      </x:c>
      <x:c r="T47" t="str">
        <x:f>IF(RAND()&lt;'Team_Info'!$E$5,"W","B")</x:f>
        <x:v>B</x:v>
      </x:c>
      <x:c r="U47" t="str">
        <x:f>IF(RAND()&lt;'Team_Info'!$E$5,"W","B")</x:f>
        <x:v>B</x:v>
      </x:c>
    </x:row>
    <x:row r="48">
      <x:c r="A48" s="1">
        <x:v>47</x:v>
      </x:c>
      <x:c r="B48" t="str">
        <x:f>IF(RAND()&lt;'Team_Info'!$E$5,"W","B")</x:f>
        <x:v>B</x:v>
      </x:c>
      <x:c r="C48" t="str">
        <x:f>IF(RAND()&lt;'Team_Info'!$E$5,"W","B")</x:f>
        <x:v>W</x:v>
      </x:c>
      <x:c r="D48" t="str">
        <x:f>IF(RAND()&lt;'Team_Info'!$E$5,"W","B")</x:f>
        <x:v>B</x:v>
      </x:c>
      <x:c r="E48" t="str">
        <x:f>IF(RAND()&lt;'Team_Info'!$E$5,"W","B")</x:f>
        <x:v>B</x:v>
      </x:c>
      <x:c r="F48" t="str">
        <x:f>IF(RAND()&lt;'Team_Info'!$E$5,"W","B")</x:f>
        <x:v>B</x:v>
      </x:c>
      <x:c r="G48" t="str">
        <x:f>IF(RAND()&lt;'Team_Info'!$E$5,"W","B")</x:f>
        <x:v>W</x:v>
      </x:c>
      <x:c r="H48" t="str">
        <x:f>IF(RAND()&lt;'Team_Info'!$E$5,"W","B")</x:f>
        <x:v>B</x:v>
      </x:c>
      <x:c r="I48" t="str">
        <x:f>IF(RAND()&lt;'Team_Info'!$E$5,"W","B")</x:f>
        <x:v>W</x:v>
      </x:c>
      <x:c r="J48" t="str">
        <x:f>IF(RAND()&lt;'Team_Info'!$E$5,"W","B")</x:f>
        <x:v>B</x:v>
      </x:c>
      <x:c r="K48" t="str">
        <x:f>IF(RAND()&lt;'Team_Info'!$E$5,"W","B")</x:f>
        <x:v>W</x:v>
      </x:c>
      <x:c r="L48" t="str">
        <x:f>IF(RAND()&lt;'Team_Info'!$E$5,"W","B")</x:f>
        <x:v>B</x:v>
      </x:c>
      <x:c r="M48" t="str">
        <x:f>IF(RAND()&lt;'Team_Info'!$E$5,"W","B")</x:f>
        <x:v>B</x:v>
      </x:c>
      <x:c r="N48" t="str">
        <x:f>IF(RAND()&lt;'Team_Info'!$E$5,"W","B")</x:f>
        <x:v>W</x:v>
      </x:c>
      <x:c r="O48" t="str">
        <x:f>IF(RAND()&lt;'Team_Info'!$E$5,"W","B")</x:f>
        <x:v>B</x:v>
      </x:c>
      <x:c r="P48" t="str">
        <x:f>IF(RAND()&lt;'Team_Info'!$E$5,"W","B")</x:f>
        <x:v>B</x:v>
      </x:c>
      <x:c r="Q48" t="str">
        <x:f>IF(RAND()&lt;'Team_Info'!$E$5,"W","B")</x:f>
        <x:v>B</x:v>
      </x:c>
      <x:c r="R48" t="str">
        <x:f>IF(RAND()&lt;'Team_Info'!$E$5,"W","B")</x:f>
        <x:v>W</x:v>
      </x:c>
      <x:c r="S48" t="str">
        <x:f>IF(RAND()&lt;'Team_Info'!$E$5,"W","B")</x:f>
        <x:v>W</x:v>
      </x:c>
      <x:c r="T48" t="str">
        <x:f>IF(RAND()&lt;'Team_Info'!$E$5,"W","B")</x:f>
        <x:v>W</x:v>
      </x:c>
      <x:c r="U48" t="str">
        <x:f>IF(RAND()&lt;'Team_Info'!$E$5,"W","B")</x:f>
        <x:v>B</x:v>
      </x:c>
    </x:row>
    <x:row r="49">
      <x:c r="A49" s="1">
        <x:v>48</x:v>
      </x:c>
      <x:c r="B49" t="str">
        <x:f>IF(RAND()&lt;'Team_Info'!$E$5,"W","B")</x:f>
        <x:v>B</x:v>
      </x:c>
      <x:c r="C49" t="str">
        <x:f>IF(RAND()&lt;'Team_Info'!$E$5,"W","B")</x:f>
        <x:v>B</x:v>
      </x:c>
      <x:c r="D49" t="str">
        <x:f>IF(RAND()&lt;'Team_Info'!$E$5,"W","B")</x:f>
        <x:v>B</x:v>
      </x:c>
      <x:c r="E49" t="str">
        <x:f>IF(RAND()&lt;'Team_Info'!$E$5,"W","B")</x:f>
        <x:v>W</x:v>
      </x:c>
      <x:c r="F49" t="str">
        <x:f>IF(RAND()&lt;'Team_Info'!$E$5,"W","B")</x:f>
        <x:v>B</x:v>
      </x:c>
      <x:c r="G49" t="str">
        <x:f>IF(RAND()&lt;'Team_Info'!$E$5,"W","B")</x:f>
        <x:v>B</x:v>
      </x:c>
      <x:c r="H49" t="str">
        <x:f>IF(RAND()&lt;'Team_Info'!$E$5,"W","B")</x:f>
        <x:v>W</x:v>
      </x:c>
      <x:c r="I49" t="str">
        <x:f>IF(RAND()&lt;'Team_Info'!$E$5,"W","B")</x:f>
        <x:v>W</x:v>
      </x:c>
      <x:c r="J49" t="str">
        <x:f>IF(RAND()&lt;'Team_Info'!$E$5,"W","B")</x:f>
        <x:v>W</x:v>
      </x:c>
      <x:c r="K49" t="str">
        <x:f>IF(RAND()&lt;'Team_Info'!$E$5,"W","B")</x:f>
        <x:v>W</x:v>
      </x:c>
      <x:c r="L49" t="str">
        <x:f>IF(RAND()&lt;'Team_Info'!$E$5,"W","B")</x:f>
        <x:v>B</x:v>
      </x:c>
      <x:c r="M49" t="str">
        <x:f>IF(RAND()&lt;'Team_Info'!$E$5,"W","B")</x:f>
        <x:v>W</x:v>
      </x:c>
      <x:c r="N49" t="str">
        <x:f>IF(RAND()&lt;'Team_Info'!$E$5,"W","B")</x:f>
        <x:v>W</x:v>
      </x:c>
      <x:c r="O49" t="str">
        <x:f>IF(RAND()&lt;'Team_Info'!$E$5,"W","B")</x:f>
        <x:v>W</x:v>
      </x:c>
      <x:c r="P49" t="str">
        <x:f>IF(RAND()&lt;'Team_Info'!$E$5,"W","B")</x:f>
        <x:v>W</x:v>
      </x:c>
      <x:c r="Q49" t="str">
        <x:f>IF(RAND()&lt;'Team_Info'!$E$5,"W","B")</x:f>
        <x:v>B</x:v>
      </x:c>
      <x:c r="R49" t="str">
        <x:f>IF(RAND()&lt;'Team_Info'!$E$5,"W","B")</x:f>
        <x:v>B</x:v>
      </x:c>
      <x:c r="S49" t="str">
        <x:f>IF(RAND()&lt;'Team_Info'!$E$5,"W","B")</x:f>
        <x:v>B</x:v>
      </x:c>
      <x:c r="T49" t="str">
        <x:f>IF(RAND()&lt;'Team_Info'!$E$5,"W","B")</x:f>
        <x:v>W</x:v>
      </x:c>
      <x:c r="U49" t="str">
        <x:f>IF(RAND()&lt;'Team_Info'!$E$5,"W","B")</x:f>
        <x:v>B</x:v>
      </x:c>
    </x:row>
    <x:row r="50">
      <x:c r="A50" s="1">
        <x:v>49</x:v>
      </x:c>
      <x:c r="B50" t="str">
        <x:f>IF(RAND()&lt;'Team_Info'!$E$5,"W","B")</x:f>
        <x:v>W</x:v>
      </x:c>
      <x:c r="C50" t="str">
        <x:f>IF(RAND()&lt;'Team_Info'!$E$5,"W","B")</x:f>
        <x:v>W</x:v>
      </x:c>
      <x:c r="D50" t="str">
        <x:f>IF(RAND()&lt;'Team_Info'!$E$5,"W","B")</x:f>
        <x:v>W</x:v>
      </x:c>
      <x:c r="E50" t="str">
        <x:f>IF(RAND()&lt;'Team_Info'!$E$5,"W","B")</x:f>
        <x:v>W</x:v>
      </x:c>
      <x:c r="F50" t="str">
        <x:f>IF(RAND()&lt;'Team_Info'!$E$5,"W","B")</x:f>
        <x:v>B</x:v>
      </x:c>
      <x:c r="G50" t="str">
        <x:f>IF(RAND()&lt;'Team_Info'!$E$5,"W","B")</x:f>
        <x:v>B</x:v>
      </x:c>
      <x:c r="H50" t="str">
        <x:f>IF(RAND()&lt;'Team_Info'!$E$5,"W","B")</x:f>
        <x:v>W</x:v>
      </x:c>
      <x:c r="I50" t="str">
        <x:f>IF(RAND()&lt;'Team_Info'!$E$5,"W","B")</x:f>
        <x:v>B</x:v>
      </x:c>
      <x:c r="J50" t="str">
        <x:f>IF(RAND()&lt;'Team_Info'!$E$5,"W","B")</x:f>
        <x:v>B</x:v>
      </x:c>
      <x:c r="K50" t="str">
        <x:f>IF(RAND()&lt;'Team_Info'!$E$5,"W","B")</x:f>
        <x:v>W</x:v>
      </x:c>
      <x:c r="L50" t="str">
        <x:f>IF(RAND()&lt;'Team_Info'!$E$5,"W","B")</x:f>
        <x:v>W</x:v>
      </x:c>
      <x:c r="M50" t="str">
        <x:f>IF(RAND()&lt;'Team_Info'!$E$5,"W","B")</x:f>
        <x:v>B</x:v>
      </x:c>
      <x:c r="N50" t="str">
        <x:f>IF(RAND()&lt;'Team_Info'!$E$5,"W","B")</x:f>
        <x:v>B</x:v>
      </x:c>
      <x:c r="O50" t="str">
        <x:f>IF(RAND()&lt;'Team_Info'!$E$5,"W","B")</x:f>
        <x:v>B</x:v>
      </x:c>
      <x:c r="P50" t="str">
        <x:f>IF(RAND()&lt;'Team_Info'!$E$5,"W","B")</x:f>
        <x:v>B</x:v>
      </x:c>
      <x:c r="Q50" t="str">
        <x:f>IF(RAND()&lt;'Team_Info'!$E$5,"W","B")</x:f>
        <x:v>B</x:v>
      </x:c>
      <x:c r="R50" t="str">
        <x:f>IF(RAND()&lt;'Team_Info'!$E$5,"W","B")</x:f>
        <x:v>W</x:v>
      </x:c>
      <x:c r="S50" t="str">
        <x:f>IF(RAND()&lt;'Team_Info'!$E$5,"W","B")</x:f>
        <x:v>B</x:v>
      </x:c>
      <x:c r="T50" t="str">
        <x:f>IF(RAND()&lt;'Team_Info'!$E$5,"W","B")</x:f>
        <x:v>W</x:v>
      </x:c>
      <x:c r="U50" t="str">
        <x:f>IF(RAND()&lt;'Team_Info'!$E$5,"W","B")</x:f>
        <x:v>B</x:v>
      </x:c>
    </x:row>
    <x:row r="51">
      <x:c r="A51" s="1">
        <x:v>50</x:v>
      </x:c>
      <x:c r="B51" t="str">
        <x:f>IF(RAND()&lt;'Team_Info'!$E$5,"W","B")</x:f>
        <x:v>B</x:v>
      </x:c>
      <x:c r="C51" t="str">
        <x:f>IF(RAND()&lt;'Team_Info'!$E$5,"W","B")</x:f>
        <x:v>B</x:v>
      </x:c>
      <x:c r="D51" t="str">
        <x:f>IF(RAND()&lt;'Team_Info'!$E$5,"W","B")</x:f>
        <x:v>B</x:v>
      </x:c>
      <x:c r="E51" t="str">
        <x:f>IF(RAND()&lt;'Team_Info'!$E$5,"W","B")</x:f>
        <x:v>B</x:v>
      </x:c>
      <x:c r="F51" t="str">
        <x:f>IF(RAND()&lt;'Team_Info'!$E$5,"W","B")</x:f>
        <x:v>W</x:v>
      </x:c>
      <x:c r="G51" t="str">
        <x:f>IF(RAND()&lt;'Team_Info'!$E$5,"W","B")</x:f>
        <x:v>B</x:v>
      </x:c>
      <x:c r="H51" t="str">
        <x:f>IF(RAND()&lt;'Team_Info'!$E$5,"W","B")</x:f>
        <x:v>B</x:v>
      </x:c>
      <x:c r="I51" t="str">
        <x:f>IF(RAND()&lt;'Team_Info'!$E$5,"W","B")</x:f>
        <x:v>W</x:v>
      </x:c>
      <x:c r="J51" t="str">
        <x:f>IF(RAND()&lt;'Team_Info'!$E$5,"W","B")</x:f>
        <x:v>B</x:v>
      </x:c>
      <x:c r="K51" t="str">
        <x:f>IF(RAND()&lt;'Team_Info'!$E$5,"W","B")</x:f>
        <x:v>W</x:v>
      </x:c>
      <x:c r="L51" t="str">
        <x:f>IF(RAND()&lt;'Team_Info'!$E$5,"W","B")</x:f>
        <x:v>W</x:v>
      </x:c>
      <x:c r="M51" t="str">
        <x:f>IF(RAND()&lt;'Team_Info'!$E$5,"W","B")</x:f>
        <x:v>B</x:v>
      </x:c>
      <x:c r="N51" t="str">
        <x:f>IF(RAND()&lt;'Team_Info'!$E$5,"W","B")</x:f>
        <x:v>W</x:v>
      </x:c>
      <x:c r="O51" t="str">
        <x:f>IF(RAND()&lt;'Team_Info'!$E$5,"W","B")</x:f>
        <x:v>W</x:v>
      </x:c>
      <x:c r="P51" t="str">
        <x:f>IF(RAND()&lt;'Team_Info'!$E$5,"W","B")</x:f>
        <x:v>W</x:v>
      </x:c>
      <x:c r="Q51" t="str">
        <x:f>IF(RAND()&lt;'Team_Info'!$E$5,"W","B")</x:f>
        <x:v>W</x:v>
      </x:c>
      <x:c r="R51" t="str">
        <x:f>IF(RAND()&lt;'Team_Info'!$E$5,"W","B")</x:f>
        <x:v>B</x:v>
      </x:c>
      <x:c r="S51" t="str">
        <x:f>IF(RAND()&lt;'Team_Info'!$E$5,"W","B")</x:f>
        <x:v>W</x:v>
      </x:c>
      <x:c r="T51" t="str">
        <x:f>IF(RAND()&lt;'Team_Info'!$E$5,"W","B")</x:f>
        <x:v>W</x:v>
      </x:c>
      <x:c r="U51" t="str">
        <x:f>IF(RAND()&lt;'Team_Info'!$E$5,"W","B")</x:f>
        <x:v>B</x:v>
      </x:c>
    </x:row>
    <x:row r="52">
      <x:c r="A52" s="1">
        <x:v>51</x:v>
      </x:c>
      <x:c r="B52" t="str">
        <x:f>IF(RAND()&lt;'Team_Info'!$E$5,"W","B")</x:f>
        <x:v>B</x:v>
      </x:c>
      <x:c r="C52" t="str">
        <x:f>IF(RAND()&lt;'Team_Info'!$E$5,"W","B")</x:f>
        <x:v>W</x:v>
      </x:c>
      <x:c r="D52" t="str">
        <x:f>IF(RAND()&lt;'Team_Info'!$E$5,"W","B")</x:f>
        <x:v>B</x:v>
      </x:c>
      <x:c r="E52" t="str">
        <x:f>IF(RAND()&lt;'Team_Info'!$E$5,"W","B")</x:f>
        <x:v>B</x:v>
      </x:c>
      <x:c r="F52" t="str">
        <x:f>IF(RAND()&lt;'Team_Info'!$E$5,"W","B")</x:f>
        <x:v>B</x:v>
      </x:c>
      <x:c r="G52" t="str">
        <x:f>IF(RAND()&lt;'Team_Info'!$E$5,"W","B")</x:f>
        <x:v>B</x:v>
      </x:c>
      <x:c r="H52" t="str">
        <x:f>IF(RAND()&lt;'Team_Info'!$E$5,"W","B")</x:f>
        <x:v>B</x:v>
      </x:c>
      <x:c r="I52" t="str">
        <x:f>IF(RAND()&lt;'Team_Info'!$E$5,"W","B")</x:f>
        <x:v>B</x:v>
      </x:c>
      <x:c r="J52" t="str">
        <x:f>IF(RAND()&lt;'Team_Info'!$E$5,"W","B")</x:f>
        <x:v>B</x:v>
      </x:c>
      <x:c r="K52" t="str">
        <x:f>IF(RAND()&lt;'Team_Info'!$E$5,"W","B")</x:f>
        <x:v>W</x:v>
      </x:c>
      <x:c r="L52" t="str">
        <x:f>IF(RAND()&lt;'Team_Info'!$E$5,"W","B")</x:f>
        <x:v>W</x:v>
      </x:c>
      <x:c r="M52" t="str">
        <x:f>IF(RAND()&lt;'Team_Info'!$E$5,"W","B")</x:f>
        <x:v>B</x:v>
      </x:c>
      <x:c r="N52" t="str">
        <x:f>IF(RAND()&lt;'Team_Info'!$E$5,"W","B")</x:f>
        <x:v>B</x:v>
      </x:c>
      <x:c r="O52" t="str">
        <x:f>IF(RAND()&lt;'Team_Info'!$E$5,"W","B")</x:f>
        <x:v>B</x:v>
      </x:c>
      <x:c r="P52" t="str">
        <x:f>IF(RAND()&lt;'Team_Info'!$E$5,"W","B")</x:f>
        <x:v>W</x:v>
      </x:c>
      <x:c r="Q52" t="str">
        <x:f>IF(RAND()&lt;'Team_Info'!$E$5,"W","B")</x:f>
        <x:v>B</x:v>
      </x:c>
      <x:c r="R52" t="str">
        <x:f>IF(RAND()&lt;'Team_Info'!$E$5,"W","B")</x:f>
        <x:v>B</x:v>
      </x:c>
      <x:c r="S52" t="str">
        <x:f>IF(RAND()&lt;'Team_Info'!$E$5,"W","B")</x:f>
        <x:v>B</x:v>
      </x:c>
      <x:c r="T52" t="str">
        <x:f>IF(RAND()&lt;'Team_Info'!$E$5,"W","B")</x:f>
        <x:v>B</x:v>
      </x:c>
      <x:c r="U52" t="str">
        <x:f>IF(RAND()&lt;'Team_Info'!$E$5,"W","B")</x:f>
        <x:v>W</x:v>
      </x:c>
    </x:row>
    <x:row r="53">
      <x:c r="A53" s="1">
        <x:v>52</x:v>
      </x:c>
      <x:c r="B53" t="str">
        <x:f>IF(RAND()&lt;'Team_Info'!$E$5,"W","B")</x:f>
        <x:v>B</x:v>
      </x:c>
      <x:c r="C53" t="str">
        <x:f>IF(RAND()&lt;'Team_Info'!$E$5,"W","B")</x:f>
        <x:v>B</x:v>
      </x:c>
      <x:c r="D53" t="str">
        <x:f>IF(RAND()&lt;'Team_Info'!$E$5,"W","B")</x:f>
        <x:v>B</x:v>
      </x:c>
      <x:c r="E53" t="str">
        <x:f>IF(RAND()&lt;'Team_Info'!$E$5,"W","B")</x:f>
        <x:v>B</x:v>
      </x:c>
      <x:c r="F53" t="str">
        <x:f>IF(RAND()&lt;'Team_Info'!$E$5,"W","B")</x:f>
        <x:v>B</x:v>
      </x:c>
      <x:c r="G53" t="str">
        <x:f>IF(RAND()&lt;'Team_Info'!$E$5,"W","B")</x:f>
        <x:v>B</x:v>
      </x:c>
      <x:c r="H53" t="str">
        <x:f>IF(RAND()&lt;'Team_Info'!$E$5,"W","B")</x:f>
        <x:v>B</x:v>
      </x:c>
      <x:c r="I53" t="str">
        <x:f>IF(RAND()&lt;'Team_Info'!$E$5,"W","B")</x:f>
        <x:v>B</x:v>
      </x:c>
      <x:c r="J53" t="str">
        <x:f>IF(RAND()&lt;'Team_Info'!$E$5,"W","B")</x:f>
        <x:v>W</x:v>
      </x:c>
      <x:c r="K53" t="str">
        <x:f>IF(RAND()&lt;'Team_Info'!$E$5,"W","B")</x:f>
        <x:v>W</x:v>
      </x:c>
      <x:c r="L53" t="str">
        <x:f>IF(RAND()&lt;'Team_Info'!$E$5,"W","B")</x:f>
        <x:v>B</x:v>
      </x:c>
      <x:c r="M53" t="str">
        <x:f>IF(RAND()&lt;'Team_Info'!$E$5,"W","B")</x:f>
        <x:v>W</x:v>
      </x:c>
      <x:c r="N53" t="str">
        <x:f>IF(RAND()&lt;'Team_Info'!$E$5,"W","B")</x:f>
        <x:v>B</x:v>
      </x:c>
      <x:c r="O53" t="str">
        <x:f>IF(RAND()&lt;'Team_Info'!$E$5,"W","B")</x:f>
        <x:v>W</x:v>
      </x:c>
      <x:c r="P53" t="str">
        <x:f>IF(RAND()&lt;'Team_Info'!$E$5,"W","B")</x:f>
        <x:v>W</x:v>
      </x:c>
      <x:c r="Q53" t="str">
        <x:f>IF(RAND()&lt;'Team_Info'!$E$5,"W","B")</x:f>
        <x:v>B</x:v>
      </x:c>
      <x:c r="R53" t="str">
        <x:f>IF(RAND()&lt;'Team_Info'!$E$5,"W","B")</x:f>
        <x:v>B</x:v>
      </x:c>
      <x:c r="S53" t="str">
        <x:f>IF(RAND()&lt;'Team_Info'!$E$5,"W","B")</x:f>
        <x:v>W</x:v>
      </x:c>
      <x:c r="T53" t="str">
        <x:f>IF(RAND()&lt;'Team_Info'!$E$5,"W","B")</x:f>
        <x:v>B</x:v>
      </x:c>
      <x:c r="U53" t="str">
        <x:f>IF(RAND()&lt;'Team_Info'!$E$5,"W","B")</x:f>
        <x:v>B</x:v>
      </x:c>
    </x:row>
    <x:row r="54">
      <x:c r="A54" s="1">
        <x:v>53</x:v>
      </x:c>
      <x:c r="B54" t="str">
        <x:f>IF(RAND()&lt;'Team_Info'!$E$5,"W","B")</x:f>
        <x:v>W</x:v>
      </x:c>
      <x:c r="C54" t="str">
        <x:f>IF(RAND()&lt;'Team_Info'!$E$5,"W","B")</x:f>
        <x:v>B</x:v>
      </x:c>
      <x:c r="D54" t="str">
        <x:f>IF(RAND()&lt;'Team_Info'!$E$5,"W","B")</x:f>
        <x:v>B</x:v>
      </x:c>
      <x:c r="E54" t="str">
        <x:f>IF(RAND()&lt;'Team_Info'!$E$5,"W","B")</x:f>
        <x:v>W</x:v>
      </x:c>
      <x:c r="F54" t="str">
        <x:f>IF(RAND()&lt;'Team_Info'!$E$5,"W","B")</x:f>
        <x:v>B</x:v>
      </x:c>
      <x:c r="G54" t="str">
        <x:f>IF(RAND()&lt;'Team_Info'!$E$5,"W","B")</x:f>
        <x:v>B</x:v>
      </x:c>
      <x:c r="H54" t="str">
        <x:f>IF(RAND()&lt;'Team_Info'!$E$5,"W","B")</x:f>
        <x:v>B</x:v>
      </x:c>
      <x:c r="I54" t="str">
        <x:f>IF(RAND()&lt;'Team_Info'!$E$5,"W","B")</x:f>
        <x:v>B</x:v>
      </x:c>
      <x:c r="J54" t="str">
        <x:f>IF(RAND()&lt;'Team_Info'!$E$5,"W","B")</x:f>
        <x:v>B</x:v>
      </x:c>
      <x:c r="K54" t="str">
        <x:f>IF(RAND()&lt;'Team_Info'!$E$5,"W","B")</x:f>
        <x:v>W</x:v>
      </x:c>
      <x:c r="L54" t="str">
        <x:f>IF(RAND()&lt;'Team_Info'!$E$5,"W","B")</x:f>
        <x:v>B</x:v>
      </x:c>
      <x:c r="M54" t="str">
        <x:f>IF(RAND()&lt;'Team_Info'!$E$5,"W","B")</x:f>
        <x:v>W</x:v>
      </x:c>
      <x:c r="N54" t="str">
        <x:f>IF(RAND()&lt;'Team_Info'!$E$5,"W","B")</x:f>
        <x:v>W</x:v>
      </x:c>
      <x:c r="O54" t="str">
        <x:f>IF(RAND()&lt;'Team_Info'!$E$5,"W","B")</x:f>
        <x:v>B</x:v>
      </x:c>
      <x:c r="P54" t="str">
        <x:f>IF(RAND()&lt;'Team_Info'!$E$5,"W","B")</x:f>
        <x:v>W</x:v>
      </x:c>
      <x:c r="Q54" t="str">
        <x:f>IF(RAND()&lt;'Team_Info'!$E$5,"W","B")</x:f>
        <x:v>B</x:v>
      </x:c>
      <x:c r="R54" t="str">
        <x:f>IF(RAND()&lt;'Team_Info'!$E$5,"W","B")</x:f>
        <x:v>B</x:v>
      </x:c>
      <x:c r="S54" t="str">
        <x:f>IF(RAND()&lt;'Team_Info'!$E$5,"W","B")</x:f>
        <x:v>B</x:v>
      </x:c>
      <x:c r="T54" t="str">
        <x:f>IF(RAND()&lt;'Team_Info'!$E$5,"W","B")</x:f>
        <x:v>B</x:v>
      </x:c>
      <x:c r="U54" t="str">
        <x:f>IF(RAND()&lt;'Team_Info'!$E$5,"W","B")</x:f>
        <x:v>B</x:v>
      </x:c>
    </x:row>
    <x:row r="55">
      <x:c r="A55" s="1">
        <x:v>54</x:v>
      </x:c>
      <x:c r="B55" t="str">
        <x:f>IF(RAND()&lt;'Team_Info'!$E$5,"W","B")</x:f>
        <x:v>B</x:v>
      </x:c>
      <x:c r="C55" t="str">
        <x:f>IF(RAND()&lt;'Team_Info'!$E$5,"W","B")</x:f>
        <x:v>W</x:v>
      </x:c>
      <x:c r="D55" t="str">
        <x:f>IF(RAND()&lt;'Team_Info'!$E$5,"W","B")</x:f>
        <x:v>B</x:v>
      </x:c>
      <x:c r="E55" t="str">
        <x:f>IF(RAND()&lt;'Team_Info'!$E$5,"W","B")</x:f>
        <x:v>W</x:v>
      </x:c>
      <x:c r="F55" t="str">
        <x:f>IF(RAND()&lt;'Team_Info'!$E$5,"W","B")</x:f>
        <x:v>B</x:v>
      </x:c>
      <x:c r="G55" t="str">
        <x:f>IF(RAND()&lt;'Team_Info'!$E$5,"W","B")</x:f>
        <x:v>W</x:v>
      </x:c>
      <x:c r="H55" t="str">
        <x:f>IF(RAND()&lt;'Team_Info'!$E$5,"W","B")</x:f>
        <x:v>B</x:v>
      </x:c>
      <x:c r="I55" t="str">
        <x:f>IF(RAND()&lt;'Team_Info'!$E$5,"W","B")</x:f>
        <x:v>W</x:v>
      </x:c>
      <x:c r="J55" t="str">
        <x:f>IF(RAND()&lt;'Team_Info'!$E$5,"W","B")</x:f>
        <x:v>B</x:v>
      </x:c>
      <x:c r="K55" t="str">
        <x:f>IF(RAND()&lt;'Team_Info'!$E$5,"W","B")</x:f>
        <x:v>B</x:v>
      </x:c>
      <x:c r="L55" t="str">
        <x:f>IF(RAND()&lt;'Team_Info'!$E$5,"W","B")</x:f>
        <x:v>W</x:v>
      </x:c>
      <x:c r="M55" t="str">
        <x:f>IF(RAND()&lt;'Team_Info'!$E$5,"W","B")</x:f>
        <x:v>B</x:v>
      </x:c>
      <x:c r="N55" t="str">
        <x:f>IF(RAND()&lt;'Team_Info'!$E$5,"W","B")</x:f>
        <x:v>W</x:v>
      </x:c>
      <x:c r="O55" t="str">
        <x:f>IF(RAND()&lt;'Team_Info'!$E$5,"W","B")</x:f>
        <x:v>B</x:v>
      </x:c>
      <x:c r="P55" t="str">
        <x:f>IF(RAND()&lt;'Team_Info'!$E$5,"W","B")</x:f>
        <x:v>W</x:v>
      </x:c>
      <x:c r="Q55" t="str">
        <x:f>IF(RAND()&lt;'Team_Info'!$E$5,"W","B")</x:f>
        <x:v>B</x:v>
      </x:c>
      <x:c r="R55" t="str">
        <x:f>IF(RAND()&lt;'Team_Info'!$E$5,"W","B")</x:f>
        <x:v>B</x:v>
      </x:c>
      <x:c r="S55" t="str">
        <x:f>IF(RAND()&lt;'Team_Info'!$E$5,"W","B")</x:f>
        <x:v>B</x:v>
      </x:c>
      <x:c r="T55" t="str">
        <x:f>IF(RAND()&lt;'Team_Info'!$E$5,"W","B")</x:f>
        <x:v>W</x:v>
      </x:c>
      <x:c r="U55" t="str">
        <x:f>IF(RAND()&lt;'Team_Info'!$E$5,"W","B")</x:f>
        <x:v>W</x:v>
      </x:c>
    </x:row>
    <x:row r="56">
      <x:c r="A56" s="1">
        <x:v>55</x:v>
      </x:c>
      <x:c r="B56" t="str">
        <x:f>IF(RAND()&lt;'Team_Info'!$E$5,"W","B")</x:f>
        <x:v>B</x:v>
      </x:c>
      <x:c r="C56" t="str">
        <x:f>IF(RAND()&lt;'Team_Info'!$E$5,"W","B")</x:f>
        <x:v>B</x:v>
      </x:c>
      <x:c r="D56" t="str">
        <x:f>IF(RAND()&lt;'Team_Info'!$E$5,"W","B")</x:f>
        <x:v>W</x:v>
      </x:c>
      <x:c r="E56" t="str">
        <x:f>IF(RAND()&lt;'Team_Info'!$E$5,"W","B")</x:f>
        <x:v>W</x:v>
      </x:c>
      <x:c r="F56" t="str">
        <x:f>IF(RAND()&lt;'Team_Info'!$E$5,"W","B")</x:f>
        <x:v>W</x:v>
      </x:c>
      <x:c r="G56" t="str">
        <x:f>IF(RAND()&lt;'Team_Info'!$E$5,"W","B")</x:f>
        <x:v>B</x:v>
      </x:c>
      <x:c r="H56" t="str">
        <x:f>IF(RAND()&lt;'Team_Info'!$E$5,"W","B")</x:f>
        <x:v>B</x:v>
      </x:c>
      <x:c r="I56" t="str">
        <x:f>IF(RAND()&lt;'Team_Info'!$E$5,"W","B")</x:f>
        <x:v>W</x:v>
      </x:c>
      <x:c r="J56" t="str">
        <x:f>IF(RAND()&lt;'Team_Info'!$E$5,"W","B")</x:f>
        <x:v>B</x:v>
      </x:c>
      <x:c r="K56" t="str">
        <x:f>IF(RAND()&lt;'Team_Info'!$E$5,"W","B")</x:f>
        <x:v>W</x:v>
      </x:c>
      <x:c r="L56" t="str">
        <x:f>IF(RAND()&lt;'Team_Info'!$E$5,"W","B")</x:f>
        <x:v>B</x:v>
      </x:c>
      <x:c r="M56" t="str">
        <x:f>IF(RAND()&lt;'Team_Info'!$E$5,"W","B")</x:f>
        <x:v>B</x:v>
      </x:c>
      <x:c r="N56" t="str">
        <x:f>IF(RAND()&lt;'Team_Info'!$E$5,"W","B")</x:f>
        <x:v>B</x:v>
      </x:c>
      <x:c r="O56" t="str">
        <x:f>IF(RAND()&lt;'Team_Info'!$E$5,"W","B")</x:f>
        <x:v>W</x:v>
      </x:c>
      <x:c r="P56" t="str">
        <x:f>IF(RAND()&lt;'Team_Info'!$E$5,"W","B")</x:f>
        <x:v>B</x:v>
      </x:c>
      <x:c r="Q56" t="str">
        <x:f>IF(RAND()&lt;'Team_Info'!$E$5,"W","B")</x:f>
        <x:v>B</x:v>
      </x:c>
      <x:c r="R56" t="str">
        <x:f>IF(RAND()&lt;'Team_Info'!$E$5,"W","B")</x:f>
        <x:v>W</x:v>
      </x:c>
      <x:c r="S56" t="str">
        <x:f>IF(RAND()&lt;'Team_Info'!$E$5,"W","B")</x:f>
        <x:v>B</x:v>
      </x:c>
      <x:c r="T56" t="str">
        <x:f>IF(RAND()&lt;'Team_Info'!$E$5,"W","B")</x:f>
        <x:v>W</x:v>
      </x:c>
      <x:c r="U56" t="str">
        <x:f>IF(RAND()&lt;'Team_Info'!$E$5,"W","B")</x:f>
        <x:v>W</x:v>
      </x:c>
    </x:row>
    <x:row r="57">
      <x:c r="A57" s="1">
        <x:v>56</x:v>
      </x:c>
      <x:c r="B57" t="str">
        <x:f>IF(RAND()&lt;'Team_Info'!$E$5,"W","B")</x:f>
        <x:v>W</x:v>
      </x:c>
      <x:c r="C57" t="str">
        <x:f>IF(RAND()&lt;'Team_Info'!$E$5,"W","B")</x:f>
        <x:v>B</x:v>
      </x:c>
      <x:c r="D57" t="str">
        <x:f>IF(RAND()&lt;'Team_Info'!$E$5,"W","B")</x:f>
        <x:v>B</x:v>
      </x:c>
      <x:c r="E57" t="str">
        <x:f>IF(RAND()&lt;'Team_Info'!$E$5,"W","B")</x:f>
        <x:v>W</x:v>
      </x:c>
      <x:c r="F57" t="str">
        <x:f>IF(RAND()&lt;'Team_Info'!$E$5,"W","B")</x:f>
        <x:v>W</x:v>
      </x:c>
      <x:c r="G57" t="str">
        <x:f>IF(RAND()&lt;'Team_Info'!$E$5,"W","B")</x:f>
        <x:v>B</x:v>
      </x:c>
      <x:c r="H57" t="str">
        <x:f>IF(RAND()&lt;'Team_Info'!$E$5,"W","B")</x:f>
        <x:v>B</x:v>
      </x:c>
      <x:c r="I57" t="str">
        <x:f>IF(RAND()&lt;'Team_Info'!$E$5,"W","B")</x:f>
        <x:v>B</x:v>
      </x:c>
      <x:c r="J57" t="str">
        <x:f>IF(RAND()&lt;'Team_Info'!$E$5,"W","B")</x:f>
        <x:v>W</x:v>
      </x:c>
      <x:c r="K57" t="str">
        <x:f>IF(RAND()&lt;'Team_Info'!$E$5,"W","B")</x:f>
        <x:v>W</x:v>
      </x:c>
      <x:c r="L57" t="str">
        <x:f>IF(RAND()&lt;'Team_Info'!$E$5,"W","B")</x:f>
        <x:v>B</x:v>
      </x:c>
      <x:c r="M57" t="str">
        <x:f>IF(RAND()&lt;'Team_Info'!$E$5,"W","B")</x:f>
        <x:v>W</x:v>
      </x:c>
      <x:c r="N57" t="str">
        <x:f>IF(RAND()&lt;'Team_Info'!$E$5,"W","B")</x:f>
        <x:v>W</x:v>
      </x:c>
      <x:c r="O57" t="str">
        <x:f>IF(RAND()&lt;'Team_Info'!$E$5,"W","B")</x:f>
        <x:v>W</x:v>
      </x:c>
      <x:c r="P57" t="str">
        <x:f>IF(RAND()&lt;'Team_Info'!$E$5,"W","B")</x:f>
        <x:v>W</x:v>
      </x:c>
      <x:c r="Q57" t="str">
        <x:f>IF(RAND()&lt;'Team_Info'!$E$5,"W","B")</x:f>
        <x:v>W</x:v>
      </x:c>
      <x:c r="R57" t="str">
        <x:f>IF(RAND()&lt;'Team_Info'!$E$5,"W","B")</x:f>
        <x:v>W</x:v>
      </x:c>
      <x:c r="S57" t="str">
        <x:f>IF(RAND()&lt;'Team_Info'!$E$5,"W","B")</x:f>
        <x:v>B</x:v>
      </x:c>
      <x:c r="T57" t="str">
        <x:f>IF(RAND()&lt;'Team_Info'!$E$5,"W","B")</x:f>
        <x:v>W</x:v>
      </x:c>
      <x:c r="U57" t="str">
        <x:f>IF(RAND()&lt;'Team_Info'!$E$5,"W","B")</x:f>
        <x:v>W</x:v>
      </x:c>
    </x:row>
    <x:row r="58">
      <x:c r="A58" s="1">
        <x:v>57</x:v>
      </x:c>
      <x:c r="B58" t="str">
        <x:f>IF(RAND()&lt;'Team_Info'!$E$5,"W","B")</x:f>
        <x:v>B</x:v>
      </x:c>
      <x:c r="C58" t="str">
        <x:f>IF(RAND()&lt;'Team_Info'!$E$5,"W","B")</x:f>
        <x:v>W</x:v>
      </x:c>
      <x:c r="D58" t="str">
        <x:f>IF(RAND()&lt;'Team_Info'!$E$5,"W","B")</x:f>
        <x:v>W</x:v>
      </x:c>
      <x:c r="E58" t="str">
        <x:f>IF(RAND()&lt;'Team_Info'!$E$5,"W","B")</x:f>
        <x:v>B</x:v>
      </x:c>
      <x:c r="F58" t="str">
        <x:f>IF(RAND()&lt;'Team_Info'!$E$5,"W","B")</x:f>
        <x:v>B</x:v>
      </x:c>
      <x:c r="G58" t="str">
        <x:f>IF(RAND()&lt;'Team_Info'!$E$5,"W","B")</x:f>
        <x:v>B</x:v>
      </x:c>
      <x:c r="H58" t="str">
        <x:f>IF(RAND()&lt;'Team_Info'!$E$5,"W","B")</x:f>
        <x:v>W</x:v>
      </x:c>
      <x:c r="I58" t="str">
        <x:f>IF(RAND()&lt;'Team_Info'!$E$5,"W","B")</x:f>
        <x:v>B</x:v>
      </x:c>
      <x:c r="J58" t="str">
        <x:f>IF(RAND()&lt;'Team_Info'!$E$5,"W","B")</x:f>
        <x:v>B</x:v>
      </x:c>
      <x:c r="K58" t="str">
        <x:f>IF(RAND()&lt;'Team_Info'!$E$5,"W","B")</x:f>
        <x:v>W</x:v>
      </x:c>
      <x:c r="L58" t="str">
        <x:f>IF(RAND()&lt;'Team_Info'!$E$5,"W","B")</x:f>
        <x:v>W</x:v>
      </x:c>
      <x:c r="M58" t="str">
        <x:f>IF(RAND()&lt;'Team_Info'!$E$5,"W","B")</x:f>
        <x:v>W</x:v>
      </x:c>
      <x:c r="N58" t="str">
        <x:f>IF(RAND()&lt;'Team_Info'!$E$5,"W","B")</x:f>
        <x:v>B</x:v>
      </x:c>
      <x:c r="O58" t="str">
        <x:f>IF(RAND()&lt;'Team_Info'!$E$5,"W","B")</x:f>
        <x:v>W</x:v>
      </x:c>
      <x:c r="P58" t="str">
        <x:f>IF(RAND()&lt;'Team_Info'!$E$5,"W","B")</x:f>
        <x:v>B</x:v>
      </x:c>
      <x:c r="Q58" t="str">
        <x:f>IF(RAND()&lt;'Team_Info'!$E$5,"W","B")</x:f>
        <x:v>B</x:v>
      </x:c>
      <x:c r="R58" t="str">
        <x:f>IF(RAND()&lt;'Team_Info'!$E$5,"W","B")</x:f>
        <x:v>B</x:v>
      </x:c>
      <x:c r="S58" t="str">
        <x:f>IF(RAND()&lt;'Team_Info'!$E$5,"W","B")</x:f>
        <x:v>W</x:v>
      </x:c>
      <x:c r="T58" t="str">
        <x:f>IF(RAND()&lt;'Team_Info'!$E$5,"W","B")</x:f>
        <x:v>B</x:v>
      </x:c>
      <x:c r="U58" t="str">
        <x:f>IF(RAND()&lt;'Team_Info'!$E$5,"W","B")</x:f>
        <x:v>B</x:v>
      </x:c>
    </x:row>
    <x:row r="59">
      <x:c r="A59" s="1">
        <x:v>58</x:v>
      </x:c>
      <x:c r="B59" t="str">
        <x:f>IF(RAND()&lt;'Team_Info'!$E$5,"W","B")</x:f>
        <x:v>W</x:v>
      </x:c>
      <x:c r="C59" t="str">
        <x:f>IF(RAND()&lt;'Team_Info'!$E$5,"W","B")</x:f>
        <x:v>B</x:v>
      </x:c>
      <x:c r="D59" t="str">
        <x:f>IF(RAND()&lt;'Team_Info'!$E$5,"W","B")</x:f>
        <x:v>B</x:v>
      </x:c>
      <x:c r="E59" t="str">
        <x:f>IF(RAND()&lt;'Team_Info'!$E$5,"W","B")</x:f>
        <x:v>B</x:v>
      </x:c>
      <x:c r="F59" t="str">
        <x:f>IF(RAND()&lt;'Team_Info'!$E$5,"W","B")</x:f>
        <x:v>W</x:v>
      </x:c>
      <x:c r="G59" t="str">
        <x:f>IF(RAND()&lt;'Team_Info'!$E$5,"W","B")</x:f>
        <x:v>B</x:v>
      </x:c>
      <x:c r="H59" t="str">
        <x:f>IF(RAND()&lt;'Team_Info'!$E$5,"W","B")</x:f>
        <x:v>B</x:v>
      </x:c>
      <x:c r="I59" t="str">
        <x:f>IF(RAND()&lt;'Team_Info'!$E$5,"W","B")</x:f>
        <x:v>B</x:v>
      </x:c>
      <x:c r="J59" t="str">
        <x:f>IF(RAND()&lt;'Team_Info'!$E$5,"W","B")</x:f>
        <x:v>B</x:v>
      </x:c>
      <x:c r="K59" t="str">
        <x:f>IF(RAND()&lt;'Team_Info'!$E$5,"W","B")</x:f>
        <x:v>B</x:v>
      </x:c>
      <x:c r="L59" t="str">
        <x:f>IF(RAND()&lt;'Team_Info'!$E$5,"W","B")</x:f>
        <x:v>B</x:v>
      </x:c>
      <x:c r="M59" t="str">
        <x:f>IF(RAND()&lt;'Team_Info'!$E$5,"W","B")</x:f>
        <x:v>B</x:v>
      </x:c>
      <x:c r="N59" t="str">
        <x:f>IF(RAND()&lt;'Team_Info'!$E$5,"W","B")</x:f>
        <x:v>B</x:v>
      </x:c>
      <x:c r="O59" t="str">
        <x:f>IF(RAND()&lt;'Team_Info'!$E$5,"W","B")</x:f>
        <x:v>W</x:v>
      </x:c>
      <x:c r="P59" t="str">
        <x:f>IF(RAND()&lt;'Team_Info'!$E$5,"W","B")</x:f>
        <x:v>B</x:v>
      </x:c>
      <x:c r="Q59" t="str">
        <x:f>IF(RAND()&lt;'Team_Info'!$E$5,"W","B")</x:f>
        <x:v>W</x:v>
      </x:c>
      <x:c r="R59" t="str">
        <x:f>IF(RAND()&lt;'Team_Info'!$E$5,"W","B")</x:f>
        <x:v>B</x:v>
      </x:c>
      <x:c r="S59" t="str">
        <x:f>IF(RAND()&lt;'Team_Info'!$E$5,"W","B")</x:f>
        <x:v>W</x:v>
      </x:c>
      <x:c r="T59" t="str">
        <x:f>IF(RAND()&lt;'Team_Info'!$E$5,"W","B")</x:f>
        <x:v>B</x:v>
      </x:c>
      <x:c r="U59" t="str">
        <x:f>IF(RAND()&lt;'Team_Info'!$E$5,"W","B")</x:f>
        <x:v>B</x:v>
      </x:c>
    </x:row>
    <x:row r="60">
      <x:c r="A60" s="1">
        <x:v>59</x:v>
      </x:c>
      <x:c r="B60" t="str">
        <x:f>IF(RAND()&lt;'Team_Info'!$E$5,"W","B")</x:f>
        <x:v>B</x:v>
      </x:c>
      <x:c r="C60" t="str">
        <x:f>IF(RAND()&lt;'Team_Info'!$E$5,"W","B")</x:f>
        <x:v>B</x:v>
      </x:c>
      <x:c r="D60" t="str">
        <x:f>IF(RAND()&lt;'Team_Info'!$E$5,"W","B")</x:f>
        <x:v>B</x:v>
      </x:c>
      <x:c r="E60" t="str">
        <x:f>IF(RAND()&lt;'Team_Info'!$E$5,"W","B")</x:f>
        <x:v>W</x:v>
      </x:c>
      <x:c r="F60" t="str">
        <x:f>IF(RAND()&lt;'Team_Info'!$E$5,"W","B")</x:f>
        <x:v>W</x:v>
      </x:c>
      <x:c r="G60" t="str">
        <x:f>IF(RAND()&lt;'Team_Info'!$E$5,"W","B")</x:f>
        <x:v>B</x:v>
      </x:c>
      <x:c r="H60" t="str">
        <x:f>IF(RAND()&lt;'Team_Info'!$E$5,"W","B")</x:f>
        <x:v>W</x:v>
      </x:c>
      <x:c r="I60" t="str">
        <x:f>IF(RAND()&lt;'Team_Info'!$E$5,"W","B")</x:f>
        <x:v>W</x:v>
      </x:c>
      <x:c r="J60" t="str">
        <x:f>IF(RAND()&lt;'Team_Info'!$E$5,"W","B")</x:f>
        <x:v>B</x:v>
      </x:c>
      <x:c r="K60" t="str">
        <x:f>IF(RAND()&lt;'Team_Info'!$E$5,"W","B")</x:f>
        <x:v>B</x:v>
      </x:c>
      <x:c r="L60" t="str">
        <x:f>IF(RAND()&lt;'Team_Info'!$E$5,"W","B")</x:f>
        <x:v>B</x:v>
      </x:c>
      <x:c r="M60" t="str">
        <x:f>IF(RAND()&lt;'Team_Info'!$E$5,"W","B")</x:f>
        <x:v>B</x:v>
      </x:c>
      <x:c r="N60" t="str">
        <x:f>IF(RAND()&lt;'Team_Info'!$E$5,"W","B")</x:f>
        <x:v>B</x:v>
      </x:c>
      <x:c r="O60" t="str">
        <x:f>IF(RAND()&lt;'Team_Info'!$E$5,"W","B")</x:f>
        <x:v>B</x:v>
      </x:c>
      <x:c r="P60" t="str">
        <x:f>IF(RAND()&lt;'Team_Info'!$E$5,"W","B")</x:f>
        <x:v>W</x:v>
      </x:c>
      <x:c r="Q60" t="str">
        <x:f>IF(RAND()&lt;'Team_Info'!$E$5,"W","B")</x:f>
        <x:v>W</x:v>
      </x:c>
      <x:c r="R60" t="str">
        <x:f>IF(RAND()&lt;'Team_Info'!$E$5,"W","B")</x:f>
        <x:v>W</x:v>
      </x:c>
      <x:c r="S60" t="str">
        <x:f>IF(RAND()&lt;'Team_Info'!$E$5,"W","B")</x:f>
        <x:v>B</x:v>
      </x:c>
      <x:c r="T60" t="str">
        <x:f>IF(RAND()&lt;'Team_Info'!$E$5,"W","B")</x:f>
        <x:v>W</x:v>
      </x:c>
      <x:c r="U60" t="str">
        <x:f>IF(RAND()&lt;'Team_Info'!$E$5,"W","B")</x:f>
        <x:v>B</x:v>
      </x:c>
    </x:row>
    <x:row r="61">
      <x:c r="A61" s="1">
        <x:v>60</x:v>
      </x:c>
      <x:c r="B61" t="str">
        <x:f>IF(RAND()&lt;'Team_Info'!$E$5,"W","B")</x:f>
        <x:v>B</x:v>
      </x:c>
      <x:c r="C61" t="str">
        <x:f>IF(RAND()&lt;'Team_Info'!$E$5,"W","B")</x:f>
        <x:v>B</x:v>
      </x:c>
      <x:c r="D61" t="str">
        <x:f>IF(RAND()&lt;'Team_Info'!$E$5,"W","B")</x:f>
        <x:v>B</x:v>
      </x:c>
      <x:c r="E61" t="str">
        <x:f>IF(RAND()&lt;'Team_Info'!$E$5,"W","B")</x:f>
        <x:v>W</x:v>
      </x:c>
      <x:c r="F61" t="str">
        <x:f>IF(RAND()&lt;'Team_Info'!$E$5,"W","B")</x:f>
        <x:v>B</x:v>
      </x:c>
      <x:c r="G61" t="str">
        <x:f>IF(RAND()&lt;'Team_Info'!$E$5,"W","B")</x:f>
        <x:v>B</x:v>
      </x:c>
      <x:c r="H61" t="str">
        <x:f>IF(RAND()&lt;'Team_Info'!$E$5,"W","B")</x:f>
        <x:v>W</x:v>
      </x:c>
      <x:c r="I61" t="str">
        <x:f>IF(RAND()&lt;'Team_Info'!$E$5,"W","B")</x:f>
        <x:v>B</x:v>
      </x:c>
      <x:c r="J61" t="str">
        <x:f>IF(RAND()&lt;'Team_Info'!$E$5,"W","B")</x:f>
        <x:v>W</x:v>
      </x:c>
      <x:c r="K61" t="str">
        <x:f>IF(RAND()&lt;'Team_Info'!$E$5,"W","B")</x:f>
        <x:v>W</x:v>
      </x:c>
      <x:c r="L61" t="str">
        <x:f>IF(RAND()&lt;'Team_Info'!$E$5,"W","B")</x:f>
        <x:v>W</x:v>
      </x:c>
      <x:c r="M61" t="str">
        <x:f>IF(RAND()&lt;'Team_Info'!$E$5,"W","B")</x:f>
        <x:v>W</x:v>
      </x:c>
      <x:c r="N61" t="str">
        <x:f>IF(RAND()&lt;'Team_Info'!$E$5,"W","B")</x:f>
        <x:v>B</x:v>
      </x:c>
      <x:c r="O61" t="str">
        <x:f>IF(RAND()&lt;'Team_Info'!$E$5,"W","B")</x:f>
        <x:v>W</x:v>
      </x:c>
      <x:c r="P61" t="str">
        <x:f>IF(RAND()&lt;'Team_Info'!$E$5,"W","B")</x:f>
        <x:v>B</x:v>
      </x:c>
      <x:c r="Q61" t="str">
        <x:f>IF(RAND()&lt;'Team_Info'!$E$5,"W","B")</x:f>
        <x:v>B</x:v>
      </x:c>
      <x:c r="R61" t="str">
        <x:f>IF(RAND()&lt;'Team_Info'!$E$5,"W","B")</x:f>
        <x:v>B</x:v>
      </x:c>
      <x:c r="S61" t="str">
        <x:f>IF(RAND()&lt;'Team_Info'!$E$5,"W","B")</x:f>
        <x:v>B</x:v>
      </x:c>
      <x:c r="T61" t="str">
        <x:f>IF(RAND()&lt;'Team_Info'!$E$5,"W","B")</x:f>
        <x:v>W</x:v>
      </x:c>
      <x:c r="U61" t="str">
        <x:f>IF(RAND()&lt;'Team_Info'!$E$5,"W","B")</x:f>
        <x:v>B</x:v>
      </x:c>
    </x:row>
    <x:row r="62">
      <x:c r="A62" s="1">
        <x:v>61</x:v>
      </x:c>
      <x:c r="B62" t="str">
        <x:f>IF(RAND()&lt;'Team_Info'!$E$5,"W","B")</x:f>
        <x:v>B</x:v>
      </x:c>
      <x:c r="C62" t="str">
        <x:f>IF(RAND()&lt;'Team_Info'!$E$5,"W","B")</x:f>
        <x:v>W</x:v>
      </x:c>
      <x:c r="D62" t="str">
        <x:f>IF(RAND()&lt;'Team_Info'!$E$5,"W","B")</x:f>
        <x:v>B</x:v>
      </x:c>
      <x:c r="E62" t="str">
        <x:f>IF(RAND()&lt;'Team_Info'!$E$5,"W","B")</x:f>
        <x:v>B</x:v>
      </x:c>
      <x:c r="F62" t="str">
        <x:f>IF(RAND()&lt;'Team_Info'!$E$5,"W","B")</x:f>
        <x:v>W</x:v>
      </x:c>
      <x:c r="G62" t="str">
        <x:f>IF(RAND()&lt;'Team_Info'!$E$5,"W","B")</x:f>
        <x:v>W</x:v>
      </x:c>
      <x:c r="H62" t="str">
        <x:f>IF(RAND()&lt;'Team_Info'!$E$5,"W","B")</x:f>
        <x:v>B</x:v>
      </x:c>
      <x:c r="I62" t="str">
        <x:f>IF(RAND()&lt;'Team_Info'!$E$5,"W","B")</x:f>
        <x:v>B</x:v>
      </x:c>
      <x:c r="J62" t="str">
        <x:f>IF(RAND()&lt;'Team_Info'!$E$5,"W","B")</x:f>
        <x:v>W</x:v>
      </x:c>
      <x:c r="K62" t="str">
        <x:f>IF(RAND()&lt;'Team_Info'!$E$5,"W","B")</x:f>
        <x:v>W</x:v>
      </x:c>
      <x:c r="L62" t="str">
        <x:f>IF(RAND()&lt;'Team_Info'!$E$5,"W","B")</x:f>
        <x:v>B</x:v>
      </x:c>
      <x:c r="M62" t="str">
        <x:f>IF(RAND()&lt;'Team_Info'!$E$5,"W","B")</x:f>
        <x:v>B</x:v>
      </x:c>
      <x:c r="N62" t="str">
        <x:f>IF(RAND()&lt;'Team_Info'!$E$5,"W","B")</x:f>
        <x:v>B</x:v>
      </x:c>
      <x:c r="O62" t="str">
        <x:f>IF(RAND()&lt;'Team_Info'!$E$5,"W","B")</x:f>
        <x:v>B</x:v>
      </x:c>
      <x:c r="P62" t="str">
        <x:f>IF(RAND()&lt;'Team_Info'!$E$5,"W","B")</x:f>
        <x:v>W</x:v>
      </x:c>
      <x:c r="Q62" t="str">
        <x:f>IF(RAND()&lt;'Team_Info'!$E$5,"W","B")</x:f>
        <x:v>W</x:v>
      </x:c>
      <x:c r="R62" t="str">
        <x:f>IF(RAND()&lt;'Team_Info'!$E$5,"W","B")</x:f>
        <x:v>B</x:v>
      </x:c>
      <x:c r="S62" t="str">
        <x:f>IF(RAND()&lt;'Team_Info'!$E$5,"W","B")</x:f>
        <x:v>B</x:v>
      </x:c>
      <x:c r="T62" t="str">
        <x:f>IF(RAND()&lt;'Team_Info'!$E$5,"W","B")</x:f>
        <x:v>B</x:v>
      </x:c>
      <x:c r="U62" t="str">
        <x:f>IF(RAND()&lt;'Team_Info'!$E$5,"W","B")</x:f>
        <x:v>W</x:v>
      </x:c>
    </x:row>
    <x:row r="63">
      <x:c r="A63" s="1">
        <x:v>62</x:v>
      </x:c>
      <x:c r="B63" t="str">
        <x:f>IF(RAND()&lt;'Team_Info'!$E$5,"W","B")</x:f>
        <x:v>W</x:v>
      </x:c>
      <x:c r="C63" t="str">
        <x:f>IF(RAND()&lt;'Team_Info'!$E$5,"W","B")</x:f>
        <x:v>B</x:v>
      </x:c>
      <x:c r="D63" t="str">
        <x:f>IF(RAND()&lt;'Team_Info'!$E$5,"W","B")</x:f>
        <x:v>B</x:v>
      </x:c>
      <x:c r="E63" t="str">
        <x:f>IF(RAND()&lt;'Team_Info'!$E$5,"W","B")</x:f>
        <x:v>W</x:v>
      </x:c>
      <x:c r="F63" t="str">
        <x:f>IF(RAND()&lt;'Team_Info'!$E$5,"W","B")</x:f>
        <x:v>B</x:v>
      </x:c>
      <x:c r="G63" t="str">
        <x:f>IF(RAND()&lt;'Team_Info'!$E$5,"W","B")</x:f>
        <x:v>W</x:v>
      </x:c>
      <x:c r="H63" t="str">
        <x:f>IF(RAND()&lt;'Team_Info'!$E$5,"W","B")</x:f>
        <x:v>W</x:v>
      </x:c>
      <x:c r="I63" t="str">
        <x:f>IF(RAND()&lt;'Team_Info'!$E$5,"W","B")</x:f>
        <x:v>B</x:v>
      </x:c>
      <x:c r="J63" t="str">
        <x:f>IF(RAND()&lt;'Team_Info'!$E$5,"W","B")</x:f>
        <x:v>W</x:v>
      </x:c>
      <x:c r="K63" t="str">
        <x:f>IF(RAND()&lt;'Team_Info'!$E$5,"W","B")</x:f>
        <x:v>B</x:v>
      </x:c>
      <x:c r="L63" t="str">
        <x:f>IF(RAND()&lt;'Team_Info'!$E$5,"W","B")</x:f>
        <x:v>W</x:v>
      </x:c>
      <x:c r="M63" t="str">
        <x:f>IF(RAND()&lt;'Team_Info'!$E$5,"W","B")</x:f>
        <x:v>W</x:v>
      </x:c>
      <x:c r="N63" t="str">
        <x:f>IF(RAND()&lt;'Team_Info'!$E$5,"W","B")</x:f>
        <x:v>B</x:v>
      </x:c>
      <x:c r="O63" t="str">
        <x:f>IF(RAND()&lt;'Team_Info'!$E$5,"W","B")</x:f>
        <x:v>B</x:v>
      </x:c>
      <x:c r="P63" t="str">
        <x:f>IF(RAND()&lt;'Team_Info'!$E$5,"W","B")</x:f>
        <x:v>W</x:v>
      </x:c>
      <x:c r="Q63" t="str">
        <x:f>IF(RAND()&lt;'Team_Info'!$E$5,"W","B")</x:f>
        <x:v>B</x:v>
      </x:c>
      <x:c r="R63" t="str">
        <x:f>IF(RAND()&lt;'Team_Info'!$E$5,"W","B")</x:f>
        <x:v>W</x:v>
      </x:c>
      <x:c r="S63" t="str">
        <x:f>IF(RAND()&lt;'Team_Info'!$E$5,"W","B")</x:f>
        <x:v>W</x:v>
      </x:c>
      <x:c r="T63" t="str">
        <x:f>IF(RAND()&lt;'Team_Info'!$E$5,"W","B")</x:f>
        <x:v>W</x:v>
      </x:c>
      <x:c r="U63" t="str">
        <x:f>IF(RAND()&lt;'Team_Info'!$E$5,"W","B")</x:f>
        <x:v>W</x:v>
      </x:c>
    </x:row>
    <x:row r="64">
      <x:c r="A64" s="1">
        <x:v>63</x:v>
      </x:c>
      <x:c r="B64" t="str">
        <x:f>IF(RAND()&lt;'Team_Info'!$E$5,"W","B")</x:f>
        <x:v>B</x:v>
      </x:c>
      <x:c r="C64" t="str">
        <x:f>IF(RAND()&lt;'Team_Info'!$E$5,"W","B")</x:f>
        <x:v>W</x:v>
      </x:c>
      <x:c r="D64" t="str">
        <x:f>IF(RAND()&lt;'Team_Info'!$E$5,"W","B")</x:f>
        <x:v>W</x:v>
      </x:c>
      <x:c r="E64" t="str">
        <x:f>IF(RAND()&lt;'Team_Info'!$E$5,"W","B")</x:f>
        <x:v>B</x:v>
      </x:c>
      <x:c r="F64" t="str">
        <x:f>IF(RAND()&lt;'Team_Info'!$E$5,"W","B")</x:f>
        <x:v>B</x:v>
      </x:c>
      <x:c r="G64" t="str">
        <x:f>IF(RAND()&lt;'Team_Info'!$E$5,"W","B")</x:f>
        <x:v>B</x:v>
      </x:c>
      <x:c r="H64" t="str">
        <x:f>IF(RAND()&lt;'Team_Info'!$E$5,"W","B")</x:f>
        <x:v>B</x:v>
      </x:c>
      <x:c r="I64" t="str">
        <x:f>IF(RAND()&lt;'Team_Info'!$E$5,"W","B")</x:f>
        <x:v>B</x:v>
      </x:c>
      <x:c r="J64" t="str">
        <x:f>IF(RAND()&lt;'Team_Info'!$E$5,"W","B")</x:f>
        <x:v>B</x:v>
      </x:c>
      <x:c r="K64" t="str">
        <x:f>IF(RAND()&lt;'Team_Info'!$E$5,"W","B")</x:f>
        <x:v>W</x:v>
      </x:c>
      <x:c r="L64" t="str">
        <x:f>IF(RAND()&lt;'Team_Info'!$E$5,"W","B")</x:f>
        <x:v>B</x:v>
      </x:c>
      <x:c r="M64" t="str">
        <x:f>IF(RAND()&lt;'Team_Info'!$E$5,"W","B")</x:f>
        <x:v>W</x:v>
      </x:c>
      <x:c r="N64" t="str">
        <x:f>IF(RAND()&lt;'Team_Info'!$E$5,"W","B")</x:f>
        <x:v>B</x:v>
      </x:c>
      <x:c r="O64" t="str">
        <x:f>IF(RAND()&lt;'Team_Info'!$E$5,"W","B")</x:f>
        <x:v>B</x:v>
      </x:c>
      <x:c r="P64" t="str">
        <x:f>IF(RAND()&lt;'Team_Info'!$E$5,"W","B")</x:f>
        <x:v>B</x:v>
      </x:c>
      <x:c r="Q64" t="str">
        <x:f>IF(RAND()&lt;'Team_Info'!$E$5,"W","B")</x:f>
        <x:v>B</x:v>
      </x:c>
      <x:c r="R64" t="str">
        <x:f>IF(RAND()&lt;'Team_Info'!$E$5,"W","B")</x:f>
        <x:v>B</x:v>
      </x:c>
      <x:c r="S64" t="str">
        <x:f>IF(RAND()&lt;'Team_Info'!$E$5,"W","B")</x:f>
        <x:v>B</x:v>
      </x:c>
      <x:c r="T64" t="str">
        <x:f>IF(RAND()&lt;'Team_Info'!$E$5,"W","B")</x:f>
        <x:v>B</x:v>
      </x:c>
      <x:c r="U64" t="str">
        <x:f>IF(RAND()&lt;'Team_Info'!$E$5,"W","B")</x:f>
        <x:v>B</x:v>
      </x:c>
    </x:row>
    <x:row r="65">
      <x:c r="A65" s="1">
        <x:v>64</x:v>
      </x:c>
      <x:c r="B65" t="str">
        <x:f>IF(RAND()&lt;'Team_Info'!$E$5,"W","B")</x:f>
        <x:v>W</x:v>
      </x:c>
      <x:c r="C65" t="str">
        <x:f>IF(RAND()&lt;'Team_Info'!$E$5,"W","B")</x:f>
        <x:v>B</x:v>
      </x:c>
      <x:c r="D65" t="str">
        <x:f>IF(RAND()&lt;'Team_Info'!$E$5,"W","B")</x:f>
        <x:v>B</x:v>
      </x:c>
      <x:c r="E65" t="str">
        <x:f>IF(RAND()&lt;'Team_Info'!$E$5,"W","B")</x:f>
        <x:v>W</x:v>
      </x:c>
      <x:c r="F65" t="str">
        <x:f>IF(RAND()&lt;'Team_Info'!$E$5,"W","B")</x:f>
        <x:v>B</x:v>
      </x:c>
      <x:c r="G65" t="str">
        <x:f>IF(RAND()&lt;'Team_Info'!$E$5,"W","B")</x:f>
        <x:v>B</x:v>
      </x:c>
      <x:c r="H65" t="str">
        <x:f>IF(RAND()&lt;'Team_Info'!$E$5,"W","B")</x:f>
        <x:v>W</x:v>
      </x:c>
      <x:c r="I65" t="str">
        <x:f>IF(RAND()&lt;'Team_Info'!$E$5,"W","B")</x:f>
        <x:v>B</x:v>
      </x:c>
      <x:c r="J65" t="str">
        <x:f>IF(RAND()&lt;'Team_Info'!$E$5,"W","B")</x:f>
        <x:v>W</x:v>
      </x:c>
      <x:c r="K65" t="str">
        <x:f>IF(RAND()&lt;'Team_Info'!$E$5,"W","B")</x:f>
        <x:v>B</x:v>
      </x:c>
      <x:c r="L65" t="str">
        <x:f>IF(RAND()&lt;'Team_Info'!$E$5,"W","B")</x:f>
        <x:v>B</x:v>
      </x:c>
      <x:c r="M65" t="str">
        <x:f>IF(RAND()&lt;'Team_Info'!$E$5,"W","B")</x:f>
        <x:v>W</x:v>
      </x:c>
      <x:c r="N65" t="str">
        <x:f>IF(RAND()&lt;'Team_Info'!$E$5,"W","B")</x:f>
        <x:v>W</x:v>
      </x:c>
      <x:c r="O65" t="str">
        <x:f>IF(RAND()&lt;'Team_Info'!$E$5,"W","B")</x:f>
        <x:v>B</x:v>
      </x:c>
      <x:c r="P65" t="str">
        <x:f>IF(RAND()&lt;'Team_Info'!$E$5,"W","B")</x:f>
        <x:v>B</x:v>
      </x:c>
      <x:c r="Q65" t="str">
        <x:f>IF(RAND()&lt;'Team_Info'!$E$5,"W","B")</x:f>
        <x:v>W</x:v>
      </x:c>
      <x:c r="R65" t="str">
        <x:f>IF(RAND()&lt;'Team_Info'!$E$5,"W","B")</x:f>
        <x:v>B</x:v>
      </x:c>
      <x:c r="S65" t="str">
        <x:f>IF(RAND()&lt;'Team_Info'!$E$5,"W","B")</x:f>
        <x:v>B</x:v>
      </x:c>
      <x:c r="T65" t="str">
        <x:f>IF(RAND()&lt;'Team_Info'!$E$5,"W","B")</x:f>
        <x:v>B</x:v>
      </x:c>
      <x:c r="U65" t="str">
        <x:f>IF(RAND()&lt;'Team_Info'!$E$5,"W","B")</x:f>
        <x:v>B</x:v>
      </x:c>
    </x:row>
    <x:row r="66">
      <x:c r="A66" s="1">
        <x:v>65</x:v>
      </x:c>
      <x:c r="B66" t="str">
        <x:f>IF(RAND()&lt;'Team_Info'!$E$5,"W","B")</x:f>
        <x:v>B</x:v>
      </x:c>
      <x:c r="C66" t="str">
        <x:f>IF(RAND()&lt;'Team_Info'!$E$5,"W","B")</x:f>
        <x:v>B</x:v>
      </x:c>
      <x:c r="D66" t="str">
        <x:f>IF(RAND()&lt;'Team_Info'!$E$5,"W","B")</x:f>
        <x:v>B</x:v>
      </x:c>
      <x:c r="E66" t="str">
        <x:f>IF(RAND()&lt;'Team_Info'!$E$5,"W","B")</x:f>
        <x:v>B</x:v>
      </x:c>
      <x:c r="F66" t="str">
        <x:f>IF(RAND()&lt;'Team_Info'!$E$5,"W","B")</x:f>
        <x:v>B</x:v>
      </x:c>
      <x:c r="G66" t="str">
        <x:f>IF(RAND()&lt;'Team_Info'!$E$5,"W","B")</x:f>
        <x:v>W</x:v>
      </x:c>
      <x:c r="H66" t="str">
        <x:f>IF(RAND()&lt;'Team_Info'!$E$5,"W","B")</x:f>
        <x:v>B</x:v>
      </x:c>
      <x:c r="I66" t="str">
        <x:f>IF(RAND()&lt;'Team_Info'!$E$5,"W","B")</x:f>
        <x:v>W</x:v>
      </x:c>
      <x:c r="J66" t="str">
        <x:f>IF(RAND()&lt;'Team_Info'!$E$5,"W","B")</x:f>
        <x:v>W</x:v>
      </x:c>
      <x:c r="K66" t="str">
        <x:f>IF(RAND()&lt;'Team_Info'!$E$5,"W","B")</x:f>
        <x:v>W</x:v>
      </x:c>
      <x:c r="L66" t="str">
        <x:f>IF(RAND()&lt;'Team_Info'!$E$5,"W","B")</x:f>
        <x:v>W</x:v>
      </x:c>
      <x:c r="M66" t="str">
        <x:f>IF(RAND()&lt;'Team_Info'!$E$5,"W","B")</x:f>
        <x:v>W</x:v>
      </x:c>
      <x:c r="N66" t="str">
        <x:f>IF(RAND()&lt;'Team_Info'!$E$5,"W","B")</x:f>
        <x:v>B</x:v>
      </x:c>
      <x:c r="O66" t="str">
        <x:f>IF(RAND()&lt;'Team_Info'!$E$5,"W","B")</x:f>
        <x:v>B</x:v>
      </x:c>
      <x:c r="P66" t="str">
        <x:f>IF(RAND()&lt;'Team_Info'!$E$5,"W","B")</x:f>
        <x:v>B</x:v>
      </x:c>
      <x:c r="Q66" t="str">
        <x:f>IF(RAND()&lt;'Team_Info'!$E$5,"W","B")</x:f>
        <x:v>B</x:v>
      </x:c>
      <x:c r="R66" t="str">
        <x:f>IF(RAND()&lt;'Team_Info'!$E$5,"W","B")</x:f>
        <x:v>B</x:v>
      </x:c>
      <x:c r="S66" t="str">
        <x:f>IF(RAND()&lt;'Team_Info'!$E$5,"W","B")</x:f>
        <x:v>B</x:v>
      </x:c>
      <x:c r="T66" t="str">
        <x:f>IF(RAND()&lt;'Team_Info'!$E$5,"W","B")</x:f>
        <x:v>B</x:v>
      </x:c>
      <x:c r="U66" t="str">
        <x:f>IF(RAND()&lt;'Team_Info'!$E$5,"W","B")</x:f>
        <x:v>W</x:v>
      </x:c>
    </x:row>
    <x:row r="67">
      <x:c r="A67" s="1">
        <x:v>66</x:v>
      </x:c>
      <x:c r="B67" t="str">
        <x:f>IF(RAND()&lt;'Team_Info'!$E$5,"W","B")</x:f>
        <x:v>W</x:v>
      </x:c>
      <x:c r="C67" t="str">
        <x:f>IF(RAND()&lt;'Team_Info'!$E$5,"W","B")</x:f>
        <x:v>B</x:v>
      </x:c>
      <x:c r="D67" t="str">
        <x:f>IF(RAND()&lt;'Team_Info'!$E$5,"W","B")</x:f>
        <x:v>B</x:v>
      </x:c>
      <x:c r="E67" t="str">
        <x:f>IF(RAND()&lt;'Team_Info'!$E$5,"W","B")</x:f>
        <x:v>W</x:v>
      </x:c>
      <x:c r="F67" t="str">
        <x:f>IF(RAND()&lt;'Team_Info'!$E$5,"W","B")</x:f>
        <x:v>B</x:v>
      </x:c>
      <x:c r="G67" t="str">
        <x:f>IF(RAND()&lt;'Team_Info'!$E$5,"W","B")</x:f>
        <x:v>W</x:v>
      </x:c>
      <x:c r="H67" t="str">
        <x:f>IF(RAND()&lt;'Team_Info'!$E$5,"W","B")</x:f>
        <x:v>B</x:v>
      </x:c>
      <x:c r="I67" t="str">
        <x:f>IF(RAND()&lt;'Team_Info'!$E$5,"W","B")</x:f>
        <x:v>B</x:v>
      </x:c>
      <x:c r="J67" t="str">
        <x:f>IF(RAND()&lt;'Team_Info'!$E$5,"W","B")</x:f>
        <x:v>W</x:v>
      </x:c>
      <x:c r="K67" t="str">
        <x:f>IF(RAND()&lt;'Team_Info'!$E$5,"W","B")</x:f>
        <x:v>B</x:v>
      </x:c>
      <x:c r="L67" t="str">
        <x:f>IF(RAND()&lt;'Team_Info'!$E$5,"W","B")</x:f>
        <x:v>B</x:v>
      </x:c>
      <x:c r="M67" t="str">
        <x:f>IF(RAND()&lt;'Team_Info'!$E$5,"W","B")</x:f>
        <x:v>W</x:v>
      </x:c>
      <x:c r="N67" t="str">
        <x:f>IF(RAND()&lt;'Team_Info'!$E$5,"W","B")</x:f>
        <x:v>W</x:v>
      </x:c>
      <x:c r="O67" t="str">
        <x:f>IF(RAND()&lt;'Team_Info'!$E$5,"W","B")</x:f>
        <x:v>B</x:v>
      </x:c>
      <x:c r="P67" t="str">
        <x:f>IF(RAND()&lt;'Team_Info'!$E$5,"W","B")</x:f>
        <x:v>B</x:v>
      </x:c>
      <x:c r="Q67" t="str">
        <x:f>IF(RAND()&lt;'Team_Info'!$E$5,"W","B")</x:f>
        <x:v>B</x:v>
      </x:c>
      <x:c r="R67" t="str">
        <x:f>IF(RAND()&lt;'Team_Info'!$E$5,"W","B")</x:f>
        <x:v>B</x:v>
      </x:c>
      <x:c r="S67" t="str">
        <x:f>IF(RAND()&lt;'Team_Info'!$E$5,"W","B")</x:f>
        <x:v>W</x:v>
      </x:c>
      <x:c r="T67" t="str">
        <x:f>IF(RAND()&lt;'Team_Info'!$E$5,"W","B")</x:f>
        <x:v>B</x:v>
      </x:c>
      <x:c r="U67" t="str">
        <x:f>IF(RAND()&lt;'Team_Info'!$E$5,"W","B")</x:f>
        <x:v>W</x:v>
      </x:c>
    </x:row>
    <x:row r="68">
      <x:c r="A68" s="1">
        <x:v>67</x:v>
      </x:c>
      <x:c r="B68" t="str">
        <x:f>IF(RAND()&lt;'Team_Info'!$E$5,"W","B")</x:f>
        <x:v>B</x:v>
      </x:c>
      <x:c r="C68" t="str">
        <x:f>IF(RAND()&lt;'Team_Info'!$E$5,"W","B")</x:f>
        <x:v>B</x:v>
      </x:c>
      <x:c r="D68" t="str">
        <x:f>IF(RAND()&lt;'Team_Info'!$E$5,"W","B")</x:f>
        <x:v>B</x:v>
      </x:c>
      <x:c r="E68" t="str">
        <x:f>IF(RAND()&lt;'Team_Info'!$E$5,"W","B")</x:f>
        <x:v>B</x:v>
      </x:c>
      <x:c r="F68" t="str">
        <x:f>IF(RAND()&lt;'Team_Info'!$E$5,"W","B")</x:f>
        <x:v>B</x:v>
      </x:c>
      <x:c r="G68" t="str">
        <x:f>IF(RAND()&lt;'Team_Info'!$E$5,"W","B")</x:f>
        <x:v>B</x:v>
      </x:c>
      <x:c r="H68" t="str">
        <x:f>IF(RAND()&lt;'Team_Info'!$E$5,"W","B")</x:f>
        <x:v>B</x:v>
      </x:c>
      <x:c r="I68" t="str">
        <x:f>IF(RAND()&lt;'Team_Info'!$E$5,"W","B")</x:f>
        <x:v>W</x:v>
      </x:c>
      <x:c r="J68" t="str">
        <x:f>IF(RAND()&lt;'Team_Info'!$E$5,"W","B")</x:f>
        <x:v>W</x:v>
      </x:c>
      <x:c r="K68" t="str">
        <x:f>IF(RAND()&lt;'Team_Info'!$E$5,"W","B")</x:f>
        <x:v>W</x:v>
      </x:c>
      <x:c r="L68" t="str">
        <x:f>IF(RAND()&lt;'Team_Info'!$E$5,"W","B")</x:f>
        <x:v>B</x:v>
      </x:c>
      <x:c r="M68" t="str">
        <x:f>IF(RAND()&lt;'Team_Info'!$E$5,"W","B")</x:f>
        <x:v>B</x:v>
      </x:c>
      <x:c r="N68" t="str">
        <x:f>IF(RAND()&lt;'Team_Info'!$E$5,"W","B")</x:f>
        <x:v>B</x:v>
      </x:c>
      <x:c r="O68" t="str">
        <x:f>IF(RAND()&lt;'Team_Info'!$E$5,"W","B")</x:f>
        <x:v>W</x:v>
      </x:c>
      <x:c r="P68" t="str">
        <x:f>IF(RAND()&lt;'Team_Info'!$E$5,"W","B")</x:f>
        <x:v>B</x:v>
      </x:c>
      <x:c r="Q68" t="str">
        <x:f>IF(RAND()&lt;'Team_Info'!$E$5,"W","B")</x:f>
        <x:v>B</x:v>
      </x:c>
      <x:c r="R68" t="str">
        <x:f>IF(RAND()&lt;'Team_Info'!$E$5,"W","B")</x:f>
        <x:v>B</x:v>
      </x:c>
      <x:c r="S68" t="str">
        <x:f>IF(RAND()&lt;'Team_Info'!$E$5,"W","B")</x:f>
        <x:v>W</x:v>
      </x:c>
      <x:c r="T68" t="str">
        <x:f>IF(RAND()&lt;'Team_Info'!$E$5,"W","B")</x:f>
        <x:v>B</x:v>
      </x:c>
      <x:c r="U68" t="str">
        <x:f>IF(RAND()&lt;'Team_Info'!$E$5,"W","B")</x:f>
        <x:v>W</x:v>
      </x:c>
    </x:row>
    <x:row r="69">
      <x:c r="A69" s="1">
        <x:v>68</x:v>
      </x:c>
      <x:c r="B69" t="str">
        <x:f>IF(RAND()&lt;'Team_Info'!$E$5,"W","B")</x:f>
        <x:v>B</x:v>
      </x:c>
      <x:c r="C69" t="str">
        <x:f>IF(RAND()&lt;'Team_Info'!$E$5,"W","B")</x:f>
        <x:v>B</x:v>
      </x:c>
      <x:c r="D69" t="str">
        <x:f>IF(RAND()&lt;'Team_Info'!$E$5,"W","B")</x:f>
        <x:v>W</x:v>
      </x:c>
      <x:c r="E69" t="str">
        <x:f>IF(RAND()&lt;'Team_Info'!$E$5,"W","B")</x:f>
        <x:v>W</x:v>
      </x:c>
      <x:c r="F69" t="str">
        <x:f>IF(RAND()&lt;'Team_Info'!$E$5,"W","B")</x:f>
        <x:v>B</x:v>
      </x:c>
      <x:c r="G69" t="str">
        <x:f>IF(RAND()&lt;'Team_Info'!$E$5,"W","B")</x:f>
        <x:v>W</x:v>
      </x:c>
      <x:c r="H69" t="str">
        <x:f>IF(RAND()&lt;'Team_Info'!$E$5,"W","B")</x:f>
        <x:v>B</x:v>
      </x:c>
      <x:c r="I69" t="str">
        <x:f>IF(RAND()&lt;'Team_Info'!$E$5,"W","B")</x:f>
        <x:v>B</x:v>
      </x:c>
      <x:c r="J69" t="str">
        <x:f>IF(RAND()&lt;'Team_Info'!$E$5,"W","B")</x:f>
        <x:v>B</x:v>
      </x:c>
      <x:c r="K69" t="str">
        <x:f>IF(RAND()&lt;'Team_Info'!$E$5,"W","B")</x:f>
        <x:v>B</x:v>
      </x:c>
      <x:c r="L69" t="str">
        <x:f>IF(RAND()&lt;'Team_Info'!$E$5,"W","B")</x:f>
        <x:v>B</x:v>
      </x:c>
      <x:c r="M69" t="str">
        <x:f>IF(RAND()&lt;'Team_Info'!$E$5,"W","B")</x:f>
        <x:v>B</x:v>
      </x:c>
      <x:c r="N69" t="str">
        <x:f>IF(RAND()&lt;'Team_Info'!$E$5,"W","B")</x:f>
        <x:v>W</x:v>
      </x:c>
      <x:c r="O69" t="str">
        <x:f>IF(RAND()&lt;'Team_Info'!$E$5,"W","B")</x:f>
        <x:v>B</x:v>
      </x:c>
      <x:c r="P69" t="str">
        <x:f>IF(RAND()&lt;'Team_Info'!$E$5,"W","B")</x:f>
        <x:v>W</x:v>
      </x:c>
      <x:c r="Q69" t="str">
        <x:f>IF(RAND()&lt;'Team_Info'!$E$5,"W","B")</x:f>
        <x:v>B</x:v>
      </x:c>
      <x:c r="R69" t="str">
        <x:f>IF(RAND()&lt;'Team_Info'!$E$5,"W","B")</x:f>
        <x:v>B</x:v>
      </x:c>
      <x:c r="S69" t="str">
        <x:f>IF(RAND()&lt;'Team_Info'!$E$5,"W","B")</x:f>
        <x:v>B</x:v>
      </x:c>
      <x:c r="T69" t="str">
        <x:f>IF(RAND()&lt;'Team_Info'!$E$5,"W","B")</x:f>
        <x:v>B</x:v>
      </x:c>
      <x:c r="U69" t="str">
        <x:f>IF(RAND()&lt;'Team_Info'!$E$5,"W","B")</x:f>
        <x:v>B</x:v>
      </x:c>
    </x:row>
    <x:row r="70">
      <x:c r="A70" s="1">
        <x:v>69</x:v>
      </x:c>
      <x:c r="B70" t="str">
        <x:f>IF(RAND()&lt;'Team_Info'!$E$5,"W","B")</x:f>
        <x:v>B</x:v>
      </x:c>
      <x:c r="C70" t="str">
        <x:f>IF(RAND()&lt;'Team_Info'!$E$5,"W","B")</x:f>
        <x:v>W</x:v>
      </x:c>
      <x:c r="D70" t="str">
        <x:f>IF(RAND()&lt;'Team_Info'!$E$5,"W","B")</x:f>
        <x:v>W</x:v>
      </x:c>
      <x:c r="E70" t="str">
        <x:f>IF(RAND()&lt;'Team_Info'!$E$5,"W","B")</x:f>
        <x:v>W</x:v>
      </x:c>
      <x:c r="F70" t="str">
        <x:f>IF(RAND()&lt;'Team_Info'!$E$5,"W","B")</x:f>
        <x:v>B</x:v>
      </x:c>
      <x:c r="G70" t="str">
        <x:f>IF(RAND()&lt;'Team_Info'!$E$5,"W","B")</x:f>
        <x:v>B</x:v>
      </x:c>
      <x:c r="H70" t="str">
        <x:f>IF(RAND()&lt;'Team_Info'!$E$5,"W","B")</x:f>
        <x:v>B</x:v>
      </x:c>
      <x:c r="I70" t="str">
        <x:f>IF(RAND()&lt;'Team_Info'!$E$5,"W","B")</x:f>
        <x:v>B</x:v>
      </x:c>
      <x:c r="J70" t="str">
        <x:f>IF(RAND()&lt;'Team_Info'!$E$5,"W","B")</x:f>
        <x:v>B</x:v>
      </x:c>
      <x:c r="K70" t="str">
        <x:f>IF(RAND()&lt;'Team_Info'!$E$5,"W","B")</x:f>
        <x:v>W</x:v>
      </x:c>
      <x:c r="L70" t="str">
        <x:f>IF(RAND()&lt;'Team_Info'!$E$5,"W","B")</x:f>
        <x:v>W</x:v>
      </x:c>
      <x:c r="M70" t="str">
        <x:f>IF(RAND()&lt;'Team_Info'!$E$5,"W","B")</x:f>
        <x:v>B</x:v>
      </x:c>
      <x:c r="N70" t="str">
        <x:f>IF(RAND()&lt;'Team_Info'!$E$5,"W","B")</x:f>
        <x:v>B</x:v>
      </x:c>
      <x:c r="O70" t="str">
        <x:f>IF(RAND()&lt;'Team_Info'!$E$5,"W","B")</x:f>
        <x:v>B</x:v>
      </x:c>
      <x:c r="P70" t="str">
        <x:f>IF(RAND()&lt;'Team_Info'!$E$5,"W","B")</x:f>
        <x:v>B</x:v>
      </x:c>
      <x:c r="Q70" t="str">
        <x:f>IF(RAND()&lt;'Team_Info'!$E$5,"W","B")</x:f>
        <x:v>W</x:v>
      </x:c>
      <x:c r="R70" t="str">
        <x:f>IF(RAND()&lt;'Team_Info'!$E$5,"W","B")</x:f>
        <x:v>B</x:v>
      </x:c>
      <x:c r="S70" t="str">
        <x:f>IF(RAND()&lt;'Team_Info'!$E$5,"W","B")</x:f>
        <x:v>B</x:v>
      </x:c>
      <x:c r="T70" t="str">
        <x:f>IF(RAND()&lt;'Team_Info'!$E$5,"W","B")</x:f>
        <x:v>W</x:v>
      </x:c>
      <x:c r="U70" t="str">
        <x:f>IF(RAND()&lt;'Team_Info'!$E$5,"W","B")</x:f>
        <x:v>B</x:v>
      </x:c>
    </x:row>
    <x:row r="71">
      <x:c r="A71" s="1">
        <x:v>70</x:v>
      </x:c>
      <x:c r="B71" t="str">
        <x:f>IF(RAND()&lt;'Team_Info'!$E$5,"W","B")</x:f>
        <x:v>B</x:v>
      </x:c>
      <x:c r="C71" t="str">
        <x:f>IF(RAND()&lt;'Team_Info'!$E$5,"W","B")</x:f>
        <x:v>W</x:v>
      </x:c>
      <x:c r="D71" t="str">
        <x:f>IF(RAND()&lt;'Team_Info'!$E$5,"W","B")</x:f>
        <x:v>B</x:v>
      </x:c>
      <x:c r="E71" t="str">
        <x:f>IF(RAND()&lt;'Team_Info'!$E$5,"W","B")</x:f>
        <x:v>B</x:v>
      </x:c>
      <x:c r="F71" t="str">
        <x:f>IF(RAND()&lt;'Team_Info'!$E$5,"W","B")</x:f>
        <x:v>B</x:v>
      </x:c>
      <x:c r="G71" t="str">
        <x:f>IF(RAND()&lt;'Team_Info'!$E$5,"W","B")</x:f>
        <x:v>B</x:v>
      </x:c>
      <x:c r="H71" t="str">
        <x:f>IF(RAND()&lt;'Team_Info'!$E$5,"W","B")</x:f>
        <x:v>W</x:v>
      </x:c>
      <x:c r="I71" t="str">
        <x:f>IF(RAND()&lt;'Team_Info'!$E$5,"W","B")</x:f>
        <x:v>W</x:v>
      </x:c>
      <x:c r="J71" t="str">
        <x:f>IF(RAND()&lt;'Team_Info'!$E$5,"W","B")</x:f>
        <x:v>B</x:v>
      </x:c>
      <x:c r="K71" t="str">
        <x:f>IF(RAND()&lt;'Team_Info'!$E$5,"W","B")</x:f>
        <x:v>B</x:v>
      </x:c>
      <x:c r="L71" t="str">
        <x:f>IF(RAND()&lt;'Team_Info'!$E$5,"W","B")</x:f>
        <x:v>B</x:v>
      </x:c>
      <x:c r="M71" t="str">
        <x:f>IF(RAND()&lt;'Team_Info'!$E$5,"W","B")</x:f>
        <x:v>W</x:v>
      </x:c>
      <x:c r="N71" t="str">
        <x:f>IF(RAND()&lt;'Team_Info'!$E$5,"W","B")</x:f>
        <x:v>B</x:v>
      </x:c>
      <x:c r="O71" t="str">
        <x:f>IF(RAND()&lt;'Team_Info'!$E$5,"W","B")</x:f>
        <x:v>W</x:v>
      </x:c>
      <x:c r="P71" t="str">
        <x:f>IF(RAND()&lt;'Team_Info'!$E$5,"W","B")</x:f>
        <x:v>B</x:v>
      </x:c>
      <x:c r="Q71" t="str">
        <x:f>IF(RAND()&lt;'Team_Info'!$E$5,"W","B")</x:f>
        <x:v>B</x:v>
      </x:c>
      <x:c r="R71" t="str">
        <x:f>IF(RAND()&lt;'Team_Info'!$E$5,"W","B")</x:f>
        <x:v>B</x:v>
      </x:c>
      <x:c r="S71" t="str">
        <x:f>IF(RAND()&lt;'Team_Info'!$E$5,"W","B")</x:f>
        <x:v>B</x:v>
      </x:c>
      <x:c r="T71" t="str">
        <x:f>IF(RAND()&lt;'Team_Info'!$E$5,"W","B")</x:f>
        <x:v>B</x:v>
      </x:c>
      <x:c r="U71" t="str">
        <x:f>IF(RAND()&lt;'Team_Info'!$E$5,"W","B")</x:f>
        <x:v>W</x:v>
      </x:c>
    </x:row>
    <x:row r="72">
      <x:c r="A72" s="1">
        <x:v>71</x:v>
      </x:c>
      <x:c r="B72" t="str">
        <x:f>IF(RAND()&lt;'Team_Info'!$E$5,"W","B")</x:f>
        <x:v>B</x:v>
      </x:c>
      <x:c r="C72" t="str">
        <x:f>IF(RAND()&lt;'Team_Info'!$E$5,"W","B")</x:f>
        <x:v>W</x:v>
      </x:c>
      <x:c r="D72" t="str">
        <x:f>IF(RAND()&lt;'Team_Info'!$E$5,"W","B")</x:f>
        <x:v>B</x:v>
      </x:c>
      <x:c r="E72" t="str">
        <x:f>IF(RAND()&lt;'Team_Info'!$E$5,"W","B")</x:f>
        <x:v>B</x:v>
      </x:c>
      <x:c r="F72" t="str">
        <x:f>IF(RAND()&lt;'Team_Info'!$E$5,"W","B")</x:f>
        <x:v>B</x:v>
      </x:c>
      <x:c r="G72" t="str">
        <x:f>IF(RAND()&lt;'Team_Info'!$E$5,"W","B")</x:f>
        <x:v>B</x:v>
      </x:c>
      <x:c r="H72" t="str">
        <x:f>IF(RAND()&lt;'Team_Info'!$E$5,"W","B")</x:f>
        <x:v>W</x:v>
      </x:c>
      <x:c r="I72" t="str">
        <x:f>IF(RAND()&lt;'Team_Info'!$E$5,"W","B")</x:f>
        <x:v>B</x:v>
      </x:c>
      <x:c r="J72" t="str">
        <x:f>IF(RAND()&lt;'Team_Info'!$E$5,"W","B")</x:f>
        <x:v>B</x:v>
      </x:c>
      <x:c r="K72" t="str">
        <x:f>IF(RAND()&lt;'Team_Info'!$E$5,"W","B")</x:f>
        <x:v>B</x:v>
      </x:c>
      <x:c r="L72" t="str">
        <x:f>IF(RAND()&lt;'Team_Info'!$E$5,"W","B")</x:f>
        <x:v>B</x:v>
      </x:c>
      <x:c r="M72" t="str">
        <x:f>IF(RAND()&lt;'Team_Info'!$E$5,"W","B")</x:f>
        <x:v>B</x:v>
      </x:c>
      <x:c r="N72" t="str">
        <x:f>IF(RAND()&lt;'Team_Info'!$E$5,"W","B")</x:f>
        <x:v>W</x:v>
      </x:c>
      <x:c r="O72" t="str">
        <x:f>IF(RAND()&lt;'Team_Info'!$E$5,"W","B")</x:f>
        <x:v>B</x:v>
      </x:c>
      <x:c r="P72" t="str">
        <x:f>IF(RAND()&lt;'Team_Info'!$E$5,"W","B")</x:f>
        <x:v>B</x:v>
      </x:c>
      <x:c r="Q72" t="str">
        <x:f>IF(RAND()&lt;'Team_Info'!$E$5,"W","B")</x:f>
        <x:v>B</x:v>
      </x:c>
      <x:c r="R72" t="str">
        <x:f>IF(RAND()&lt;'Team_Info'!$E$5,"W","B")</x:f>
        <x:v>B</x:v>
      </x:c>
      <x:c r="S72" t="str">
        <x:f>IF(RAND()&lt;'Team_Info'!$E$5,"W","B")</x:f>
        <x:v>B</x:v>
      </x:c>
      <x:c r="T72" t="str">
        <x:f>IF(RAND()&lt;'Team_Info'!$E$5,"W","B")</x:f>
        <x:v>W</x:v>
      </x:c>
      <x:c r="U72" t="str">
        <x:f>IF(RAND()&lt;'Team_Info'!$E$5,"W","B")</x:f>
        <x:v>B</x:v>
      </x:c>
    </x:row>
    <x:row r="73">
      <x:c r="A73" s="1">
        <x:v>72</x:v>
      </x:c>
      <x:c r="B73" t="str">
        <x:f>IF(RAND()&lt;'Team_Info'!$E$5,"W","B")</x:f>
        <x:v>W</x:v>
      </x:c>
      <x:c r="C73" t="str">
        <x:f>IF(RAND()&lt;'Team_Info'!$E$5,"W","B")</x:f>
        <x:v>B</x:v>
      </x:c>
      <x:c r="D73" t="str">
        <x:f>IF(RAND()&lt;'Team_Info'!$E$5,"W","B")</x:f>
        <x:v>W</x:v>
      </x:c>
      <x:c r="E73" t="str">
        <x:f>IF(RAND()&lt;'Team_Info'!$E$5,"W","B")</x:f>
        <x:v>W</x:v>
      </x:c>
      <x:c r="F73" t="str">
        <x:f>IF(RAND()&lt;'Team_Info'!$E$5,"W","B")</x:f>
        <x:v>W</x:v>
      </x:c>
      <x:c r="G73" t="str">
        <x:f>IF(RAND()&lt;'Team_Info'!$E$5,"W","B")</x:f>
        <x:v>B</x:v>
      </x:c>
      <x:c r="H73" t="str">
        <x:f>IF(RAND()&lt;'Team_Info'!$E$5,"W","B")</x:f>
        <x:v>W</x:v>
      </x:c>
      <x:c r="I73" t="str">
        <x:f>IF(RAND()&lt;'Team_Info'!$E$5,"W","B")</x:f>
        <x:v>B</x:v>
      </x:c>
      <x:c r="J73" t="str">
        <x:f>IF(RAND()&lt;'Team_Info'!$E$5,"W","B")</x:f>
        <x:v>B</x:v>
      </x:c>
      <x:c r="K73" t="str">
        <x:f>IF(RAND()&lt;'Team_Info'!$E$5,"W","B")</x:f>
        <x:v>W</x:v>
      </x:c>
      <x:c r="L73" t="str">
        <x:f>IF(RAND()&lt;'Team_Info'!$E$5,"W","B")</x:f>
        <x:v>W</x:v>
      </x:c>
      <x:c r="M73" t="str">
        <x:f>IF(RAND()&lt;'Team_Info'!$E$5,"W","B")</x:f>
        <x:v>B</x:v>
      </x:c>
      <x:c r="N73" t="str">
        <x:f>IF(RAND()&lt;'Team_Info'!$E$5,"W","B")</x:f>
        <x:v>B</x:v>
      </x:c>
      <x:c r="O73" t="str">
        <x:f>IF(RAND()&lt;'Team_Info'!$E$5,"W","B")</x:f>
        <x:v>B</x:v>
      </x:c>
      <x:c r="P73" t="str">
        <x:f>IF(RAND()&lt;'Team_Info'!$E$5,"W","B")</x:f>
        <x:v>W</x:v>
      </x:c>
      <x:c r="Q73" t="str">
        <x:f>IF(RAND()&lt;'Team_Info'!$E$5,"W","B")</x:f>
        <x:v>W</x:v>
      </x:c>
      <x:c r="R73" t="str">
        <x:f>IF(RAND()&lt;'Team_Info'!$E$5,"W","B")</x:f>
        <x:v>B</x:v>
      </x:c>
      <x:c r="S73" t="str">
        <x:f>IF(RAND()&lt;'Team_Info'!$E$5,"W","B")</x:f>
        <x:v>B</x:v>
      </x:c>
      <x:c r="T73" t="str">
        <x:f>IF(RAND()&lt;'Team_Info'!$E$5,"W","B")</x:f>
        <x:v>W</x:v>
      </x:c>
      <x:c r="U73" t="str">
        <x:f>IF(RAND()&lt;'Team_Info'!$E$5,"W","B")</x:f>
        <x:v>B</x:v>
      </x:c>
    </x:row>
    <x:row r="74">
      <x:c r="A74" s="1">
        <x:v>73</x:v>
      </x:c>
      <x:c r="B74" t="str">
        <x:f>IF(RAND()&lt;'Team_Info'!$E$5,"W","B")</x:f>
        <x:v>B</x:v>
      </x:c>
      <x:c r="C74" t="str">
        <x:f>IF(RAND()&lt;'Team_Info'!$E$5,"W","B")</x:f>
        <x:v>B</x:v>
      </x:c>
      <x:c r="D74" t="str">
        <x:f>IF(RAND()&lt;'Team_Info'!$E$5,"W","B")</x:f>
        <x:v>B</x:v>
      </x:c>
      <x:c r="E74" t="str">
        <x:f>IF(RAND()&lt;'Team_Info'!$E$5,"W","B")</x:f>
        <x:v>B</x:v>
      </x:c>
      <x:c r="F74" t="str">
        <x:f>IF(RAND()&lt;'Team_Info'!$E$5,"W","B")</x:f>
        <x:v>W</x:v>
      </x:c>
      <x:c r="G74" t="str">
        <x:f>IF(RAND()&lt;'Team_Info'!$E$5,"W","B")</x:f>
        <x:v>B</x:v>
      </x:c>
      <x:c r="H74" t="str">
        <x:f>IF(RAND()&lt;'Team_Info'!$E$5,"W","B")</x:f>
        <x:v>W</x:v>
      </x:c>
      <x:c r="I74" t="str">
        <x:f>IF(RAND()&lt;'Team_Info'!$E$5,"W","B")</x:f>
        <x:v>B</x:v>
      </x:c>
      <x:c r="J74" t="str">
        <x:f>IF(RAND()&lt;'Team_Info'!$E$5,"W","B")</x:f>
        <x:v>W</x:v>
      </x:c>
      <x:c r="K74" t="str">
        <x:f>IF(RAND()&lt;'Team_Info'!$E$5,"W","B")</x:f>
        <x:v>B</x:v>
      </x:c>
      <x:c r="L74" t="str">
        <x:f>IF(RAND()&lt;'Team_Info'!$E$5,"W","B")</x:f>
        <x:v>B</x:v>
      </x:c>
      <x:c r="M74" t="str">
        <x:f>IF(RAND()&lt;'Team_Info'!$E$5,"W","B")</x:f>
        <x:v>B</x:v>
      </x:c>
      <x:c r="N74" t="str">
        <x:f>IF(RAND()&lt;'Team_Info'!$E$5,"W","B")</x:f>
        <x:v>B</x:v>
      </x:c>
      <x:c r="O74" t="str">
        <x:f>IF(RAND()&lt;'Team_Info'!$E$5,"W","B")</x:f>
        <x:v>W</x:v>
      </x:c>
      <x:c r="P74" t="str">
        <x:f>IF(RAND()&lt;'Team_Info'!$E$5,"W","B")</x:f>
        <x:v>B</x:v>
      </x:c>
      <x:c r="Q74" t="str">
        <x:f>IF(RAND()&lt;'Team_Info'!$E$5,"W","B")</x:f>
        <x:v>B</x:v>
      </x:c>
      <x:c r="R74" t="str">
        <x:f>IF(RAND()&lt;'Team_Info'!$E$5,"W","B")</x:f>
        <x:v>B</x:v>
      </x:c>
      <x:c r="S74" t="str">
        <x:f>IF(RAND()&lt;'Team_Info'!$E$5,"W","B")</x:f>
        <x:v>W</x:v>
      </x:c>
      <x:c r="T74" t="str">
        <x:f>IF(RAND()&lt;'Team_Info'!$E$5,"W","B")</x:f>
        <x:v>B</x:v>
      </x:c>
      <x:c r="U74" t="str">
        <x:f>IF(RAND()&lt;'Team_Info'!$E$5,"W","B")</x:f>
        <x:v>W</x:v>
      </x:c>
    </x:row>
    <x:row r="75">
      <x:c r="A75" s="1">
        <x:v>74</x:v>
      </x:c>
      <x:c r="B75" t="str">
        <x:f>IF(RAND()&lt;'Team_Info'!$E$5,"W","B")</x:f>
        <x:v>B</x:v>
      </x:c>
      <x:c r="C75" t="str">
        <x:f>IF(RAND()&lt;'Team_Info'!$E$5,"W","B")</x:f>
        <x:v>B</x:v>
      </x:c>
      <x:c r="D75" t="str">
        <x:f>IF(RAND()&lt;'Team_Info'!$E$5,"W","B")</x:f>
        <x:v>B</x:v>
      </x:c>
      <x:c r="E75" t="str">
        <x:f>IF(RAND()&lt;'Team_Info'!$E$5,"W","B")</x:f>
        <x:v>B</x:v>
      </x:c>
      <x:c r="F75" t="str">
        <x:f>IF(RAND()&lt;'Team_Info'!$E$5,"W","B")</x:f>
        <x:v>B</x:v>
      </x:c>
      <x:c r="G75" t="str">
        <x:f>IF(RAND()&lt;'Team_Info'!$E$5,"W","B")</x:f>
        <x:v>B</x:v>
      </x:c>
      <x:c r="H75" t="str">
        <x:f>IF(RAND()&lt;'Team_Info'!$E$5,"W","B")</x:f>
        <x:v>W</x:v>
      </x:c>
      <x:c r="I75" t="str">
        <x:f>IF(RAND()&lt;'Team_Info'!$E$5,"W","B")</x:f>
        <x:v>B</x:v>
      </x:c>
      <x:c r="J75" t="str">
        <x:f>IF(RAND()&lt;'Team_Info'!$E$5,"W","B")</x:f>
        <x:v>B</x:v>
      </x:c>
      <x:c r="K75" t="str">
        <x:f>IF(RAND()&lt;'Team_Info'!$E$5,"W","B")</x:f>
        <x:v>B</x:v>
      </x:c>
      <x:c r="L75" t="str">
        <x:f>IF(RAND()&lt;'Team_Info'!$E$5,"W","B")</x:f>
        <x:v>B</x:v>
      </x:c>
      <x:c r="M75" t="str">
        <x:f>IF(RAND()&lt;'Team_Info'!$E$5,"W","B")</x:f>
        <x:v>W</x:v>
      </x:c>
      <x:c r="N75" t="str">
        <x:f>IF(RAND()&lt;'Team_Info'!$E$5,"W","B")</x:f>
        <x:v>B</x:v>
      </x:c>
      <x:c r="O75" t="str">
        <x:f>IF(RAND()&lt;'Team_Info'!$E$5,"W","B")</x:f>
        <x:v>W</x:v>
      </x:c>
      <x:c r="P75" t="str">
        <x:f>IF(RAND()&lt;'Team_Info'!$E$5,"W","B")</x:f>
        <x:v>B</x:v>
      </x:c>
      <x:c r="Q75" t="str">
        <x:f>IF(RAND()&lt;'Team_Info'!$E$5,"W","B")</x:f>
        <x:v>W</x:v>
      </x:c>
      <x:c r="R75" t="str">
        <x:f>IF(RAND()&lt;'Team_Info'!$E$5,"W","B")</x:f>
        <x:v>B</x:v>
      </x:c>
      <x:c r="S75" t="str">
        <x:f>IF(RAND()&lt;'Team_Info'!$E$5,"W","B")</x:f>
        <x:v>B</x:v>
      </x:c>
      <x:c r="T75" t="str">
        <x:f>IF(RAND()&lt;'Team_Info'!$E$5,"W","B")</x:f>
        <x:v>B</x:v>
      </x:c>
      <x:c r="U75" t="str">
        <x:f>IF(RAND()&lt;'Team_Info'!$E$5,"W","B")</x:f>
        <x:v>B</x:v>
      </x:c>
    </x:row>
    <x:row r="76">
      <x:c r="A76" s="1">
        <x:v>75</x:v>
      </x:c>
      <x:c r="B76" t="str">
        <x:f>IF(RAND()&lt;'Team_Info'!$E$5,"W","B")</x:f>
        <x:v>W</x:v>
      </x:c>
      <x:c r="C76" t="str">
        <x:f>IF(RAND()&lt;'Team_Info'!$E$5,"W","B")</x:f>
        <x:v>B</x:v>
      </x:c>
      <x:c r="D76" t="str">
        <x:f>IF(RAND()&lt;'Team_Info'!$E$5,"W","B")</x:f>
        <x:v>B</x:v>
      </x:c>
      <x:c r="E76" t="str">
        <x:f>IF(RAND()&lt;'Team_Info'!$E$5,"W","B")</x:f>
        <x:v>B</x:v>
      </x:c>
      <x:c r="F76" t="str">
        <x:f>IF(RAND()&lt;'Team_Info'!$E$5,"W","B")</x:f>
        <x:v>B</x:v>
      </x:c>
      <x:c r="G76" t="str">
        <x:f>IF(RAND()&lt;'Team_Info'!$E$5,"W","B")</x:f>
        <x:v>B</x:v>
      </x:c>
      <x:c r="H76" t="str">
        <x:f>IF(RAND()&lt;'Team_Info'!$E$5,"W","B")</x:f>
        <x:v>W</x:v>
      </x:c>
      <x:c r="I76" t="str">
        <x:f>IF(RAND()&lt;'Team_Info'!$E$5,"W","B")</x:f>
        <x:v>B</x:v>
      </x:c>
      <x:c r="J76" t="str">
        <x:f>IF(RAND()&lt;'Team_Info'!$E$5,"W","B")</x:f>
        <x:v>W</x:v>
      </x:c>
      <x:c r="K76" t="str">
        <x:f>IF(RAND()&lt;'Team_Info'!$E$5,"W","B")</x:f>
        <x:v>B</x:v>
      </x:c>
      <x:c r="L76" t="str">
        <x:f>IF(RAND()&lt;'Team_Info'!$E$5,"W","B")</x:f>
        <x:v>W</x:v>
      </x:c>
      <x:c r="M76" t="str">
        <x:f>IF(RAND()&lt;'Team_Info'!$E$5,"W","B")</x:f>
        <x:v>B</x:v>
      </x:c>
      <x:c r="N76" t="str">
        <x:f>IF(RAND()&lt;'Team_Info'!$E$5,"W","B")</x:f>
        <x:v>W</x:v>
      </x:c>
      <x:c r="O76" t="str">
        <x:f>IF(RAND()&lt;'Team_Info'!$E$5,"W","B")</x:f>
        <x:v>B</x:v>
      </x:c>
      <x:c r="P76" t="str">
        <x:f>IF(RAND()&lt;'Team_Info'!$E$5,"W","B")</x:f>
        <x:v>B</x:v>
      </x:c>
      <x:c r="Q76" t="str">
        <x:f>IF(RAND()&lt;'Team_Info'!$E$5,"W","B")</x:f>
        <x:v>B</x:v>
      </x:c>
      <x:c r="R76" t="str">
        <x:f>IF(RAND()&lt;'Team_Info'!$E$5,"W","B")</x:f>
        <x:v>B</x:v>
      </x:c>
      <x:c r="S76" t="str">
        <x:f>IF(RAND()&lt;'Team_Info'!$E$5,"W","B")</x:f>
        <x:v>B</x:v>
      </x:c>
      <x:c r="T76" t="str">
        <x:f>IF(RAND()&lt;'Team_Info'!$E$5,"W","B")</x:f>
        <x:v>B</x:v>
      </x:c>
      <x:c r="U76" t="str">
        <x:f>IF(RAND()&lt;'Team_Info'!$E$5,"W","B")</x:f>
        <x:v>B</x:v>
      </x:c>
    </x:row>
    <x:row r="77">
      <x:c r="A77" s="1">
        <x:v>76</x:v>
      </x:c>
      <x:c r="B77" t="str">
        <x:f>IF(RAND()&lt;'Team_Info'!$E$5,"W","B")</x:f>
        <x:v>B</x:v>
      </x:c>
      <x:c r="C77" t="str">
        <x:f>IF(RAND()&lt;'Team_Info'!$E$5,"W","B")</x:f>
        <x:v>W</x:v>
      </x:c>
      <x:c r="D77" t="str">
        <x:f>IF(RAND()&lt;'Team_Info'!$E$5,"W","B")</x:f>
        <x:v>B</x:v>
      </x:c>
      <x:c r="E77" t="str">
        <x:f>IF(RAND()&lt;'Team_Info'!$E$5,"W","B")</x:f>
        <x:v>B</x:v>
      </x:c>
      <x:c r="F77" t="str">
        <x:f>IF(RAND()&lt;'Team_Info'!$E$5,"W","B")</x:f>
        <x:v>B</x:v>
      </x:c>
      <x:c r="G77" t="str">
        <x:f>IF(RAND()&lt;'Team_Info'!$E$5,"W","B")</x:f>
        <x:v>W</x:v>
      </x:c>
      <x:c r="H77" t="str">
        <x:f>IF(RAND()&lt;'Team_Info'!$E$5,"W","B")</x:f>
        <x:v>B</x:v>
      </x:c>
      <x:c r="I77" t="str">
        <x:f>IF(RAND()&lt;'Team_Info'!$E$5,"W","B")</x:f>
        <x:v>W</x:v>
      </x:c>
      <x:c r="J77" t="str">
        <x:f>IF(RAND()&lt;'Team_Info'!$E$5,"W","B")</x:f>
        <x:v>B</x:v>
      </x:c>
      <x:c r="K77" t="str">
        <x:f>IF(RAND()&lt;'Team_Info'!$E$5,"W","B")</x:f>
        <x:v>B</x:v>
      </x:c>
      <x:c r="L77" t="str">
        <x:f>IF(RAND()&lt;'Team_Info'!$E$5,"W","B")</x:f>
        <x:v>B</x:v>
      </x:c>
      <x:c r="M77" t="str">
        <x:f>IF(RAND()&lt;'Team_Info'!$E$5,"W","B")</x:f>
        <x:v>W</x:v>
      </x:c>
      <x:c r="N77" t="str">
        <x:f>IF(RAND()&lt;'Team_Info'!$E$5,"W","B")</x:f>
        <x:v>B</x:v>
      </x:c>
      <x:c r="O77" t="str">
        <x:f>IF(RAND()&lt;'Team_Info'!$E$5,"W","B")</x:f>
        <x:v>B</x:v>
      </x:c>
      <x:c r="P77" t="str">
        <x:f>IF(RAND()&lt;'Team_Info'!$E$5,"W","B")</x:f>
        <x:v>W</x:v>
      </x:c>
      <x:c r="Q77" t="str">
        <x:f>IF(RAND()&lt;'Team_Info'!$E$5,"W","B")</x:f>
        <x:v>B</x:v>
      </x:c>
      <x:c r="R77" t="str">
        <x:f>IF(RAND()&lt;'Team_Info'!$E$5,"W","B")</x:f>
        <x:v>B</x:v>
      </x:c>
      <x:c r="S77" t="str">
        <x:f>IF(RAND()&lt;'Team_Info'!$E$5,"W","B")</x:f>
        <x:v>W</x:v>
      </x:c>
      <x:c r="T77" t="str">
        <x:f>IF(RAND()&lt;'Team_Info'!$E$5,"W","B")</x:f>
        <x:v>W</x:v>
      </x:c>
      <x:c r="U77" t="str">
        <x:f>IF(RAND()&lt;'Team_Info'!$E$5,"W","B")</x:f>
        <x:v>B</x:v>
      </x:c>
    </x:row>
    <x:row r="78">
      <x:c r="A78" s="1">
        <x:v>77</x:v>
      </x:c>
      <x:c r="B78" t="str">
        <x:f>IF(RAND()&lt;'Team_Info'!$E$5,"W","B")</x:f>
        <x:v>B</x:v>
      </x:c>
      <x:c r="C78" t="str">
        <x:f>IF(RAND()&lt;'Team_Info'!$E$5,"W","B")</x:f>
        <x:v>B</x:v>
      </x:c>
      <x:c r="D78" t="str">
        <x:f>IF(RAND()&lt;'Team_Info'!$E$5,"W","B")</x:f>
        <x:v>B</x:v>
      </x:c>
      <x:c r="E78" t="str">
        <x:f>IF(RAND()&lt;'Team_Info'!$E$5,"W","B")</x:f>
        <x:v>B</x:v>
      </x:c>
      <x:c r="F78" t="str">
        <x:f>IF(RAND()&lt;'Team_Info'!$E$5,"W","B")</x:f>
        <x:v>B</x:v>
      </x:c>
      <x:c r="G78" t="str">
        <x:f>IF(RAND()&lt;'Team_Info'!$E$5,"W","B")</x:f>
        <x:v>B</x:v>
      </x:c>
      <x:c r="H78" t="str">
        <x:f>IF(RAND()&lt;'Team_Info'!$E$5,"W","B")</x:f>
        <x:v>B</x:v>
      </x:c>
      <x:c r="I78" t="str">
        <x:f>IF(RAND()&lt;'Team_Info'!$E$5,"W","B")</x:f>
        <x:v>B</x:v>
      </x:c>
      <x:c r="J78" t="str">
        <x:f>IF(RAND()&lt;'Team_Info'!$E$5,"W","B")</x:f>
        <x:v>B</x:v>
      </x:c>
      <x:c r="K78" t="str">
        <x:f>IF(RAND()&lt;'Team_Info'!$E$5,"W","B")</x:f>
        <x:v>B</x:v>
      </x:c>
      <x:c r="L78" t="str">
        <x:f>IF(RAND()&lt;'Team_Info'!$E$5,"W","B")</x:f>
        <x:v>W</x:v>
      </x:c>
      <x:c r="M78" t="str">
        <x:f>IF(RAND()&lt;'Team_Info'!$E$5,"W","B")</x:f>
        <x:v>B</x:v>
      </x:c>
      <x:c r="N78" t="str">
        <x:f>IF(RAND()&lt;'Team_Info'!$E$5,"W","B")</x:f>
        <x:v>B</x:v>
      </x:c>
      <x:c r="O78" t="str">
        <x:f>IF(RAND()&lt;'Team_Info'!$E$5,"W","B")</x:f>
        <x:v>B</x:v>
      </x:c>
      <x:c r="P78" t="str">
        <x:f>IF(RAND()&lt;'Team_Info'!$E$5,"W","B")</x:f>
        <x:v>W</x:v>
      </x:c>
      <x:c r="Q78" t="str">
        <x:f>IF(RAND()&lt;'Team_Info'!$E$5,"W","B")</x:f>
        <x:v>B</x:v>
      </x:c>
      <x:c r="R78" t="str">
        <x:f>IF(RAND()&lt;'Team_Info'!$E$5,"W","B")</x:f>
        <x:v>W</x:v>
      </x:c>
      <x:c r="S78" t="str">
        <x:f>IF(RAND()&lt;'Team_Info'!$E$5,"W","B")</x:f>
        <x:v>B</x:v>
      </x:c>
      <x:c r="T78" t="str">
        <x:f>IF(RAND()&lt;'Team_Info'!$E$5,"W","B")</x:f>
        <x:v>W</x:v>
      </x:c>
      <x:c r="U78" t="str">
        <x:f>IF(RAND()&lt;'Team_Info'!$E$5,"W","B")</x:f>
        <x:v>B</x:v>
      </x:c>
    </x:row>
    <x:row r="79">
      <x:c r="A79" s="1">
        <x:v>78</x:v>
      </x:c>
      <x:c r="B79" t="str">
        <x:f>IF(RAND()&lt;'Team_Info'!$E$5,"W","B")</x:f>
        <x:v>W</x:v>
      </x:c>
      <x:c r="C79" t="str">
        <x:f>IF(RAND()&lt;'Team_Info'!$E$5,"W","B")</x:f>
        <x:v>B</x:v>
      </x:c>
      <x:c r="D79" t="str">
        <x:f>IF(RAND()&lt;'Team_Info'!$E$5,"W","B")</x:f>
        <x:v>W</x:v>
      </x:c>
      <x:c r="E79" t="str">
        <x:f>IF(RAND()&lt;'Team_Info'!$E$5,"W","B")</x:f>
        <x:v>B</x:v>
      </x:c>
      <x:c r="F79" t="str">
        <x:f>IF(RAND()&lt;'Team_Info'!$E$5,"W","B")</x:f>
        <x:v>W</x:v>
      </x:c>
      <x:c r="G79" t="str">
        <x:f>IF(RAND()&lt;'Team_Info'!$E$5,"W","B")</x:f>
        <x:v>B</x:v>
      </x:c>
      <x:c r="H79" t="str">
        <x:f>IF(RAND()&lt;'Team_Info'!$E$5,"W","B")</x:f>
        <x:v>W</x:v>
      </x:c>
      <x:c r="I79" t="str">
        <x:f>IF(RAND()&lt;'Team_Info'!$E$5,"W","B")</x:f>
        <x:v>B</x:v>
      </x:c>
      <x:c r="J79" t="str">
        <x:f>IF(RAND()&lt;'Team_Info'!$E$5,"W","B")</x:f>
        <x:v>W</x:v>
      </x:c>
      <x:c r="K79" t="str">
        <x:f>IF(RAND()&lt;'Team_Info'!$E$5,"W","B")</x:f>
        <x:v>W</x:v>
      </x:c>
      <x:c r="L79" t="str">
        <x:f>IF(RAND()&lt;'Team_Info'!$E$5,"W","B")</x:f>
        <x:v>B</x:v>
      </x:c>
      <x:c r="M79" t="str">
        <x:f>IF(RAND()&lt;'Team_Info'!$E$5,"W","B")</x:f>
        <x:v>B</x:v>
      </x:c>
      <x:c r="N79" t="str">
        <x:f>IF(RAND()&lt;'Team_Info'!$E$5,"W","B")</x:f>
        <x:v>B</x:v>
      </x:c>
      <x:c r="O79" t="str">
        <x:f>IF(RAND()&lt;'Team_Info'!$E$5,"W","B")</x:f>
        <x:v>W</x:v>
      </x:c>
      <x:c r="P79" t="str">
        <x:f>IF(RAND()&lt;'Team_Info'!$E$5,"W","B")</x:f>
        <x:v>B</x:v>
      </x:c>
      <x:c r="Q79" t="str">
        <x:f>IF(RAND()&lt;'Team_Info'!$E$5,"W","B")</x:f>
        <x:v>W</x:v>
      </x:c>
      <x:c r="R79" t="str">
        <x:f>IF(RAND()&lt;'Team_Info'!$E$5,"W","B")</x:f>
        <x:v>B</x:v>
      </x:c>
      <x:c r="S79" t="str">
        <x:f>IF(RAND()&lt;'Team_Info'!$E$5,"W","B")</x:f>
        <x:v>W</x:v>
      </x:c>
      <x:c r="T79" t="str">
        <x:f>IF(RAND()&lt;'Team_Info'!$E$5,"W","B")</x:f>
        <x:v>W</x:v>
      </x:c>
      <x:c r="U79" t="str">
        <x:f>IF(RAND()&lt;'Team_Info'!$E$5,"W","B")</x:f>
        <x:v>W</x:v>
      </x:c>
    </x:row>
    <x:row r="80">
      <x:c r="A80" s="1">
        <x:v>79</x:v>
      </x:c>
      <x:c r="B80" t="str">
        <x:f>IF(RAND()&lt;'Team_Info'!$E$5,"W","B")</x:f>
        <x:v>B</x:v>
      </x:c>
      <x:c r="C80" t="str">
        <x:f>IF(RAND()&lt;'Team_Info'!$E$5,"W","B")</x:f>
        <x:v>W</x:v>
      </x:c>
      <x:c r="D80" t="str">
        <x:f>IF(RAND()&lt;'Team_Info'!$E$5,"W","B")</x:f>
        <x:v>B</x:v>
      </x:c>
      <x:c r="E80" t="str">
        <x:f>IF(RAND()&lt;'Team_Info'!$E$5,"W","B")</x:f>
        <x:v>W</x:v>
      </x:c>
      <x:c r="F80" t="str">
        <x:f>IF(RAND()&lt;'Team_Info'!$E$5,"W","B")</x:f>
        <x:v>W</x:v>
      </x:c>
      <x:c r="G80" t="str">
        <x:f>IF(RAND()&lt;'Team_Info'!$E$5,"W","B")</x:f>
        <x:v>W</x:v>
      </x:c>
      <x:c r="H80" t="str">
        <x:f>IF(RAND()&lt;'Team_Info'!$E$5,"W","B")</x:f>
        <x:v>B</x:v>
      </x:c>
      <x:c r="I80" t="str">
        <x:f>IF(RAND()&lt;'Team_Info'!$E$5,"W","B")</x:f>
        <x:v>W</x:v>
      </x:c>
      <x:c r="J80" t="str">
        <x:f>IF(RAND()&lt;'Team_Info'!$E$5,"W","B")</x:f>
        <x:v>W</x:v>
      </x:c>
      <x:c r="K80" t="str">
        <x:f>IF(RAND()&lt;'Team_Info'!$E$5,"W","B")</x:f>
        <x:v>B</x:v>
      </x:c>
      <x:c r="L80" t="str">
        <x:f>IF(RAND()&lt;'Team_Info'!$E$5,"W","B")</x:f>
        <x:v>B</x:v>
      </x:c>
      <x:c r="M80" t="str">
        <x:f>IF(RAND()&lt;'Team_Info'!$E$5,"W","B")</x:f>
        <x:v>B</x:v>
      </x:c>
      <x:c r="N80" t="str">
        <x:f>IF(RAND()&lt;'Team_Info'!$E$5,"W","B")</x:f>
        <x:v>B</x:v>
      </x:c>
      <x:c r="O80" t="str">
        <x:f>IF(RAND()&lt;'Team_Info'!$E$5,"W","B")</x:f>
        <x:v>W</x:v>
      </x:c>
      <x:c r="P80" t="str">
        <x:f>IF(RAND()&lt;'Team_Info'!$E$5,"W","B")</x:f>
        <x:v>B</x:v>
      </x:c>
      <x:c r="Q80" t="str">
        <x:f>IF(RAND()&lt;'Team_Info'!$E$5,"W","B")</x:f>
        <x:v>W</x:v>
      </x:c>
      <x:c r="R80" t="str">
        <x:f>IF(RAND()&lt;'Team_Info'!$E$5,"W","B")</x:f>
        <x:v>W</x:v>
      </x:c>
      <x:c r="S80" t="str">
        <x:f>IF(RAND()&lt;'Team_Info'!$E$5,"W","B")</x:f>
        <x:v>W</x:v>
      </x:c>
      <x:c r="T80" t="str">
        <x:f>IF(RAND()&lt;'Team_Info'!$E$5,"W","B")</x:f>
        <x:v>B</x:v>
      </x:c>
      <x:c r="U80" t="str">
        <x:f>IF(RAND()&lt;'Team_Info'!$E$5,"W","B")</x:f>
        <x:v>B</x:v>
      </x:c>
    </x:row>
    <x:row r="81">
      <x:c r="A81" s="1">
        <x:v>80</x:v>
      </x:c>
      <x:c r="B81" t="str">
        <x:f>IF(RAND()&lt;'Team_Info'!$E$5,"W","B")</x:f>
        <x:v>B</x:v>
      </x:c>
      <x:c r="C81" t="str">
        <x:f>IF(RAND()&lt;'Team_Info'!$E$5,"W","B")</x:f>
        <x:v>B</x:v>
      </x:c>
      <x:c r="D81" t="str">
        <x:f>IF(RAND()&lt;'Team_Info'!$E$5,"W","B")</x:f>
        <x:v>W</x:v>
      </x:c>
      <x:c r="E81" t="str">
        <x:f>IF(RAND()&lt;'Team_Info'!$E$5,"W","B")</x:f>
        <x:v>B</x:v>
      </x:c>
      <x:c r="F81" t="str">
        <x:f>IF(RAND()&lt;'Team_Info'!$E$5,"W","B")</x:f>
        <x:v>B</x:v>
      </x:c>
      <x:c r="G81" t="str">
        <x:f>IF(RAND()&lt;'Team_Info'!$E$5,"W","B")</x:f>
        <x:v>B</x:v>
      </x:c>
      <x:c r="H81" t="str">
        <x:f>IF(RAND()&lt;'Team_Info'!$E$5,"W","B")</x:f>
        <x:v>W</x:v>
      </x:c>
      <x:c r="I81" t="str">
        <x:f>IF(RAND()&lt;'Team_Info'!$E$5,"W","B")</x:f>
        <x:v>W</x:v>
      </x:c>
      <x:c r="J81" t="str">
        <x:f>IF(RAND()&lt;'Team_Info'!$E$5,"W","B")</x:f>
        <x:v>B</x:v>
      </x:c>
      <x:c r="K81" t="str">
        <x:f>IF(RAND()&lt;'Team_Info'!$E$5,"W","B")</x:f>
        <x:v>W</x:v>
      </x:c>
      <x:c r="L81" t="str">
        <x:f>IF(RAND()&lt;'Team_Info'!$E$5,"W","B")</x:f>
        <x:v>B</x:v>
      </x:c>
      <x:c r="M81" t="str">
        <x:f>IF(RAND()&lt;'Team_Info'!$E$5,"W","B")</x:f>
        <x:v>B</x:v>
      </x:c>
      <x:c r="N81" t="str">
        <x:f>IF(RAND()&lt;'Team_Info'!$E$5,"W","B")</x:f>
        <x:v>W</x:v>
      </x:c>
      <x:c r="O81" t="str">
        <x:f>IF(RAND()&lt;'Team_Info'!$E$5,"W","B")</x:f>
        <x:v>B</x:v>
      </x:c>
      <x:c r="P81" t="str">
        <x:f>IF(RAND()&lt;'Team_Info'!$E$5,"W","B")</x:f>
        <x:v>W</x:v>
      </x:c>
      <x:c r="Q81" t="str">
        <x:f>IF(RAND()&lt;'Team_Info'!$E$5,"W","B")</x:f>
        <x:v>B</x:v>
      </x:c>
      <x:c r="R81" t="str">
        <x:f>IF(RAND()&lt;'Team_Info'!$E$5,"W","B")</x:f>
        <x:v>B</x:v>
      </x:c>
      <x:c r="S81" t="str">
        <x:f>IF(RAND()&lt;'Team_Info'!$E$5,"W","B")</x:f>
        <x:v>B</x:v>
      </x:c>
      <x:c r="T81" t="str">
        <x:f>IF(RAND()&lt;'Team_Info'!$E$5,"W","B")</x:f>
        <x:v>B</x:v>
      </x:c>
      <x:c r="U81" t="str">
        <x:f>IF(RAND()&lt;'Team_Info'!$E$5,"W","B")</x:f>
        <x:v>B</x:v>
      </x:c>
    </x:row>
    <x:row r="82">
      <x:c r="A82" s="1">
        <x:v>81</x:v>
      </x:c>
      <x:c r="B82" t="str">
        <x:f>IF(RAND()&lt;'Team_Info'!$E$5,"W","B")</x:f>
        <x:v>W</x:v>
      </x:c>
      <x:c r="C82" t="str">
        <x:f>IF(RAND()&lt;'Team_Info'!$E$5,"W","B")</x:f>
        <x:v>B</x:v>
      </x:c>
      <x:c r="D82" t="str">
        <x:f>IF(RAND()&lt;'Team_Info'!$E$5,"W","B")</x:f>
        <x:v>W</x:v>
      </x:c>
      <x:c r="E82" t="str">
        <x:f>IF(RAND()&lt;'Team_Info'!$E$5,"W","B")</x:f>
        <x:v>W</x:v>
      </x:c>
      <x:c r="F82" t="str">
        <x:f>IF(RAND()&lt;'Team_Info'!$E$5,"W","B")</x:f>
        <x:v>W</x:v>
      </x:c>
      <x:c r="G82" t="str">
        <x:f>IF(RAND()&lt;'Team_Info'!$E$5,"W","B")</x:f>
        <x:v>B</x:v>
      </x:c>
      <x:c r="H82" t="str">
        <x:f>IF(RAND()&lt;'Team_Info'!$E$5,"W","B")</x:f>
        <x:v>W</x:v>
      </x:c>
      <x:c r="I82" t="str">
        <x:f>IF(RAND()&lt;'Team_Info'!$E$5,"W","B")</x:f>
        <x:v>B</x:v>
      </x:c>
      <x:c r="J82" t="str">
        <x:f>IF(RAND()&lt;'Team_Info'!$E$5,"W","B")</x:f>
        <x:v>B</x:v>
      </x:c>
      <x:c r="K82" t="str">
        <x:f>IF(RAND()&lt;'Team_Info'!$E$5,"W","B")</x:f>
        <x:v>B</x:v>
      </x:c>
      <x:c r="L82" t="str">
        <x:f>IF(RAND()&lt;'Team_Info'!$E$5,"W","B")</x:f>
        <x:v>W</x:v>
      </x:c>
      <x:c r="M82" t="str">
        <x:f>IF(RAND()&lt;'Team_Info'!$E$5,"W","B")</x:f>
        <x:v>B</x:v>
      </x:c>
      <x:c r="N82" t="str">
        <x:f>IF(RAND()&lt;'Team_Info'!$E$5,"W","B")</x:f>
        <x:v>B</x:v>
      </x:c>
      <x:c r="O82" t="str">
        <x:f>IF(RAND()&lt;'Team_Info'!$E$5,"W","B")</x:f>
        <x:v>B</x:v>
      </x:c>
      <x:c r="P82" t="str">
        <x:f>IF(RAND()&lt;'Team_Info'!$E$5,"W","B")</x:f>
        <x:v>B</x:v>
      </x:c>
      <x:c r="Q82" t="str">
        <x:f>IF(RAND()&lt;'Team_Info'!$E$5,"W","B")</x:f>
        <x:v>W</x:v>
      </x:c>
      <x:c r="R82" t="str">
        <x:f>IF(RAND()&lt;'Team_Info'!$E$5,"W","B")</x:f>
        <x:v>B</x:v>
      </x:c>
      <x:c r="S82" t="str">
        <x:f>IF(RAND()&lt;'Team_Info'!$E$5,"W","B")</x:f>
        <x:v>B</x:v>
      </x:c>
      <x:c r="T82" t="str">
        <x:f>IF(RAND()&lt;'Team_Info'!$E$5,"W","B")</x:f>
        <x:v>B</x:v>
      </x:c>
      <x:c r="U82" t="str">
        <x:f>IF(RAND()&lt;'Team_Info'!$E$5,"W","B")</x:f>
        <x:v>W</x:v>
      </x:c>
    </x:row>
    <x:row r="83">
      <x:c r="A83" s="1">
        <x:v>82</x:v>
      </x:c>
      <x:c r="B83" t="str">
        <x:f>IF(RAND()&lt;'Team_Info'!$E$5,"W","B")</x:f>
        <x:v>B</x:v>
      </x:c>
      <x:c r="C83" t="str">
        <x:f>IF(RAND()&lt;'Team_Info'!$E$5,"W","B")</x:f>
        <x:v>W</x:v>
      </x:c>
      <x:c r="D83" t="str">
        <x:f>IF(RAND()&lt;'Team_Info'!$E$5,"W","B")</x:f>
        <x:v>B</x:v>
      </x:c>
      <x:c r="E83" t="str">
        <x:f>IF(RAND()&lt;'Team_Info'!$E$5,"W","B")</x:f>
        <x:v>B</x:v>
      </x:c>
      <x:c r="F83" t="str">
        <x:f>IF(RAND()&lt;'Team_Info'!$E$5,"W","B")</x:f>
        <x:v>W</x:v>
      </x:c>
      <x:c r="G83" t="str">
        <x:f>IF(RAND()&lt;'Team_Info'!$E$5,"W","B")</x:f>
        <x:v>W</x:v>
      </x:c>
      <x:c r="H83" t="str">
        <x:f>IF(RAND()&lt;'Team_Info'!$E$5,"W","B")</x:f>
        <x:v>B</x:v>
      </x:c>
      <x:c r="I83" t="str">
        <x:f>IF(RAND()&lt;'Team_Info'!$E$5,"W","B")</x:f>
        <x:v>B</x:v>
      </x:c>
      <x:c r="J83" t="str">
        <x:f>IF(RAND()&lt;'Team_Info'!$E$5,"W","B")</x:f>
        <x:v>W</x:v>
      </x:c>
      <x:c r="K83" t="str">
        <x:f>IF(RAND()&lt;'Team_Info'!$E$5,"W","B")</x:f>
        <x:v>B</x:v>
      </x:c>
      <x:c r="L83" t="str">
        <x:f>IF(RAND()&lt;'Team_Info'!$E$5,"W","B")</x:f>
        <x:v>B</x:v>
      </x:c>
      <x:c r="M83" t="str">
        <x:f>IF(RAND()&lt;'Team_Info'!$E$5,"W","B")</x:f>
        <x:v>W</x:v>
      </x:c>
      <x:c r="N83" t="str">
        <x:f>IF(RAND()&lt;'Team_Info'!$E$5,"W","B")</x:f>
        <x:v>B</x:v>
      </x:c>
      <x:c r="O83" t="str">
        <x:f>IF(RAND()&lt;'Team_Info'!$E$5,"W","B")</x:f>
        <x:v>B</x:v>
      </x:c>
      <x:c r="P83" t="str">
        <x:f>IF(RAND()&lt;'Team_Info'!$E$5,"W","B")</x:f>
        <x:v>W</x:v>
      </x:c>
      <x:c r="Q83" t="str">
        <x:f>IF(RAND()&lt;'Team_Info'!$E$5,"W","B")</x:f>
        <x:v>W</x:v>
      </x:c>
      <x:c r="R83" t="str">
        <x:f>IF(RAND()&lt;'Team_Info'!$E$5,"W","B")</x:f>
        <x:v>B</x:v>
      </x:c>
      <x:c r="S83" t="str">
        <x:f>IF(RAND()&lt;'Team_Info'!$E$5,"W","B")</x:f>
        <x:v>B</x:v>
      </x:c>
      <x:c r="T83" t="str">
        <x:f>IF(RAND()&lt;'Team_Info'!$E$5,"W","B")</x:f>
        <x:v>B</x:v>
      </x:c>
      <x:c r="U83" t="str">
        <x:f>IF(RAND()&lt;'Team_Info'!$E$5,"W","B")</x:f>
        <x:v>W</x:v>
      </x:c>
    </x:row>
    <x:row r="84">
      <x:c r="A84" s="1">
        <x:v>83</x:v>
      </x:c>
      <x:c r="B84" t="str">
        <x:f>IF(RAND()&lt;'Team_Info'!$E$5,"W","B")</x:f>
        <x:v>W</x:v>
      </x:c>
      <x:c r="C84" t="str">
        <x:f>IF(RAND()&lt;'Team_Info'!$E$5,"W","B")</x:f>
        <x:v>W</x:v>
      </x:c>
      <x:c r="D84" t="str">
        <x:f>IF(RAND()&lt;'Team_Info'!$E$5,"W","B")</x:f>
        <x:v>B</x:v>
      </x:c>
      <x:c r="E84" t="str">
        <x:f>IF(RAND()&lt;'Team_Info'!$E$5,"W","B")</x:f>
        <x:v>B</x:v>
      </x:c>
      <x:c r="F84" t="str">
        <x:f>IF(RAND()&lt;'Team_Info'!$E$5,"W","B")</x:f>
        <x:v>B</x:v>
      </x:c>
      <x:c r="G84" t="str">
        <x:f>IF(RAND()&lt;'Team_Info'!$E$5,"W","B")</x:f>
        <x:v>B</x:v>
      </x:c>
      <x:c r="H84" t="str">
        <x:f>IF(RAND()&lt;'Team_Info'!$E$5,"W","B")</x:f>
        <x:v>B</x:v>
      </x:c>
      <x:c r="I84" t="str">
        <x:f>IF(RAND()&lt;'Team_Info'!$E$5,"W","B")</x:f>
        <x:v>B</x:v>
      </x:c>
      <x:c r="J84" t="str">
        <x:f>IF(RAND()&lt;'Team_Info'!$E$5,"W","B")</x:f>
        <x:v>W</x:v>
      </x:c>
      <x:c r="K84" t="str">
        <x:f>IF(RAND()&lt;'Team_Info'!$E$5,"W","B")</x:f>
        <x:v>B</x:v>
      </x:c>
      <x:c r="L84" t="str">
        <x:f>IF(RAND()&lt;'Team_Info'!$E$5,"W","B")</x:f>
        <x:v>W</x:v>
      </x:c>
      <x:c r="M84" t="str">
        <x:f>IF(RAND()&lt;'Team_Info'!$E$5,"W","B")</x:f>
        <x:v>B</x:v>
      </x:c>
      <x:c r="N84" t="str">
        <x:f>IF(RAND()&lt;'Team_Info'!$E$5,"W","B")</x:f>
        <x:v>W</x:v>
      </x:c>
      <x:c r="O84" t="str">
        <x:f>IF(RAND()&lt;'Team_Info'!$E$5,"W","B")</x:f>
        <x:v>B</x:v>
      </x:c>
      <x:c r="P84" t="str">
        <x:f>IF(RAND()&lt;'Team_Info'!$E$5,"W","B")</x:f>
        <x:v>W</x:v>
      </x:c>
      <x:c r="Q84" t="str">
        <x:f>IF(RAND()&lt;'Team_Info'!$E$5,"W","B")</x:f>
        <x:v>B</x:v>
      </x:c>
      <x:c r="R84" t="str">
        <x:f>IF(RAND()&lt;'Team_Info'!$E$5,"W","B")</x:f>
        <x:v>B</x:v>
      </x:c>
      <x:c r="S84" t="str">
        <x:f>IF(RAND()&lt;'Team_Info'!$E$5,"W","B")</x:f>
        <x:v>B</x:v>
      </x:c>
      <x:c r="T84" t="str">
        <x:f>IF(RAND()&lt;'Team_Info'!$E$5,"W","B")</x:f>
        <x:v>B</x:v>
      </x:c>
      <x:c r="U84" t="str">
        <x:f>IF(RAND()&lt;'Team_Info'!$E$5,"W","B")</x:f>
        <x:v>W</x:v>
      </x:c>
    </x:row>
    <x:row r="85">
      <x:c r="A85" s="1">
        <x:v>84</x:v>
      </x:c>
      <x:c r="B85" t="str">
        <x:f>IF(RAND()&lt;'Team_Info'!$E$5,"W","B")</x:f>
        <x:v>B</x:v>
      </x:c>
      <x:c r="C85" t="str">
        <x:f>IF(RAND()&lt;'Team_Info'!$E$5,"W","B")</x:f>
        <x:v>B</x:v>
      </x:c>
      <x:c r="D85" t="str">
        <x:f>IF(RAND()&lt;'Team_Info'!$E$5,"W","B")</x:f>
        <x:v>W</x:v>
      </x:c>
      <x:c r="E85" t="str">
        <x:f>IF(RAND()&lt;'Team_Info'!$E$5,"W","B")</x:f>
        <x:v>B</x:v>
      </x:c>
      <x:c r="F85" t="str">
        <x:f>IF(RAND()&lt;'Team_Info'!$E$5,"W","B")</x:f>
        <x:v>B</x:v>
      </x:c>
      <x:c r="G85" t="str">
        <x:f>IF(RAND()&lt;'Team_Info'!$E$5,"W","B")</x:f>
        <x:v>W</x:v>
      </x:c>
      <x:c r="H85" t="str">
        <x:f>IF(RAND()&lt;'Team_Info'!$E$5,"W","B")</x:f>
        <x:v>W</x:v>
      </x:c>
      <x:c r="I85" t="str">
        <x:f>IF(RAND()&lt;'Team_Info'!$E$5,"W","B")</x:f>
        <x:v>W</x:v>
      </x:c>
      <x:c r="J85" t="str">
        <x:f>IF(RAND()&lt;'Team_Info'!$E$5,"W","B")</x:f>
        <x:v>B</x:v>
      </x:c>
      <x:c r="K85" t="str">
        <x:f>IF(RAND()&lt;'Team_Info'!$E$5,"W","B")</x:f>
        <x:v>B</x:v>
      </x:c>
      <x:c r="L85" t="str">
        <x:f>IF(RAND()&lt;'Team_Info'!$E$5,"W","B")</x:f>
        <x:v>B</x:v>
      </x:c>
      <x:c r="M85" t="str">
        <x:f>IF(RAND()&lt;'Team_Info'!$E$5,"W","B")</x:f>
        <x:v>B</x:v>
      </x:c>
      <x:c r="N85" t="str">
        <x:f>IF(RAND()&lt;'Team_Info'!$E$5,"W","B")</x:f>
        <x:v>W</x:v>
      </x:c>
      <x:c r="O85" t="str">
        <x:f>IF(RAND()&lt;'Team_Info'!$E$5,"W","B")</x:f>
        <x:v>B</x:v>
      </x:c>
      <x:c r="P85" t="str">
        <x:f>IF(RAND()&lt;'Team_Info'!$E$5,"W","B")</x:f>
        <x:v>W</x:v>
      </x:c>
      <x:c r="Q85" t="str">
        <x:f>IF(RAND()&lt;'Team_Info'!$E$5,"W","B")</x:f>
        <x:v>B</x:v>
      </x:c>
      <x:c r="R85" t="str">
        <x:f>IF(RAND()&lt;'Team_Info'!$E$5,"W","B")</x:f>
        <x:v>B</x:v>
      </x:c>
      <x:c r="S85" t="str">
        <x:f>IF(RAND()&lt;'Team_Info'!$E$5,"W","B")</x:f>
        <x:v>B</x:v>
      </x:c>
      <x:c r="T85" t="str">
        <x:f>IF(RAND()&lt;'Team_Info'!$E$5,"W","B")</x:f>
        <x:v>B</x:v>
      </x:c>
      <x:c r="U85" t="str">
        <x:f>IF(RAND()&lt;'Team_Info'!$E$5,"W","B")</x:f>
        <x:v>W</x:v>
      </x:c>
    </x:row>
    <x:row r="86">
      <x:c r="A86" s="1">
        <x:v>85</x:v>
      </x:c>
      <x:c r="B86" t="str">
        <x:f>IF(RAND()&lt;'Team_Info'!$E$5,"W","B")</x:f>
        <x:v>B</x:v>
      </x:c>
      <x:c r="C86" t="str">
        <x:f>IF(RAND()&lt;'Team_Info'!$E$5,"W","B")</x:f>
        <x:v>W</x:v>
      </x:c>
      <x:c r="D86" t="str">
        <x:f>IF(RAND()&lt;'Team_Info'!$E$5,"W","B")</x:f>
        <x:v>B</x:v>
      </x:c>
      <x:c r="E86" t="str">
        <x:f>IF(RAND()&lt;'Team_Info'!$E$5,"W","B")</x:f>
        <x:v>W</x:v>
      </x:c>
      <x:c r="F86" t="str">
        <x:f>IF(RAND()&lt;'Team_Info'!$E$5,"W","B")</x:f>
        <x:v>B</x:v>
      </x:c>
      <x:c r="G86" t="str">
        <x:f>IF(RAND()&lt;'Team_Info'!$E$5,"W","B")</x:f>
        <x:v>B</x:v>
      </x:c>
      <x:c r="H86" t="str">
        <x:f>IF(RAND()&lt;'Team_Info'!$E$5,"W","B")</x:f>
        <x:v>B</x:v>
      </x:c>
      <x:c r="I86" t="str">
        <x:f>IF(RAND()&lt;'Team_Info'!$E$5,"W","B")</x:f>
        <x:v>B</x:v>
      </x:c>
      <x:c r="J86" t="str">
        <x:f>IF(RAND()&lt;'Team_Info'!$E$5,"W","B")</x:f>
        <x:v>W</x:v>
      </x:c>
      <x:c r="K86" t="str">
        <x:f>IF(RAND()&lt;'Team_Info'!$E$5,"W","B")</x:f>
        <x:v>B</x:v>
      </x:c>
      <x:c r="L86" t="str">
        <x:f>IF(RAND()&lt;'Team_Info'!$E$5,"W","B")</x:f>
        <x:v>B</x:v>
      </x:c>
      <x:c r="M86" t="str">
        <x:f>IF(RAND()&lt;'Team_Info'!$E$5,"W","B")</x:f>
        <x:v>B</x:v>
      </x:c>
      <x:c r="N86" t="str">
        <x:f>IF(RAND()&lt;'Team_Info'!$E$5,"W","B")</x:f>
        <x:v>W</x:v>
      </x:c>
      <x:c r="O86" t="str">
        <x:f>IF(RAND()&lt;'Team_Info'!$E$5,"W","B")</x:f>
        <x:v>B</x:v>
      </x:c>
      <x:c r="P86" t="str">
        <x:f>IF(RAND()&lt;'Team_Info'!$E$5,"W","B")</x:f>
        <x:v>W</x:v>
      </x:c>
      <x:c r="Q86" t="str">
        <x:f>IF(RAND()&lt;'Team_Info'!$E$5,"W","B")</x:f>
        <x:v>W</x:v>
      </x:c>
      <x:c r="R86" t="str">
        <x:f>IF(RAND()&lt;'Team_Info'!$E$5,"W","B")</x:f>
        <x:v>B</x:v>
      </x:c>
      <x:c r="S86" t="str">
        <x:f>IF(RAND()&lt;'Team_Info'!$E$5,"W","B")</x:f>
        <x:v>W</x:v>
      </x:c>
      <x:c r="T86" t="str">
        <x:f>IF(RAND()&lt;'Team_Info'!$E$5,"W","B")</x:f>
        <x:v>B</x:v>
      </x:c>
      <x:c r="U86" t="str">
        <x:f>IF(RAND()&lt;'Team_Info'!$E$5,"W","B")</x:f>
        <x:v>B</x:v>
      </x:c>
    </x:row>
    <x:row r="87">
      <x:c r="A87" s="1">
        <x:v>86</x:v>
      </x:c>
      <x:c r="B87" t="str">
        <x:f>IF(RAND()&lt;'Team_Info'!$E$5,"W","B")</x:f>
        <x:v>B</x:v>
      </x:c>
      <x:c r="C87" t="str">
        <x:f>IF(RAND()&lt;'Team_Info'!$E$5,"W","B")</x:f>
        <x:v>B</x:v>
      </x:c>
      <x:c r="D87" t="str">
        <x:f>IF(RAND()&lt;'Team_Info'!$E$5,"W","B")</x:f>
        <x:v>B</x:v>
      </x:c>
      <x:c r="E87" t="str">
        <x:f>IF(RAND()&lt;'Team_Info'!$E$5,"W","B")</x:f>
        <x:v>B</x:v>
      </x:c>
      <x:c r="F87" t="str">
        <x:f>IF(RAND()&lt;'Team_Info'!$E$5,"W","B")</x:f>
        <x:v>B</x:v>
      </x:c>
      <x:c r="G87" t="str">
        <x:f>IF(RAND()&lt;'Team_Info'!$E$5,"W","B")</x:f>
        <x:v>W</x:v>
      </x:c>
      <x:c r="H87" t="str">
        <x:f>IF(RAND()&lt;'Team_Info'!$E$5,"W","B")</x:f>
        <x:v>B</x:v>
      </x:c>
      <x:c r="I87" t="str">
        <x:f>IF(RAND()&lt;'Team_Info'!$E$5,"W","B")</x:f>
        <x:v>B</x:v>
      </x:c>
      <x:c r="J87" t="str">
        <x:f>IF(RAND()&lt;'Team_Info'!$E$5,"W","B")</x:f>
        <x:v>B</x:v>
      </x:c>
      <x:c r="K87" t="str">
        <x:f>IF(RAND()&lt;'Team_Info'!$E$5,"W","B")</x:f>
        <x:v>B</x:v>
      </x:c>
      <x:c r="L87" t="str">
        <x:f>IF(RAND()&lt;'Team_Info'!$E$5,"W","B")</x:f>
        <x:v>B</x:v>
      </x:c>
      <x:c r="M87" t="str">
        <x:f>IF(RAND()&lt;'Team_Info'!$E$5,"W","B")</x:f>
        <x:v>W</x:v>
      </x:c>
      <x:c r="N87" t="str">
        <x:f>IF(RAND()&lt;'Team_Info'!$E$5,"W","B")</x:f>
        <x:v>W</x:v>
      </x:c>
      <x:c r="O87" t="str">
        <x:f>IF(RAND()&lt;'Team_Info'!$E$5,"W","B")</x:f>
        <x:v>B</x:v>
      </x:c>
      <x:c r="P87" t="str">
        <x:f>IF(RAND()&lt;'Team_Info'!$E$5,"W","B")</x:f>
        <x:v>W</x:v>
      </x:c>
      <x:c r="Q87" t="str">
        <x:f>IF(RAND()&lt;'Team_Info'!$E$5,"W","B")</x:f>
        <x:v>B</x:v>
      </x:c>
      <x:c r="R87" t="str">
        <x:f>IF(RAND()&lt;'Team_Info'!$E$5,"W","B")</x:f>
        <x:v>B</x:v>
      </x:c>
      <x:c r="S87" t="str">
        <x:f>IF(RAND()&lt;'Team_Info'!$E$5,"W","B")</x:f>
        <x:v>W</x:v>
      </x:c>
      <x:c r="T87" t="str">
        <x:f>IF(RAND()&lt;'Team_Info'!$E$5,"W","B")</x:f>
        <x:v>W</x:v>
      </x:c>
      <x:c r="U87" t="str">
        <x:f>IF(RAND()&lt;'Team_Info'!$E$5,"W","B")</x:f>
        <x:v>B</x:v>
      </x:c>
    </x:row>
    <x:row r="88">
      <x:c r="A88" s="1">
        <x:v>87</x:v>
      </x:c>
      <x:c r="B88" t="str">
        <x:f>IF(RAND()&lt;'Team_Info'!$E$5,"W","B")</x:f>
        <x:v>W</x:v>
      </x:c>
      <x:c r="C88" t="str">
        <x:f>IF(RAND()&lt;'Team_Info'!$E$5,"W","B")</x:f>
        <x:v>W</x:v>
      </x:c>
      <x:c r="D88" t="str">
        <x:f>IF(RAND()&lt;'Team_Info'!$E$5,"W","B")</x:f>
        <x:v>W</x:v>
      </x:c>
      <x:c r="E88" t="str">
        <x:f>IF(RAND()&lt;'Team_Info'!$E$5,"W","B")</x:f>
        <x:v>B</x:v>
      </x:c>
      <x:c r="F88" t="str">
        <x:f>IF(RAND()&lt;'Team_Info'!$E$5,"W","B")</x:f>
        <x:v>B</x:v>
      </x:c>
      <x:c r="G88" t="str">
        <x:f>IF(RAND()&lt;'Team_Info'!$E$5,"W","B")</x:f>
        <x:v>B</x:v>
      </x:c>
      <x:c r="H88" t="str">
        <x:f>IF(RAND()&lt;'Team_Info'!$E$5,"W","B")</x:f>
        <x:v>B</x:v>
      </x:c>
      <x:c r="I88" t="str">
        <x:f>IF(RAND()&lt;'Team_Info'!$E$5,"W","B")</x:f>
        <x:v>B</x:v>
      </x:c>
      <x:c r="J88" t="str">
        <x:f>IF(RAND()&lt;'Team_Info'!$E$5,"W","B")</x:f>
        <x:v>W</x:v>
      </x:c>
      <x:c r="K88" t="str">
        <x:f>IF(RAND()&lt;'Team_Info'!$E$5,"W","B")</x:f>
        <x:v>W</x:v>
      </x:c>
      <x:c r="L88" t="str">
        <x:f>IF(RAND()&lt;'Team_Info'!$E$5,"W","B")</x:f>
        <x:v>B</x:v>
      </x:c>
      <x:c r="M88" t="str">
        <x:f>IF(RAND()&lt;'Team_Info'!$E$5,"W","B")</x:f>
        <x:v>W</x:v>
      </x:c>
      <x:c r="N88" t="str">
        <x:f>IF(RAND()&lt;'Team_Info'!$E$5,"W","B")</x:f>
        <x:v>B</x:v>
      </x:c>
      <x:c r="O88" t="str">
        <x:f>IF(RAND()&lt;'Team_Info'!$E$5,"W","B")</x:f>
        <x:v>W</x:v>
      </x:c>
      <x:c r="P88" t="str">
        <x:f>IF(RAND()&lt;'Team_Info'!$E$5,"W","B")</x:f>
        <x:v>W</x:v>
      </x:c>
      <x:c r="Q88" t="str">
        <x:f>IF(RAND()&lt;'Team_Info'!$E$5,"W","B")</x:f>
        <x:v>B</x:v>
      </x:c>
      <x:c r="R88" t="str">
        <x:f>IF(RAND()&lt;'Team_Info'!$E$5,"W","B")</x:f>
        <x:v>B</x:v>
      </x:c>
      <x:c r="S88" t="str">
        <x:f>IF(RAND()&lt;'Team_Info'!$E$5,"W","B")</x:f>
        <x:v>W</x:v>
      </x:c>
      <x:c r="T88" t="str">
        <x:f>IF(RAND()&lt;'Team_Info'!$E$5,"W","B")</x:f>
        <x:v>B</x:v>
      </x:c>
      <x:c r="U88" t="str">
        <x:f>IF(RAND()&lt;'Team_Info'!$E$5,"W","B")</x:f>
        <x:v>B</x:v>
      </x:c>
    </x:row>
    <x:row r="89">
      <x:c r="A89" s="1">
        <x:v>88</x:v>
      </x:c>
      <x:c r="B89" t="str">
        <x:f>IF(RAND()&lt;'Team_Info'!$E$5,"W","B")</x:f>
        <x:v>B</x:v>
      </x:c>
      <x:c r="C89" t="str">
        <x:f>IF(RAND()&lt;'Team_Info'!$E$5,"W","B")</x:f>
        <x:v>B</x:v>
      </x:c>
      <x:c r="D89" t="str">
        <x:f>IF(RAND()&lt;'Team_Info'!$E$5,"W","B")</x:f>
        <x:v>W</x:v>
      </x:c>
      <x:c r="E89" t="str">
        <x:f>IF(RAND()&lt;'Team_Info'!$E$5,"W","B")</x:f>
        <x:v>W</x:v>
      </x:c>
      <x:c r="F89" t="str">
        <x:f>IF(RAND()&lt;'Team_Info'!$E$5,"W","B")</x:f>
        <x:v>W</x:v>
      </x:c>
      <x:c r="G89" t="str">
        <x:f>IF(RAND()&lt;'Team_Info'!$E$5,"W","B")</x:f>
        <x:v>B</x:v>
      </x:c>
      <x:c r="H89" t="str">
        <x:f>IF(RAND()&lt;'Team_Info'!$E$5,"W","B")</x:f>
        <x:v>B</x:v>
      </x:c>
      <x:c r="I89" t="str">
        <x:f>IF(RAND()&lt;'Team_Info'!$E$5,"W","B")</x:f>
        <x:v>B</x:v>
      </x:c>
      <x:c r="J89" t="str">
        <x:f>IF(RAND()&lt;'Team_Info'!$E$5,"W","B")</x:f>
        <x:v>B</x:v>
      </x:c>
      <x:c r="K89" t="str">
        <x:f>IF(RAND()&lt;'Team_Info'!$E$5,"W","B")</x:f>
        <x:v>W</x:v>
      </x:c>
      <x:c r="L89" t="str">
        <x:f>IF(RAND()&lt;'Team_Info'!$E$5,"W","B")</x:f>
        <x:v>W</x:v>
      </x:c>
      <x:c r="M89" t="str">
        <x:f>IF(RAND()&lt;'Team_Info'!$E$5,"W","B")</x:f>
        <x:v>W</x:v>
      </x:c>
      <x:c r="N89" t="str">
        <x:f>IF(RAND()&lt;'Team_Info'!$E$5,"W","B")</x:f>
        <x:v>W</x:v>
      </x:c>
      <x:c r="O89" t="str">
        <x:f>IF(RAND()&lt;'Team_Info'!$E$5,"W","B")</x:f>
        <x:v>B</x:v>
      </x:c>
      <x:c r="P89" t="str">
        <x:f>IF(RAND()&lt;'Team_Info'!$E$5,"W","B")</x:f>
        <x:v>W</x:v>
      </x:c>
      <x:c r="Q89" t="str">
        <x:f>IF(RAND()&lt;'Team_Info'!$E$5,"W","B")</x:f>
        <x:v>W</x:v>
      </x:c>
      <x:c r="R89" t="str">
        <x:f>IF(RAND()&lt;'Team_Info'!$E$5,"W","B")</x:f>
        <x:v>B</x:v>
      </x:c>
      <x:c r="S89" t="str">
        <x:f>IF(RAND()&lt;'Team_Info'!$E$5,"W","B")</x:f>
        <x:v>W</x:v>
      </x:c>
      <x:c r="T89" t="str">
        <x:f>IF(RAND()&lt;'Team_Info'!$E$5,"W","B")</x:f>
        <x:v>B</x:v>
      </x:c>
      <x:c r="U89" t="str">
        <x:f>IF(RAND()&lt;'Team_Info'!$E$5,"W","B")</x:f>
        <x:v>B</x:v>
      </x:c>
    </x:row>
    <x:row r="90">
      <x:c r="A90" s="1">
        <x:v>89</x:v>
      </x:c>
      <x:c r="B90" t="str">
        <x:f>IF(RAND()&lt;'Team_Info'!$E$5,"W","B")</x:f>
        <x:v>W</x:v>
      </x:c>
      <x:c r="C90" t="str">
        <x:f>IF(RAND()&lt;'Team_Info'!$E$5,"W","B")</x:f>
        <x:v>B</x:v>
      </x:c>
      <x:c r="D90" t="str">
        <x:f>IF(RAND()&lt;'Team_Info'!$E$5,"W","B")</x:f>
        <x:v>B</x:v>
      </x:c>
      <x:c r="E90" t="str">
        <x:f>IF(RAND()&lt;'Team_Info'!$E$5,"W","B")</x:f>
        <x:v>B</x:v>
      </x:c>
      <x:c r="F90" t="str">
        <x:f>IF(RAND()&lt;'Team_Info'!$E$5,"W","B")</x:f>
        <x:v>B</x:v>
      </x:c>
      <x:c r="G90" t="str">
        <x:f>IF(RAND()&lt;'Team_Info'!$E$5,"W","B")</x:f>
        <x:v>W</x:v>
      </x:c>
      <x:c r="H90" t="str">
        <x:f>IF(RAND()&lt;'Team_Info'!$E$5,"W","B")</x:f>
        <x:v>B</x:v>
      </x:c>
      <x:c r="I90" t="str">
        <x:f>IF(RAND()&lt;'Team_Info'!$E$5,"W","B")</x:f>
        <x:v>W</x:v>
      </x:c>
      <x:c r="J90" t="str">
        <x:f>IF(RAND()&lt;'Team_Info'!$E$5,"W","B")</x:f>
        <x:v>B</x:v>
      </x:c>
      <x:c r="K90" t="str">
        <x:f>IF(RAND()&lt;'Team_Info'!$E$5,"W","B")</x:f>
        <x:v>B</x:v>
      </x:c>
      <x:c r="L90" t="str">
        <x:f>IF(RAND()&lt;'Team_Info'!$E$5,"W","B")</x:f>
        <x:v>B</x:v>
      </x:c>
      <x:c r="M90" t="str">
        <x:f>IF(RAND()&lt;'Team_Info'!$E$5,"W","B")</x:f>
        <x:v>W</x:v>
      </x:c>
      <x:c r="N90" t="str">
        <x:f>IF(RAND()&lt;'Team_Info'!$E$5,"W","B")</x:f>
        <x:v>B</x:v>
      </x:c>
      <x:c r="O90" t="str">
        <x:f>IF(RAND()&lt;'Team_Info'!$E$5,"W","B")</x:f>
        <x:v>W</x:v>
      </x:c>
      <x:c r="P90" t="str">
        <x:f>IF(RAND()&lt;'Team_Info'!$E$5,"W","B")</x:f>
        <x:v>W</x:v>
      </x:c>
      <x:c r="Q90" t="str">
        <x:f>IF(RAND()&lt;'Team_Info'!$E$5,"W","B")</x:f>
        <x:v>B</x:v>
      </x:c>
      <x:c r="R90" t="str">
        <x:f>IF(RAND()&lt;'Team_Info'!$E$5,"W","B")</x:f>
        <x:v>W</x:v>
      </x:c>
      <x:c r="S90" t="str">
        <x:f>IF(RAND()&lt;'Team_Info'!$E$5,"W","B")</x:f>
        <x:v>W</x:v>
      </x:c>
      <x:c r="T90" t="str">
        <x:f>IF(RAND()&lt;'Team_Info'!$E$5,"W","B")</x:f>
        <x:v>W</x:v>
      </x:c>
      <x:c r="U90" t="str">
        <x:f>IF(RAND()&lt;'Team_Info'!$E$5,"W","B")</x:f>
        <x:v>B</x:v>
      </x:c>
    </x:row>
    <x:row r="91">
      <x:c r="A91" s="1">
        <x:v>90</x:v>
      </x:c>
      <x:c r="B91" t="str">
        <x:f>IF(RAND()&lt;'Team_Info'!$E$5,"W","B")</x:f>
        <x:v>W</x:v>
      </x:c>
      <x:c r="C91" t="str">
        <x:f>IF(RAND()&lt;'Team_Info'!$E$5,"W","B")</x:f>
        <x:v>B</x:v>
      </x:c>
      <x:c r="D91" t="str">
        <x:f>IF(RAND()&lt;'Team_Info'!$E$5,"W","B")</x:f>
        <x:v>W</x:v>
      </x:c>
      <x:c r="E91" t="str">
        <x:f>IF(RAND()&lt;'Team_Info'!$E$5,"W","B")</x:f>
        <x:v>B</x:v>
      </x:c>
      <x:c r="F91" t="str">
        <x:f>IF(RAND()&lt;'Team_Info'!$E$5,"W","B")</x:f>
        <x:v>B</x:v>
      </x:c>
      <x:c r="G91" t="str">
        <x:f>IF(RAND()&lt;'Team_Info'!$E$5,"W","B")</x:f>
        <x:v>B</x:v>
      </x:c>
      <x:c r="H91" t="str">
        <x:f>IF(RAND()&lt;'Team_Info'!$E$5,"W","B")</x:f>
        <x:v>W</x:v>
      </x:c>
      <x:c r="I91" t="str">
        <x:f>IF(RAND()&lt;'Team_Info'!$E$5,"W","B")</x:f>
        <x:v>W</x:v>
      </x:c>
      <x:c r="J91" t="str">
        <x:f>IF(RAND()&lt;'Team_Info'!$E$5,"W","B")</x:f>
        <x:v>B</x:v>
      </x:c>
      <x:c r="K91" t="str">
        <x:f>IF(RAND()&lt;'Team_Info'!$E$5,"W","B")</x:f>
        <x:v>W</x:v>
      </x:c>
      <x:c r="L91" t="str">
        <x:f>IF(RAND()&lt;'Team_Info'!$E$5,"W","B")</x:f>
        <x:v>W</x:v>
      </x:c>
      <x:c r="M91" t="str">
        <x:f>IF(RAND()&lt;'Team_Info'!$E$5,"W","B")</x:f>
        <x:v>W</x:v>
      </x:c>
      <x:c r="N91" t="str">
        <x:f>IF(RAND()&lt;'Team_Info'!$E$5,"W","B")</x:f>
        <x:v>W</x:v>
      </x:c>
      <x:c r="O91" t="str">
        <x:f>IF(RAND()&lt;'Team_Info'!$E$5,"W","B")</x:f>
        <x:v>B</x:v>
      </x:c>
      <x:c r="P91" t="str">
        <x:f>IF(RAND()&lt;'Team_Info'!$E$5,"W","B")</x:f>
        <x:v>W</x:v>
      </x:c>
      <x:c r="Q91" t="str">
        <x:f>IF(RAND()&lt;'Team_Info'!$E$5,"W","B")</x:f>
        <x:v>W</x:v>
      </x:c>
      <x:c r="R91" t="str">
        <x:f>IF(RAND()&lt;'Team_Info'!$E$5,"W","B")</x:f>
        <x:v>B</x:v>
      </x:c>
      <x:c r="S91" t="str">
        <x:f>IF(RAND()&lt;'Team_Info'!$E$5,"W","B")</x:f>
        <x:v>W</x:v>
      </x:c>
      <x:c r="T91" t="str">
        <x:f>IF(RAND()&lt;'Team_Info'!$E$5,"W","B")</x:f>
        <x:v>B</x:v>
      </x:c>
      <x:c r="U91" t="str">
        <x:f>IF(RAND()&lt;'Team_Info'!$E$5,"W","B")</x:f>
        <x:v>W</x:v>
      </x:c>
    </x:row>
    <x:row r="92">
      <x:c r="A92" s="1">
        <x:v>91</x:v>
      </x:c>
      <x:c r="B92" t="str">
        <x:f>IF(RAND()&lt;'Team_Info'!$E$5,"W","B")</x:f>
        <x:v>W</x:v>
      </x:c>
      <x:c r="C92" t="str">
        <x:f>IF(RAND()&lt;'Team_Info'!$E$5,"W","B")</x:f>
        <x:v>B</x:v>
      </x:c>
      <x:c r="D92" t="str">
        <x:f>IF(RAND()&lt;'Team_Info'!$E$5,"W","B")</x:f>
        <x:v>W</x:v>
      </x:c>
      <x:c r="E92" t="str">
        <x:f>IF(RAND()&lt;'Team_Info'!$E$5,"W","B")</x:f>
        <x:v>W</x:v>
      </x:c>
      <x:c r="F92" t="str">
        <x:f>IF(RAND()&lt;'Team_Info'!$E$5,"W","B")</x:f>
        <x:v>B</x:v>
      </x:c>
      <x:c r="G92" t="str">
        <x:f>IF(RAND()&lt;'Team_Info'!$E$5,"W","B")</x:f>
        <x:v>B</x:v>
      </x:c>
      <x:c r="H92" t="str">
        <x:f>IF(RAND()&lt;'Team_Info'!$E$5,"W","B")</x:f>
        <x:v>B</x:v>
      </x:c>
      <x:c r="I92" t="str">
        <x:f>IF(RAND()&lt;'Team_Info'!$E$5,"W","B")</x:f>
        <x:v>B</x:v>
      </x:c>
      <x:c r="J92" t="str">
        <x:f>IF(RAND()&lt;'Team_Info'!$E$5,"W","B")</x:f>
        <x:v>B</x:v>
      </x:c>
      <x:c r="K92" t="str">
        <x:f>IF(RAND()&lt;'Team_Info'!$E$5,"W","B")</x:f>
        <x:v>B</x:v>
      </x:c>
      <x:c r="L92" t="str">
        <x:f>IF(RAND()&lt;'Team_Info'!$E$5,"W","B")</x:f>
        <x:v>B</x:v>
      </x:c>
      <x:c r="M92" t="str">
        <x:f>IF(RAND()&lt;'Team_Info'!$E$5,"W","B")</x:f>
        <x:v>B</x:v>
      </x:c>
      <x:c r="N92" t="str">
        <x:f>IF(RAND()&lt;'Team_Info'!$E$5,"W","B")</x:f>
        <x:v>W</x:v>
      </x:c>
      <x:c r="O92" t="str">
        <x:f>IF(RAND()&lt;'Team_Info'!$E$5,"W","B")</x:f>
        <x:v>B</x:v>
      </x:c>
      <x:c r="P92" t="str">
        <x:f>IF(RAND()&lt;'Team_Info'!$E$5,"W","B")</x:f>
        <x:v>B</x:v>
      </x:c>
      <x:c r="Q92" t="str">
        <x:f>IF(RAND()&lt;'Team_Info'!$E$5,"W","B")</x:f>
        <x:v>B</x:v>
      </x:c>
      <x:c r="R92" t="str">
        <x:f>IF(RAND()&lt;'Team_Info'!$E$5,"W","B")</x:f>
        <x:v>W</x:v>
      </x:c>
      <x:c r="S92" t="str">
        <x:f>IF(RAND()&lt;'Team_Info'!$E$5,"W","B")</x:f>
        <x:v>B</x:v>
      </x:c>
      <x:c r="T92" t="str">
        <x:f>IF(RAND()&lt;'Team_Info'!$E$5,"W","B")</x:f>
        <x:v>W</x:v>
      </x:c>
      <x:c r="U92" t="str">
        <x:f>IF(RAND()&lt;'Team_Info'!$E$5,"W","B")</x:f>
        <x:v>W</x:v>
      </x:c>
    </x:row>
    <x:row r="93">
      <x:c r="A93" s="1">
        <x:v>92</x:v>
      </x:c>
      <x:c r="B93" t="str">
        <x:f>IF(RAND()&lt;'Team_Info'!$E$5,"W","B")</x:f>
        <x:v>W</x:v>
      </x:c>
      <x:c r="C93" t="str">
        <x:f>IF(RAND()&lt;'Team_Info'!$E$5,"W","B")</x:f>
        <x:v>B</x:v>
      </x:c>
      <x:c r="D93" t="str">
        <x:f>IF(RAND()&lt;'Team_Info'!$E$5,"W","B")</x:f>
        <x:v>W</x:v>
      </x:c>
      <x:c r="E93" t="str">
        <x:f>IF(RAND()&lt;'Team_Info'!$E$5,"W","B")</x:f>
        <x:v>W</x:v>
      </x:c>
      <x:c r="F93" t="str">
        <x:f>IF(RAND()&lt;'Team_Info'!$E$5,"W","B")</x:f>
        <x:v>B</x:v>
      </x:c>
      <x:c r="G93" t="str">
        <x:f>IF(RAND()&lt;'Team_Info'!$E$5,"W","B")</x:f>
        <x:v>B</x:v>
      </x:c>
      <x:c r="H93" t="str">
        <x:f>IF(RAND()&lt;'Team_Info'!$E$5,"W","B")</x:f>
        <x:v>B</x:v>
      </x:c>
      <x:c r="I93" t="str">
        <x:f>IF(RAND()&lt;'Team_Info'!$E$5,"W","B")</x:f>
        <x:v>W</x:v>
      </x:c>
      <x:c r="J93" t="str">
        <x:f>IF(RAND()&lt;'Team_Info'!$E$5,"W","B")</x:f>
        <x:v>W</x:v>
      </x:c>
      <x:c r="K93" t="str">
        <x:f>IF(RAND()&lt;'Team_Info'!$E$5,"W","B")</x:f>
        <x:v>B</x:v>
      </x:c>
      <x:c r="L93" t="str">
        <x:f>IF(RAND()&lt;'Team_Info'!$E$5,"W","B")</x:f>
        <x:v>B</x:v>
      </x:c>
      <x:c r="M93" t="str">
        <x:f>IF(RAND()&lt;'Team_Info'!$E$5,"W","B")</x:f>
        <x:v>B</x:v>
      </x:c>
      <x:c r="N93" t="str">
        <x:f>IF(RAND()&lt;'Team_Info'!$E$5,"W","B")</x:f>
        <x:v>B</x:v>
      </x:c>
      <x:c r="O93" t="str">
        <x:f>IF(RAND()&lt;'Team_Info'!$E$5,"W","B")</x:f>
        <x:v>B</x:v>
      </x:c>
      <x:c r="P93" t="str">
        <x:f>IF(RAND()&lt;'Team_Info'!$E$5,"W","B")</x:f>
        <x:v>B</x:v>
      </x:c>
      <x:c r="Q93" t="str">
        <x:f>IF(RAND()&lt;'Team_Info'!$E$5,"W","B")</x:f>
        <x:v>B</x:v>
      </x:c>
      <x:c r="R93" t="str">
        <x:f>IF(RAND()&lt;'Team_Info'!$E$5,"W","B")</x:f>
        <x:v>B</x:v>
      </x:c>
      <x:c r="S93" t="str">
        <x:f>IF(RAND()&lt;'Team_Info'!$E$5,"W","B")</x:f>
        <x:v>B</x:v>
      </x:c>
      <x:c r="T93" t="str">
        <x:f>IF(RAND()&lt;'Team_Info'!$E$5,"W","B")</x:f>
        <x:v>B</x:v>
      </x:c>
      <x:c r="U93" t="str">
        <x:f>IF(RAND()&lt;'Team_Info'!$E$5,"W","B")</x:f>
        <x:v>W</x:v>
      </x:c>
    </x:row>
    <x:row r="94">
      <x:c r="A94" s="1">
        <x:v>93</x:v>
      </x:c>
      <x:c r="B94" t="str">
        <x:f>IF(RAND()&lt;'Team_Info'!$E$5,"W","B")</x:f>
        <x:v>W</x:v>
      </x:c>
      <x:c r="C94" t="str">
        <x:f>IF(RAND()&lt;'Team_Info'!$E$5,"W","B")</x:f>
        <x:v>B</x:v>
      </x:c>
      <x:c r="D94" t="str">
        <x:f>IF(RAND()&lt;'Team_Info'!$E$5,"W","B")</x:f>
        <x:v>W</x:v>
      </x:c>
      <x:c r="E94" t="str">
        <x:f>IF(RAND()&lt;'Team_Info'!$E$5,"W","B")</x:f>
        <x:v>B</x:v>
      </x:c>
      <x:c r="F94" t="str">
        <x:f>IF(RAND()&lt;'Team_Info'!$E$5,"W","B")</x:f>
        <x:v>B</x:v>
      </x:c>
      <x:c r="G94" t="str">
        <x:f>IF(RAND()&lt;'Team_Info'!$E$5,"W","B")</x:f>
        <x:v>W</x:v>
      </x:c>
      <x:c r="H94" t="str">
        <x:f>IF(RAND()&lt;'Team_Info'!$E$5,"W","B")</x:f>
        <x:v>B</x:v>
      </x:c>
      <x:c r="I94" t="str">
        <x:f>IF(RAND()&lt;'Team_Info'!$E$5,"W","B")</x:f>
        <x:v>W</x:v>
      </x:c>
      <x:c r="J94" t="str">
        <x:f>IF(RAND()&lt;'Team_Info'!$E$5,"W","B")</x:f>
        <x:v>W</x:v>
      </x:c>
      <x:c r="K94" t="str">
        <x:f>IF(RAND()&lt;'Team_Info'!$E$5,"W","B")</x:f>
        <x:v>B</x:v>
      </x:c>
      <x:c r="L94" t="str">
        <x:f>IF(RAND()&lt;'Team_Info'!$E$5,"W","B")</x:f>
        <x:v>B</x:v>
      </x:c>
      <x:c r="M94" t="str">
        <x:f>IF(RAND()&lt;'Team_Info'!$E$5,"W","B")</x:f>
        <x:v>W</x:v>
      </x:c>
      <x:c r="N94" t="str">
        <x:f>IF(RAND()&lt;'Team_Info'!$E$5,"W","B")</x:f>
        <x:v>B</x:v>
      </x:c>
      <x:c r="O94" t="str">
        <x:f>IF(RAND()&lt;'Team_Info'!$E$5,"W","B")</x:f>
        <x:v>W</x:v>
      </x:c>
      <x:c r="P94" t="str">
        <x:f>IF(RAND()&lt;'Team_Info'!$E$5,"W","B")</x:f>
        <x:v>B</x:v>
      </x:c>
      <x:c r="Q94" t="str">
        <x:f>IF(RAND()&lt;'Team_Info'!$E$5,"W","B")</x:f>
        <x:v>B</x:v>
      </x:c>
      <x:c r="R94" t="str">
        <x:f>IF(RAND()&lt;'Team_Info'!$E$5,"W","B")</x:f>
        <x:v>B</x:v>
      </x:c>
      <x:c r="S94" t="str">
        <x:f>IF(RAND()&lt;'Team_Info'!$E$5,"W","B")</x:f>
        <x:v>W</x:v>
      </x:c>
      <x:c r="T94" t="str">
        <x:f>IF(RAND()&lt;'Team_Info'!$E$5,"W","B")</x:f>
        <x:v>B</x:v>
      </x:c>
      <x:c r="U94" t="str">
        <x:f>IF(RAND()&lt;'Team_Info'!$E$5,"W","B")</x:f>
        <x:v>W</x:v>
      </x:c>
    </x:row>
    <x:row r="95">
      <x:c r="A95" s="1">
        <x:v>94</x:v>
      </x:c>
      <x:c r="B95" t="str">
        <x:f>IF(RAND()&lt;'Team_Info'!$E$5,"W","B")</x:f>
        <x:v>W</x:v>
      </x:c>
      <x:c r="C95" t="str">
        <x:f>IF(RAND()&lt;'Team_Info'!$E$5,"W","B")</x:f>
        <x:v>B</x:v>
      </x:c>
      <x:c r="D95" t="str">
        <x:f>IF(RAND()&lt;'Team_Info'!$E$5,"W","B")</x:f>
        <x:v>W</x:v>
      </x:c>
      <x:c r="E95" t="str">
        <x:f>IF(RAND()&lt;'Team_Info'!$E$5,"W","B")</x:f>
        <x:v>B</x:v>
      </x:c>
      <x:c r="F95" t="str">
        <x:f>IF(RAND()&lt;'Team_Info'!$E$5,"W","B")</x:f>
        <x:v>B</x:v>
      </x:c>
      <x:c r="G95" t="str">
        <x:f>IF(RAND()&lt;'Team_Info'!$E$5,"W","B")</x:f>
        <x:v>W</x:v>
      </x:c>
      <x:c r="H95" t="str">
        <x:f>IF(RAND()&lt;'Team_Info'!$E$5,"W","B")</x:f>
        <x:v>B</x:v>
      </x:c>
      <x:c r="I95" t="str">
        <x:f>IF(RAND()&lt;'Team_Info'!$E$5,"W","B")</x:f>
        <x:v>W</x:v>
      </x:c>
      <x:c r="J95" t="str">
        <x:f>IF(RAND()&lt;'Team_Info'!$E$5,"W","B")</x:f>
        <x:v>W</x:v>
      </x:c>
      <x:c r="K95" t="str">
        <x:f>IF(RAND()&lt;'Team_Info'!$E$5,"W","B")</x:f>
        <x:v>W</x:v>
      </x:c>
      <x:c r="L95" t="str">
        <x:f>IF(RAND()&lt;'Team_Info'!$E$5,"W","B")</x:f>
        <x:v>B</x:v>
      </x:c>
      <x:c r="M95" t="str">
        <x:f>IF(RAND()&lt;'Team_Info'!$E$5,"W","B")</x:f>
        <x:v>W</x:v>
      </x:c>
      <x:c r="N95" t="str">
        <x:f>IF(RAND()&lt;'Team_Info'!$E$5,"W","B")</x:f>
        <x:v>B</x:v>
      </x:c>
      <x:c r="O95" t="str">
        <x:f>IF(RAND()&lt;'Team_Info'!$E$5,"W","B")</x:f>
        <x:v>B</x:v>
      </x:c>
      <x:c r="P95" t="str">
        <x:f>IF(RAND()&lt;'Team_Info'!$E$5,"W","B")</x:f>
        <x:v>B</x:v>
      </x:c>
      <x:c r="Q95" t="str">
        <x:f>IF(RAND()&lt;'Team_Info'!$E$5,"W","B")</x:f>
        <x:v>W</x:v>
      </x:c>
      <x:c r="R95" t="str">
        <x:f>IF(RAND()&lt;'Team_Info'!$E$5,"W","B")</x:f>
        <x:v>B</x:v>
      </x:c>
      <x:c r="S95" t="str">
        <x:f>IF(RAND()&lt;'Team_Info'!$E$5,"W","B")</x:f>
        <x:v>W</x:v>
      </x:c>
      <x:c r="T95" t="str">
        <x:f>IF(RAND()&lt;'Team_Info'!$E$5,"W","B")</x:f>
        <x:v>W</x:v>
      </x:c>
      <x:c r="U95" t="str">
        <x:f>IF(RAND()&lt;'Team_Info'!$E$5,"W","B")</x:f>
        <x:v>B</x:v>
      </x:c>
    </x:row>
    <x:row r="96">
      <x:c r="A96" s="1">
        <x:v>95</x:v>
      </x:c>
      <x:c r="B96" t="str">
        <x:f>IF(RAND()&lt;'Team_Info'!$E$5,"W","B")</x:f>
        <x:v>W</x:v>
      </x:c>
      <x:c r="C96" t="str">
        <x:f>IF(RAND()&lt;'Team_Info'!$E$5,"W","B")</x:f>
        <x:v>B</x:v>
      </x:c>
      <x:c r="D96" t="str">
        <x:f>IF(RAND()&lt;'Team_Info'!$E$5,"W","B")</x:f>
        <x:v>B</x:v>
      </x:c>
      <x:c r="E96" t="str">
        <x:f>IF(RAND()&lt;'Team_Info'!$E$5,"W","B")</x:f>
        <x:v>B</x:v>
      </x:c>
      <x:c r="F96" t="str">
        <x:f>IF(RAND()&lt;'Team_Info'!$E$5,"W","B")</x:f>
        <x:v>B</x:v>
      </x:c>
      <x:c r="G96" t="str">
        <x:f>IF(RAND()&lt;'Team_Info'!$E$5,"W","B")</x:f>
        <x:v>B</x:v>
      </x:c>
      <x:c r="H96" t="str">
        <x:f>IF(RAND()&lt;'Team_Info'!$E$5,"W","B")</x:f>
        <x:v>B</x:v>
      </x:c>
      <x:c r="I96" t="str">
        <x:f>IF(RAND()&lt;'Team_Info'!$E$5,"W","B")</x:f>
        <x:v>B</x:v>
      </x:c>
      <x:c r="J96" t="str">
        <x:f>IF(RAND()&lt;'Team_Info'!$E$5,"W","B")</x:f>
        <x:v>B</x:v>
      </x:c>
      <x:c r="K96" t="str">
        <x:f>IF(RAND()&lt;'Team_Info'!$E$5,"W","B")</x:f>
        <x:v>W</x:v>
      </x:c>
      <x:c r="L96" t="str">
        <x:f>IF(RAND()&lt;'Team_Info'!$E$5,"W","B")</x:f>
        <x:v>W</x:v>
      </x:c>
      <x:c r="M96" t="str">
        <x:f>IF(RAND()&lt;'Team_Info'!$E$5,"W","B")</x:f>
        <x:v>W</x:v>
      </x:c>
      <x:c r="N96" t="str">
        <x:f>IF(RAND()&lt;'Team_Info'!$E$5,"W","B")</x:f>
        <x:v>B</x:v>
      </x:c>
      <x:c r="O96" t="str">
        <x:f>IF(RAND()&lt;'Team_Info'!$E$5,"W","B")</x:f>
        <x:v>B</x:v>
      </x:c>
      <x:c r="P96" t="str">
        <x:f>IF(RAND()&lt;'Team_Info'!$E$5,"W","B")</x:f>
        <x:v>B</x:v>
      </x:c>
      <x:c r="Q96" t="str">
        <x:f>IF(RAND()&lt;'Team_Info'!$E$5,"W","B")</x:f>
        <x:v>W</x:v>
      </x:c>
      <x:c r="R96" t="str">
        <x:f>IF(RAND()&lt;'Team_Info'!$E$5,"W","B")</x:f>
        <x:v>B</x:v>
      </x:c>
      <x:c r="S96" t="str">
        <x:f>IF(RAND()&lt;'Team_Info'!$E$5,"W","B")</x:f>
        <x:v>W</x:v>
      </x:c>
      <x:c r="T96" t="str">
        <x:f>IF(RAND()&lt;'Team_Info'!$E$5,"W","B")</x:f>
        <x:v>W</x:v>
      </x:c>
      <x:c r="U96" t="str">
        <x:f>IF(RAND()&lt;'Team_Info'!$E$5,"W","B")</x:f>
        <x:v>W</x:v>
      </x:c>
    </x:row>
    <x:row r="97">
      <x:c r="A97" s="1">
        <x:v>96</x:v>
      </x:c>
      <x:c r="B97" t="str">
        <x:f>IF(RAND()&lt;'Team_Info'!$E$5,"W","B")</x:f>
        <x:v>B</x:v>
      </x:c>
      <x:c r="C97" t="str">
        <x:f>IF(RAND()&lt;'Team_Info'!$E$5,"W","B")</x:f>
        <x:v>B</x:v>
      </x:c>
      <x:c r="D97" t="str">
        <x:f>IF(RAND()&lt;'Team_Info'!$E$5,"W","B")</x:f>
        <x:v>B</x:v>
      </x:c>
      <x:c r="E97" t="str">
        <x:f>IF(RAND()&lt;'Team_Info'!$E$5,"W","B")</x:f>
        <x:v>B</x:v>
      </x:c>
      <x:c r="F97" t="str">
        <x:f>IF(RAND()&lt;'Team_Info'!$E$5,"W","B")</x:f>
        <x:v>B</x:v>
      </x:c>
      <x:c r="G97" t="str">
        <x:f>IF(RAND()&lt;'Team_Info'!$E$5,"W","B")</x:f>
        <x:v>B</x:v>
      </x:c>
      <x:c r="H97" t="str">
        <x:f>IF(RAND()&lt;'Team_Info'!$E$5,"W","B")</x:f>
        <x:v>W</x:v>
      </x:c>
      <x:c r="I97" t="str">
        <x:f>IF(RAND()&lt;'Team_Info'!$E$5,"W","B")</x:f>
        <x:v>B</x:v>
      </x:c>
      <x:c r="J97" t="str">
        <x:f>IF(RAND()&lt;'Team_Info'!$E$5,"W","B")</x:f>
        <x:v>B</x:v>
      </x:c>
      <x:c r="K97" t="str">
        <x:f>IF(RAND()&lt;'Team_Info'!$E$5,"W","B")</x:f>
        <x:v>B</x:v>
      </x:c>
      <x:c r="L97" t="str">
        <x:f>IF(RAND()&lt;'Team_Info'!$E$5,"W","B")</x:f>
        <x:v>W</x:v>
      </x:c>
      <x:c r="M97" t="str">
        <x:f>IF(RAND()&lt;'Team_Info'!$E$5,"W","B")</x:f>
        <x:v>B</x:v>
      </x:c>
      <x:c r="N97" t="str">
        <x:f>IF(RAND()&lt;'Team_Info'!$E$5,"W","B")</x:f>
        <x:v>B</x:v>
      </x:c>
      <x:c r="O97" t="str">
        <x:f>IF(RAND()&lt;'Team_Info'!$E$5,"W","B")</x:f>
        <x:v>W</x:v>
      </x:c>
      <x:c r="P97" t="str">
        <x:f>IF(RAND()&lt;'Team_Info'!$E$5,"W","B")</x:f>
        <x:v>W</x:v>
      </x:c>
      <x:c r="Q97" t="str">
        <x:f>IF(RAND()&lt;'Team_Info'!$E$5,"W","B")</x:f>
        <x:v>B</x:v>
      </x:c>
      <x:c r="R97" t="str">
        <x:f>IF(RAND()&lt;'Team_Info'!$E$5,"W","B")</x:f>
        <x:v>B</x:v>
      </x:c>
      <x:c r="S97" t="str">
        <x:f>IF(RAND()&lt;'Team_Info'!$E$5,"W","B")</x:f>
        <x:v>B</x:v>
      </x:c>
      <x:c r="T97" t="str">
        <x:f>IF(RAND()&lt;'Team_Info'!$E$5,"W","B")</x:f>
        <x:v>W</x:v>
      </x:c>
      <x:c r="U97" t="str">
        <x:f>IF(RAND()&lt;'Team_Info'!$E$5,"W","B")</x:f>
        <x:v>B</x:v>
      </x:c>
    </x:row>
    <x:row r="98">
      <x:c r="A98" s="1">
        <x:v>97</x:v>
      </x:c>
      <x:c r="B98" t="str">
        <x:f>IF(RAND()&lt;'Team_Info'!$E$5,"W","B")</x:f>
        <x:v>W</x:v>
      </x:c>
      <x:c r="C98" t="str">
        <x:f>IF(RAND()&lt;'Team_Info'!$E$5,"W","B")</x:f>
        <x:v>B</x:v>
      </x:c>
      <x:c r="D98" t="str">
        <x:f>IF(RAND()&lt;'Team_Info'!$E$5,"W","B")</x:f>
        <x:v>W</x:v>
      </x:c>
      <x:c r="E98" t="str">
        <x:f>IF(RAND()&lt;'Team_Info'!$E$5,"W","B")</x:f>
        <x:v>W</x:v>
      </x:c>
      <x:c r="F98" t="str">
        <x:f>IF(RAND()&lt;'Team_Info'!$E$5,"W","B")</x:f>
        <x:v>B</x:v>
      </x:c>
      <x:c r="G98" t="str">
        <x:f>IF(RAND()&lt;'Team_Info'!$E$5,"W","B")</x:f>
        <x:v>B</x:v>
      </x:c>
      <x:c r="H98" t="str">
        <x:f>IF(RAND()&lt;'Team_Info'!$E$5,"W","B")</x:f>
        <x:v>W</x:v>
      </x:c>
      <x:c r="I98" t="str">
        <x:f>IF(RAND()&lt;'Team_Info'!$E$5,"W","B")</x:f>
        <x:v>W</x:v>
      </x:c>
      <x:c r="J98" t="str">
        <x:f>IF(RAND()&lt;'Team_Info'!$E$5,"W","B")</x:f>
        <x:v>W</x:v>
      </x:c>
      <x:c r="K98" t="str">
        <x:f>IF(RAND()&lt;'Team_Info'!$E$5,"W","B")</x:f>
        <x:v>B</x:v>
      </x:c>
      <x:c r="L98" t="str">
        <x:f>IF(RAND()&lt;'Team_Info'!$E$5,"W","B")</x:f>
        <x:v>W</x:v>
      </x:c>
      <x:c r="M98" t="str">
        <x:f>IF(RAND()&lt;'Team_Info'!$E$5,"W","B")</x:f>
        <x:v>W</x:v>
      </x:c>
      <x:c r="N98" t="str">
        <x:f>IF(RAND()&lt;'Team_Info'!$E$5,"W","B")</x:f>
        <x:v>W</x:v>
      </x:c>
      <x:c r="O98" t="str">
        <x:f>IF(RAND()&lt;'Team_Info'!$E$5,"W","B")</x:f>
        <x:v>W</x:v>
      </x:c>
      <x:c r="P98" t="str">
        <x:f>IF(RAND()&lt;'Team_Info'!$E$5,"W","B")</x:f>
        <x:v>B</x:v>
      </x:c>
      <x:c r="Q98" t="str">
        <x:f>IF(RAND()&lt;'Team_Info'!$E$5,"W","B")</x:f>
        <x:v>W</x:v>
      </x:c>
      <x:c r="R98" t="str">
        <x:f>IF(RAND()&lt;'Team_Info'!$E$5,"W","B")</x:f>
        <x:v>W</x:v>
      </x:c>
      <x:c r="S98" t="str">
        <x:f>IF(RAND()&lt;'Team_Info'!$E$5,"W","B")</x:f>
        <x:v>B</x:v>
      </x:c>
      <x:c r="T98" t="str">
        <x:f>IF(RAND()&lt;'Team_Info'!$E$5,"W","B")</x:f>
        <x:v>W</x:v>
      </x:c>
      <x:c r="U98" t="str">
        <x:f>IF(RAND()&lt;'Team_Info'!$E$5,"W","B")</x:f>
        <x:v>W</x:v>
      </x:c>
    </x:row>
    <x:row r="99">
      <x:c r="A99" s="1">
        <x:v>98</x:v>
      </x:c>
      <x:c r="B99" t="str">
        <x:f>IF(RAND()&lt;'Team_Info'!$E$5,"W","B")</x:f>
        <x:v>W</x:v>
      </x:c>
      <x:c r="C99" t="str">
        <x:f>IF(RAND()&lt;'Team_Info'!$E$5,"W","B")</x:f>
        <x:v>W</x:v>
      </x:c>
      <x:c r="D99" t="str">
        <x:f>IF(RAND()&lt;'Team_Info'!$E$5,"W","B")</x:f>
        <x:v>W</x:v>
      </x:c>
      <x:c r="E99" t="str">
        <x:f>IF(RAND()&lt;'Team_Info'!$E$5,"W","B")</x:f>
        <x:v>B</x:v>
      </x:c>
      <x:c r="F99" t="str">
        <x:f>IF(RAND()&lt;'Team_Info'!$E$5,"W","B")</x:f>
        <x:v>B</x:v>
      </x:c>
      <x:c r="G99" t="str">
        <x:f>IF(RAND()&lt;'Team_Info'!$E$5,"W","B")</x:f>
        <x:v>W</x:v>
      </x:c>
      <x:c r="H99" t="str">
        <x:f>IF(RAND()&lt;'Team_Info'!$E$5,"W","B")</x:f>
        <x:v>B</x:v>
      </x:c>
      <x:c r="I99" t="str">
        <x:f>IF(RAND()&lt;'Team_Info'!$E$5,"W","B")</x:f>
        <x:v>W</x:v>
      </x:c>
      <x:c r="J99" t="str">
        <x:f>IF(RAND()&lt;'Team_Info'!$E$5,"W","B")</x:f>
        <x:v>W</x:v>
      </x:c>
      <x:c r="K99" t="str">
        <x:f>IF(RAND()&lt;'Team_Info'!$E$5,"W","B")</x:f>
        <x:v>W</x:v>
      </x:c>
      <x:c r="L99" t="str">
        <x:f>IF(RAND()&lt;'Team_Info'!$E$5,"W","B")</x:f>
        <x:v>B</x:v>
      </x:c>
      <x:c r="M99" t="str">
        <x:f>IF(RAND()&lt;'Team_Info'!$E$5,"W","B")</x:f>
        <x:v>W</x:v>
      </x:c>
      <x:c r="N99" t="str">
        <x:f>IF(RAND()&lt;'Team_Info'!$E$5,"W","B")</x:f>
        <x:v>W</x:v>
      </x:c>
      <x:c r="O99" t="str">
        <x:f>IF(RAND()&lt;'Team_Info'!$E$5,"W","B")</x:f>
        <x:v>B</x:v>
      </x:c>
      <x:c r="P99" t="str">
        <x:f>IF(RAND()&lt;'Team_Info'!$E$5,"W","B")</x:f>
        <x:v>B</x:v>
      </x:c>
      <x:c r="Q99" t="str">
        <x:f>IF(RAND()&lt;'Team_Info'!$E$5,"W","B")</x:f>
        <x:v>B</x:v>
      </x:c>
      <x:c r="R99" t="str">
        <x:f>IF(RAND()&lt;'Team_Info'!$E$5,"W","B")</x:f>
        <x:v>B</x:v>
      </x:c>
      <x:c r="S99" t="str">
        <x:f>IF(RAND()&lt;'Team_Info'!$E$5,"W","B")</x:f>
        <x:v>W</x:v>
      </x:c>
      <x:c r="T99" t="str">
        <x:f>IF(RAND()&lt;'Team_Info'!$E$5,"W","B")</x:f>
        <x:v>W</x:v>
      </x:c>
      <x:c r="U99" t="str">
        <x:f>IF(RAND()&lt;'Team_Info'!$E$5,"W","B")</x:f>
        <x:v>W</x:v>
      </x:c>
    </x:row>
    <x:row r="100">
      <x:c r="A100" s="1">
        <x:v>99</x:v>
      </x:c>
      <x:c r="B100" t="str">
        <x:f>IF(RAND()&lt;'Team_Info'!$E$5,"W","B")</x:f>
        <x:v>B</x:v>
      </x:c>
      <x:c r="C100" t="str">
        <x:f>IF(RAND()&lt;'Team_Info'!$E$5,"W","B")</x:f>
        <x:v>B</x:v>
      </x:c>
      <x:c r="D100" t="str">
        <x:f>IF(RAND()&lt;'Team_Info'!$E$5,"W","B")</x:f>
        <x:v>W</x:v>
      </x:c>
      <x:c r="E100" t="str">
        <x:f>IF(RAND()&lt;'Team_Info'!$E$5,"W","B")</x:f>
        <x:v>W</x:v>
      </x:c>
      <x:c r="F100" t="str">
        <x:f>IF(RAND()&lt;'Team_Info'!$E$5,"W","B")</x:f>
        <x:v>W</x:v>
      </x:c>
      <x:c r="G100" t="str">
        <x:f>IF(RAND()&lt;'Team_Info'!$E$5,"W","B")</x:f>
        <x:v>W</x:v>
      </x:c>
      <x:c r="H100" t="str">
        <x:f>IF(RAND()&lt;'Team_Info'!$E$5,"W","B")</x:f>
        <x:v>W</x:v>
      </x:c>
      <x:c r="I100" t="str">
        <x:f>IF(RAND()&lt;'Team_Info'!$E$5,"W","B")</x:f>
        <x:v>B</x:v>
      </x:c>
      <x:c r="J100" t="str">
        <x:f>IF(RAND()&lt;'Team_Info'!$E$5,"W","B")</x:f>
        <x:v>B</x:v>
      </x:c>
      <x:c r="K100" t="str">
        <x:f>IF(RAND()&lt;'Team_Info'!$E$5,"W","B")</x:f>
        <x:v>B</x:v>
      </x:c>
      <x:c r="L100" t="str">
        <x:f>IF(RAND()&lt;'Team_Info'!$E$5,"W","B")</x:f>
        <x:v>W</x:v>
      </x:c>
      <x:c r="M100" t="str">
        <x:f>IF(RAND()&lt;'Team_Info'!$E$5,"W","B")</x:f>
        <x:v>B</x:v>
      </x:c>
      <x:c r="N100" t="str">
        <x:f>IF(RAND()&lt;'Team_Info'!$E$5,"W","B")</x:f>
        <x:v>B</x:v>
      </x:c>
      <x:c r="O100" t="str">
        <x:f>IF(RAND()&lt;'Team_Info'!$E$5,"W","B")</x:f>
        <x:v>W</x:v>
      </x:c>
      <x:c r="P100" t="str">
        <x:f>IF(RAND()&lt;'Team_Info'!$E$5,"W","B")</x:f>
        <x:v>B</x:v>
      </x:c>
      <x:c r="Q100" t="str">
        <x:f>IF(RAND()&lt;'Team_Info'!$E$5,"W","B")</x:f>
        <x:v>W</x:v>
      </x:c>
      <x:c r="R100" t="str">
        <x:f>IF(RAND()&lt;'Team_Info'!$E$5,"W","B")</x:f>
        <x:v>B</x:v>
      </x:c>
      <x:c r="S100" t="str">
        <x:f>IF(RAND()&lt;'Team_Info'!$E$5,"W","B")</x:f>
        <x:v>W</x:v>
      </x:c>
      <x:c r="T100" t="str">
        <x:f>IF(RAND()&lt;'Team_Info'!$E$5,"W","B")</x:f>
        <x:v>W</x:v>
      </x:c>
      <x:c r="U100" t="str">
        <x:f>IF(RAND()&lt;'Team_Info'!$E$5,"W","B")</x:f>
        <x:v>B</x:v>
      </x:c>
    </x:row>
    <x:row r="101">
      <x:c r="A101" s="1">
        <x:v>100</x:v>
      </x:c>
      <x:c r="B101" t="str">
        <x:f>IF(RAND()&lt;'Team_Info'!$E$5,"W","B")</x:f>
        <x:v>B</x:v>
      </x:c>
      <x:c r="C101" t="str">
        <x:f>IF(RAND()&lt;'Team_Info'!$E$5,"W","B")</x:f>
        <x:v>B</x:v>
      </x:c>
      <x:c r="D101" t="str">
        <x:f>IF(RAND()&lt;'Team_Info'!$E$5,"W","B")</x:f>
        <x:v>W</x:v>
      </x:c>
      <x:c r="E101" t="str">
        <x:f>IF(RAND()&lt;'Team_Info'!$E$5,"W","B")</x:f>
        <x:v>B</x:v>
      </x:c>
      <x:c r="F101" t="str">
        <x:f>IF(RAND()&lt;'Team_Info'!$E$5,"W","B")</x:f>
        <x:v>B</x:v>
      </x:c>
      <x:c r="G101" t="str">
        <x:f>IF(RAND()&lt;'Team_Info'!$E$5,"W","B")</x:f>
        <x:v>B</x:v>
      </x:c>
      <x:c r="H101" t="str">
        <x:f>IF(RAND()&lt;'Team_Info'!$E$5,"W","B")</x:f>
        <x:v>B</x:v>
      </x:c>
      <x:c r="I101" t="str">
        <x:f>IF(RAND()&lt;'Team_Info'!$E$5,"W","B")</x:f>
        <x:v>W</x:v>
      </x:c>
      <x:c r="J101" t="str">
        <x:f>IF(RAND()&lt;'Team_Info'!$E$5,"W","B")</x:f>
        <x:v>B</x:v>
      </x:c>
      <x:c r="K101" t="str">
        <x:f>IF(RAND()&lt;'Team_Info'!$E$5,"W","B")</x:f>
        <x:v>B</x:v>
      </x:c>
      <x:c r="L101" t="str">
        <x:f>IF(RAND()&lt;'Team_Info'!$E$5,"W","B")</x:f>
        <x:v>B</x:v>
      </x:c>
      <x:c r="M101" t="str">
        <x:f>IF(RAND()&lt;'Team_Info'!$E$5,"W","B")</x:f>
        <x:v>W</x:v>
      </x:c>
      <x:c r="N101" t="str">
        <x:f>IF(RAND()&lt;'Team_Info'!$E$5,"W","B")</x:f>
        <x:v>B</x:v>
      </x:c>
      <x:c r="O101" t="str">
        <x:f>IF(RAND()&lt;'Team_Info'!$E$5,"W","B")</x:f>
        <x:v>W</x:v>
      </x:c>
      <x:c r="P101" t="str">
        <x:f>IF(RAND()&lt;'Team_Info'!$E$5,"W","B")</x:f>
        <x:v>B</x:v>
      </x:c>
      <x:c r="Q101" t="str">
        <x:f>IF(RAND()&lt;'Team_Info'!$E$5,"W","B")</x:f>
        <x:v>W</x:v>
      </x:c>
      <x:c r="R101" t="str">
        <x:f>IF(RAND()&lt;'Team_Info'!$E$5,"W","B")</x:f>
        <x:v>W</x:v>
      </x:c>
      <x:c r="S101" t="str">
        <x:f>IF(RAND()&lt;'Team_Info'!$E$5,"W","B")</x:f>
        <x:v>B</x:v>
      </x:c>
      <x:c r="T101" t="str">
        <x:f>IF(RAND()&lt;'Team_Info'!$E$5,"W","B")</x:f>
        <x:v>B</x:v>
      </x:c>
      <x:c r="U101" t="str">
        <x:f>IF(RAND()&lt;'Team_Info'!$E$5,"W","B")</x:f>
        <x:v>W</x:v>
      </x:c>
    </x:row>
    <x:row r="102">
      <x:c r="A102" s="1">
        <x:v>101</x:v>
      </x:c>
      <x:c r="B102" t="str">
        <x:f>IF(RAND()&lt;'Team_Info'!$E$5,"W","B")</x:f>
        <x:v>B</x:v>
      </x:c>
      <x:c r="C102" t="str">
        <x:f>IF(RAND()&lt;'Team_Info'!$E$5,"W","B")</x:f>
        <x:v>W</x:v>
      </x:c>
      <x:c r="D102" t="str">
        <x:f>IF(RAND()&lt;'Team_Info'!$E$5,"W","B")</x:f>
        <x:v>W</x:v>
      </x:c>
      <x:c r="E102" t="str">
        <x:f>IF(RAND()&lt;'Team_Info'!$E$5,"W","B")</x:f>
        <x:v>B</x:v>
      </x:c>
      <x:c r="F102" t="str">
        <x:f>IF(RAND()&lt;'Team_Info'!$E$5,"W","B")</x:f>
        <x:v>W</x:v>
      </x:c>
      <x:c r="G102" t="str">
        <x:f>IF(RAND()&lt;'Team_Info'!$E$5,"W","B")</x:f>
        <x:v>W</x:v>
      </x:c>
      <x:c r="H102" t="str">
        <x:f>IF(RAND()&lt;'Team_Info'!$E$5,"W","B")</x:f>
        <x:v>B</x:v>
      </x:c>
      <x:c r="I102" t="str">
        <x:f>IF(RAND()&lt;'Team_Info'!$E$5,"W","B")</x:f>
        <x:v>W</x:v>
      </x:c>
      <x:c r="J102" t="str">
        <x:f>IF(RAND()&lt;'Team_Info'!$E$5,"W","B")</x:f>
        <x:v>B</x:v>
      </x:c>
      <x:c r="K102" t="str">
        <x:f>IF(RAND()&lt;'Team_Info'!$E$5,"W","B")</x:f>
        <x:v>W</x:v>
      </x:c>
      <x:c r="L102" t="str">
        <x:f>IF(RAND()&lt;'Team_Info'!$E$5,"W","B")</x:f>
        <x:v>B</x:v>
      </x:c>
      <x:c r="M102" t="str">
        <x:f>IF(RAND()&lt;'Team_Info'!$E$5,"W","B")</x:f>
        <x:v>B</x:v>
      </x:c>
      <x:c r="N102" t="str">
        <x:f>IF(RAND()&lt;'Team_Info'!$E$5,"W","B")</x:f>
        <x:v>W</x:v>
      </x:c>
      <x:c r="O102" t="str">
        <x:f>IF(RAND()&lt;'Team_Info'!$E$5,"W","B")</x:f>
        <x:v>B</x:v>
      </x:c>
      <x:c r="P102" t="str">
        <x:f>IF(RAND()&lt;'Team_Info'!$E$5,"W","B")</x:f>
        <x:v>W</x:v>
      </x:c>
      <x:c r="Q102" t="str">
        <x:f>IF(RAND()&lt;'Team_Info'!$E$5,"W","B")</x:f>
        <x:v>B</x:v>
      </x:c>
      <x:c r="R102" t="str">
        <x:f>IF(RAND()&lt;'Team_Info'!$E$5,"W","B")</x:f>
        <x:v>B</x:v>
      </x:c>
      <x:c r="S102" t="str">
        <x:f>IF(RAND()&lt;'Team_Info'!$E$5,"W","B")</x:f>
        <x:v>W</x:v>
      </x:c>
      <x:c r="T102" t="str">
        <x:f>IF(RAND()&lt;'Team_Info'!$E$5,"W","B")</x:f>
        <x:v>B</x:v>
      </x:c>
      <x:c r="U102" t="str">
        <x:f>IF(RAND()&lt;'Team_Info'!$E$5,"W","B")</x:f>
        <x:v>B</x:v>
      </x:c>
    </x:row>
    <x:row r="103">
      <x:c r="A103" s="1">
        <x:v>102</x:v>
      </x:c>
      <x:c r="B103" t="str">
        <x:f>IF(RAND()&lt;'Team_Info'!$E$5,"W","B")</x:f>
        <x:v>B</x:v>
      </x:c>
      <x:c r="C103" t="str">
        <x:f>IF(RAND()&lt;'Team_Info'!$E$5,"W","B")</x:f>
        <x:v>W</x:v>
      </x:c>
      <x:c r="D103" t="str">
        <x:f>IF(RAND()&lt;'Team_Info'!$E$5,"W","B")</x:f>
        <x:v>B</x:v>
      </x:c>
      <x:c r="E103" t="str">
        <x:f>IF(RAND()&lt;'Team_Info'!$E$5,"W","B")</x:f>
        <x:v>B</x:v>
      </x:c>
      <x:c r="F103" t="str">
        <x:f>IF(RAND()&lt;'Team_Info'!$E$5,"W","B")</x:f>
        <x:v>B</x:v>
      </x:c>
      <x:c r="G103" t="str">
        <x:f>IF(RAND()&lt;'Team_Info'!$E$5,"W","B")</x:f>
        <x:v>B</x:v>
      </x:c>
      <x:c r="H103" t="str">
        <x:f>IF(RAND()&lt;'Team_Info'!$E$5,"W","B")</x:f>
        <x:v>B</x:v>
      </x:c>
      <x:c r="I103" t="str">
        <x:f>IF(RAND()&lt;'Team_Info'!$E$5,"W","B")</x:f>
        <x:v>B</x:v>
      </x:c>
      <x:c r="J103" t="str">
        <x:f>IF(RAND()&lt;'Team_Info'!$E$5,"W","B")</x:f>
        <x:v>W</x:v>
      </x:c>
      <x:c r="K103" t="str">
        <x:f>IF(RAND()&lt;'Team_Info'!$E$5,"W","B")</x:f>
        <x:v>W</x:v>
      </x:c>
      <x:c r="L103" t="str">
        <x:f>IF(RAND()&lt;'Team_Info'!$E$5,"W","B")</x:f>
        <x:v>B</x:v>
      </x:c>
      <x:c r="M103" t="str">
        <x:f>IF(RAND()&lt;'Team_Info'!$E$5,"W","B")</x:f>
        <x:v>B</x:v>
      </x:c>
      <x:c r="N103" t="str">
        <x:f>IF(RAND()&lt;'Team_Info'!$E$5,"W","B")</x:f>
        <x:v>W</x:v>
      </x:c>
      <x:c r="O103" t="str">
        <x:f>IF(RAND()&lt;'Team_Info'!$E$5,"W","B")</x:f>
        <x:v>W</x:v>
      </x:c>
      <x:c r="P103" t="str">
        <x:f>IF(RAND()&lt;'Team_Info'!$E$5,"W","B")</x:f>
        <x:v>B</x:v>
      </x:c>
      <x:c r="Q103" t="str">
        <x:f>IF(RAND()&lt;'Team_Info'!$E$5,"W","B")</x:f>
        <x:v>B</x:v>
      </x:c>
      <x:c r="R103" t="str">
        <x:f>IF(RAND()&lt;'Team_Info'!$E$5,"W","B")</x:f>
        <x:v>W</x:v>
      </x:c>
      <x:c r="S103" t="str">
        <x:f>IF(RAND()&lt;'Team_Info'!$E$5,"W","B")</x:f>
        <x:v>W</x:v>
      </x:c>
      <x:c r="T103" t="str">
        <x:f>IF(RAND()&lt;'Team_Info'!$E$5,"W","B")</x:f>
        <x:v>W</x:v>
      </x:c>
      <x:c r="U103" t="str">
        <x:f>IF(RAND()&lt;'Team_Info'!$E$5,"W","B")</x:f>
        <x:v>B</x:v>
      </x:c>
    </x:row>
    <x:row r="104">
      <x:c r="A104" s="1">
        <x:v>103</x:v>
      </x:c>
      <x:c r="B104" t="str">
        <x:f>IF(RAND()&lt;'Team_Info'!$E$5,"W","B")</x:f>
        <x:v>B</x:v>
      </x:c>
      <x:c r="C104" t="str">
        <x:f>IF(RAND()&lt;'Team_Info'!$E$5,"W","B")</x:f>
        <x:v>B</x:v>
      </x:c>
      <x:c r="D104" t="str">
        <x:f>IF(RAND()&lt;'Team_Info'!$E$5,"W","B")</x:f>
        <x:v>B</x:v>
      </x:c>
      <x:c r="E104" t="str">
        <x:f>IF(RAND()&lt;'Team_Info'!$E$5,"W","B")</x:f>
        <x:v>B</x:v>
      </x:c>
      <x:c r="F104" t="str">
        <x:f>IF(RAND()&lt;'Team_Info'!$E$5,"W","B")</x:f>
        <x:v>W</x:v>
      </x:c>
      <x:c r="G104" t="str">
        <x:f>IF(RAND()&lt;'Team_Info'!$E$5,"W","B")</x:f>
        <x:v>B</x:v>
      </x:c>
      <x:c r="H104" t="str">
        <x:f>IF(RAND()&lt;'Team_Info'!$E$5,"W","B")</x:f>
        <x:v>B</x:v>
      </x:c>
      <x:c r="I104" t="str">
        <x:f>IF(RAND()&lt;'Team_Info'!$E$5,"W","B")</x:f>
        <x:v>W</x:v>
      </x:c>
      <x:c r="J104" t="str">
        <x:f>IF(RAND()&lt;'Team_Info'!$E$5,"W","B")</x:f>
        <x:v>B</x:v>
      </x:c>
      <x:c r="K104" t="str">
        <x:f>IF(RAND()&lt;'Team_Info'!$E$5,"W","B")</x:f>
        <x:v>W</x:v>
      </x:c>
      <x:c r="L104" t="str">
        <x:f>IF(RAND()&lt;'Team_Info'!$E$5,"W","B")</x:f>
        <x:v>W</x:v>
      </x:c>
      <x:c r="M104" t="str">
        <x:f>IF(RAND()&lt;'Team_Info'!$E$5,"W","B")</x:f>
        <x:v>W</x:v>
      </x:c>
      <x:c r="N104" t="str">
        <x:f>IF(RAND()&lt;'Team_Info'!$E$5,"W","B")</x:f>
        <x:v>B</x:v>
      </x:c>
      <x:c r="O104" t="str">
        <x:f>IF(RAND()&lt;'Team_Info'!$E$5,"W","B")</x:f>
        <x:v>B</x:v>
      </x:c>
      <x:c r="P104" t="str">
        <x:f>IF(RAND()&lt;'Team_Info'!$E$5,"W","B")</x:f>
        <x:v>B</x:v>
      </x:c>
      <x:c r="Q104" t="str">
        <x:f>IF(RAND()&lt;'Team_Info'!$E$5,"W","B")</x:f>
        <x:v>B</x:v>
      </x:c>
      <x:c r="R104" t="str">
        <x:f>IF(RAND()&lt;'Team_Info'!$E$5,"W","B")</x:f>
        <x:v>W</x:v>
      </x:c>
      <x:c r="S104" t="str">
        <x:f>IF(RAND()&lt;'Team_Info'!$E$5,"W","B")</x:f>
        <x:v>B</x:v>
      </x:c>
      <x:c r="T104" t="str">
        <x:f>IF(RAND()&lt;'Team_Info'!$E$5,"W","B")</x:f>
        <x:v>B</x:v>
      </x:c>
      <x:c r="U104" t="str">
        <x:f>IF(RAND()&lt;'Team_Info'!$E$5,"W","B")</x:f>
        <x:v>B</x:v>
      </x:c>
    </x:row>
    <x:row r="105">
      <x:c r="A105" s="1">
        <x:v>104</x:v>
      </x:c>
      <x:c r="B105" t="str">
        <x:f>IF(RAND()&lt;'Team_Info'!$E$5,"W","B")</x:f>
        <x:v>B</x:v>
      </x:c>
      <x:c r="C105" t="str">
        <x:f>IF(RAND()&lt;'Team_Info'!$E$5,"W","B")</x:f>
        <x:v>W</x:v>
      </x:c>
      <x:c r="D105" t="str">
        <x:f>IF(RAND()&lt;'Team_Info'!$E$5,"W","B")</x:f>
        <x:v>W</x:v>
      </x:c>
      <x:c r="E105" t="str">
        <x:f>IF(RAND()&lt;'Team_Info'!$E$5,"W","B")</x:f>
        <x:v>W</x:v>
      </x:c>
      <x:c r="F105" t="str">
        <x:f>IF(RAND()&lt;'Team_Info'!$E$5,"W","B")</x:f>
        <x:v>W</x:v>
      </x:c>
      <x:c r="G105" t="str">
        <x:f>IF(RAND()&lt;'Team_Info'!$E$5,"W","B")</x:f>
        <x:v>B</x:v>
      </x:c>
      <x:c r="H105" t="str">
        <x:f>IF(RAND()&lt;'Team_Info'!$E$5,"W","B")</x:f>
        <x:v>B</x:v>
      </x:c>
      <x:c r="I105" t="str">
        <x:f>IF(RAND()&lt;'Team_Info'!$E$5,"W","B")</x:f>
        <x:v>W</x:v>
      </x:c>
      <x:c r="J105" t="str">
        <x:f>IF(RAND()&lt;'Team_Info'!$E$5,"W","B")</x:f>
        <x:v>B</x:v>
      </x:c>
      <x:c r="K105" t="str">
        <x:f>IF(RAND()&lt;'Team_Info'!$E$5,"W","B")</x:f>
        <x:v>B</x:v>
      </x:c>
      <x:c r="L105" t="str">
        <x:f>IF(RAND()&lt;'Team_Info'!$E$5,"W","B")</x:f>
        <x:v>B</x:v>
      </x:c>
      <x:c r="M105" t="str">
        <x:f>IF(RAND()&lt;'Team_Info'!$E$5,"W","B")</x:f>
        <x:v>B</x:v>
      </x:c>
      <x:c r="N105" t="str">
        <x:f>IF(RAND()&lt;'Team_Info'!$E$5,"W","B")</x:f>
        <x:v>W</x:v>
      </x:c>
      <x:c r="O105" t="str">
        <x:f>IF(RAND()&lt;'Team_Info'!$E$5,"W","B")</x:f>
        <x:v>B</x:v>
      </x:c>
      <x:c r="P105" t="str">
        <x:f>IF(RAND()&lt;'Team_Info'!$E$5,"W","B")</x:f>
        <x:v>B</x:v>
      </x:c>
      <x:c r="Q105" t="str">
        <x:f>IF(RAND()&lt;'Team_Info'!$E$5,"W","B")</x:f>
        <x:v>W</x:v>
      </x:c>
      <x:c r="R105" t="str">
        <x:f>IF(RAND()&lt;'Team_Info'!$E$5,"W","B")</x:f>
        <x:v>B</x:v>
      </x:c>
      <x:c r="S105" t="str">
        <x:f>IF(RAND()&lt;'Team_Info'!$E$5,"W","B")</x:f>
        <x:v>B</x:v>
      </x:c>
      <x:c r="T105" t="str">
        <x:f>IF(RAND()&lt;'Team_Info'!$E$5,"W","B")</x:f>
        <x:v>W</x:v>
      </x:c>
      <x:c r="U105" t="str">
        <x:f>IF(RAND()&lt;'Team_Info'!$E$5,"W","B")</x:f>
        <x:v>W</x:v>
      </x:c>
    </x:row>
    <x:row r="106">
      <x:c r="A106" s="1">
        <x:v>105</x:v>
      </x:c>
      <x:c r="B106" t="str">
        <x:f>IF(RAND()&lt;'Team_Info'!$E$5,"W","B")</x:f>
        <x:v>W</x:v>
      </x:c>
      <x:c r="C106" t="str">
        <x:f>IF(RAND()&lt;'Team_Info'!$E$5,"W","B")</x:f>
        <x:v>B</x:v>
      </x:c>
      <x:c r="D106" t="str">
        <x:f>IF(RAND()&lt;'Team_Info'!$E$5,"W","B")</x:f>
        <x:v>W</x:v>
      </x:c>
      <x:c r="E106" t="str">
        <x:f>IF(RAND()&lt;'Team_Info'!$E$5,"W","B")</x:f>
        <x:v>B</x:v>
      </x:c>
      <x:c r="F106" t="str">
        <x:f>IF(RAND()&lt;'Team_Info'!$E$5,"W","B")</x:f>
        <x:v>W</x:v>
      </x:c>
      <x:c r="G106" t="str">
        <x:f>IF(RAND()&lt;'Team_Info'!$E$5,"W","B")</x:f>
        <x:v>W</x:v>
      </x:c>
      <x:c r="H106" t="str">
        <x:f>IF(RAND()&lt;'Team_Info'!$E$5,"W","B")</x:f>
        <x:v>B</x:v>
      </x:c>
      <x:c r="I106" t="str">
        <x:f>IF(RAND()&lt;'Team_Info'!$E$5,"W","B")</x:f>
        <x:v>B</x:v>
      </x:c>
      <x:c r="J106" t="str">
        <x:f>IF(RAND()&lt;'Team_Info'!$E$5,"W","B")</x:f>
        <x:v>W</x:v>
      </x:c>
      <x:c r="K106" t="str">
        <x:f>IF(RAND()&lt;'Team_Info'!$E$5,"W","B")</x:f>
        <x:v>W</x:v>
      </x:c>
      <x:c r="L106" t="str">
        <x:f>IF(RAND()&lt;'Team_Info'!$E$5,"W","B")</x:f>
        <x:v>B</x:v>
      </x:c>
      <x:c r="M106" t="str">
        <x:f>IF(RAND()&lt;'Team_Info'!$E$5,"W","B")</x:f>
        <x:v>W</x:v>
      </x:c>
      <x:c r="N106" t="str">
        <x:f>IF(RAND()&lt;'Team_Info'!$E$5,"W","B")</x:f>
        <x:v>W</x:v>
      </x:c>
      <x:c r="O106" t="str">
        <x:f>IF(RAND()&lt;'Team_Info'!$E$5,"W","B")</x:f>
        <x:v>B</x:v>
      </x:c>
      <x:c r="P106" t="str">
        <x:f>IF(RAND()&lt;'Team_Info'!$E$5,"W","B")</x:f>
        <x:v>B</x:v>
      </x:c>
      <x:c r="Q106" t="str">
        <x:f>IF(RAND()&lt;'Team_Info'!$E$5,"W","B")</x:f>
        <x:v>B</x:v>
      </x:c>
      <x:c r="R106" t="str">
        <x:f>IF(RAND()&lt;'Team_Info'!$E$5,"W","B")</x:f>
        <x:v>B</x:v>
      </x:c>
      <x:c r="S106" t="str">
        <x:f>IF(RAND()&lt;'Team_Info'!$E$5,"W","B")</x:f>
        <x:v>B</x:v>
      </x:c>
      <x:c r="T106" t="str">
        <x:f>IF(RAND()&lt;'Team_Info'!$E$5,"W","B")</x:f>
        <x:v>W</x:v>
      </x:c>
      <x:c r="U106" t="str">
        <x:f>IF(RAND()&lt;'Team_Info'!$E$5,"W","B")</x:f>
        <x:v>B</x:v>
      </x:c>
    </x:row>
    <x:row r="107">
      <x:c r="A107" s="1">
        <x:v>106</x:v>
      </x:c>
      <x:c r="B107" t="str">
        <x:f>IF(RAND()&lt;'Team_Info'!$E$5,"W","B")</x:f>
        <x:v>B</x:v>
      </x:c>
      <x:c r="C107" t="str">
        <x:f>IF(RAND()&lt;'Team_Info'!$E$5,"W","B")</x:f>
        <x:v>W</x:v>
      </x:c>
      <x:c r="D107" t="str">
        <x:f>IF(RAND()&lt;'Team_Info'!$E$5,"W","B")</x:f>
        <x:v>B</x:v>
      </x:c>
      <x:c r="E107" t="str">
        <x:f>IF(RAND()&lt;'Team_Info'!$E$5,"W","B")</x:f>
        <x:v>W</x:v>
      </x:c>
      <x:c r="F107" t="str">
        <x:f>IF(RAND()&lt;'Team_Info'!$E$5,"W","B")</x:f>
        <x:v>B</x:v>
      </x:c>
      <x:c r="G107" t="str">
        <x:f>IF(RAND()&lt;'Team_Info'!$E$5,"W","B")</x:f>
        <x:v>W</x:v>
      </x:c>
      <x:c r="H107" t="str">
        <x:f>IF(RAND()&lt;'Team_Info'!$E$5,"W","B")</x:f>
        <x:v>W</x:v>
      </x:c>
      <x:c r="I107" t="str">
        <x:f>IF(RAND()&lt;'Team_Info'!$E$5,"W","B")</x:f>
        <x:v>B</x:v>
      </x:c>
      <x:c r="J107" t="str">
        <x:f>IF(RAND()&lt;'Team_Info'!$E$5,"W","B")</x:f>
        <x:v>B</x:v>
      </x:c>
      <x:c r="K107" t="str">
        <x:f>IF(RAND()&lt;'Team_Info'!$E$5,"W","B")</x:f>
        <x:v>B</x:v>
      </x:c>
      <x:c r="L107" t="str">
        <x:f>IF(RAND()&lt;'Team_Info'!$E$5,"W","B")</x:f>
        <x:v>B</x:v>
      </x:c>
      <x:c r="M107" t="str">
        <x:f>IF(RAND()&lt;'Team_Info'!$E$5,"W","B")</x:f>
        <x:v>W</x:v>
      </x:c>
      <x:c r="N107" t="str">
        <x:f>IF(RAND()&lt;'Team_Info'!$E$5,"W","B")</x:f>
        <x:v>W</x:v>
      </x:c>
      <x:c r="O107" t="str">
        <x:f>IF(RAND()&lt;'Team_Info'!$E$5,"W","B")</x:f>
        <x:v>W</x:v>
      </x:c>
      <x:c r="P107" t="str">
        <x:f>IF(RAND()&lt;'Team_Info'!$E$5,"W","B")</x:f>
        <x:v>W</x:v>
      </x:c>
      <x:c r="Q107" t="str">
        <x:f>IF(RAND()&lt;'Team_Info'!$E$5,"W","B")</x:f>
        <x:v>B</x:v>
      </x:c>
      <x:c r="R107" t="str">
        <x:f>IF(RAND()&lt;'Team_Info'!$E$5,"W","B")</x:f>
        <x:v>B</x:v>
      </x:c>
      <x:c r="S107" t="str">
        <x:f>IF(RAND()&lt;'Team_Info'!$E$5,"W","B")</x:f>
        <x:v>B</x:v>
      </x:c>
      <x:c r="T107" t="str">
        <x:f>IF(RAND()&lt;'Team_Info'!$E$5,"W","B")</x:f>
        <x:v>B</x:v>
      </x:c>
      <x:c r="U107" t="str">
        <x:f>IF(RAND()&lt;'Team_Info'!$E$5,"W","B")</x:f>
        <x:v>B</x:v>
      </x:c>
    </x:row>
    <x:row r="108">
      <x:c r="A108" s="1">
        <x:v>107</x:v>
      </x:c>
      <x:c r="B108" t="str">
        <x:f>IF(RAND()&lt;'Team_Info'!$E$5,"W","B")</x:f>
        <x:v>B</x:v>
      </x:c>
      <x:c r="C108" t="str">
        <x:f>IF(RAND()&lt;'Team_Info'!$E$5,"W","B")</x:f>
        <x:v>W</x:v>
      </x:c>
      <x:c r="D108" t="str">
        <x:f>IF(RAND()&lt;'Team_Info'!$E$5,"W","B")</x:f>
        <x:v>W</x:v>
      </x:c>
      <x:c r="E108" t="str">
        <x:f>IF(RAND()&lt;'Team_Info'!$E$5,"W","B")</x:f>
        <x:v>B</x:v>
      </x:c>
      <x:c r="F108" t="str">
        <x:f>IF(RAND()&lt;'Team_Info'!$E$5,"W","B")</x:f>
        <x:v>W</x:v>
      </x:c>
      <x:c r="G108" t="str">
        <x:f>IF(RAND()&lt;'Team_Info'!$E$5,"W","B")</x:f>
        <x:v>W</x:v>
      </x:c>
      <x:c r="H108" t="str">
        <x:f>IF(RAND()&lt;'Team_Info'!$E$5,"W","B")</x:f>
        <x:v>W</x:v>
      </x:c>
      <x:c r="I108" t="str">
        <x:f>IF(RAND()&lt;'Team_Info'!$E$5,"W","B")</x:f>
        <x:v>W</x:v>
      </x:c>
      <x:c r="J108" t="str">
        <x:f>IF(RAND()&lt;'Team_Info'!$E$5,"W","B")</x:f>
        <x:v>B</x:v>
      </x:c>
      <x:c r="K108" t="str">
        <x:f>IF(RAND()&lt;'Team_Info'!$E$5,"W","B")</x:f>
        <x:v>B</x:v>
      </x:c>
      <x:c r="L108" t="str">
        <x:f>IF(RAND()&lt;'Team_Info'!$E$5,"W","B")</x:f>
        <x:v>B</x:v>
      </x:c>
      <x:c r="M108" t="str">
        <x:f>IF(RAND()&lt;'Team_Info'!$E$5,"W","B")</x:f>
        <x:v>W</x:v>
      </x:c>
      <x:c r="N108" t="str">
        <x:f>IF(RAND()&lt;'Team_Info'!$E$5,"W","B")</x:f>
        <x:v>B</x:v>
      </x:c>
      <x:c r="O108" t="str">
        <x:f>IF(RAND()&lt;'Team_Info'!$E$5,"W","B")</x:f>
        <x:v>B</x:v>
      </x:c>
      <x:c r="P108" t="str">
        <x:f>IF(RAND()&lt;'Team_Info'!$E$5,"W","B")</x:f>
        <x:v>B</x:v>
      </x:c>
      <x:c r="Q108" t="str">
        <x:f>IF(RAND()&lt;'Team_Info'!$E$5,"W","B")</x:f>
        <x:v>B</x:v>
      </x:c>
      <x:c r="R108" t="str">
        <x:f>IF(RAND()&lt;'Team_Info'!$E$5,"W","B")</x:f>
        <x:v>B</x:v>
      </x:c>
      <x:c r="S108" t="str">
        <x:f>IF(RAND()&lt;'Team_Info'!$E$5,"W","B")</x:f>
        <x:v>B</x:v>
      </x:c>
      <x:c r="T108" t="str">
        <x:f>IF(RAND()&lt;'Team_Info'!$E$5,"W","B")</x:f>
        <x:v>W</x:v>
      </x:c>
      <x:c r="U108" t="str">
        <x:f>IF(RAND()&lt;'Team_Info'!$E$5,"W","B")</x:f>
        <x:v>B</x:v>
      </x:c>
    </x:row>
    <x:row r="109">
      <x:c r="A109" s="1">
        <x:v>108</x:v>
      </x:c>
      <x:c r="B109" t="str">
        <x:f>IF(RAND()&lt;'Team_Info'!$E$5,"W","B")</x:f>
        <x:v>B</x:v>
      </x:c>
      <x:c r="C109" t="str">
        <x:f>IF(RAND()&lt;'Team_Info'!$E$5,"W","B")</x:f>
        <x:v>B</x:v>
      </x:c>
      <x:c r="D109" t="str">
        <x:f>IF(RAND()&lt;'Team_Info'!$E$5,"W","B")</x:f>
        <x:v>B</x:v>
      </x:c>
      <x:c r="E109" t="str">
        <x:f>IF(RAND()&lt;'Team_Info'!$E$5,"W","B")</x:f>
        <x:v>B</x:v>
      </x:c>
      <x:c r="F109" t="str">
        <x:f>IF(RAND()&lt;'Team_Info'!$E$5,"W","B")</x:f>
        <x:v>W</x:v>
      </x:c>
      <x:c r="G109" t="str">
        <x:f>IF(RAND()&lt;'Team_Info'!$E$5,"W","B")</x:f>
        <x:v>W</x:v>
      </x:c>
      <x:c r="H109" t="str">
        <x:f>IF(RAND()&lt;'Team_Info'!$E$5,"W","B")</x:f>
        <x:v>W</x:v>
      </x:c>
      <x:c r="I109" t="str">
        <x:f>IF(RAND()&lt;'Team_Info'!$E$5,"W","B")</x:f>
        <x:v>B</x:v>
      </x:c>
      <x:c r="J109" t="str">
        <x:f>IF(RAND()&lt;'Team_Info'!$E$5,"W","B")</x:f>
        <x:v>W</x:v>
      </x:c>
      <x:c r="K109" t="str">
        <x:f>IF(RAND()&lt;'Team_Info'!$E$5,"W","B")</x:f>
        <x:v>W</x:v>
      </x:c>
      <x:c r="L109" t="str">
        <x:f>IF(RAND()&lt;'Team_Info'!$E$5,"W","B")</x:f>
        <x:v>B</x:v>
      </x:c>
      <x:c r="M109" t="str">
        <x:f>IF(RAND()&lt;'Team_Info'!$E$5,"W","B")</x:f>
        <x:v>W</x:v>
      </x:c>
      <x:c r="N109" t="str">
        <x:f>IF(RAND()&lt;'Team_Info'!$E$5,"W","B")</x:f>
        <x:v>B</x:v>
      </x:c>
      <x:c r="O109" t="str">
        <x:f>IF(RAND()&lt;'Team_Info'!$E$5,"W","B")</x:f>
        <x:v>W</x:v>
      </x:c>
      <x:c r="P109" t="str">
        <x:f>IF(RAND()&lt;'Team_Info'!$E$5,"W","B")</x:f>
        <x:v>W</x:v>
      </x:c>
      <x:c r="Q109" t="str">
        <x:f>IF(RAND()&lt;'Team_Info'!$E$5,"W","B")</x:f>
        <x:v>B</x:v>
      </x:c>
      <x:c r="R109" t="str">
        <x:f>IF(RAND()&lt;'Team_Info'!$E$5,"W","B")</x:f>
        <x:v>B</x:v>
      </x:c>
      <x:c r="S109" t="str">
        <x:f>IF(RAND()&lt;'Team_Info'!$E$5,"W","B")</x:f>
        <x:v>B</x:v>
      </x:c>
      <x:c r="T109" t="str">
        <x:f>IF(RAND()&lt;'Team_Info'!$E$5,"W","B")</x:f>
        <x:v>B</x:v>
      </x:c>
      <x:c r="U109" t="str">
        <x:f>IF(RAND()&lt;'Team_Info'!$E$5,"W","B")</x:f>
        <x:v>W</x:v>
      </x:c>
    </x:row>
    <x:row r="110">
      <x:c r="A110" s="1">
        <x:v>109</x:v>
      </x:c>
      <x:c r="B110" t="str">
        <x:f>IF(RAND()&lt;'Team_Info'!$E$5,"W","B")</x:f>
        <x:v>B</x:v>
      </x:c>
      <x:c r="C110" t="str">
        <x:f>IF(RAND()&lt;'Team_Info'!$E$5,"W","B")</x:f>
        <x:v>W</x:v>
      </x:c>
      <x:c r="D110" t="str">
        <x:f>IF(RAND()&lt;'Team_Info'!$E$5,"W","B")</x:f>
        <x:v>W</x:v>
      </x:c>
      <x:c r="E110" t="str">
        <x:f>IF(RAND()&lt;'Team_Info'!$E$5,"W","B")</x:f>
        <x:v>W</x:v>
      </x:c>
      <x:c r="F110" t="str">
        <x:f>IF(RAND()&lt;'Team_Info'!$E$5,"W","B")</x:f>
        <x:v>W</x:v>
      </x:c>
      <x:c r="G110" t="str">
        <x:f>IF(RAND()&lt;'Team_Info'!$E$5,"W","B")</x:f>
        <x:v>W</x:v>
      </x:c>
      <x:c r="H110" t="str">
        <x:f>IF(RAND()&lt;'Team_Info'!$E$5,"W","B")</x:f>
        <x:v>B</x:v>
      </x:c>
      <x:c r="I110" t="str">
        <x:f>IF(RAND()&lt;'Team_Info'!$E$5,"W","B")</x:f>
        <x:v>W</x:v>
      </x:c>
      <x:c r="J110" t="str">
        <x:f>IF(RAND()&lt;'Team_Info'!$E$5,"W","B")</x:f>
        <x:v>B</x:v>
      </x:c>
      <x:c r="K110" t="str">
        <x:f>IF(RAND()&lt;'Team_Info'!$E$5,"W","B")</x:f>
        <x:v>W</x:v>
      </x:c>
      <x:c r="L110" t="str">
        <x:f>IF(RAND()&lt;'Team_Info'!$E$5,"W","B")</x:f>
        <x:v>B</x:v>
      </x:c>
      <x:c r="M110" t="str">
        <x:f>IF(RAND()&lt;'Team_Info'!$E$5,"W","B")</x:f>
        <x:v>W</x:v>
      </x:c>
      <x:c r="N110" t="str">
        <x:f>IF(RAND()&lt;'Team_Info'!$E$5,"W","B")</x:f>
        <x:v>B</x:v>
      </x:c>
      <x:c r="O110" t="str">
        <x:f>IF(RAND()&lt;'Team_Info'!$E$5,"W","B")</x:f>
        <x:v>W</x:v>
      </x:c>
      <x:c r="P110" t="str">
        <x:f>IF(RAND()&lt;'Team_Info'!$E$5,"W","B")</x:f>
        <x:v>B</x:v>
      </x:c>
      <x:c r="Q110" t="str">
        <x:f>IF(RAND()&lt;'Team_Info'!$E$5,"W","B")</x:f>
        <x:v>W</x:v>
      </x:c>
      <x:c r="R110" t="str">
        <x:f>IF(RAND()&lt;'Team_Info'!$E$5,"W","B")</x:f>
        <x:v>W</x:v>
      </x:c>
      <x:c r="S110" t="str">
        <x:f>IF(RAND()&lt;'Team_Info'!$E$5,"W","B")</x:f>
        <x:v>B</x:v>
      </x:c>
      <x:c r="T110" t="str">
        <x:f>IF(RAND()&lt;'Team_Info'!$E$5,"W","B")</x:f>
        <x:v>B</x:v>
      </x:c>
      <x:c r="U110" t="str">
        <x:f>IF(RAND()&lt;'Team_Info'!$E$5,"W","B")</x:f>
        <x:v>W</x:v>
      </x:c>
    </x:row>
    <x:row r="111">
      <x:c r="A111" s="1">
        <x:v>110</x:v>
      </x:c>
      <x:c r="B111" t="str">
        <x:f>IF(RAND()&lt;'Team_Info'!$E$5,"W","B")</x:f>
        <x:v>W</x:v>
      </x:c>
      <x:c r="C111" t="str">
        <x:f>IF(RAND()&lt;'Team_Info'!$E$5,"W","B")</x:f>
        <x:v>B</x:v>
      </x:c>
      <x:c r="D111" t="str">
        <x:f>IF(RAND()&lt;'Team_Info'!$E$5,"W","B")</x:f>
        <x:v>B</x:v>
      </x:c>
      <x:c r="E111" t="str">
        <x:f>IF(RAND()&lt;'Team_Info'!$E$5,"W","B")</x:f>
        <x:v>B</x:v>
      </x:c>
      <x:c r="F111" t="str">
        <x:f>IF(RAND()&lt;'Team_Info'!$E$5,"W","B")</x:f>
        <x:v>W</x:v>
      </x:c>
      <x:c r="G111" t="str">
        <x:f>IF(RAND()&lt;'Team_Info'!$E$5,"W","B")</x:f>
        <x:v>B</x:v>
      </x:c>
      <x:c r="H111" t="str">
        <x:f>IF(RAND()&lt;'Team_Info'!$E$5,"W","B")</x:f>
        <x:v>B</x:v>
      </x:c>
      <x:c r="I111" t="str">
        <x:f>IF(RAND()&lt;'Team_Info'!$E$5,"W","B")</x:f>
        <x:v>B</x:v>
      </x:c>
      <x:c r="J111" t="str">
        <x:f>IF(RAND()&lt;'Team_Info'!$E$5,"W","B")</x:f>
        <x:v>W</x:v>
      </x:c>
      <x:c r="K111" t="str">
        <x:f>IF(RAND()&lt;'Team_Info'!$E$5,"W","B")</x:f>
        <x:v>W</x:v>
      </x:c>
      <x:c r="L111" t="str">
        <x:f>IF(RAND()&lt;'Team_Info'!$E$5,"W","B")</x:f>
        <x:v>W</x:v>
      </x:c>
      <x:c r="M111" t="str">
        <x:f>IF(RAND()&lt;'Team_Info'!$E$5,"W","B")</x:f>
        <x:v>B</x:v>
      </x:c>
      <x:c r="N111" t="str">
        <x:f>IF(RAND()&lt;'Team_Info'!$E$5,"W","B")</x:f>
        <x:v>B</x:v>
      </x:c>
      <x:c r="O111" t="str">
        <x:f>IF(RAND()&lt;'Team_Info'!$E$5,"W","B")</x:f>
        <x:v>B</x:v>
      </x:c>
      <x:c r="P111" t="str">
        <x:f>IF(RAND()&lt;'Team_Info'!$E$5,"W","B")</x:f>
        <x:v>B</x:v>
      </x:c>
      <x:c r="Q111" t="str">
        <x:f>IF(RAND()&lt;'Team_Info'!$E$5,"W","B")</x:f>
        <x:v>B</x:v>
      </x:c>
      <x:c r="R111" t="str">
        <x:f>IF(RAND()&lt;'Team_Info'!$E$5,"W","B")</x:f>
        <x:v>W</x:v>
      </x:c>
      <x:c r="S111" t="str">
        <x:f>IF(RAND()&lt;'Team_Info'!$E$5,"W","B")</x:f>
        <x:v>B</x:v>
      </x:c>
      <x:c r="T111" t="str">
        <x:f>IF(RAND()&lt;'Team_Info'!$E$5,"W","B")</x:f>
        <x:v>B</x:v>
      </x:c>
      <x:c r="U111" t="str">
        <x:f>IF(RAND()&lt;'Team_Info'!$E$5,"W","B")</x:f>
        <x:v>B</x:v>
      </x:c>
    </x:row>
    <x:row r="112">
      <x:c r="A112" s="1">
        <x:v>111</x:v>
      </x:c>
      <x:c r="B112" t="str">
        <x:f>IF(RAND()&lt;'Team_Info'!$E$5,"W","B")</x:f>
        <x:v>B</x:v>
      </x:c>
      <x:c r="C112" t="str">
        <x:f>IF(RAND()&lt;'Team_Info'!$E$5,"W","B")</x:f>
        <x:v>B</x:v>
      </x:c>
      <x:c r="D112" t="str">
        <x:f>IF(RAND()&lt;'Team_Info'!$E$5,"W","B")</x:f>
        <x:v>W</x:v>
      </x:c>
      <x:c r="E112" t="str">
        <x:f>IF(RAND()&lt;'Team_Info'!$E$5,"W","B")</x:f>
        <x:v>B</x:v>
      </x:c>
      <x:c r="F112" t="str">
        <x:f>IF(RAND()&lt;'Team_Info'!$E$5,"W","B")</x:f>
        <x:v>W</x:v>
      </x:c>
      <x:c r="G112" t="str">
        <x:f>IF(RAND()&lt;'Team_Info'!$E$5,"W","B")</x:f>
        <x:v>B</x:v>
      </x:c>
      <x:c r="H112" t="str">
        <x:f>IF(RAND()&lt;'Team_Info'!$E$5,"W","B")</x:f>
        <x:v>B</x:v>
      </x:c>
      <x:c r="I112" t="str">
        <x:f>IF(RAND()&lt;'Team_Info'!$E$5,"W","B")</x:f>
        <x:v>B</x:v>
      </x:c>
      <x:c r="J112" t="str">
        <x:f>IF(RAND()&lt;'Team_Info'!$E$5,"W","B")</x:f>
        <x:v>B</x:v>
      </x:c>
      <x:c r="K112" t="str">
        <x:f>IF(RAND()&lt;'Team_Info'!$E$5,"W","B")</x:f>
        <x:v>W</x:v>
      </x:c>
      <x:c r="L112" t="str">
        <x:f>IF(RAND()&lt;'Team_Info'!$E$5,"W","B")</x:f>
        <x:v>B</x:v>
      </x:c>
      <x:c r="M112" t="str">
        <x:f>IF(RAND()&lt;'Team_Info'!$E$5,"W","B")</x:f>
        <x:v>B</x:v>
      </x:c>
      <x:c r="N112" t="str">
        <x:f>IF(RAND()&lt;'Team_Info'!$E$5,"W","B")</x:f>
        <x:v>W</x:v>
      </x:c>
      <x:c r="O112" t="str">
        <x:f>IF(RAND()&lt;'Team_Info'!$E$5,"W","B")</x:f>
        <x:v>B</x:v>
      </x:c>
      <x:c r="P112" t="str">
        <x:f>IF(RAND()&lt;'Team_Info'!$E$5,"W","B")</x:f>
        <x:v>B</x:v>
      </x:c>
      <x:c r="Q112" t="str">
        <x:f>IF(RAND()&lt;'Team_Info'!$E$5,"W","B")</x:f>
        <x:v>B</x:v>
      </x:c>
      <x:c r="R112" t="str">
        <x:f>IF(RAND()&lt;'Team_Info'!$E$5,"W","B")</x:f>
        <x:v>W</x:v>
      </x:c>
      <x:c r="S112" t="str">
        <x:f>IF(RAND()&lt;'Team_Info'!$E$5,"W","B")</x:f>
        <x:v>B</x:v>
      </x:c>
      <x:c r="T112" t="str">
        <x:f>IF(RAND()&lt;'Team_Info'!$E$5,"W","B")</x:f>
        <x:v>B</x:v>
      </x:c>
      <x:c r="U112" t="str">
        <x:f>IF(RAND()&lt;'Team_Info'!$E$5,"W","B")</x:f>
        <x:v>B</x:v>
      </x:c>
    </x:row>
    <x:row r="113">
      <x:c r="A113" s="1">
        <x:v>112</x:v>
      </x:c>
      <x:c r="B113" t="str">
        <x:f>IF(RAND()&lt;'Team_Info'!$E$5,"W","B")</x:f>
        <x:v>B</x:v>
      </x:c>
      <x:c r="C113" t="str">
        <x:f>IF(RAND()&lt;'Team_Info'!$E$5,"W","B")</x:f>
        <x:v>W</x:v>
      </x:c>
      <x:c r="D113" t="str">
        <x:f>IF(RAND()&lt;'Team_Info'!$E$5,"W","B")</x:f>
        <x:v>W</x:v>
      </x:c>
      <x:c r="E113" t="str">
        <x:f>IF(RAND()&lt;'Team_Info'!$E$5,"W","B")</x:f>
        <x:v>B</x:v>
      </x:c>
      <x:c r="F113" t="str">
        <x:f>IF(RAND()&lt;'Team_Info'!$E$5,"W","B")</x:f>
        <x:v>B</x:v>
      </x:c>
      <x:c r="G113" t="str">
        <x:f>IF(RAND()&lt;'Team_Info'!$E$5,"W","B")</x:f>
        <x:v>W</x:v>
      </x:c>
      <x:c r="H113" t="str">
        <x:f>IF(RAND()&lt;'Team_Info'!$E$5,"W","B")</x:f>
        <x:v>W</x:v>
      </x:c>
      <x:c r="I113" t="str">
        <x:f>IF(RAND()&lt;'Team_Info'!$E$5,"W","B")</x:f>
        <x:v>B</x:v>
      </x:c>
      <x:c r="J113" t="str">
        <x:f>IF(RAND()&lt;'Team_Info'!$E$5,"W","B")</x:f>
        <x:v>W</x:v>
      </x:c>
      <x:c r="K113" t="str">
        <x:f>IF(RAND()&lt;'Team_Info'!$E$5,"W","B")</x:f>
        <x:v>W</x:v>
      </x:c>
      <x:c r="L113" t="str">
        <x:f>IF(RAND()&lt;'Team_Info'!$E$5,"W","B")</x:f>
        <x:v>W</x:v>
      </x:c>
      <x:c r="M113" t="str">
        <x:f>IF(RAND()&lt;'Team_Info'!$E$5,"W","B")</x:f>
        <x:v>B</x:v>
      </x:c>
      <x:c r="N113" t="str">
        <x:f>IF(RAND()&lt;'Team_Info'!$E$5,"W","B")</x:f>
        <x:v>W</x:v>
      </x:c>
      <x:c r="O113" t="str">
        <x:f>IF(RAND()&lt;'Team_Info'!$E$5,"W","B")</x:f>
        <x:v>W</x:v>
      </x:c>
      <x:c r="P113" t="str">
        <x:f>IF(RAND()&lt;'Team_Info'!$E$5,"W","B")</x:f>
        <x:v>B</x:v>
      </x:c>
      <x:c r="Q113" t="str">
        <x:f>IF(RAND()&lt;'Team_Info'!$E$5,"W","B")</x:f>
        <x:v>W</x:v>
      </x:c>
      <x:c r="R113" t="str">
        <x:f>IF(RAND()&lt;'Team_Info'!$E$5,"W","B")</x:f>
        <x:v>B</x:v>
      </x:c>
      <x:c r="S113" t="str">
        <x:f>IF(RAND()&lt;'Team_Info'!$E$5,"W","B")</x:f>
        <x:v>B</x:v>
      </x:c>
      <x:c r="T113" t="str">
        <x:f>IF(RAND()&lt;'Team_Info'!$E$5,"W","B")</x:f>
        <x:v>B</x:v>
      </x:c>
      <x:c r="U113" t="str">
        <x:f>IF(RAND()&lt;'Team_Info'!$E$5,"W","B")</x:f>
        <x:v>W</x:v>
      </x:c>
    </x:row>
    <x:row r="114">
      <x:c r="A114" s="1">
        <x:v>113</x:v>
      </x:c>
      <x:c r="B114" t="str">
        <x:f>IF(RAND()&lt;'Team_Info'!$E$5,"W","B")</x:f>
        <x:v>B</x:v>
      </x:c>
      <x:c r="C114" t="str">
        <x:f>IF(RAND()&lt;'Team_Info'!$E$5,"W","B")</x:f>
        <x:v>B</x:v>
      </x:c>
      <x:c r="D114" t="str">
        <x:f>IF(RAND()&lt;'Team_Info'!$E$5,"W","B")</x:f>
        <x:v>B</x:v>
      </x:c>
      <x:c r="E114" t="str">
        <x:f>IF(RAND()&lt;'Team_Info'!$E$5,"W","B")</x:f>
        <x:v>B</x:v>
      </x:c>
      <x:c r="F114" t="str">
        <x:f>IF(RAND()&lt;'Team_Info'!$E$5,"W","B")</x:f>
        <x:v>B</x:v>
      </x:c>
      <x:c r="G114" t="str">
        <x:f>IF(RAND()&lt;'Team_Info'!$E$5,"W","B")</x:f>
        <x:v>B</x:v>
      </x:c>
      <x:c r="H114" t="str">
        <x:f>IF(RAND()&lt;'Team_Info'!$E$5,"W","B")</x:f>
        <x:v>B</x:v>
      </x:c>
      <x:c r="I114" t="str">
        <x:f>IF(RAND()&lt;'Team_Info'!$E$5,"W","B")</x:f>
        <x:v>B</x:v>
      </x:c>
      <x:c r="J114" t="str">
        <x:f>IF(RAND()&lt;'Team_Info'!$E$5,"W","B")</x:f>
        <x:v>W</x:v>
      </x:c>
      <x:c r="K114" t="str">
        <x:f>IF(RAND()&lt;'Team_Info'!$E$5,"W","B")</x:f>
        <x:v>B</x:v>
      </x:c>
      <x:c r="L114" t="str">
        <x:f>IF(RAND()&lt;'Team_Info'!$E$5,"W","B")</x:f>
        <x:v>W</x:v>
      </x:c>
      <x:c r="M114" t="str">
        <x:f>IF(RAND()&lt;'Team_Info'!$E$5,"W","B")</x:f>
        <x:v>B</x:v>
      </x:c>
      <x:c r="N114" t="str">
        <x:f>IF(RAND()&lt;'Team_Info'!$E$5,"W","B")</x:f>
        <x:v>B</x:v>
      </x:c>
      <x:c r="O114" t="str">
        <x:f>IF(RAND()&lt;'Team_Info'!$E$5,"W","B")</x:f>
        <x:v>B</x:v>
      </x:c>
      <x:c r="P114" t="str">
        <x:f>IF(RAND()&lt;'Team_Info'!$E$5,"W","B")</x:f>
        <x:v>W</x:v>
      </x:c>
      <x:c r="Q114" t="str">
        <x:f>IF(RAND()&lt;'Team_Info'!$E$5,"W","B")</x:f>
        <x:v>B</x:v>
      </x:c>
      <x:c r="R114" t="str">
        <x:f>IF(RAND()&lt;'Team_Info'!$E$5,"W","B")</x:f>
        <x:v>B</x:v>
      </x:c>
      <x:c r="S114" t="str">
        <x:f>IF(RAND()&lt;'Team_Info'!$E$5,"W","B")</x:f>
        <x:v>B</x:v>
      </x:c>
      <x:c r="T114" t="str">
        <x:f>IF(RAND()&lt;'Team_Info'!$E$5,"W","B")</x:f>
        <x:v>B</x:v>
      </x:c>
      <x:c r="U114" t="str">
        <x:f>IF(RAND()&lt;'Team_Info'!$E$5,"W","B")</x:f>
        <x:v>W</x:v>
      </x:c>
    </x:row>
    <x:row r="115">
      <x:c r="A115" s="1">
        <x:v>114</x:v>
      </x:c>
      <x:c r="B115" t="str">
        <x:f>IF(RAND()&lt;'Team_Info'!$E$5,"W","B")</x:f>
        <x:v>B</x:v>
      </x:c>
      <x:c r="C115" t="str">
        <x:f>IF(RAND()&lt;'Team_Info'!$E$5,"W","B")</x:f>
        <x:v>B</x:v>
      </x:c>
      <x:c r="D115" t="str">
        <x:f>IF(RAND()&lt;'Team_Info'!$E$5,"W","B")</x:f>
        <x:v>B</x:v>
      </x:c>
      <x:c r="E115" t="str">
        <x:f>IF(RAND()&lt;'Team_Info'!$E$5,"W","B")</x:f>
        <x:v>W</x:v>
      </x:c>
      <x:c r="F115" t="str">
        <x:f>IF(RAND()&lt;'Team_Info'!$E$5,"W","B")</x:f>
        <x:v>W</x:v>
      </x:c>
      <x:c r="G115" t="str">
        <x:f>IF(RAND()&lt;'Team_Info'!$E$5,"W","B")</x:f>
        <x:v>B</x:v>
      </x:c>
      <x:c r="H115" t="str">
        <x:f>IF(RAND()&lt;'Team_Info'!$E$5,"W","B")</x:f>
        <x:v>B</x:v>
      </x:c>
      <x:c r="I115" t="str">
        <x:f>IF(RAND()&lt;'Team_Info'!$E$5,"W","B")</x:f>
        <x:v>B</x:v>
      </x:c>
      <x:c r="J115" t="str">
        <x:f>IF(RAND()&lt;'Team_Info'!$E$5,"W","B")</x:f>
        <x:v>W</x:v>
      </x:c>
      <x:c r="K115" t="str">
        <x:f>IF(RAND()&lt;'Team_Info'!$E$5,"W","B")</x:f>
        <x:v>W</x:v>
      </x:c>
      <x:c r="L115" t="str">
        <x:f>IF(RAND()&lt;'Team_Info'!$E$5,"W","B")</x:f>
        <x:v>B</x:v>
      </x:c>
      <x:c r="M115" t="str">
        <x:f>IF(RAND()&lt;'Team_Info'!$E$5,"W","B")</x:f>
        <x:v>W</x:v>
      </x:c>
      <x:c r="N115" t="str">
        <x:f>IF(RAND()&lt;'Team_Info'!$E$5,"W","B")</x:f>
        <x:v>B</x:v>
      </x:c>
      <x:c r="O115" t="str">
        <x:f>IF(RAND()&lt;'Team_Info'!$E$5,"W","B")</x:f>
        <x:v>B</x:v>
      </x:c>
      <x:c r="P115" t="str">
        <x:f>IF(RAND()&lt;'Team_Info'!$E$5,"W","B")</x:f>
        <x:v>B</x:v>
      </x:c>
      <x:c r="Q115" t="str">
        <x:f>IF(RAND()&lt;'Team_Info'!$E$5,"W","B")</x:f>
        <x:v>W</x:v>
      </x:c>
      <x:c r="R115" t="str">
        <x:f>IF(RAND()&lt;'Team_Info'!$E$5,"W","B")</x:f>
        <x:v>W</x:v>
      </x:c>
      <x:c r="S115" t="str">
        <x:f>IF(RAND()&lt;'Team_Info'!$E$5,"W","B")</x:f>
        <x:v>B</x:v>
      </x:c>
      <x:c r="T115" t="str">
        <x:f>IF(RAND()&lt;'Team_Info'!$E$5,"W","B")</x:f>
        <x:v>B</x:v>
      </x:c>
      <x:c r="U115" t="str">
        <x:f>IF(RAND()&lt;'Team_Info'!$E$5,"W","B")</x:f>
        <x:v>B</x:v>
      </x:c>
    </x:row>
    <x:row r="116">
      <x:c r="A116" s="1">
        <x:v>115</x:v>
      </x:c>
      <x:c r="B116" t="str">
        <x:f>IF(RAND()&lt;'Team_Info'!$E$5,"W","B")</x:f>
        <x:v>B</x:v>
      </x:c>
      <x:c r="C116" t="str">
        <x:f>IF(RAND()&lt;'Team_Info'!$E$5,"W","B")</x:f>
        <x:v>W</x:v>
      </x:c>
      <x:c r="D116" t="str">
        <x:f>IF(RAND()&lt;'Team_Info'!$E$5,"W","B")</x:f>
        <x:v>W</x:v>
      </x:c>
      <x:c r="E116" t="str">
        <x:f>IF(RAND()&lt;'Team_Info'!$E$5,"W","B")</x:f>
        <x:v>W</x:v>
      </x:c>
      <x:c r="F116" t="str">
        <x:f>IF(RAND()&lt;'Team_Info'!$E$5,"W","B")</x:f>
        <x:v>W</x:v>
      </x:c>
      <x:c r="G116" t="str">
        <x:f>IF(RAND()&lt;'Team_Info'!$E$5,"W","B")</x:f>
        <x:v>B</x:v>
      </x:c>
      <x:c r="H116" t="str">
        <x:f>IF(RAND()&lt;'Team_Info'!$E$5,"W","B")</x:f>
        <x:v>B</x:v>
      </x:c>
      <x:c r="I116" t="str">
        <x:f>IF(RAND()&lt;'Team_Info'!$E$5,"W","B")</x:f>
        <x:v>B</x:v>
      </x:c>
      <x:c r="J116" t="str">
        <x:f>IF(RAND()&lt;'Team_Info'!$E$5,"W","B")</x:f>
        <x:v>W</x:v>
      </x:c>
      <x:c r="K116" t="str">
        <x:f>IF(RAND()&lt;'Team_Info'!$E$5,"W","B")</x:f>
        <x:v>B</x:v>
      </x:c>
      <x:c r="L116" t="str">
        <x:f>IF(RAND()&lt;'Team_Info'!$E$5,"W","B")</x:f>
        <x:v>W</x:v>
      </x:c>
      <x:c r="M116" t="str">
        <x:f>IF(RAND()&lt;'Team_Info'!$E$5,"W","B")</x:f>
        <x:v>W</x:v>
      </x:c>
      <x:c r="N116" t="str">
        <x:f>IF(RAND()&lt;'Team_Info'!$E$5,"W","B")</x:f>
        <x:v>B</x:v>
      </x:c>
      <x:c r="O116" t="str">
        <x:f>IF(RAND()&lt;'Team_Info'!$E$5,"W","B")</x:f>
        <x:v>W</x:v>
      </x:c>
      <x:c r="P116" t="str">
        <x:f>IF(RAND()&lt;'Team_Info'!$E$5,"W","B")</x:f>
        <x:v>W</x:v>
      </x:c>
      <x:c r="Q116" t="str">
        <x:f>IF(RAND()&lt;'Team_Info'!$E$5,"W","B")</x:f>
        <x:v>B</x:v>
      </x:c>
      <x:c r="R116" t="str">
        <x:f>IF(RAND()&lt;'Team_Info'!$E$5,"W","B")</x:f>
        <x:v>W</x:v>
      </x:c>
      <x:c r="S116" t="str">
        <x:f>IF(RAND()&lt;'Team_Info'!$E$5,"W","B")</x:f>
        <x:v>B</x:v>
      </x:c>
      <x:c r="T116" t="str">
        <x:f>IF(RAND()&lt;'Team_Info'!$E$5,"W","B")</x:f>
        <x:v>W</x:v>
      </x:c>
      <x:c r="U116" t="str">
        <x:f>IF(RAND()&lt;'Team_Info'!$E$5,"W","B")</x:f>
        <x:v>W</x:v>
      </x:c>
    </x:row>
    <x:row r="117">
      <x:c r="A117" s="1">
        <x:v>116</x:v>
      </x:c>
      <x:c r="B117" t="str">
        <x:f>IF(RAND()&lt;'Team_Info'!$E$5,"W","B")</x:f>
        <x:v>W</x:v>
      </x:c>
      <x:c r="C117" t="str">
        <x:f>IF(RAND()&lt;'Team_Info'!$E$5,"W","B")</x:f>
        <x:v>W</x:v>
      </x:c>
      <x:c r="D117" t="str">
        <x:f>IF(RAND()&lt;'Team_Info'!$E$5,"W","B")</x:f>
        <x:v>B</x:v>
      </x:c>
      <x:c r="E117" t="str">
        <x:f>IF(RAND()&lt;'Team_Info'!$E$5,"W","B")</x:f>
        <x:v>B</x:v>
      </x:c>
      <x:c r="F117" t="str">
        <x:f>IF(RAND()&lt;'Team_Info'!$E$5,"W","B")</x:f>
        <x:v>W</x:v>
      </x:c>
      <x:c r="G117" t="str">
        <x:f>IF(RAND()&lt;'Team_Info'!$E$5,"W","B")</x:f>
        <x:v>W</x:v>
      </x:c>
      <x:c r="H117" t="str">
        <x:f>IF(RAND()&lt;'Team_Info'!$E$5,"W","B")</x:f>
        <x:v>B</x:v>
      </x:c>
      <x:c r="I117" t="str">
        <x:f>IF(RAND()&lt;'Team_Info'!$E$5,"W","B")</x:f>
        <x:v>B</x:v>
      </x:c>
      <x:c r="J117" t="str">
        <x:f>IF(RAND()&lt;'Team_Info'!$E$5,"W","B")</x:f>
        <x:v>B</x:v>
      </x:c>
      <x:c r="K117" t="str">
        <x:f>IF(RAND()&lt;'Team_Info'!$E$5,"W","B")</x:f>
        <x:v>B</x:v>
      </x:c>
      <x:c r="L117" t="str">
        <x:f>IF(RAND()&lt;'Team_Info'!$E$5,"W","B")</x:f>
        <x:v>W</x:v>
      </x:c>
      <x:c r="M117" t="str">
        <x:f>IF(RAND()&lt;'Team_Info'!$E$5,"W","B")</x:f>
        <x:v>W</x:v>
      </x:c>
      <x:c r="N117" t="str">
        <x:f>IF(RAND()&lt;'Team_Info'!$E$5,"W","B")</x:f>
        <x:v>B</x:v>
      </x:c>
      <x:c r="O117" t="str">
        <x:f>IF(RAND()&lt;'Team_Info'!$E$5,"W","B")</x:f>
        <x:v>B</x:v>
      </x:c>
      <x:c r="P117" t="str">
        <x:f>IF(RAND()&lt;'Team_Info'!$E$5,"W","B")</x:f>
        <x:v>B</x:v>
      </x:c>
      <x:c r="Q117" t="str">
        <x:f>IF(RAND()&lt;'Team_Info'!$E$5,"W","B")</x:f>
        <x:v>W</x:v>
      </x:c>
      <x:c r="R117" t="str">
        <x:f>IF(RAND()&lt;'Team_Info'!$E$5,"W","B")</x:f>
        <x:v>B</x:v>
      </x:c>
      <x:c r="S117" t="str">
        <x:f>IF(RAND()&lt;'Team_Info'!$E$5,"W","B")</x:f>
        <x:v>B</x:v>
      </x:c>
      <x:c r="T117" t="str">
        <x:f>IF(RAND()&lt;'Team_Info'!$E$5,"W","B")</x:f>
        <x:v>B</x:v>
      </x:c>
      <x:c r="U117" t="str">
        <x:f>IF(RAND()&lt;'Team_Info'!$E$5,"W","B")</x:f>
        <x:v>W</x:v>
      </x:c>
    </x:row>
    <x:row r="118">
      <x:c r="A118" s="1">
        <x:v>117</x:v>
      </x:c>
      <x:c r="B118" t="str">
        <x:f>IF(RAND()&lt;'Team_Info'!$E$5,"W","B")</x:f>
        <x:v>B</x:v>
      </x:c>
      <x:c r="C118" t="str">
        <x:f>IF(RAND()&lt;'Team_Info'!$E$5,"W","B")</x:f>
        <x:v>W</x:v>
      </x:c>
      <x:c r="D118" t="str">
        <x:f>IF(RAND()&lt;'Team_Info'!$E$5,"W","B")</x:f>
        <x:v>B</x:v>
      </x:c>
      <x:c r="E118" t="str">
        <x:f>IF(RAND()&lt;'Team_Info'!$E$5,"W","B")</x:f>
        <x:v>W</x:v>
      </x:c>
      <x:c r="F118" t="str">
        <x:f>IF(RAND()&lt;'Team_Info'!$E$5,"W","B")</x:f>
        <x:v>W</x:v>
      </x:c>
      <x:c r="G118" t="str">
        <x:f>IF(RAND()&lt;'Team_Info'!$E$5,"W","B")</x:f>
        <x:v>B</x:v>
      </x:c>
      <x:c r="H118" t="str">
        <x:f>IF(RAND()&lt;'Team_Info'!$E$5,"W","B")</x:f>
        <x:v>W</x:v>
      </x:c>
      <x:c r="I118" t="str">
        <x:f>IF(RAND()&lt;'Team_Info'!$E$5,"W","B")</x:f>
        <x:v>B</x:v>
      </x:c>
      <x:c r="J118" t="str">
        <x:f>IF(RAND()&lt;'Team_Info'!$E$5,"W","B")</x:f>
        <x:v>W</x:v>
      </x:c>
      <x:c r="K118" t="str">
        <x:f>IF(RAND()&lt;'Team_Info'!$E$5,"W","B")</x:f>
        <x:v>B</x:v>
      </x:c>
      <x:c r="L118" t="str">
        <x:f>IF(RAND()&lt;'Team_Info'!$E$5,"W","B")</x:f>
        <x:v>W</x:v>
      </x:c>
      <x:c r="M118" t="str">
        <x:f>IF(RAND()&lt;'Team_Info'!$E$5,"W","B")</x:f>
        <x:v>B</x:v>
      </x:c>
      <x:c r="N118" t="str">
        <x:f>IF(RAND()&lt;'Team_Info'!$E$5,"W","B")</x:f>
        <x:v>B</x:v>
      </x:c>
      <x:c r="O118" t="str">
        <x:f>IF(RAND()&lt;'Team_Info'!$E$5,"W","B")</x:f>
        <x:v>W</x:v>
      </x:c>
      <x:c r="P118" t="str">
        <x:f>IF(RAND()&lt;'Team_Info'!$E$5,"W","B")</x:f>
        <x:v>W</x:v>
      </x:c>
      <x:c r="Q118" t="str">
        <x:f>IF(RAND()&lt;'Team_Info'!$E$5,"W","B")</x:f>
        <x:v>B</x:v>
      </x:c>
      <x:c r="R118" t="str">
        <x:f>IF(RAND()&lt;'Team_Info'!$E$5,"W","B")</x:f>
        <x:v>B</x:v>
      </x:c>
      <x:c r="S118" t="str">
        <x:f>IF(RAND()&lt;'Team_Info'!$E$5,"W","B")</x:f>
        <x:v>W</x:v>
      </x:c>
      <x:c r="T118" t="str">
        <x:f>IF(RAND()&lt;'Team_Info'!$E$5,"W","B")</x:f>
        <x:v>B</x:v>
      </x:c>
      <x:c r="U118" t="str">
        <x:f>IF(RAND()&lt;'Team_Info'!$E$5,"W","B")</x:f>
        <x:v>W</x:v>
      </x:c>
    </x:row>
    <x:row r="119">
      <x:c r="A119" s="1">
        <x:v>118</x:v>
      </x:c>
      <x:c r="B119" t="str">
        <x:f>IF(RAND()&lt;'Team_Info'!$E$5,"W","B")</x:f>
        <x:v>W</x:v>
      </x:c>
      <x:c r="C119" t="str">
        <x:f>IF(RAND()&lt;'Team_Info'!$E$5,"W","B")</x:f>
        <x:v>B</x:v>
      </x:c>
      <x:c r="D119" t="str">
        <x:f>IF(RAND()&lt;'Team_Info'!$E$5,"W","B")</x:f>
        <x:v>W</x:v>
      </x:c>
      <x:c r="E119" t="str">
        <x:f>IF(RAND()&lt;'Team_Info'!$E$5,"W","B")</x:f>
        <x:v>B</x:v>
      </x:c>
      <x:c r="F119" t="str">
        <x:f>IF(RAND()&lt;'Team_Info'!$E$5,"W","B")</x:f>
        <x:v>B</x:v>
      </x:c>
      <x:c r="G119" t="str">
        <x:f>IF(RAND()&lt;'Team_Info'!$E$5,"W","B")</x:f>
        <x:v>B</x:v>
      </x:c>
      <x:c r="H119" t="str">
        <x:f>IF(RAND()&lt;'Team_Info'!$E$5,"W","B")</x:f>
        <x:v>B</x:v>
      </x:c>
      <x:c r="I119" t="str">
        <x:f>IF(RAND()&lt;'Team_Info'!$E$5,"W","B")</x:f>
        <x:v>W</x:v>
      </x:c>
      <x:c r="J119" t="str">
        <x:f>IF(RAND()&lt;'Team_Info'!$E$5,"W","B")</x:f>
        <x:v>B</x:v>
      </x:c>
      <x:c r="K119" t="str">
        <x:f>IF(RAND()&lt;'Team_Info'!$E$5,"W","B")</x:f>
        <x:v>W</x:v>
      </x:c>
      <x:c r="L119" t="str">
        <x:f>IF(RAND()&lt;'Team_Info'!$E$5,"W","B")</x:f>
        <x:v>B</x:v>
      </x:c>
      <x:c r="M119" t="str">
        <x:f>IF(RAND()&lt;'Team_Info'!$E$5,"W","B")</x:f>
        <x:v>W</x:v>
      </x:c>
      <x:c r="N119" t="str">
        <x:f>IF(RAND()&lt;'Team_Info'!$E$5,"W","B")</x:f>
        <x:v>B</x:v>
      </x:c>
      <x:c r="O119" t="str">
        <x:f>IF(RAND()&lt;'Team_Info'!$E$5,"W","B")</x:f>
        <x:v>B</x:v>
      </x:c>
      <x:c r="P119" t="str">
        <x:f>IF(RAND()&lt;'Team_Info'!$E$5,"W","B")</x:f>
        <x:v>B</x:v>
      </x:c>
      <x:c r="Q119" t="str">
        <x:f>IF(RAND()&lt;'Team_Info'!$E$5,"W","B")</x:f>
        <x:v>B</x:v>
      </x:c>
      <x:c r="R119" t="str">
        <x:f>IF(RAND()&lt;'Team_Info'!$E$5,"W","B")</x:f>
        <x:v>B</x:v>
      </x:c>
      <x:c r="S119" t="str">
        <x:f>IF(RAND()&lt;'Team_Info'!$E$5,"W","B")</x:f>
        <x:v>B</x:v>
      </x:c>
      <x:c r="T119" t="str">
        <x:f>IF(RAND()&lt;'Team_Info'!$E$5,"W","B")</x:f>
        <x:v>W</x:v>
      </x:c>
      <x:c r="U119" t="str">
        <x:f>IF(RAND()&lt;'Team_Info'!$E$5,"W","B")</x:f>
        <x:v>W</x:v>
      </x:c>
    </x:row>
    <x:row r="120">
      <x:c r="A120" s="1">
        <x:v>119</x:v>
      </x:c>
      <x:c r="B120" t="str">
        <x:f>IF(RAND()&lt;'Team_Info'!$E$5,"W","B")</x:f>
        <x:v>B</x:v>
      </x:c>
      <x:c r="C120" t="str">
        <x:f>IF(RAND()&lt;'Team_Info'!$E$5,"W","B")</x:f>
        <x:v>B</x:v>
      </x:c>
      <x:c r="D120" t="str">
        <x:f>IF(RAND()&lt;'Team_Info'!$E$5,"W","B")</x:f>
        <x:v>W</x:v>
      </x:c>
      <x:c r="E120" t="str">
        <x:f>IF(RAND()&lt;'Team_Info'!$E$5,"W","B")</x:f>
        <x:v>B</x:v>
      </x:c>
      <x:c r="F120" t="str">
        <x:f>IF(RAND()&lt;'Team_Info'!$E$5,"W","B")</x:f>
        <x:v>W</x:v>
      </x:c>
      <x:c r="G120" t="str">
        <x:f>IF(RAND()&lt;'Team_Info'!$E$5,"W","B")</x:f>
        <x:v>B</x:v>
      </x:c>
      <x:c r="H120" t="str">
        <x:f>IF(RAND()&lt;'Team_Info'!$E$5,"W","B")</x:f>
        <x:v>B</x:v>
      </x:c>
      <x:c r="I120" t="str">
        <x:f>IF(RAND()&lt;'Team_Info'!$E$5,"W","B")</x:f>
        <x:v>B</x:v>
      </x:c>
      <x:c r="J120" t="str">
        <x:f>IF(RAND()&lt;'Team_Info'!$E$5,"W","B")</x:f>
        <x:v>W</x:v>
      </x:c>
      <x:c r="K120" t="str">
        <x:f>IF(RAND()&lt;'Team_Info'!$E$5,"W","B")</x:f>
        <x:v>W</x:v>
      </x:c>
      <x:c r="L120" t="str">
        <x:f>IF(RAND()&lt;'Team_Info'!$E$5,"W","B")</x:f>
        <x:v>B</x:v>
      </x:c>
      <x:c r="M120" t="str">
        <x:f>IF(RAND()&lt;'Team_Info'!$E$5,"W","B")</x:f>
        <x:v>W</x:v>
      </x:c>
      <x:c r="N120" t="str">
        <x:f>IF(RAND()&lt;'Team_Info'!$E$5,"W","B")</x:f>
        <x:v>B</x:v>
      </x:c>
      <x:c r="O120" t="str">
        <x:f>IF(RAND()&lt;'Team_Info'!$E$5,"W","B")</x:f>
        <x:v>W</x:v>
      </x:c>
      <x:c r="P120" t="str">
        <x:f>IF(RAND()&lt;'Team_Info'!$E$5,"W","B")</x:f>
        <x:v>W</x:v>
      </x:c>
      <x:c r="Q120" t="str">
        <x:f>IF(RAND()&lt;'Team_Info'!$E$5,"W","B")</x:f>
        <x:v>B</x:v>
      </x:c>
      <x:c r="R120" t="str">
        <x:f>IF(RAND()&lt;'Team_Info'!$E$5,"W","B")</x:f>
        <x:v>B</x:v>
      </x:c>
      <x:c r="S120" t="str">
        <x:f>IF(RAND()&lt;'Team_Info'!$E$5,"W","B")</x:f>
        <x:v>B</x:v>
      </x:c>
      <x:c r="T120" t="str">
        <x:f>IF(RAND()&lt;'Team_Info'!$E$5,"W","B")</x:f>
        <x:v>W</x:v>
      </x:c>
      <x:c r="U120" t="str">
        <x:f>IF(RAND()&lt;'Team_Info'!$E$5,"W","B")</x:f>
        <x:v>B</x:v>
      </x:c>
    </x:row>
    <x:row r="121">
      <x:c r="A121" s="1">
        <x:v>120</x:v>
      </x:c>
      <x:c r="B121" t="str">
        <x:f>IF(RAND()&lt;'Team_Info'!$E$5,"W","B")</x:f>
        <x:v>W</x:v>
      </x:c>
      <x:c r="C121" t="str">
        <x:f>IF(RAND()&lt;'Team_Info'!$E$5,"W","B")</x:f>
        <x:v>B</x:v>
      </x:c>
      <x:c r="D121" t="str">
        <x:f>IF(RAND()&lt;'Team_Info'!$E$5,"W","B")</x:f>
        <x:v>B</x:v>
      </x:c>
      <x:c r="E121" t="str">
        <x:f>IF(RAND()&lt;'Team_Info'!$E$5,"W","B")</x:f>
        <x:v>W</x:v>
      </x:c>
      <x:c r="F121" t="str">
        <x:f>IF(RAND()&lt;'Team_Info'!$E$5,"W","B")</x:f>
        <x:v>B</x:v>
      </x:c>
      <x:c r="G121" t="str">
        <x:f>IF(RAND()&lt;'Team_Info'!$E$5,"W","B")</x:f>
        <x:v>W</x:v>
      </x:c>
      <x:c r="H121" t="str">
        <x:f>IF(RAND()&lt;'Team_Info'!$E$5,"W","B")</x:f>
        <x:v>B</x:v>
      </x:c>
      <x:c r="I121" t="str">
        <x:f>IF(RAND()&lt;'Team_Info'!$E$5,"W","B")</x:f>
        <x:v>B</x:v>
      </x:c>
      <x:c r="J121" t="str">
        <x:f>IF(RAND()&lt;'Team_Info'!$E$5,"W","B")</x:f>
        <x:v>B</x:v>
      </x:c>
      <x:c r="K121" t="str">
        <x:f>IF(RAND()&lt;'Team_Info'!$E$5,"W","B")</x:f>
        <x:v>B</x:v>
      </x:c>
      <x:c r="L121" t="str">
        <x:f>IF(RAND()&lt;'Team_Info'!$E$5,"W","B")</x:f>
        <x:v>B</x:v>
      </x:c>
      <x:c r="M121" t="str">
        <x:f>IF(RAND()&lt;'Team_Info'!$E$5,"W","B")</x:f>
        <x:v>B</x:v>
      </x:c>
      <x:c r="N121" t="str">
        <x:f>IF(RAND()&lt;'Team_Info'!$E$5,"W","B")</x:f>
        <x:v>B</x:v>
      </x:c>
      <x:c r="O121" t="str">
        <x:f>IF(RAND()&lt;'Team_Info'!$E$5,"W","B")</x:f>
        <x:v>W</x:v>
      </x:c>
      <x:c r="P121" t="str">
        <x:f>IF(RAND()&lt;'Team_Info'!$E$5,"W","B")</x:f>
        <x:v>W</x:v>
      </x:c>
      <x:c r="Q121" t="str">
        <x:f>IF(RAND()&lt;'Team_Info'!$E$5,"W","B")</x:f>
        <x:v>W</x:v>
      </x:c>
      <x:c r="R121" t="str">
        <x:f>IF(RAND()&lt;'Team_Info'!$E$5,"W","B")</x:f>
        <x:v>W</x:v>
      </x:c>
      <x:c r="S121" t="str">
        <x:f>IF(RAND()&lt;'Team_Info'!$E$5,"W","B")</x:f>
        <x:v>B</x:v>
      </x:c>
      <x:c r="T121" t="str">
        <x:f>IF(RAND()&lt;'Team_Info'!$E$5,"W","B")</x:f>
        <x:v>B</x:v>
      </x:c>
      <x:c r="U121" t="str">
        <x:f>IF(RAND()&lt;'Team_Info'!$E$5,"W","B")</x:f>
        <x:v>W</x:v>
      </x:c>
    </x:row>
    <x:row r="122">
      <x:c r="A122" s="1">
        <x:v>121</x:v>
      </x:c>
      <x:c r="B122" t="str">
        <x:f>IF(RAND()&lt;'Team_Info'!$E$5,"W","B")</x:f>
        <x:v>W</x:v>
      </x:c>
      <x:c r="C122" t="str">
        <x:f>IF(RAND()&lt;'Team_Info'!$E$5,"W","B")</x:f>
        <x:v>B</x:v>
      </x:c>
      <x:c r="D122" t="str">
        <x:f>IF(RAND()&lt;'Team_Info'!$E$5,"W","B")</x:f>
        <x:v>B</x:v>
      </x:c>
      <x:c r="E122" t="str">
        <x:f>IF(RAND()&lt;'Team_Info'!$E$5,"W","B")</x:f>
        <x:v>B</x:v>
      </x:c>
      <x:c r="F122" t="str">
        <x:f>IF(RAND()&lt;'Team_Info'!$E$5,"W","B")</x:f>
        <x:v>B</x:v>
      </x:c>
      <x:c r="G122" t="str">
        <x:f>IF(RAND()&lt;'Team_Info'!$E$5,"W","B")</x:f>
        <x:v>W</x:v>
      </x:c>
      <x:c r="H122" t="str">
        <x:f>IF(RAND()&lt;'Team_Info'!$E$5,"W","B")</x:f>
        <x:v>B</x:v>
      </x:c>
      <x:c r="I122" t="str">
        <x:f>IF(RAND()&lt;'Team_Info'!$E$5,"W","B")</x:f>
        <x:v>B</x:v>
      </x:c>
      <x:c r="J122" t="str">
        <x:f>IF(RAND()&lt;'Team_Info'!$E$5,"W","B")</x:f>
        <x:v>B</x:v>
      </x:c>
      <x:c r="K122" t="str">
        <x:f>IF(RAND()&lt;'Team_Info'!$E$5,"W","B")</x:f>
        <x:v>B</x:v>
      </x:c>
      <x:c r="L122" t="str">
        <x:f>IF(RAND()&lt;'Team_Info'!$E$5,"W","B")</x:f>
        <x:v>B</x:v>
      </x:c>
      <x:c r="M122" t="str">
        <x:f>IF(RAND()&lt;'Team_Info'!$E$5,"W","B")</x:f>
        <x:v>B</x:v>
      </x:c>
      <x:c r="N122" t="str">
        <x:f>IF(RAND()&lt;'Team_Info'!$E$5,"W","B")</x:f>
        <x:v>B</x:v>
      </x:c>
      <x:c r="O122" t="str">
        <x:f>IF(RAND()&lt;'Team_Info'!$E$5,"W","B")</x:f>
        <x:v>B</x:v>
      </x:c>
      <x:c r="P122" t="str">
        <x:f>IF(RAND()&lt;'Team_Info'!$E$5,"W","B")</x:f>
        <x:v>W</x:v>
      </x:c>
      <x:c r="Q122" t="str">
        <x:f>IF(RAND()&lt;'Team_Info'!$E$5,"W","B")</x:f>
        <x:v>W</x:v>
      </x:c>
      <x:c r="R122" t="str">
        <x:f>IF(RAND()&lt;'Team_Info'!$E$5,"W","B")</x:f>
        <x:v>B</x:v>
      </x:c>
      <x:c r="S122" t="str">
        <x:f>IF(RAND()&lt;'Team_Info'!$E$5,"W","B")</x:f>
        <x:v>B</x:v>
      </x:c>
      <x:c r="T122" t="str">
        <x:f>IF(RAND()&lt;'Team_Info'!$E$5,"W","B")</x:f>
        <x:v>B</x:v>
      </x:c>
      <x:c r="U122" t="str">
        <x:f>IF(RAND()&lt;'Team_Info'!$E$5,"W","B")</x:f>
        <x:v>B</x:v>
      </x:c>
    </x:row>
    <x:row r="123">
      <x:c r="A123" s="1">
        <x:v>122</x:v>
      </x:c>
      <x:c r="B123" t="str">
        <x:f>IF(RAND()&lt;'Team_Info'!$E$5,"W","B")</x:f>
        <x:v>W</x:v>
      </x:c>
      <x:c r="C123" t="str">
        <x:f>IF(RAND()&lt;'Team_Info'!$E$5,"W","B")</x:f>
        <x:v>B</x:v>
      </x:c>
      <x:c r="D123" t="str">
        <x:f>IF(RAND()&lt;'Team_Info'!$E$5,"W","B")</x:f>
        <x:v>B</x:v>
      </x:c>
      <x:c r="E123" t="str">
        <x:f>IF(RAND()&lt;'Team_Info'!$E$5,"W","B")</x:f>
        <x:v>B</x:v>
      </x:c>
      <x:c r="F123" t="str">
        <x:f>IF(RAND()&lt;'Team_Info'!$E$5,"W","B")</x:f>
        <x:v>B</x:v>
      </x:c>
      <x:c r="G123" t="str">
        <x:f>IF(RAND()&lt;'Team_Info'!$E$5,"W","B")</x:f>
        <x:v>B</x:v>
      </x:c>
      <x:c r="H123" t="str">
        <x:f>IF(RAND()&lt;'Team_Info'!$E$5,"W","B")</x:f>
        <x:v>W</x:v>
      </x:c>
      <x:c r="I123" t="str">
        <x:f>IF(RAND()&lt;'Team_Info'!$E$5,"W","B")</x:f>
        <x:v>B</x:v>
      </x:c>
      <x:c r="J123" t="str">
        <x:f>IF(RAND()&lt;'Team_Info'!$E$5,"W","B")</x:f>
        <x:v>B</x:v>
      </x:c>
      <x:c r="K123" t="str">
        <x:f>IF(RAND()&lt;'Team_Info'!$E$5,"W","B")</x:f>
        <x:v>B</x:v>
      </x:c>
      <x:c r="L123" t="str">
        <x:f>IF(RAND()&lt;'Team_Info'!$E$5,"W","B")</x:f>
        <x:v>B</x:v>
      </x:c>
      <x:c r="M123" t="str">
        <x:f>IF(RAND()&lt;'Team_Info'!$E$5,"W","B")</x:f>
        <x:v>W</x:v>
      </x:c>
      <x:c r="N123" t="str">
        <x:f>IF(RAND()&lt;'Team_Info'!$E$5,"W","B")</x:f>
        <x:v>B</x:v>
      </x:c>
      <x:c r="O123" t="str">
        <x:f>IF(RAND()&lt;'Team_Info'!$E$5,"W","B")</x:f>
        <x:v>B</x:v>
      </x:c>
      <x:c r="P123" t="str">
        <x:f>IF(RAND()&lt;'Team_Info'!$E$5,"W","B")</x:f>
        <x:v>B</x:v>
      </x:c>
      <x:c r="Q123" t="str">
        <x:f>IF(RAND()&lt;'Team_Info'!$E$5,"W","B")</x:f>
        <x:v>B</x:v>
      </x:c>
      <x:c r="R123" t="str">
        <x:f>IF(RAND()&lt;'Team_Info'!$E$5,"W","B")</x:f>
        <x:v>B</x:v>
      </x:c>
      <x:c r="S123" t="str">
        <x:f>IF(RAND()&lt;'Team_Info'!$E$5,"W","B")</x:f>
        <x:v>B</x:v>
      </x:c>
      <x:c r="T123" t="str">
        <x:f>IF(RAND()&lt;'Team_Info'!$E$5,"W","B")</x:f>
        <x:v>W</x:v>
      </x:c>
      <x:c r="U123" t="str">
        <x:f>IF(RAND()&lt;'Team_Info'!$E$5,"W","B")</x:f>
        <x:v>B</x:v>
      </x:c>
    </x:row>
    <x:row r="124">
      <x:c r="A124" s="1">
        <x:v>123</x:v>
      </x:c>
      <x:c r="B124" t="str">
        <x:f>IF(RAND()&lt;'Team_Info'!$E$5,"W","B")</x:f>
        <x:v>W</x:v>
      </x:c>
      <x:c r="C124" t="str">
        <x:f>IF(RAND()&lt;'Team_Info'!$E$5,"W","B")</x:f>
        <x:v>B</x:v>
      </x:c>
      <x:c r="D124" t="str">
        <x:f>IF(RAND()&lt;'Team_Info'!$E$5,"W","B")</x:f>
        <x:v>B</x:v>
      </x:c>
      <x:c r="E124" t="str">
        <x:f>IF(RAND()&lt;'Team_Info'!$E$5,"W","B")</x:f>
        <x:v>W</x:v>
      </x:c>
      <x:c r="F124" t="str">
        <x:f>IF(RAND()&lt;'Team_Info'!$E$5,"W","B")</x:f>
        <x:v>W</x:v>
      </x:c>
      <x:c r="G124" t="str">
        <x:f>IF(RAND()&lt;'Team_Info'!$E$5,"W","B")</x:f>
        <x:v>B</x:v>
      </x:c>
      <x:c r="H124" t="str">
        <x:f>IF(RAND()&lt;'Team_Info'!$E$5,"W","B")</x:f>
        <x:v>B</x:v>
      </x:c>
      <x:c r="I124" t="str">
        <x:f>IF(RAND()&lt;'Team_Info'!$E$5,"W","B")</x:f>
        <x:v>W</x:v>
      </x:c>
      <x:c r="J124" t="str">
        <x:f>IF(RAND()&lt;'Team_Info'!$E$5,"W","B")</x:f>
        <x:v>B</x:v>
      </x:c>
      <x:c r="K124" t="str">
        <x:f>IF(RAND()&lt;'Team_Info'!$E$5,"W","B")</x:f>
        <x:v>B</x:v>
      </x:c>
      <x:c r="L124" t="str">
        <x:f>IF(RAND()&lt;'Team_Info'!$E$5,"W","B")</x:f>
        <x:v>B</x:v>
      </x:c>
      <x:c r="M124" t="str">
        <x:f>IF(RAND()&lt;'Team_Info'!$E$5,"W","B")</x:f>
        <x:v>B</x:v>
      </x:c>
      <x:c r="N124" t="str">
        <x:f>IF(RAND()&lt;'Team_Info'!$E$5,"W","B")</x:f>
        <x:v>B</x:v>
      </x:c>
      <x:c r="O124" t="str">
        <x:f>IF(RAND()&lt;'Team_Info'!$E$5,"W","B")</x:f>
        <x:v>W</x:v>
      </x:c>
      <x:c r="P124" t="str">
        <x:f>IF(RAND()&lt;'Team_Info'!$E$5,"W","B")</x:f>
        <x:v>W</x:v>
      </x:c>
      <x:c r="Q124" t="str">
        <x:f>IF(RAND()&lt;'Team_Info'!$E$5,"W","B")</x:f>
        <x:v>B</x:v>
      </x:c>
      <x:c r="R124" t="str">
        <x:f>IF(RAND()&lt;'Team_Info'!$E$5,"W","B")</x:f>
        <x:v>B</x:v>
      </x:c>
      <x:c r="S124" t="str">
        <x:f>IF(RAND()&lt;'Team_Info'!$E$5,"W","B")</x:f>
        <x:v>W</x:v>
      </x:c>
      <x:c r="T124" t="str">
        <x:f>IF(RAND()&lt;'Team_Info'!$E$5,"W","B")</x:f>
        <x:v>B</x:v>
      </x:c>
      <x:c r="U124" t="str">
        <x:f>IF(RAND()&lt;'Team_Info'!$E$5,"W","B")</x:f>
        <x:v>W</x:v>
      </x:c>
    </x:row>
    <x:row r="125">
      <x:c r="A125" s="1">
        <x:v>124</x:v>
      </x:c>
      <x:c r="B125" t="str">
        <x:f>IF(RAND()&lt;'Team_Info'!$E$5,"W","B")</x:f>
        <x:v>B</x:v>
      </x:c>
      <x:c r="C125" t="str">
        <x:f>IF(RAND()&lt;'Team_Info'!$E$5,"W","B")</x:f>
        <x:v>W</x:v>
      </x:c>
      <x:c r="D125" t="str">
        <x:f>IF(RAND()&lt;'Team_Info'!$E$5,"W","B")</x:f>
        <x:v>B</x:v>
      </x:c>
      <x:c r="E125" t="str">
        <x:f>IF(RAND()&lt;'Team_Info'!$E$5,"W","B")</x:f>
        <x:v>B</x:v>
      </x:c>
      <x:c r="F125" t="str">
        <x:f>IF(RAND()&lt;'Team_Info'!$E$5,"W","B")</x:f>
        <x:v>W</x:v>
      </x:c>
      <x:c r="G125" t="str">
        <x:f>IF(RAND()&lt;'Team_Info'!$E$5,"W","B")</x:f>
        <x:v>B</x:v>
      </x:c>
      <x:c r="H125" t="str">
        <x:f>IF(RAND()&lt;'Team_Info'!$E$5,"W","B")</x:f>
        <x:v>B</x:v>
      </x:c>
      <x:c r="I125" t="str">
        <x:f>IF(RAND()&lt;'Team_Info'!$E$5,"W","B")</x:f>
        <x:v>W</x:v>
      </x:c>
      <x:c r="J125" t="str">
        <x:f>IF(RAND()&lt;'Team_Info'!$E$5,"W","B")</x:f>
        <x:v>W</x:v>
      </x:c>
      <x:c r="K125" t="str">
        <x:f>IF(RAND()&lt;'Team_Info'!$E$5,"W","B")</x:f>
        <x:v>W</x:v>
      </x:c>
      <x:c r="L125" t="str">
        <x:f>IF(RAND()&lt;'Team_Info'!$E$5,"W","B")</x:f>
        <x:v>B</x:v>
      </x:c>
      <x:c r="M125" t="str">
        <x:f>IF(RAND()&lt;'Team_Info'!$E$5,"W","B")</x:f>
        <x:v>W</x:v>
      </x:c>
      <x:c r="N125" t="str">
        <x:f>IF(RAND()&lt;'Team_Info'!$E$5,"W","B")</x:f>
        <x:v>W</x:v>
      </x:c>
      <x:c r="O125" t="str">
        <x:f>IF(RAND()&lt;'Team_Info'!$E$5,"W","B")</x:f>
        <x:v>B</x:v>
      </x:c>
      <x:c r="P125" t="str">
        <x:f>IF(RAND()&lt;'Team_Info'!$E$5,"W","B")</x:f>
        <x:v>W</x:v>
      </x:c>
      <x:c r="Q125" t="str">
        <x:f>IF(RAND()&lt;'Team_Info'!$E$5,"W","B")</x:f>
        <x:v>B</x:v>
      </x:c>
      <x:c r="R125" t="str">
        <x:f>IF(RAND()&lt;'Team_Info'!$E$5,"W","B")</x:f>
        <x:v>B</x:v>
      </x:c>
      <x:c r="S125" t="str">
        <x:f>IF(RAND()&lt;'Team_Info'!$E$5,"W","B")</x:f>
        <x:v>W</x:v>
      </x:c>
      <x:c r="T125" t="str">
        <x:f>IF(RAND()&lt;'Team_Info'!$E$5,"W","B")</x:f>
        <x:v>W</x:v>
      </x:c>
      <x:c r="U125" t="str">
        <x:f>IF(RAND()&lt;'Team_Info'!$E$5,"W","B")</x:f>
        <x:v>W</x:v>
      </x:c>
    </x:row>
    <x:row r="126">
      <x:c r="A126" s="1">
        <x:v>125</x:v>
      </x:c>
      <x:c r="B126" t="str">
        <x:f>IF(RAND()&lt;'Team_Info'!$E$5,"W","B")</x:f>
        <x:v>B</x:v>
      </x:c>
      <x:c r="C126" t="str">
        <x:f>IF(RAND()&lt;'Team_Info'!$E$5,"W","B")</x:f>
        <x:v>W</x:v>
      </x:c>
      <x:c r="D126" t="str">
        <x:f>IF(RAND()&lt;'Team_Info'!$E$5,"W","B")</x:f>
        <x:v>B</x:v>
      </x:c>
      <x:c r="E126" t="str">
        <x:f>IF(RAND()&lt;'Team_Info'!$E$5,"W","B")</x:f>
        <x:v>W</x:v>
      </x:c>
      <x:c r="F126" t="str">
        <x:f>IF(RAND()&lt;'Team_Info'!$E$5,"W","B")</x:f>
        <x:v>W</x:v>
      </x:c>
      <x:c r="G126" t="str">
        <x:f>IF(RAND()&lt;'Team_Info'!$E$5,"W","B")</x:f>
        <x:v>B</x:v>
      </x:c>
      <x:c r="H126" t="str">
        <x:f>IF(RAND()&lt;'Team_Info'!$E$5,"W","B")</x:f>
        <x:v>B</x:v>
      </x:c>
      <x:c r="I126" t="str">
        <x:f>IF(RAND()&lt;'Team_Info'!$E$5,"W","B")</x:f>
        <x:v>B</x:v>
      </x:c>
      <x:c r="J126" t="str">
        <x:f>IF(RAND()&lt;'Team_Info'!$E$5,"W","B")</x:f>
        <x:v>W</x:v>
      </x:c>
      <x:c r="K126" t="str">
        <x:f>IF(RAND()&lt;'Team_Info'!$E$5,"W","B")</x:f>
        <x:v>W</x:v>
      </x:c>
      <x:c r="L126" t="str">
        <x:f>IF(RAND()&lt;'Team_Info'!$E$5,"W","B")</x:f>
        <x:v>W</x:v>
      </x:c>
      <x:c r="M126" t="str">
        <x:f>IF(RAND()&lt;'Team_Info'!$E$5,"W","B")</x:f>
        <x:v>B</x:v>
      </x:c>
      <x:c r="N126" t="str">
        <x:f>IF(RAND()&lt;'Team_Info'!$E$5,"W","B")</x:f>
        <x:v>B</x:v>
      </x:c>
      <x:c r="O126" t="str">
        <x:f>IF(RAND()&lt;'Team_Info'!$E$5,"W","B")</x:f>
        <x:v>W</x:v>
      </x:c>
      <x:c r="P126" t="str">
        <x:f>IF(RAND()&lt;'Team_Info'!$E$5,"W","B")</x:f>
        <x:v>B</x:v>
      </x:c>
      <x:c r="Q126" t="str">
        <x:f>IF(RAND()&lt;'Team_Info'!$E$5,"W","B")</x:f>
        <x:v>W</x:v>
      </x:c>
      <x:c r="R126" t="str">
        <x:f>IF(RAND()&lt;'Team_Info'!$E$5,"W","B")</x:f>
        <x:v>B</x:v>
      </x:c>
      <x:c r="S126" t="str">
        <x:f>IF(RAND()&lt;'Team_Info'!$E$5,"W","B")</x:f>
        <x:v>W</x:v>
      </x:c>
      <x:c r="T126" t="str">
        <x:f>IF(RAND()&lt;'Team_Info'!$E$5,"W","B")</x:f>
        <x:v>B</x:v>
      </x:c>
      <x:c r="U126" t="str">
        <x:f>IF(RAND()&lt;'Team_Info'!$E$5,"W","B")</x:f>
        <x:v>W</x:v>
      </x:c>
    </x:row>
    <x:row r="127">
      <x:c r="A127" s="1">
        <x:v>126</x:v>
      </x:c>
      <x:c r="B127" t="str">
        <x:f>IF(RAND()&lt;'Team_Info'!$E$5,"W","B")</x:f>
        <x:v>B</x:v>
      </x:c>
      <x:c r="C127" t="str">
        <x:f>IF(RAND()&lt;'Team_Info'!$E$5,"W","B")</x:f>
        <x:v>B</x:v>
      </x:c>
      <x:c r="D127" t="str">
        <x:f>IF(RAND()&lt;'Team_Info'!$E$5,"W","B")</x:f>
        <x:v>W</x:v>
      </x:c>
      <x:c r="E127" t="str">
        <x:f>IF(RAND()&lt;'Team_Info'!$E$5,"W","B")</x:f>
        <x:v>W</x:v>
      </x:c>
      <x:c r="F127" t="str">
        <x:f>IF(RAND()&lt;'Team_Info'!$E$5,"W","B")</x:f>
        <x:v>B</x:v>
      </x:c>
      <x:c r="G127" t="str">
        <x:f>IF(RAND()&lt;'Team_Info'!$E$5,"W","B")</x:f>
        <x:v>B</x:v>
      </x:c>
      <x:c r="H127" t="str">
        <x:f>IF(RAND()&lt;'Team_Info'!$E$5,"W","B")</x:f>
        <x:v>W</x:v>
      </x:c>
      <x:c r="I127" t="str">
        <x:f>IF(RAND()&lt;'Team_Info'!$E$5,"W","B")</x:f>
        <x:v>B</x:v>
      </x:c>
      <x:c r="J127" t="str">
        <x:f>IF(RAND()&lt;'Team_Info'!$E$5,"W","B")</x:f>
        <x:v>B</x:v>
      </x:c>
      <x:c r="K127" t="str">
        <x:f>IF(RAND()&lt;'Team_Info'!$E$5,"W","B")</x:f>
        <x:v>W</x:v>
      </x:c>
      <x:c r="L127" t="str">
        <x:f>IF(RAND()&lt;'Team_Info'!$E$5,"W","B")</x:f>
        <x:v>B</x:v>
      </x:c>
      <x:c r="M127" t="str">
        <x:f>IF(RAND()&lt;'Team_Info'!$E$5,"W","B")</x:f>
        <x:v>W</x:v>
      </x:c>
      <x:c r="N127" t="str">
        <x:f>IF(RAND()&lt;'Team_Info'!$E$5,"W","B")</x:f>
        <x:v>B</x:v>
      </x:c>
      <x:c r="O127" t="str">
        <x:f>IF(RAND()&lt;'Team_Info'!$E$5,"W","B")</x:f>
        <x:v>B</x:v>
      </x:c>
      <x:c r="P127" t="str">
        <x:f>IF(RAND()&lt;'Team_Info'!$E$5,"W","B")</x:f>
        <x:v>W</x:v>
      </x:c>
      <x:c r="Q127" t="str">
        <x:f>IF(RAND()&lt;'Team_Info'!$E$5,"W","B")</x:f>
        <x:v>W</x:v>
      </x:c>
      <x:c r="R127" t="str">
        <x:f>IF(RAND()&lt;'Team_Info'!$E$5,"W","B")</x:f>
        <x:v>W</x:v>
      </x:c>
      <x:c r="S127" t="str">
        <x:f>IF(RAND()&lt;'Team_Info'!$E$5,"W","B")</x:f>
        <x:v>W</x:v>
      </x:c>
      <x:c r="T127" t="str">
        <x:f>IF(RAND()&lt;'Team_Info'!$E$5,"W","B")</x:f>
        <x:v>W</x:v>
      </x:c>
      <x:c r="U127" t="str">
        <x:f>IF(RAND()&lt;'Team_Info'!$E$5,"W","B")</x:f>
        <x:v>B</x:v>
      </x:c>
    </x:row>
    <x:row r="128">
      <x:c r="A128" s="1">
        <x:v>127</x:v>
      </x:c>
      <x:c r="B128" t="str">
        <x:f>IF(RAND()&lt;'Team_Info'!$E$5,"W","B")</x:f>
        <x:v>W</x:v>
      </x:c>
      <x:c r="C128" t="str">
        <x:f>IF(RAND()&lt;'Team_Info'!$E$5,"W","B")</x:f>
        <x:v>B</x:v>
      </x:c>
      <x:c r="D128" t="str">
        <x:f>IF(RAND()&lt;'Team_Info'!$E$5,"W","B")</x:f>
        <x:v>W</x:v>
      </x:c>
      <x:c r="E128" t="str">
        <x:f>IF(RAND()&lt;'Team_Info'!$E$5,"W","B")</x:f>
        <x:v>W</x:v>
      </x:c>
      <x:c r="F128" t="str">
        <x:f>IF(RAND()&lt;'Team_Info'!$E$5,"W","B")</x:f>
        <x:v>B</x:v>
      </x:c>
      <x:c r="G128" t="str">
        <x:f>IF(RAND()&lt;'Team_Info'!$E$5,"W","B")</x:f>
        <x:v>W</x:v>
      </x:c>
      <x:c r="H128" t="str">
        <x:f>IF(RAND()&lt;'Team_Info'!$E$5,"W","B")</x:f>
        <x:v>B</x:v>
      </x:c>
      <x:c r="I128" t="str">
        <x:f>IF(RAND()&lt;'Team_Info'!$E$5,"W","B")</x:f>
        <x:v>W</x:v>
      </x:c>
      <x:c r="J128" t="str">
        <x:f>IF(RAND()&lt;'Team_Info'!$E$5,"W","B")</x:f>
        <x:v>B</x:v>
      </x:c>
      <x:c r="K128" t="str">
        <x:f>IF(RAND()&lt;'Team_Info'!$E$5,"W","B")</x:f>
        <x:v>B</x:v>
      </x:c>
      <x:c r="L128" t="str">
        <x:f>IF(RAND()&lt;'Team_Info'!$E$5,"W","B")</x:f>
        <x:v>B</x:v>
      </x:c>
      <x:c r="M128" t="str">
        <x:f>IF(RAND()&lt;'Team_Info'!$E$5,"W","B")</x:f>
        <x:v>B</x:v>
      </x:c>
      <x:c r="N128" t="str">
        <x:f>IF(RAND()&lt;'Team_Info'!$E$5,"W","B")</x:f>
        <x:v>B</x:v>
      </x:c>
      <x:c r="O128" t="str">
        <x:f>IF(RAND()&lt;'Team_Info'!$E$5,"W","B")</x:f>
        <x:v>B</x:v>
      </x:c>
      <x:c r="P128" t="str">
        <x:f>IF(RAND()&lt;'Team_Info'!$E$5,"W","B")</x:f>
        <x:v>W</x:v>
      </x:c>
      <x:c r="Q128" t="str">
        <x:f>IF(RAND()&lt;'Team_Info'!$E$5,"W","B")</x:f>
        <x:v>W</x:v>
      </x:c>
      <x:c r="R128" t="str">
        <x:f>IF(RAND()&lt;'Team_Info'!$E$5,"W","B")</x:f>
        <x:v>B</x:v>
      </x:c>
      <x:c r="S128" t="str">
        <x:f>IF(RAND()&lt;'Team_Info'!$E$5,"W","B")</x:f>
        <x:v>B</x:v>
      </x:c>
      <x:c r="T128" t="str">
        <x:f>IF(RAND()&lt;'Team_Info'!$E$5,"W","B")</x:f>
        <x:v>W</x:v>
      </x:c>
      <x:c r="U128" t="str">
        <x:f>IF(RAND()&lt;'Team_Info'!$E$5,"W","B")</x:f>
        <x:v>W</x:v>
      </x:c>
    </x:row>
    <x:row r="129">
      <x:c r="A129" s="1">
        <x:v>128</x:v>
      </x:c>
      <x:c r="B129" t="str">
        <x:f>IF(RAND()&lt;'Team_Info'!$E$5,"W","B")</x:f>
        <x:v>W</x:v>
      </x:c>
      <x:c r="C129" t="str">
        <x:f>IF(RAND()&lt;'Team_Info'!$E$5,"W","B")</x:f>
        <x:v>B</x:v>
      </x:c>
      <x:c r="D129" t="str">
        <x:f>IF(RAND()&lt;'Team_Info'!$E$5,"W","B")</x:f>
        <x:v>W</x:v>
      </x:c>
      <x:c r="E129" t="str">
        <x:f>IF(RAND()&lt;'Team_Info'!$E$5,"W","B")</x:f>
        <x:v>B</x:v>
      </x:c>
      <x:c r="F129" t="str">
        <x:f>IF(RAND()&lt;'Team_Info'!$E$5,"W","B")</x:f>
        <x:v>B</x:v>
      </x:c>
      <x:c r="G129" t="str">
        <x:f>IF(RAND()&lt;'Team_Info'!$E$5,"W","B")</x:f>
        <x:v>W</x:v>
      </x:c>
      <x:c r="H129" t="str">
        <x:f>IF(RAND()&lt;'Team_Info'!$E$5,"W","B")</x:f>
        <x:v>B</x:v>
      </x:c>
      <x:c r="I129" t="str">
        <x:f>IF(RAND()&lt;'Team_Info'!$E$5,"W","B")</x:f>
        <x:v>B</x:v>
      </x:c>
      <x:c r="J129" t="str">
        <x:f>IF(RAND()&lt;'Team_Info'!$E$5,"W","B")</x:f>
        <x:v>W</x:v>
      </x:c>
      <x:c r="K129" t="str">
        <x:f>IF(RAND()&lt;'Team_Info'!$E$5,"W","B")</x:f>
        <x:v>B</x:v>
      </x:c>
      <x:c r="L129" t="str">
        <x:f>IF(RAND()&lt;'Team_Info'!$E$5,"W","B")</x:f>
        <x:v>B</x:v>
      </x:c>
      <x:c r="M129" t="str">
        <x:f>IF(RAND()&lt;'Team_Info'!$E$5,"W","B")</x:f>
        <x:v>B</x:v>
      </x:c>
      <x:c r="N129" t="str">
        <x:f>IF(RAND()&lt;'Team_Info'!$E$5,"W","B")</x:f>
        <x:v>B</x:v>
      </x:c>
      <x:c r="O129" t="str">
        <x:f>IF(RAND()&lt;'Team_Info'!$E$5,"W","B")</x:f>
        <x:v>W</x:v>
      </x:c>
      <x:c r="P129" t="str">
        <x:f>IF(RAND()&lt;'Team_Info'!$E$5,"W","B")</x:f>
        <x:v>B</x:v>
      </x:c>
      <x:c r="Q129" t="str">
        <x:f>IF(RAND()&lt;'Team_Info'!$E$5,"W","B")</x:f>
        <x:v>B</x:v>
      </x:c>
      <x:c r="R129" t="str">
        <x:f>IF(RAND()&lt;'Team_Info'!$E$5,"W","B")</x:f>
        <x:v>B</x:v>
      </x:c>
      <x:c r="S129" t="str">
        <x:f>IF(RAND()&lt;'Team_Info'!$E$5,"W","B")</x:f>
        <x:v>B</x:v>
      </x:c>
      <x:c r="T129" t="str">
        <x:f>IF(RAND()&lt;'Team_Info'!$E$5,"W","B")</x:f>
        <x:v>B</x:v>
      </x:c>
      <x:c r="U129" t="str">
        <x:f>IF(RAND()&lt;'Team_Info'!$E$5,"W","B")</x:f>
        <x:v>W</x:v>
      </x:c>
    </x:row>
    <x:row r="130">
      <x:c r="A130" s="1">
        <x:v>129</x:v>
      </x:c>
      <x:c r="B130" t="str">
        <x:f>IF(RAND()&lt;'Team_Info'!$E$5,"W","B")</x:f>
        <x:v>B</x:v>
      </x:c>
      <x:c r="C130" t="str">
        <x:f>IF(RAND()&lt;'Team_Info'!$E$5,"W","B")</x:f>
        <x:v>B</x:v>
      </x:c>
      <x:c r="D130" t="str">
        <x:f>IF(RAND()&lt;'Team_Info'!$E$5,"W","B")</x:f>
        <x:v>W</x:v>
      </x:c>
      <x:c r="E130" t="str">
        <x:f>IF(RAND()&lt;'Team_Info'!$E$5,"W","B")</x:f>
        <x:v>W</x:v>
      </x:c>
      <x:c r="F130" t="str">
        <x:f>IF(RAND()&lt;'Team_Info'!$E$5,"W","B")</x:f>
        <x:v>W</x:v>
      </x:c>
      <x:c r="G130" t="str">
        <x:f>IF(RAND()&lt;'Team_Info'!$E$5,"W","B")</x:f>
        <x:v>B</x:v>
      </x:c>
      <x:c r="H130" t="str">
        <x:f>IF(RAND()&lt;'Team_Info'!$E$5,"W","B")</x:f>
        <x:v>W</x:v>
      </x:c>
      <x:c r="I130" t="str">
        <x:f>IF(RAND()&lt;'Team_Info'!$E$5,"W","B")</x:f>
        <x:v>W</x:v>
      </x:c>
      <x:c r="J130" t="str">
        <x:f>IF(RAND()&lt;'Team_Info'!$E$5,"W","B")</x:f>
        <x:v>W</x:v>
      </x:c>
      <x:c r="K130" t="str">
        <x:f>IF(RAND()&lt;'Team_Info'!$E$5,"W","B")</x:f>
        <x:v>W</x:v>
      </x:c>
      <x:c r="L130" t="str">
        <x:f>IF(RAND()&lt;'Team_Info'!$E$5,"W","B")</x:f>
        <x:v>B</x:v>
      </x:c>
      <x:c r="M130" t="str">
        <x:f>IF(RAND()&lt;'Team_Info'!$E$5,"W","B")</x:f>
        <x:v>B</x:v>
      </x:c>
      <x:c r="N130" t="str">
        <x:f>IF(RAND()&lt;'Team_Info'!$E$5,"W","B")</x:f>
        <x:v>B</x:v>
      </x:c>
      <x:c r="O130" t="str">
        <x:f>IF(RAND()&lt;'Team_Info'!$E$5,"W","B")</x:f>
        <x:v>W</x:v>
      </x:c>
      <x:c r="P130" t="str">
        <x:f>IF(RAND()&lt;'Team_Info'!$E$5,"W","B")</x:f>
        <x:v>B</x:v>
      </x:c>
      <x:c r="Q130" t="str">
        <x:f>IF(RAND()&lt;'Team_Info'!$E$5,"W","B")</x:f>
        <x:v>B</x:v>
      </x:c>
      <x:c r="R130" t="str">
        <x:f>IF(RAND()&lt;'Team_Info'!$E$5,"W","B")</x:f>
        <x:v>W</x:v>
      </x:c>
      <x:c r="S130" t="str">
        <x:f>IF(RAND()&lt;'Team_Info'!$E$5,"W","B")</x:f>
        <x:v>B</x:v>
      </x:c>
      <x:c r="T130" t="str">
        <x:f>IF(RAND()&lt;'Team_Info'!$E$5,"W","B")</x:f>
        <x:v>B</x:v>
      </x:c>
      <x:c r="U130" t="str">
        <x:f>IF(RAND()&lt;'Team_Info'!$E$5,"W","B")</x:f>
        <x:v>W</x:v>
      </x:c>
    </x:row>
    <x:row r="131">
      <x:c r="A131" s="1">
        <x:v>130</x:v>
      </x:c>
      <x:c r="B131" t="str">
        <x:f>IF(RAND()&lt;'Team_Info'!$E$5,"W","B")</x:f>
        <x:v>W</x:v>
      </x:c>
      <x:c r="C131" t="str">
        <x:f>IF(RAND()&lt;'Team_Info'!$E$5,"W","B")</x:f>
        <x:v>W</x:v>
      </x:c>
      <x:c r="D131" t="str">
        <x:f>IF(RAND()&lt;'Team_Info'!$E$5,"W","B")</x:f>
        <x:v>W</x:v>
      </x:c>
      <x:c r="E131" t="str">
        <x:f>IF(RAND()&lt;'Team_Info'!$E$5,"W","B")</x:f>
        <x:v>W</x:v>
      </x:c>
      <x:c r="F131" t="str">
        <x:f>IF(RAND()&lt;'Team_Info'!$E$5,"W","B")</x:f>
        <x:v>W</x:v>
      </x:c>
      <x:c r="G131" t="str">
        <x:f>IF(RAND()&lt;'Team_Info'!$E$5,"W","B")</x:f>
        <x:v>B</x:v>
      </x:c>
      <x:c r="H131" t="str">
        <x:f>IF(RAND()&lt;'Team_Info'!$E$5,"W","B")</x:f>
        <x:v>W</x:v>
      </x:c>
      <x:c r="I131" t="str">
        <x:f>IF(RAND()&lt;'Team_Info'!$E$5,"W","B")</x:f>
        <x:v>B</x:v>
      </x:c>
      <x:c r="J131" t="str">
        <x:f>IF(RAND()&lt;'Team_Info'!$E$5,"W","B")</x:f>
        <x:v>B</x:v>
      </x:c>
      <x:c r="K131" t="str">
        <x:f>IF(RAND()&lt;'Team_Info'!$E$5,"W","B")</x:f>
        <x:v>B</x:v>
      </x:c>
      <x:c r="L131" t="str">
        <x:f>IF(RAND()&lt;'Team_Info'!$E$5,"W","B")</x:f>
        <x:v>B</x:v>
      </x:c>
      <x:c r="M131" t="str">
        <x:f>IF(RAND()&lt;'Team_Info'!$E$5,"W","B")</x:f>
        <x:v>B</x:v>
      </x:c>
      <x:c r="N131" t="str">
        <x:f>IF(RAND()&lt;'Team_Info'!$E$5,"W","B")</x:f>
        <x:v>W</x:v>
      </x:c>
      <x:c r="O131" t="str">
        <x:f>IF(RAND()&lt;'Team_Info'!$E$5,"W","B")</x:f>
        <x:v>B</x:v>
      </x:c>
      <x:c r="P131" t="str">
        <x:f>IF(RAND()&lt;'Team_Info'!$E$5,"W","B")</x:f>
        <x:v>B</x:v>
      </x:c>
      <x:c r="Q131" t="str">
        <x:f>IF(RAND()&lt;'Team_Info'!$E$5,"W","B")</x:f>
        <x:v>W</x:v>
      </x:c>
      <x:c r="R131" t="str">
        <x:f>IF(RAND()&lt;'Team_Info'!$E$5,"W","B")</x:f>
        <x:v>B</x:v>
      </x:c>
      <x:c r="S131" t="str">
        <x:f>IF(RAND()&lt;'Team_Info'!$E$5,"W","B")</x:f>
        <x:v>W</x:v>
      </x:c>
      <x:c r="T131" t="str">
        <x:f>IF(RAND()&lt;'Team_Info'!$E$5,"W","B")</x:f>
        <x:v>B</x:v>
      </x:c>
      <x:c r="U131" t="str">
        <x:f>IF(RAND()&lt;'Team_Info'!$E$5,"W","B")</x:f>
        <x:v>W</x:v>
      </x:c>
    </x:row>
    <x:row r="132">
      <x:c r="A132" s="1">
        <x:v>131</x:v>
      </x:c>
      <x:c r="B132" t="str">
        <x:f>IF(RAND()&lt;'Team_Info'!$E$5,"W","B")</x:f>
        <x:v>W</x:v>
      </x:c>
      <x:c r="C132" t="str">
        <x:f>IF(RAND()&lt;'Team_Info'!$E$5,"W","B")</x:f>
        <x:v>B</x:v>
      </x:c>
      <x:c r="D132" t="str">
        <x:f>IF(RAND()&lt;'Team_Info'!$E$5,"W","B")</x:f>
        <x:v>W</x:v>
      </x:c>
      <x:c r="E132" t="str">
        <x:f>IF(RAND()&lt;'Team_Info'!$E$5,"W","B")</x:f>
        <x:v>W</x:v>
      </x:c>
      <x:c r="F132" t="str">
        <x:f>IF(RAND()&lt;'Team_Info'!$E$5,"W","B")</x:f>
        <x:v>W</x:v>
      </x:c>
      <x:c r="G132" t="str">
        <x:f>IF(RAND()&lt;'Team_Info'!$E$5,"W","B")</x:f>
        <x:v>W</x:v>
      </x:c>
      <x:c r="H132" t="str">
        <x:f>IF(RAND()&lt;'Team_Info'!$E$5,"W","B")</x:f>
        <x:v>W</x:v>
      </x:c>
      <x:c r="I132" t="str">
        <x:f>IF(RAND()&lt;'Team_Info'!$E$5,"W","B")</x:f>
        <x:v>B</x:v>
      </x:c>
      <x:c r="J132" t="str">
        <x:f>IF(RAND()&lt;'Team_Info'!$E$5,"W","B")</x:f>
        <x:v>B</x:v>
      </x:c>
      <x:c r="K132" t="str">
        <x:f>IF(RAND()&lt;'Team_Info'!$E$5,"W","B")</x:f>
        <x:v>B</x:v>
      </x:c>
      <x:c r="L132" t="str">
        <x:f>IF(RAND()&lt;'Team_Info'!$E$5,"W","B")</x:f>
        <x:v>B</x:v>
      </x:c>
      <x:c r="M132" t="str">
        <x:f>IF(RAND()&lt;'Team_Info'!$E$5,"W","B")</x:f>
        <x:v>B</x:v>
      </x:c>
      <x:c r="N132" t="str">
        <x:f>IF(RAND()&lt;'Team_Info'!$E$5,"W","B")</x:f>
        <x:v>B</x:v>
      </x:c>
      <x:c r="O132" t="str">
        <x:f>IF(RAND()&lt;'Team_Info'!$E$5,"W","B")</x:f>
        <x:v>B</x:v>
      </x:c>
      <x:c r="P132" t="str">
        <x:f>IF(RAND()&lt;'Team_Info'!$E$5,"W","B")</x:f>
        <x:v>B</x:v>
      </x:c>
      <x:c r="Q132" t="str">
        <x:f>IF(RAND()&lt;'Team_Info'!$E$5,"W","B")</x:f>
        <x:v>W</x:v>
      </x:c>
      <x:c r="R132" t="str">
        <x:f>IF(RAND()&lt;'Team_Info'!$E$5,"W","B")</x:f>
        <x:v>B</x:v>
      </x:c>
      <x:c r="S132" t="str">
        <x:f>IF(RAND()&lt;'Team_Info'!$E$5,"W","B")</x:f>
        <x:v>B</x:v>
      </x:c>
      <x:c r="T132" t="str">
        <x:f>IF(RAND()&lt;'Team_Info'!$E$5,"W","B")</x:f>
        <x:v>W</x:v>
      </x:c>
      <x:c r="U132" t="str">
        <x:f>IF(RAND()&lt;'Team_Info'!$E$5,"W","B")</x:f>
        <x:v>W</x:v>
      </x:c>
    </x:row>
    <x:row r="133">
      <x:c r="A133" s="1">
        <x:v>132</x:v>
      </x:c>
      <x:c r="B133" t="str">
        <x:f>IF(RAND()&lt;'Team_Info'!$E$5,"W","B")</x:f>
        <x:v>W</x:v>
      </x:c>
      <x:c r="C133" t="str">
        <x:f>IF(RAND()&lt;'Team_Info'!$E$5,"W","B")</x:f>
        <x:v>B</x:v>
      </x:c>
      <x:c r="D133" t="str">
        <x:f>IF(RAND()&lt;'Team_Info'!$E$5,"W","B")</x:f>
        <x:v>W</x:v>
      </x:c>
      <x:c r="E133" t="str">
        <x:f>IF(RAND()&lt;'Team_Info'!$E$5,"W","B")</x:f>
        <x:v>B</x:v>
      </x:c>
      <x:c r="F133" t="str">
        <x:f>IF(RAND()&lt;'Team_Info'!$E$5,"W","B")</x:f>
        <x:v>W</x:v>
      </x:c>
      <x:c r="G133" t="str">
        <x:f>IF(RAND()&lt;'Team_Info'!$E$5,"W","B")</x:f>
        <x:v>B</x:v>
      </x:c>
      <x:c r="H133" t="str">
        <x:f>IF(RAND()&lt;'Team_Info'!$E$5,"W","B")</x:f>
        <x:v>W</x:v>
      </x:c>
      <x:c r="I133" t="str">
        <x:f>IF(RAND()&lt;'Team_Info'!$E$5,"W","B")</x:f>
        <x:v>W</x:v>
      </x:c>
      <x:c r="J133" t="str">
        <x:f>IF(RAND()&lt;'Team_Info'!$E$5,"W","B")</x:f>
        <x:v>B</x:v>
      </x:c>
      <x:c r="K133" t="str">
        <x:f>IF(RAND()&lt;'Team_Info'!$E$5,"W","B")</x:f>
        <x:v>B</x:v>
      </x:c>
      <x:c r="L133" t="str">
        <x:f>IF(RAND()&lt;'Team_Info'!$E$5,"W","B")</x:f>
        <x:v>B</x:v>
      </x:c>
      <x:c r="M133" t="str">
        <x:f>IF(RAND()&lt;'Team_Info'!$E$5,"W","B")</x:f>
        <x:v>B</x:v>
      </x:c>
      <x:c r="N133" t="str">
        <x:f>IF(RAND()&lt;'Team_Info'!$E$5,"W","B")</x:f>
        <x:v>B</x:v>
      </x:c>
      <x:c r="O133" t="str">
        <x:f>IF(RAND()&lt;'Team_Info'!$E$5,"W","B")</x:f>
        <x:v>B</x:v>
      </x:c>
      <x:c r="P133" t="str">
        <x:f>IF(RAND()&lt;'Team_Info'!$E$5,"W","B")</x:f>
        <x:v>B</x:v>
      </x:c>
      <x:c r="Q133" t="str">
        <x:f>IF(RAND()&lt;'Team_Info'!$E$5,"W","B")</x:f>
        <x:v>B</x:v>
      </x:c>
      <x:c r="R133" t="str">
        <x:f>IF(RAND()&lt;'Team_Info'!$E$5,"W","B")</x:f>
        <x:v>B</x:v>
      </x:c>
      <x:c r="S133" t="str">
        <x:f>IF(RAND()&lt;'Team_Info'!$E$5,"W","B")</x:f>
        <x:v>B</x:v>
      </x:c>
      <x:c r="T133" t="str">
        <x:f>IF(RAND()&lt;'Team_Info'!$E$5,"W","B")</x:f>
        <x:v>W</x:v>
      </x:c>
      <x:c r="U133" t="str">
        <x:f>IF(RAND()&lt;'Team_Info'!$E$5,"W","B")</x:f>
        <x:v>W</x:v>
      </x:c>
    </x:row>
    <x:row r="134">
      <x:c r="A134" s="1">
        <x:v>133</x:v>
      </x:c>
      <x:c r="B134" t="str">
        <x:f>IF(RAND()&lt;'Team_Info'!$E$5,"W","B")</x:f>
        <x:v>B</x:v>
      </x:c>
      <x:c r="C134" t="str">
        <x:f>IF(RAND()&lt;'Team_Info'!$E$5,"W","B")</x:f>
        <x:v>B</x:v>
      </x:c>
      <x:c r="D134" t="str">
        <x:f>IF(RAND()&lt;'Team_Info'!$E$5,"W","B")</x:f>
        <x:v>B</x:v>
      </x:c>
      <x:c r="E134" t="str">
        <x:f>IF(RAND()&lt;'Team_Info'!$E$5,"W","B")</x:f>
        <x:v>B</x:v>
      </x:c>
      <x:c r="F134" t="str">
        <x:f>IF(RAND()&lt;'Team_Info'!$E$5,"W","B")</x:f>
        <x:v>B</x:v>
      </x:c>
      <x:c r="G134" t="str">
        <x:f>IF(RAND()&lt;'Team_Info'!$E$5,"W","B")</x:f>
        <x:v>W</x:v>
      </x:c>
      <x:c r="H134" t="str">
        <x:f>IF(RAND()&lt;'Team_Info'!$E$5,"W","B")</x:f>
        <x:v>B</x:v>
      </x:c>
      <x:c r="I134" t="str">
        <x:f>IF(RAND()&lt;'Team_Info'!$E$5,"W","B")</x:f>
        <x:v>W</x:v>
      </x:c>
      <x:c r="J134" t="str">
        <x:f>IF(RAND()&lt;'Team_Info'!$E$5,"W","B")</x:f>
        <x:v>W</x:v>
      </x:c>
      <x:c r="K134" t="str">
        <x:f>IF(RAND()&lt;'Team_Info'!$E$5,"W","B")</x:f>
        <x:v>W</x:v>
      </x:c>
      <x:c r="L134" t="str">
        <x:f>IF(RAND()&lt;'Team_Info'!$E$5,"W","B")</x:f>
        <x:v>B</x:v>
      </x:c>
      <x:c r="M134" t="str">
        <x:f>IF(RAND()&lt;'Team_Info'!$E$5,"W","B")</x:f>
        <x:v>B</x:v>
      </x:c>
      <x:c r="N134" t="str">
        <x:f>IF(RAND()&lt;'Team_Info'!$E$5,"W","B")</x:f>
        <x:v>W</x:v>
      </x:c>
      <x:c r="O134" t="str">
        <x:f>IF(RAND()&lt;'Team_Info'!$E$5,"W","B")</x:f>
        <x:v>W</x:v>
      </x:c>
      <x:c r="P134" t="str">
        <x:f>IF(RAND()&lt;'Team_Info'!$E$5,"W","B")</x:f>
        <x:v>B</x:v>
      </x:c>
      <x:c r="Q134" t="str">
        <x:f>IF(RAND()&lt;'Team_Info'!$E$5,"W","B")</x:f>
        <x:v>B</x:v>
      </x:c>
      <x:c r="R134" t="str">
        <x:f>IF(RAND()&lt;'Team_Info'!$E$5,"W","B")</x:f>
        <x:v>B</x:v>
      </x:c>
      <x:c r="S134" t="str">
        <x:f>IF(RAND()&lt;'Team_Info'!$E$5,"W","B")</x:f>
        <x:v>B</x:v>
      </x:c>
      <x:c r="T134" t="str">
        <x:f>IF(RAND()&lt;'Team_Info'!$E$5,"W","B")</x:f>
        <x:v>W</x:v>
      </x:c>
      <x:c r="U134" t="str">
        <x:f>IF(RAND()&lt;'Team_Info'!$E$5,"W","B")</x:f>
        <x:v>W</x:v>
      </x:c>
    </x:row>
    <x:row r="135">
      <x:c r="A135" s="1">
        <x:v>134</x:v>
      </x:c>
      <x:c r="B135" t="str">
        <x:f>IF(RAND()&lt;'Team_Info'!$E$5,"W","B")</x:f>
        <x:v>B</x:v>
      </x:c>
      <x:c r="C135" t="str">
        <x:f>IF(RAND()&lt;'Team_Info'!$E$5,"W","B")</x:f>
        <x:v>W</x:v>
      </x:c>
      <x:c r="D135" t="str">
        <x:f>IF(RAND()&lt;'Team_Info'!$E$5,"W","B")</x:f>
        <x:v>B</x:v>
      </x:c>
      <x:c r="E135" t="str">
        <x:f>IF(RAND()&lt;'Team_Info'!$E$5,"W","B")</x:f>
        <x:v>B</x:v>
      </x:c>
      <x:c r="F135" t="str">
        <x:f>IF(RAND()&lt;'Team_Info'!$E$5,"W","B")</x:f>
        <x:v>W</x:v>
      </x:c>
      <x:c r="G135" t="str">
        <x:f>IF(RAND()&lt;'Team_Info'!$E$5,"W","B")</x:f>
        <x:v>B</x:v>
      </x:c>
      <x:c r="H135" t="str">
        <x:f>IF(RAND()&lt;'Team_Info'!$E$5,"W","B")</x:f>
        <x:v>B</x:v>
      </x:c>
      <x:c r="I135" t="str">
        <x:f>IF(RAND()&lt;'Team_Info'!$E$5,"W","B")</x:f>
        <x:v>B</x:v>
      </x:c>
      <x:c r="J135" t="str">
        <x:f>IF(RAND()&lt;'Team_Info'!$E$5,"W","B")</x:f>
        <x:v>W</x:v>
      </x:c>
      <x:c r="K135" t="str">
        <x:f>IF(RAND()&lt;'Team_Info'!$E$5,"W","B")</x:f>
        <x:v>B</x:v>
      </x:c>
      <x:c r="L135" t="str">
        <x:f>IF(RAND()&lt;'Team_Info'!$E$5,"W","B")</x:f>
        <x:v>B</x:v>
      </x:c>
      <x:c r="M135" t="str">
        <x:f>IF(RAND()&lt;'Team_Info'!$E$5,"W","B")</x:f>
        <x:v>B</x:v>
      </x:c>
      <x:c r="N135" t="str">
        <x:f>IF(RAND()&lt;'Team_Info'!$E$5,"W","B")</x:f>
        <x:v>W</x:v>
      </x:c>
      <x:c r="O135" t="str">
        <x:f>IF(RAND()&lt;'Team_Info'!$E$5,"W","B")</x:f>
        <x:v>B</x:v>
      </x:c>
      <x:c r="P135" t="str">
        <x:f>IF(RAND()&lt;'Team_Info'!$E$5,"W","B")</x:f>
        <x:v>W</x:v>
      </x:c>
      <x:c r="Q135" t="str">
        <x:f>IF(RAND()&lt;'Team_Info'!$E$5,"W","B")</x:f>
        <x:v>B</x:v>
      </x:c>
      <x:c r="R135" t="str">
        <x:f>IF(RAND()&lt;'Team_Info'!$E$5,"W","B")</x:f>
        <x:v>W</x:v>
      </x:c>
      <x:c r="S135" t="str">
        <x:f>IF(RAND()&lt;'Team_Info'!$E$5,"W","B")</x:f>
        <x:v>W</x:v>
      </x:c>
      <x:c r="T135" t="str">
        <x:f>IF(RAND()&lt;'Team_Info'!$E$5,"W","B")</x:f>
        <x:v>B</x:v>
      </x:c>
      <x:c r="U135" t="str">
        <x:f>IF(RAND()&lt;'Team_Info'!$E$5,"W","B")</x:f>
        <x:v>B</x:v>
      </x:c>
    </x:row>
    <x:row r="136">
      <x:c r="A136" s="1">
        <x:v>135</x:v>
      </x:c>
      <x:c r="B136" t="str">
        <x:f>IF(RAND()&lt;'Team_Info'!$E$5,"W","B")</x:f>
        <x:v>B</x:v>
      </x:c>
      <x:c r="C136" t="str">
        <x:f>IF(RAND()&lt;'Team_Info'!$E$5,"W","B")</x:f>
        <x:v>B</x:v>
      </x:c>
      <x:c r="D136" t="str">
        <x:f>IF(RAND()&lt;'Team_Info'!$E$5,"W","B")</x:f>
        <x:v>B</x:v>
      </x:c>
      <x:c r="E136" t="str">
        <x:f>IF(RAND()&lt;'Team_Info'!$E$5,"W","B")</x:f>
        <x:v>B</x:v>
      </x:c>
      <x:c r="F136" t="str">
        <x:f>IF(RAND()&lt;'Team_Info'!$E$5,"W","B")</x:f>
        <x:v>W</x:v>
      </x:c>
      <x:c r="G136" t="str">
        <x:f>IF(RAND()&lt;'Team_Info'!$E$5,"W","B")</x:f>
        <x:v>B</x:v>
      </x:c>
      <x:c r="H136" t="str">
        <x:f>IF(RAND()&lt;'Team_Info'!$E$5,"W","B")</x:f>
        <x:v>W</x:v>
      </x:c>
      <x:c r="I136" t="str">
        <x:f>IF(RAND()&lt;'Team_Info'!$E$5,"W","B")</x:f>
        <x:v>B</x:v>
      </x:c>
      <x:c r="J136" t="str">
        <x:f>IF(RAND()&lt;'Team_Info'!$E$5,"W","B")</x:f>
        <x:v>W</x:v>
      </x:c>
      <x:c r="K136" t="str">
        <x:f>IF(RAND()&lt;'Team_Info'!$E$5,"W","B")</x:f>
        <x:v>W</x:v>
      </x:c>
      <x:c r="L136" t="str">
        <x:f>IF(RAND()&lt;'Team_Info'!$E$5,"W","B")</x:f>
        <x:v>B</x:v>
      </x:c>
      <x:c r="M136" t="str">
        <x:f>IF(RAND()&lt;'Team_Info'!$E$5,"W","B")</x:f>
        <x:v>W</x:v>
      </x:c>
      <x:c r="N136" t="str">
        <x:f>IF(RAND()&lt;'Team_Info'!$E$5,"W","B")</x:f>
        <x:v>W</x:v>
      </x:c>
      <x:c r="O136" t="str">
        <x:f>IF(RAND()&lt;'Team_Info'!$E$5,"W","B")</x:f>
        <x:v>B</x:v>
      </x:c>
      <x:c r="P136" t="str">
        <x:f>IF(RAND()&lt;'Team_Info'!$E$5,"W","B")</x:f>
        <x:v>W</x:v>
      </x:c>
      <x:c r="Q136" t="str">
        <x:f>IF(RAND()&lt;'Team_Info'!$E$5,"W","B")</x:f>
        <x:v>W</x:v>
      </x:c>
      <x:c r="R136" t="str">
        <x:f>IF(RAND()&lt;'Team_Info'!$E$5,"W","B")</x:f>
        <x:v>B</x:v>
      </x:c>
      <x:c r="S136" t="str">
        <x:f>IF(RAND()&lt;'Team_Info'!$E$5,"W","B")</x:f>
        <x:v>B</x:v>
      </x:c>
      <x:c r="T136" t="str">
        <x:f>IF(RAND()&lt;'Team_Info'!$E$5,"W","B")</x:f>
        <x:v>B</x:v>
      </x:c>
      <x:c r="U136" t="str">
        <x:f>IF(RAND()&lt;'Team_Info'!$E$5,"W","B")</x:f>
        <x:v>W</x:v>
      </x:c>
    </x:row>
    <x:row r="137">
      <x:c r="A137" s="1">
        <x:v>136</x:v>
      </x:c>
      <x:c r="B137" t="str">
        <x:f>IF(RAND()&lt;'Team_Info'!$E$5,"W","B")</x:f>
        <x:v>B</x:v>
      </x:c>
      <x:c r="C137" t="str">
        <x:f>IF(RAND()&lt;'Team_Info'!$E$5,"W","B")</x:f>
        <x:v>B</x:v>
      </x:c>
      <x:c r="D137" t="str">
        <x:f>IF(RAND()&lt;'Team_Info'!$E$5,"W","B")</x:f>
        <x:v>B</x:v>
      </x:c>
      <x:c r="E137" t="str">
        <x:f>IF(RAND()&lt;'Team_Info'!$E$5,"W","B")</x:f>
        <x:v>W</x:v>
      </x:c>
      <x:c r="F137" t="str">
        <x:f>IF(RAND()&lt;'Team_Info'!$E$5,"W","B")</x:f>
        <x:v>B</x:v>
      </x:c>
      <x:c r="G137" t="str">
        <x:f>IF(RAND()&lt;'Team_Info'!$E$5,"W","B")</x:f>
        <x:v>W</x:v>
      </x:c>
      <x:c r="H137" t="str">
        <x:f>IF(RAND()&lt;'Team_Info'!$E$5,"W","B")</x:f>
        <x:v>B</x:v>
      </x:c>
      <x:c r="I137" t="str">
        <x:f>IF(RAND()&lt;'Team_Info'!$E$5,"W","B")</x:f>
        <x:v>B</x:v>
      </x:c>
      <x:c r="J137" t="str">
        <x:f>IF(RAND()&lt;'Team_Info'!$E$5,"W","B")</x:f>
        <x:v>W</x:v>
      </x:c>
      <x:c r="K137" t="str">
        <x:f>IF(RAND()&lt;'Team_Info'!$E$5,"W","B")</x:f>
        <x:v>W</x:v>
      </x:c>
      <x:c r="L137" t="str">
        <x:f>IF(RAND()&lt;'Team_Info'!$E$5,"W","B")</x:f>
        <x:v>B</x:v>
      </x:c>
      <x:c r="M137" t="str">
        <x:f>IF(RAND()&lt;'Team_Info'!$E$5,"W","B")</x:f>
        <x:v>B</x:v>
      </x:c>
      <x:c r="N137" t="str">
        <x:f>IF(RAND()&lt;'Team_Info'!$E$5,"W","B")</x:f>
        <x:v>B</x:v>
      </x:c>
      <x:c r="O137" t="str">
        <x:f>IF(RAND()&lt;'Team_Info'!$E$5,"W","B")</x:f>
        <x:v>W</x:v>
      </x:c>
      <x:c r="P137" t="str">
        <x:f>IF(RAND()&lt;'Team_Info'!$E$5,"W","B")</x:f>
        <x:v>B</x:v>
      </x:c>
      <x:c r="Q137" t="str">
        <x:f>IF(RAND()&lt;'Team_Info'!$E$5,"W","B")</x:f>
        <x:v>B</x:v>
      </x:c>
      <x:c r="R137" t="str">
        <x:f>IF(RAND()&lt;'Team_Info'!$E$5,"W","B")</x:f>
        <x:v>B</x:v>
      </x:c>
      <x:c r="S137" t="str">
        <x:f>IF(RAND()&lt;'Team_Info'!$E$5,"W","B")</x:f>
        <x:v>B</x:v>
      </x:c>
      <x:c r="T137" t="str">
        <x:f>IF(RAND()&lt;'Team_Info'!$E$5,"W","B")</x:f>
        <x:v>B</x:v>
      </x:c>
      <x:c r="U137" t="str">
        <x:f>IF(RAND()&lt;'Team_Info'!$E$5,"W","B")</x:f>
        <x:v>W</x:v>
      </x:c>
    </x:row>
    <x:row r="138">
      <x:c r="A138" s="1">
        <x:v>137</x:v>
      </x:c>
      <x:c r="B138" t="str">
        <x:f>IF(RAND()&lt;'Team_Info'!$E$5,"W","B")</x:f>
        <x:v>B</x:v>
      </x:c>
      <x:c r="C138" t="str">
        <x:f>IF(RAND()&lt;'Team_Info'!$E$5,"W","B")</x:f>
        <x:v>W</x:v>
      </x:c>
      <x:c r="D138" t="str">
        <x:f>IF(RAND()&lt;'Team_Info'!$E$5,"W","B")</x:f>
        <x:v>B</x:v>
      </x:c>
      <x:c r="E138" t="str">
        <x:f>IF(RAND()&lt;'Team_Info'!$E$5,"W","B")</x:f>
        <x:v>W</x:v>
      </x:c>
      <x:c r="F138" t="str">
        <x:f>IF(RAND()&lt;'Team_Info'!$E$5,"W","B")</x:f>
        <x:v>B</x:v>
      </x:c>
      <x:c r="G138" t="str">
        <x:f>IF(RAND()&lt;'Team_Info'!$E$5,"W","B")</x:f>
        <x:v>B</x:v>
      </x:c>
      <x:c r="H138" t="str">
        <x:f>IF(RAND()&lt;'Team_Info'!$E$5,"W","B")</x:f>
        <x:v>B</x:v>
      </x:c>
      <x:c r="I138" t="str">
        <x:f>IF(RAND()&lt;'Team_Info'!$E$5,"W","B")</x:f>
        <x:v>B</x:v>
      </x:c>
      <x:c r="J138" t="str">
        <x:f>IF(RAND()&lt;'Team_Info'!$E$5,"W","B")</x:f>
        <x:v>B</x:v>
      </x:c>
      <x:c r="K138" t="str">
        <x:f>IF(RAND()&lt;'Team_Info'!$E$5,"W","B")</x:f>
        <x:v>W</x:v>
      </x:c>
      <x:c r="L138" t="str">
        <x:f>IF(RAND()&lt;'Team_Info'!$E$5,"W","B")</x:f>
        <x:v>B</x:v>
      </x:c>
      <x:c r="M138" t="str">
        <x:f>IF(RAND()&lt;'Team_Info'!$E$5,"W","B")</x:f>
        <x:v>B</x:v>
      </x:c>
      <x:c r="N138" t="str">
        <x:f>IF(RAND()&lt;'Team_Info'!$E$5,"W","B")</x:f>
        <x:v>B</x:v>
      </x:c>
      <x:c r="O138" t="str">
        <x:f>IF(RAND()&lt;'Team_Info'!$E$5,"W","B")</x:f>
        <x:v>B</x:v>
      </x:c>
      <x:c r="P138" t="str">
        <x:f>IF(RAND()&lt;'Team_Info'!$E$5,"W","B")</x:f>
        <x:v>B</x:v>
      </x:c>
      <x:c r="Q138" t="str">
        <x:f>IF(RAND()&lt;'Team_Info'!$E$5,"W","B")</x:f>
        <x:v>B</x:v>
      </x:c>
      <x:c r="R138" t="str">
        <x:f>IF(RAND()&lt;'Team_Info'!$E$5,"W","B")</x:f>
        <x:v>B</x:v>
      </x:c>
      <x:c r="S138" t="str">
        <x:f>IF(RAND()&lt;'Team_Info'!$E$5,"W","B")</x:f>
        <x:v>B</x:v>
      </x:c>
      <x:c r="T138" t="str">
        <x:f>IF(RAND()&lt;'Team_Info'!$E$5,"W","B")</x:f>
        <x:v>B</x:v>
      </x:c>
      <x:c r="U138" t="str">
        <x:f>IF(RAND()&lt;'Team_Info'!$E$5,"W","B")</x:f>
        <x:v>B</x:v>
      </x:c>
    </x:row>
    <x:row r="139">
      <x:c r="A139" s="1">
        <x:v>138</x:v>
      </x:c>
      <x:c r="B139" t="str">
        <x:f>IF(RAND()&lt;'Team_Info'!$E$5,"W","B")</x:f>
        <x:v>B</x:v>
      </x:c>
      <x:c r="C139" t="str">
        <x:f>IF(RAND()&lt;'Team_Info'!$E$5,"W","B")</x:f>
        <x:v>B</x:v>
      </x:c>
      <x:c r="D139" t="str">
        <x:f>IF(RAND()&lt;'Team_Info'!$E$5,"W","B")</x:f>
        <x:v>W</x:v>
      </x:c>
      <x:c r="E139" t="str">
        <x:f>IF(RAND()&lt;'Team_Info'!$E$5,"W","B")</x:f>
        <x:v>B</x:v>
      </x:c>
      <x:c r="F139" t="str">
        <x:f>IF(RAND()&lt;'Team_Info'!$E$5,"W","B")</x:f>
        <x:v>B</x:v>
      </x:c>
      <x:c r="G139" t="str">
        <x:f>IF(RAND()&lt;'Team_Info'!$E$5,"W","B")</x:f>
        <x:v>W</x:v>
      </x:c>
      <x:c r="H139" t="str">
        <x:f>IF(RAND()&lt;'Team_Info'!$E$5,"W","B")</x:f>
        <x:v>B</x:v>
      </x:c>
      <x:c r="I139" t="str">
        <x:f>IF(RAND()&lt;'Team_Info'!$E$5,"W","B")</x:f>
        <x:v>B</x:v>
      </x:c>
      <x:c r="J139" t="str">
        <x:f>IF(RAND()&lt;'Team_Info'!$E$5,"W","B")</x:f>
        <x:v>W</x:v>
      </x:c>
      <x:c r="K139" t="str">
        <x:f>IF(RAND()&lt;'Team_Info'!$E$5,"W","B")</x:f>
        <x:v>B</x:v>
      </x:c>
      <x:c r="L139" t="str">
        <x:f>IF(RAND()&lt;'Team_Info'!$E$5,"W","B")</x:f>
        <x:v>B</x:v>
      </x:c>
      <x:c r="M139" t="str">
        <x:f>IF(RAND()&lt;'Team_Info'!$E$5,"W","B")</x:f>
        <x:v>W</x:v>
      </x:c>
      <x:c r="N139" t="str">
        <x:f>IF(RAND()&lt;'Team_Info'!$E$5,"W","B")</x:f>
        <x:v>B</x:v>
      </x:c>
      <x:c r="O139" t="str">
        <x:f>IF(RAND()&lt;'Team_Info'!$E$5,"W","B")</x:f>
        <x:v>W</x:v>
      </x:c>
      <x:c r="P139" t="str">
        <x:f>IF(RAND()&lt;'Team_Info'!$E$5,"W","B")</x:f>
        <x:v>B</x:v>
      </x:c>
      <x:c r="Q139" t="str">
        <x:f>IF(RAND()&lt;'Team_Info'!$E$5,"W","B")</x:f>
        <x:v>W</x:v>
      </x:c>
      <x:c r="R139" t="str">
        <x:f>IF(RAND()&lt;'Team_Info'!$E$5,"W","B")</x:f>
        <x:v>W</x:v>
      </x:c>
      <x:c r="S139" t="str">
        <x:f>IF(RAND()&lt;'Team_Info'!$E$5,"W","B")</x:f>
        <x:v>W</x:v>
      </x:c>
      <x:c r="T139" t="str">
        <x:f>IF(RAND()&lt;'Team_Info'!$E$5,"W","B")</x:f>
        <x:v>W</x:v>
      </x:c>
      <x:c r="U139" t="str">
        <x:f>IF(RAND()&lt;'Team_Info'!$E$5,"W","B")</x:f>
        <x:v>W</x:v>
      </x:c>
    </x:row>
    <x:row r="140">
      <x:c r="A140" s="1">
        <x:v>139</x:v>
      </x:c>
      <x:c r="B140" t="str">
        <x:f>IF(RAND()&lt;'Team_Info'!$E$5,"W","B")</x:f>
        <x:v>B</x:v>
      </x:c>
      <x:c r="C140" t="str">
        <x:f>IF(RAND()&lt;'Team_Info'!$E$5,"W","B")</x:f>
        <x:v>B</x:v>
      </x:c>
      <x:c r="D140" t="str">
        <x:f>IF(RAND()&lt;'Team_Info'!$E$5,"W","B")</x:f>
        <x:v>W</x:v>
      </x:c>
      <x:c r="E140" t="str">
        <x:f>IF(RAND()&lt;'Team_Info'!$E$5,"W","B")</x:f>
        <x:v>B</x:v>
      </x:c>
      <x:c r="F140" t="str">
        <x:f>IF(RAND()&lt;'Team_Info'!$E$5,"W","B")</x:f>
        <x:v>B</x:v>
      </x:c>
      <x:c r="G140" t="str">
        <x:f>IF(RAND()&lt;'Team_Info'!$E$5,"W","B")</x:f>
        <x:v>B</x:v>
      </x:c>
      <x:c r="H140" t="str">
        <x:f>IF(RAND()&lt;'Team_Info'!$E$5,"W","B")</x:f>
        <x:v>B</x:v>
      </x:c>
      <x:c r="I140" t="str">
        <x:f>IF(RAND()&lt;'Team_Info'!$E$5,"W","B")</x:f>
        <x:v>B</x:v>
      </x:c>
      <x:c r="J140" t="str">
        <x:f>IF(RAND()&lt;'Team_Info'!$E$5,"W","B")</x:f>
        <x:v>W</x:v>
      </x:c>
      <x:c r="K140" t="str">
        <x:f>IF(RAND()&lt;'Team_Info'!$E$5,"W","B")</x:f>
        <x:v>B</x:v>
      </x:c>
      <x:c r="L140" t="str">
        <x:f>IF(RAND()&lt;'Team_Info'!$E$5,"W","B")</x:f>
        <x:v>B</x:v>
      </x:c>
      <x:c r="M140" t="str">
        <x:f>IF(RAND()&lt;'Team_Info'!$E$5,"W","B")</x:f>
        <x:v>W</x:v>
      </x:c>
      <x:c r="N140" t="str">
        <x:f>IF(RAND()&lt;'Team_Info'!$E$5,"W","B")</x:f>
        <x:v>B</x:v>
      </x:c>
      <x:c r="O140" t="str">
        <x:f>IF(RAND()&lt;'Team_Info'!$E$5,"W","B")</x:f>
        <x:v>B</x:v>
      </x:c>
      <x:c r="P140" t="str">
        <x:f>IF(RAND()&lt;'Team_Info'!$E$5,"W","B")</x:f>
        <x:v>W</x:v>
      </x:c>
      <x:c r="Q140" t="str">
        <x:f>IF(RAND()&lt;'Team_Info'!$E$5,"W","B")</x:f>
        <x:v>W</x:v>
      </x:c>
      <x:c r="R140" t="str">
        <x:f>IF(RAND()&lt;'Team_Info'!$E$5,"W","B")</x:f>
        <x:v>B</x:v>
      </x:c>
      <x:c r="S140" t="str">
        <x:f>IF(RAND()&lt;'Team_Info'!$E$5,"W","B")</x:f>
        <x:v>B</x:v>
      </x:c>
      <x:c r="T140" t="str">
        <x:f>IF(RAND()&lt;'Team_Info'!$E$5,"W","B")</x:f>
        <x:v>B</x:v>
      </x:c>
      <x:c r="U140" t="str">
        <x:f>IF(RAND()&lt;'Team_Info'!$E$5,"W","B")</x:f>
        <x:v>W</x:v>
      </x:c>
    </x:row>
    <x:row r="141">
      <x:c r="A141" s="1">
        <x:v>140</x:v>
      </x:c>
      <x:c r="B141" t="str">
        <x:f>IF(RAND()&lt;'Team_Info'!$E$5,"W","B")</x:f>
        <x:v>W</x:v>
      </x:c>
      <x:c r="C141" t="str">
        <x:f>IF(RAND()&lt;'Team_Info'!$E$5,"W","B")</x:f>
        <x:v>W</x:v>
      </x:c>
      <x:c r="D141" t="str">
        <x:f>IF(RAND()&lt;'Team_Info'!$E$5,"W","B")</x:f>
        <x:v>B</x:v>
      </x:c>
      <x:c r="E141" t="str">
        <x:f>IF(RAND()&lt;'Team_Info'!$E$5,"W","B")</x:f>
        <x:v>W</x:v>
      </x:c>
      <x:c r="F141" t="str">
        <x:f>IF(RAND()&lt;'Team_Info'!$E$5,"W","B")</x:f>
        <x:v>B</x:v>
      </x:c>
      <x:c r="G141" t="str">
        <x:f>IF(RAND()&lt;'Team_Info'!$E$5,"W","B")</x:f>
        <x:v>B</x:v>
      </x:c>
      <x:c r="H141" t="str">
        <x:f>IF(RAND()&lt;'Team_Info'!$E$5,"W","B")</x:f>
        <x:v>B</x:v>
      </x:c>
      <x:c r="I141" t="str">
        <x:f>IF(RAND()&lt;'Team_Info'!$E$5,"W","B")</x:f>
        <x:v>B</x:v>
      </x:c>
      <x:c r="J141" t="str">
        <x:f>IF(RAND()&lt;'Team_Info'!$E$5,"W","B")</x:f>
        <x:v>B</x:v>
      </x:c>
      <x:c r="K141" t="str">
        <x:f>IF(RAND()&lt;'Team_Info'!$E$5,"W","B")</x:f>
        <x:v>B</x:v>
      </x:c>
      <x:c r="L141" t="str">
        <x:f>IF(RAND()&lt;'Team_Info'!$E$5,"W","B")</x:f>
        <x:v>B</x:v>
      </x:c>
      <x:c r="M141" t="str">
        <x:f>IF(RAND()&lt;'Team_Info'!$E$5,"W","B")</x:f>
        <x:v>B</x:v>
      </x:c>
      <x:c r="N141" t="str">
        <x:f>IF(RAND()&lt;'Team_Info'!$E$5,"W","B")</x:f>
        <x:v>B</x:v>
      </x:c>
      <x:c r="O141" t="str">
        <x:f>IF(RAND()&lt;'Team_Info'!$E$5,"W","B")</x:f>
        <x:v>W</x:v>
      </x:c>
      <x:c r="P141" t="str">
        <x:f>IF(RAND()&lt;'Team_Info'!$E$5,"W","B")</x:f>
        <x:v>B</x:v>
      </x:c>
      <x:c r="Q141" t="str">
        <x:f>IF(RAND()&lt;'Team_Info'!$E$5,"W","B")</x:f>
        <x:v>W</x:v>
      </x:c>
      <x:c r="R141" t="str">
        <x:f>IF(RAND()&lt;'Team_Info'!$E$5,"W","B")</x:f>
        <x:v>B</x:v>
      </x:c>
      <x:c r="S141" t="str">
        <x:f>IF(RAND()&lt;'Team_Info'!$E$5,"W","B")</x:f>
        <x:v>B</x:v>
      </x:c>
      <x:c r="T141" t="str">
        <x:f>IF(RAND()&lt;'Team_Info'!$E$5,"W","B")</x:f>
        <x:v>B</x:v>
      </x:c>
      <x:c r="U141" t="str">
        <x:f>IF(RAND()&lt;'Team_Info'!$E$5,"W","B")</x:f>
        <x:v>B</x:v>
      </x:c>
    </x:row>
    <x:row r="142">
      <x:c r="A142" s="1">
        <x:v>141</x:v>
      </x:c>
      <x:c r="B142" t="str">
        <x:f>IF(RAND()&lt;'Team_Info'!$E$5,"W","B")</x:f>
        <x:v>B</x:v>
      </x:c>
      <x:c r="C142" t="str">
        <x:f>IF(RAND()&lt;'Team_Info'!$E$5,"W","B")</x:f>
        <x:v>B</x:v>
      </x:c>
      <x:c r="D142" t="str">
        <x:f>IF(RAND()&lt;'Team_Info'!$E$5,"W","B")</x:f>
        <x:v>B</x:v>
      </x:c>
      <x:c r="E142" t="str">
        <x:f>IF(RAND()&lt;'Team_Info'!$E$5,"W","B")</x:f>
        <x:v>W</x:v>
      </x:c>
      <x:c r="F142" t="str">
        <x:f>IF(RAND()&lt;'Team_Info'!$E$5,"W","B")</x:f>
        <x:v>B</x:v>
      </x:c>
      <x:c r="G142" t="str">
        <x:f>IF(RAND()&lt;'Team_Info'!$E$5,"W","B")</x:f>
        <x:v>B</x:v>
      </x:c>
      <x:c r="H142" t="str">
        <x:f>IF(RAND()&lt;'Team_Info'!$E$5,"W","B")</x:f>
        <x:v>W</x:v>
      </x:c>
      <x:c r="I142" t="str">
        <x:f>IF(RAND()&lt;'Team_Info'!$E$5,"W","B")</x:f>
        <x:v>B</x:v>
      </x:c>
      <x:c r="J142" t="str">
        <x:f>IF(RAND()&lt;'Team_Info'!$E$5,"W","B")</x:f>
        <x:v>B</x:v>
      </x:c>
      <x:c r="K142" t="str">
        <x:f>IF(RAND()&lt;'Team_Info'!$E$5,"W","B")</x:f>
        <x:v>B</x:v>
      </x:c>
      <x:c r="L142" t="str">
        <x:f>IF(RAND()&lt;'Team_Info'!$E$5,"W","B")</x:f>
        <x:v>B</x:v>
      </x:c>
      <x:c r="M142" t="str">
        <x:f>IF(RAND()&lt;'Team_Info'!$E$5,"W","B")</x:f>
        <x:v>W</x:v>
      </x:c>
      <x:c r="N142" t="str">
        <x:f>IF(RAND()&lt;'Team_Info'!$E$5,"W","B")</x:f>
        <x:v>W</x:v>
      </x:c>
      <x:c r="O142" t="str">
        <x:f>IF(RAND()&lt;'Team_Info'!$E$5,"W","B")</x:f>
        <x:v>B</x:v>
      </x:c>
      <x:c r="P142" t="str">
        <x:f>IF(RAND()&lt;'Team_Info'!$E$5,"W","B")</x:f>
        <x:v>W</x:v>
      </x:c>
      <x:c r="Q142" t="str">
        <x:f>IF(RAND()&lt;'Team_Info'!$E$5,"W","B")</x:f>
        <x:v>W</x:v>
      </x:c>
      <x:c r="R142" t="str">
        <x:f>IF(RAND()&lt;'Team_Info'!$E$5,"W","B")</x:f>
        <x:v>B</x:v>
      </x:c>
      <x:c r="S142" t="str">
        <x:f>IF(RAND()&lt;'Team_Info'!$E$5,"W","B")</x:f>
        <x:v>B</x:v>
      </x:c>
      <x:c r="T142" t="str">
        <x:f>IF(RAND()&lt;'Team_Info'!$E$5,"W","B")</x:f>
        <x:v>B</x:v>
      </x:c>
      <x:c r="U142" t="str">
        <x:f>IF(RAND()&lt;'Team_Info'!$E$5,"W","B")</x:f>
        <x:v>B</x:v>
      </x:c>
    </x:row>
    <x:row r="143">
      <x:c r="A143" s="1">
        <x:v>142</x:v>
      </x:c>
      <x:c r="B143" t="str">
        <x:f>IF(RAND()&lt;'Team_Info'!$E$5,"W","B")</x:f>
        <x:v>W</x:v>
      </x:c>
      <x:c r="C143" t="str">
        <x:f>IF(RAND()&lt;'Team_Info'!$E$5,"W","B")</x:f>
        <x:v>W</x:v>
      </x:c>
      <x:c r="D143" t="str">
        <x:f>IF(RAND()&lt;'Team_Info'!$E$5,"W","B")</x:f>
        <x:v>B</x:v>
      </x:c>
      <x:c r="E143" t="str">
        <x:f>IF(RAND()&lt;'Team_Info'!$E$5,"W","B")</x:f>
        <x:v>W</x:v>
      </x:c>
      <x:c r="F143" t="str">
        <x:f>IF(RAND()&lt;'Team_Info'!$E$5,"W","B")</x:f>
        <x:v>B</x:v>
      </x:c>
      <x:c r="G143" t="str">
        <x:f>IF(RAND()&lt;'Team_Info'!$E$5,"W","B")</x:f>
        <x:v>W</x:v>
      </x:c>
      <x:c r="H143" t="str">
        <x:f>IF(RAND()&lt;'Team_Info'!$E$5,"W","B")</x:f>
        <x:v>B</x:v>
      </x:c>
      <x:c r="I143" t="str">
        <x:f>IF(RAND()&lt;'Team_Info'!$E$5,"W","B")</x:f>
        <x:v>B</x:v>
      </x:c>
      <x:c r="J143" t="str">
        <x:f>IF(RAND()&lt;'Team_Info'!$E$5,"W","B")</x:f>
        <x:v>B</x:v>
      </x:c>
      <x:c r="K143" t="str">
        <x:f>IF(RAND()&lt;'Team_Info'!$E$5,"W","B")</x:f>
        <x:v>B</x:v>
      </x:c>
      <x:c r="L143" t="str">
        <x:f>IF(RAND()&lt;'Team_Info'!$E$5,"W","B")</x:f>
        <x:v>W</x:v>
      </x:c>
      <x:c r="M143" t="str">
        <x:f>IF(RAND()&lt;'Team_Info'!$E$5,"W","B")</x:f>
        <x:v>W</x:v>
      </x:c>
      <x:c r="N143" t="str">
        <x:f>IF(RAND()&lt;'Team_Info'!$E$5,"W","B")</x:f>
        <x:v>B</x:v>
      </x:c>
      <x:c r="O143" t="str">
        <x:f>IF(RAND()&lt;'Team_Info'!$E$5,"W","B")</x:f>
        <x:v>W</x:v>
      </x:c>
      <x:c r="P143" t="str">
        <x:f>IF(RAND()&lt;'Team_Info'!$E$5,"W","B")</x:f>
        <x:v>B</x:v>
      </x:c>
      <x:c r="Q143" t="str">
        <x:f>IF(RAND()&lt;'Team_Info'!$E$5,"W","B")</x:f>
        <x:v>B</x:v>
      </x:c>
      <x:c r="R143" t="str">
        <x:f>IF(RAND()&lt;'Team_Info'!$E$5,"W","B")</x:f>
        <x:v>W</x:v>
      </x:c>
      <x:c r="S143" t="str">
        <x:f>IF(RAND()&lt;'Team_Info'!$E$5,"W","B")</x:f>
        <x:v>W</x:v>
      </x:c>
      <x:c r="T143" t="str">
        <x:f>IF(RAND()&lt;'Team_Info'!$E$5,"W","B")</x:f>
        <x:v>W</x:v>
      </x:c>
      <x:c r="U143" t="str">
        <x:f>IF(RAND()&lt;'Team_Info'!$E$5,"W","B")</x:f>
        <x:v>W</x:v>
      </x:c>
    </x:row>
    <x:row r="144">
      <x:c r="A144" s="1">
        <x:v>143</x:v>
      </x:c>
      <x:c r="B144" t="str">
        <x:f>IF(RAND()&lt;'Team_Info'!$E$5,"W","B")</x:f>
        <x:v>B</x:v>
      </x:c>
      <x:c r="C144" t="str">
        <x:f>IF(RAND()&lt;'Team_Info'!$E$5,"W","B")</x:f>
        <x:v>B</x:v>
      </x:c>
      <x:c r="D144" t="str">
        <x:f>IF(RAND()&lt;'Team_Info'!$E$5,"W","B")</x:f>
        <x:v>W</x:v>
      </x:c>
      <x:c r="E144" t="str">
        <x:f>IF(RAND()&lt;'Team_Info'!$E$5,"W","B")</x:f>
        <x:v>W</x:v>
      </x:c>
      <x:c r="F144" t="str">
        <x:f>IF(RAND()&lt;'Team_Info'!$E$5,"W","B")</x:f>
        <x:v>B</x:v>
      </x:c>
      <x:c r="G144" t="str">
        <x:f>IF(RAND()&lt;'Team_Info'!$E$5,"W","B")</x:f>
        <x:v>B</x:v>
      </x:c>
      <x:c r="H144" t="str">
        <x:f>IF(RAND()&lt;'Team_Info'!$E$5,"W","B")</x:f>
        <x:v>B</x:v>
      </x:c>
      <x:c r="I144" t="str">
        <x:f>IF(RAND()&lt;'Team_Info'!$E$5,"W","B")</x:f>
        <x:v>B</x:v>
      </x:c>
      <x:c r="J144" t="str">
        <x:f>IF(RAND()&lt;'Team_Info'!$E$5,"W","B")</x:f>
        <x:v>W</x:v>
      </x:c>
      <x:c r="K144" t="str">
        <x:f>IF(RAND()&lt;'Team_Info'!$E$5,"W","B")</x:f>
        <x:v>B</x:v>
      </x:c>
      <x:c r="L144" t="str">
        <x:f>IF(RAND()&lt;'Team_Info'!$E$5,"W","B")</x:f>
        <x:v>B</x:v>
      </x:c>
      <x:c r="M144" t="str">
        <x:f>IF(RAND()&lt;'Team_Info'!$E$5,"W","B")</x:f>
        <x:v>W</x:v>
      </x:c>
      <x:c r="N144" t="str">
        <x:f>IF(RAND()&lt;'Team_Info'!$E$5,"W","B")</x:f>
        <x:v>W</x:v>
      </x:c>
      <x:c r="O144" t="str">
        <x:f>IF(RAND()&lt;'Team_Info'!$E$5,"W","B")</x:f>
        <x:v>B</x:v>
      </x:c>
      <x:c r="P144" t="str">
        <x:f>IF(RAND()&lt;'Team_Info'!$E$5,"W","B")</x:f>
        <x:v>B</x:v>
      </x:c>
      <x:c r="Q144" t="str">
        <x:f>IF(RAND()&lt;'Team_Info'!$E$5,"W","B")</x:f>
        <x:v>B</x:v>
      </x:c>
      <x:c r="R144" t="str">
        <x:f>IF(RAND()&lt;'Team_Info'!$E$5,"W","B")</x:f>
        <x:v>B</x:v>
      </x:c>
      <x:c r="S144" t="str">
        <x:f>IF(RAND()&lt;'Team_Info'!$E$5,"W","B")</x:f>
        <x:v>W</x:v>
      </x:c>
      <x:c r="T144" t="str">
        <x:f>IF(RAND()&lt;'Team_Info'!$E$5,"W","B")</x:f>
        <x:v>W</x:v>
      </x:c>
      <x:c r="U144" t="str">
        <x:f>IF(RAND()&lt;'Team_Info'!$E$5,"W","B")</x:f>
        <x:v>B</x:v>
      </x:c>
    </x:row>
    <x:row r="145">
      <x:c r="A145" s="1">
        <x:v>144</x:v>
      </x:c>
      <x:c r="B145" t="str">
        <x:f>IF(RAND()&lt;'Team_Info'!$E$5,"W","B")</x:f>
        <x:v>W</x:v>
      </x:c>
      <x:c r="C145" t="str">
        <x:f>IF(RAND()&lt;'Team_Info'!$E$5,"W","B")</x:f>
        <x:v>B</x:v>
      </x:c>
      <x:c r="D145" t="str">
        <x:f>IF(RAND()&lt;'Team_Info'!$E$5,"W","B")</x:f>
        <x:v>W</x:v>
      </x:c>
      <x:c r="E145" t="str">
        <x:f>IF(RAND()&lt;'Team_Info'!$E$5,"W","B")</x:f>
        <x:v>B</x:v>
      </x:c>
      <x:c r="F145" t="str">
        <x:f>IF(RAND()&lt;'Team_Info'!$E$5,"W","B")</x:f>
        <x:v>B</x:v>
      </x:c>
      <x:c r="G145" t="str">
        <x:f>IF(RAND()&lt;'Team_Info'!$E$5,"W","B")</x:f>
        <x:v>B</x:v>
      </x:c>
      <x:c r="H145" t="str">
        <x:f>IF(RAND()&lt;'Team_Info'!$E$5,"W","B")</x:f>
        <x:v>W</x:v>
      </x:c>
      <x:c r="I145" t="str">
        <x:f>IF(RAND()&lt;'Team_Info'!$E$5,"W","B")</x:f>
        <x:v>B</x:v>
      </x:c>
      <x:c r="J145" t="str">
        <x:f>IF(RAND()&lt;'Team_Info'!$E$5,"W","B")</x:f>
        <x:v>B</x:v>
      </x:c>
      <x:c r="K145" t="str">
        <x:f>IF(RAND()&lt;'Team_Info'!$E$5,"W","B")</x:f>
        <x:v>W</x:v>
      </x:c>
      <x:c r="L145" t="str">
        <x:f>IF(RAND()&lt;'Team_Info'!$E$5,"W","B")</x:f>
        <x:v>W</x:v>
      </x:c>
      <x:c r="M145" t="str">
        <x:f>IF(RAND()&lt;'Team_Info'!$E$5,"W","B")</x:f>
        <x:v>B</x:v>
      </x:c>
      <x:c r="N145" t="str">
        <x:f>IF(RAND()&lt;'Team_Info'!$E$5,"W","B")</x:f>
        <x:v>B</x:v>
      </x:c>
      <x:c r="O145" t="str">
        <x:f>IF(RAND()&lt;'Team_Info'!$E$5,"W","B")</x:f>
        <x:v>W</x:v>
      </x:c>
      <x:c r="P145" t="str">
        <x:f>IF(RAND()&lt;'Team_Info'!$E$5,"W","B")</x:f>
        <x:v>W</x:v>
      </x:c>
      <x:c r="Q145" t="str">
        <x:f>IF(RAND()&lt;'Team_Info'!$E$5,"W","B")</x:f>
        <x:v>B</x:v>
      </x:c>
      <x:c r="R145" t="str">
        <x:f>IF(RAND()&lt;'Team_Info'!$E$5,"W","B")</x:f>
        <x:v>B</x:v>
      </x:c>
      <x:c r="S145" t="str">
        <x:f>IF(RAND()&lt;'Team_Info'!$E$5,"W","B")</x:f>
        <x:v>B</x:v>
      </x:c>
      <x:c r="T145" t="str">
        <x:f>IF(RAND()&lt;'Team_Info'!$E$5,"W","B")</x:f>
        <x:v>B</x:v>
      </x:c>
      <x:c r="U145" t="str">
        <x:f>IF(RAND()&lt;'Team_Info'!$E$5,"W","B")</x:f>
        <x:v>B</x:v>
      </x:c>
    </x:row>
    <x:row r="146">
      <x:c r="A146" s="1">
        <x:v>145</x:v>
      </x:c>
      <x:c r="B146" t="str">
        <x:f>IF(RAND()&lt;'Team_Info'!$E$5,"W","B")</x:f>
        <x:v>B</x:v>
      </x:c>
      <x:c r="C146" t="str">
        <x:f>IF(RAND()&lt;'Team_Info'!$E$5,"W","B")</x:f>
        <x:v>B</x:v>
      </x:c>
      <x:c r="D146" t="str">
        <x:f>IF(RAND()&lt;'Team_Info'!$E$5,"W","B")</x:f>
        <x:v>B</x:v>
      </x:c>
      <x:c r="E146" t="str">
        <x:f>IF(RAND()&lt;'Team_Info'!$E$5,"W","B")</x:f>
        <x:v>B</x:v>
      </x:c>
      <x:c r="F146" t="str">
        <x:f>IF(RAND()&lt;'Team_Info'!$E$5,"W","B")</x:f>
        <x:v>W</x:v>
      </x:c>
      <x:c r="G146" t="str">
        <x:f>IF(RAND()&lt;'Team_Info'!$E$5,"W","B")</x:f>
        <x:v>W</x:v>
      </x:c>
      <x:c r="H146" t="str">
        <x:f>IF(RAND()&lt;'Team_Info'!$E$5,"W","B")</x:f>
        <x:v>B</x:v>
      </x:c>
      <x:c r="I146" t="str">
        <x:f>IF(RAND()&lt;'Team_Info'!$E$5,"W","B")</x:f>
        <x:v>B</x:v>
      </x:c>
      <x:c r="J146" t="str">
        <x:f>IF(RAND()&lt;'Team_Info'!$E$5,"W","B")</x:f>
        <x:v>W</x:v>
      </x:c>
      <x:c r="K146" t="str">
        <x:f>IF(RAND()&lt;'Team_Info'!$E$5,"W","B")</x:f>
        <x:v>B</x:v>
      </x:c>
      <x:c r="L146" t="str">
        <x:f>IF(RAND()&lt;'Team_Info'!$E$5,"W","B")</x:f>
        <x:v>W</x:v>
      </x:c>
      <x:c r="M146" t="str">
        <x:f>IF(RAND()&lt;'Team_Info'!$E$5,"W","B")</x:f>
        <x:v>B</x:v>
      </x:c>
      <x:c r="N146" t="str">
        <x:f>IF(RAND()&lt;'Team_Info'!$E$5,"W","B")</x:f>
        <x:v>W</x:v>
      </x:c>
      <x:c r="O146" t="str">
        <x:f>IF(RAND()&lt;'Team_Info'!$E$5,"W","B")</x:f>
        <x:v>W</x:v>
      </x:c>
      <x:c r="P146" t="str">
        <x:f>IF(RAND()&lt;'Team_Info'!$E$5,"W","B")</x:f>
        <x:v>W</x:v>
      </x:c>
      <x:c r="Q146" t="str">
        <x:f>IF(RAND()&lt;'Team_Info'!$E$5,"W","B")</x:f>
        <x:v>W</x:v>
      </x:c>
      <x:c r="R146" t="str">
        <x:f>IF(RAND()&lt;'Team_Info'!$E$5,"W","B")</x:f>
        <x:v>W</x:v>
      </x:c>
      <x:c r="S146" t="str">
        <x:f>IF(RAND()&lt;'Team_Info'!$E$5,"W","B")</x:f>
        <x:v>B</x:v>
      </x:c>
      <x:c r="T146" t="str">
        <x:f>IF(RAND()&lt;'Team_Info'!$E$5,"W","B")</x:f>
        <x:v>B</x:v>
      </x:c>
      <x:c r="U146" t="str">
        <x:f>IF(RAND()&lt;'Team_Info'!$E$5,"W","B")</x:f>
        <x:v>W</x:v>
      </x:c>
    </x:row>
    <x:row r="147">
      <x:c r="A147" s="1">
        <x:v>146</x:v>
      </x:c>
      <x:c r="B147" t="str">
        <x:f>IF(RAND()&lt;'Team_Info'!$E$5,"W","B")</x:f>
        <x:v>B</x:v>
      </x:c>
      <x:c r="C147" t="str">
        <x:f>IF(RAND()&lt;'Team_Info'!$E$5,"W","B")</x:f>
        <x:v>B</x:v>
      </x:c>
      <x:c r="D147" t="str">
        <x:f>IF(RAND()&lt;'Team_Info'!$E$5,"W","B")</x:f>
        <x:v>B</x:v>
      </x:c>
      <x:c r="E147" t="str">
        <x:f>IF(RAND()&lt;'Team_Info'!$E$5,"W","B")</x:f>
        <x:v>W</x:v>
      </x:c>
      <x:c r="F147" t="str">
        <x:f>IF(RAND()&lt;'Team_Info'!$E$5,"W","B")</x:f>
        <x:v>W</x:v>
      </x:c>
      <x:c r="G147" t="str">
        <x:f>IF(RAND()&lt;'Team_Info'!$E$5,"W","B")</x:f>
        <x:v>B</x:v>
      </x:c>
      <x:c r="H147" t="str">
        <x:f>IF(RAND()&lt;'Team_Info'!$E$5,"W","B")</x:f>
        <x:v>B</x:v>
      </x:c>
      <x:c r="I147" t="str">
        <x:f>IF(RAND()&lt;'Team_Info'!$E$5,"W","B")</x:f>
        <x:v>B</x:v>
      </x:c>
      <x:c r="J147" t="str">
        <x:f>IF(RAND()&lt;'Team_Info'!$E$5,"W","B")</x:f>
        <x:v>B</x:v>
      </x:c>
      <x:c r="K147" t="str">
        <x:f>IF(RAND()&lt;'Team_Info'!$E$5,"W","B")</x:f>
        <x:v>B</x:v>
      </x:c>
      <x:c r="L147" t="str">
        <x:f>IF(RAND()&lt;'Team_Info'!$E$5,"W","B")</x:f>
        <x:v>B</x:v>
      </x:c>
      <x:c r="M147" t="str">
        <x:f>IF(RAND()&lt;'Team_Info'!$E$5,"W","B")</x:f>
        <x:v>B</x:v>
      </x:c>
      <x:c r="N147" t="str">
        <x:f>IF(RAND()&lt;'Team_Info'!$E$5,"W","B")</x:f>
        <x:v>B</x:v>
      </x:c>
      <x:c r="O147" t="str">
        <x:f>IF(RAND()&lt;'Team_Info'!$E$5,"W","B")</x:f>
        <x:v>B</x:v>
      </x:c>
      <x:c r="P147" t="str">
        <x:f>IF(RAND()&lt;'Team_Info'!$E$5,"W","B")</x:f>
        <x:v>W</x:v>
      </x:c>
      <x:c r="Q147" t="str">
        <x:f>IF(RAND()&lt;'Team_Info'!$E$5,"W","B")</x:f>
        <x:v>W</x:v>
      </x:c>
      <x:c r="R147" t="str">
        <x:f>IF(RAND()&lt;'Team_Info'!$E$5,"W","B")</x:f>
        <x:v>B</x:v>
      </x:c>
      <x:c r="S147" t="str">
        <x:f>IF(RAND()&lt;'Team_Info'!$E$5,"W","B")</x:f>
        <x:v>B</x:v>
      </x:c>
      <x:c r="T147" t="str">
        <x:f>IF(RAND()&lt;'Team_Info'!$E$5,"W","B")</x:f>
        <x:v>B</x:v>
      </x:c>
      <x:c r="U147" t="str">
        <x:f>IF(RAND()&lt;'Team_Info'!$E$5,"W","B")</x:f>
        <x:v>B</x:v>
      </x:c>
    </x:row>
    <x:row r="148">
      <x:c r="A148" s="1">
        <x:v>147</x:v>
      </x:c>
      <x:c r="B148" t="str">
        <x:f>IF(RAND()&lt;'Team_Info'!$E$5,"W","B")</x:f>
        <x:v>W</x:v>
      </x:c>
      <x:c r="C148" t="str">
        <x:f>IF(RAND()&lt;'Team_Info'!$E$5,"W","B")</x:f>
        <x:v>W</x:v>
      </x:c>
      <x:c r="D148" t="str">
        <x:f>IF(RAND()&lt;'Team_Info'!$E$5,"W","B")</x:f>
        <x:v>B</x:v>
      </x:c>
      <x:c r="E148" t="str">
        <x:f>IF(RAND()&lt;'Team_Info'!$E$5,"W","B")</x:f>
        <x:v>B</x:v>
      </x:c>
      <x:c r="F148" t="str">
        <x:f>IF(RAND()&lt;'Team_Info'!$E$5,"W","B")</x:f>
        <x:v>B</x:v>
      </x:c>
      <x:c r="G148" t="str">
        <x:f>IF(RAND()&lt;'Team_Info'!$E$5,"W","B")</x:f>
        <x:v>B</x:v>
      </x:c>
      <x:c r="H148" t="str">
        <x:f>IF(RAND()&lt;'Team_Info'!$E$5,"W","B")</x:f>
        <x:v>W</x:v>
      </x:c>
      <x:c r="I148" t="str">
        <x:f>IF(RAND()&lt;'Team_Info'!$E$5,"W","B")</x:f>
        <x:v>B</x:v>
      </x:c>
      <x:c r="J148" t="str">
        <x:f>IF(RAND()&lt;'Team_Info'!$E$5,"W","B")</x:f>
        <x:v>B</x:v>
      </x:c>
      <x:c r="K148" t="str">
        <x:f>IF(RAND()&lt;'Team_Info'!$E$5,"W","B")</x:f>
        <x:v>W</x:v>
      </x:c>
      <x:c r="L148" t="str">
        <x:f>IF(RAND()&lt;'Team_Info'!$E$5,"W","B")</x:f>
        <x:v>B</x:v>
      </x:c>
      <x:c r="M148" t="str">
        <x:f>IF(RAND()&lt;'Team_Info'!$E$5,"W","B")</x:f>
        <x:v>W</x:v>
      </x:c>
      <x:c r="N148" t="str">
        <x:f>IF(RAND()&lt;'Team_Info'!$E$5,"W","B")</x:f>
        <x:v>B</x:v>
      </x:c>
      <x:c r="O148" t="str">
        <x:f>IF(RAND()&lt;'Team_Info'!$E$5,"W","B")</x:f>
        <x:v>W</x:v>
      </x:c>
      <x:c r="P148" t="str">
        <x:f>IF(RAND()&lt;'Team_Info'!$E$5,"W","B")</x:f>
        <x:v>W</x:v>
      </x:c>
      <x:c r="Q148" t="str">
        <x:f>IF(RAND()&lt;'Team_Info'!$E$5,"W","B")</x:f>
        <x:v>B</x:v>
      </x:c>
      <x:c r="R148" t="str">
        <x:f>IF(RAND()&lt;'Team_Info'!$E$5,"W","B")</x:f>
        <x:v>B</x:v>
      </x:c>
      <x:c r="S148" t="str">
        <x:f>IF(RAND()&lt;'Team_Info'!$E$5,"W","B")</x:f>
        <x:v>B</x:v>
      </x:c>
      <x:c r="T148" t="str">
        <x:f>IF(RAND()&lt;'Team_Info'!$E$5,"W","B")</x:f>
        <x:v>B</x:v>
      </x:c>
      <x:c r="U148" t="str">
        <x:f>IF(RAND()&lt;'Team_Info'!$E$5,"W","B")</x:f>
        <x:v>B</x:v>
      </x:c>
    </x:row>
    <x:row r="149">
      <x:c r="A149" s="1">
        <x:v>148</x:v>
      </x:c>
      <x:c r="B149" t="str">
        <x:f>IF(RAND()&lt;'Team_Info'!$E$5,"W","B")</x:f>
        <x:v>W</x:v>
      </x:c>
      <x:c r="C149" t="str">
        <x:f>IF(RAND()&lt;'Team_Info'!$E$5,"W","B")</x:f>
        <x:v>B</x:v>
      </x:c>
      <x:c r="D149" t="str">
        <x:f>IF(RAND()&lt;'Team_Info'!$E$5,"W","B")</x:f>
        <x:v>B</x:v>
      </x:c>
      <x:c r="E149" t="str">
        <x:f>IF(RAND()&lt;'Team_Info'!$E$5,"W","B")</x:f>
        <x:v>B</x:v>
      </x:c>
      <x:c r="F149" t="str">
        <x:f>IF(RAND()&lt;'Team_Info'!$E$5,"W","B")</x:f>
        <x:v>W</x:v>
      </x:c>
      <x:c r="G149" t="str">
        <x:f>IF(RAND()&lt;'Team_Info'!$E$5,"W","B")</x:f>
        <x:v>B</x:v>
      </x:c>
      <x:c r="H149" t="str">
        <x:f>IF(RAND()&lt;'Team_Info'!$E$5,"W","B")</x:f>
        <x:v>W</x:v>
      </x:c>
      <x:c r="I149" t="str">
        <x:f>IF(RAND()&lt;'Team_Info'!$E$5,"W","B")</x:f>
        <x:v>B</x:v>
      </x:c>
      <x:c r="J149" t="str">
        <x:f>IF(RAND()&lt;'Team_Info'!$E$5,"W","B")</x:f>
        <x:v>B</x:v>
      </x:c>
      <x:c r="K149" t="str">
        <x:f>IF(RAND()&lt;'Team_Info'!$E$5,"W","B")</x:f>
        <x:v>B</x:v>
      </x:c>
      <x:c r="L149" t="str">
        <x:f>IF(RAND()&lt;'Team_Info'!$E$5,"W","B")</x:f>
        <x:v>B</x:v>
      </x:c>
      <x:c r="M149" t="str">
        <x:f>IF(RAND()&lt;'Team_Info'!$E$5,"W","B")</x:f>
        <x:v>B</x:v>
      </x:c>
      <x:c r="N149" t="str">
        <x:f>IF(RAND()&lt;'Team_Info'!$E$5,"W","B")</x:f>
        <x:v>W</x:v>
      </x:c>
      <x:c r="O149" t="str">
        <x:f>IF(RAND()&lt;'Team_Info'!$E$5,"W","B")</x:f>
        <x:v>W</x:v>
      </x:c>
      <x:c r="P149" t="str">
        <x:f>IF(RAND()&lt;'Team_Info'!$E$5,"W","B")</x:f>
        <x:v>B</x:v>
      </x:c>
      <x:c r="Q149" t="str">
        <x:f>IF(RAND()&lt;'Team_Info'!$E$5,"W","B")</x:f>
        <x:v>B</x:v>
      </x:c>
      <x:c r="R149" t="str">
        <x:f>IF(RAND()&lt;'Team_Info'!$E$5,"W","B")</x:f>
        <x:v>B</x:v>
      </x:c>
      <x:c r="S149" t="str">
        <x:f>IF(RAND()&lt;'Team_Info'!$E$5,"W","B")</x:f>
        <x:v>W</x:v>
      </x:c>
      <x:c r="T149" t="str">
        <x:f>IF(RAND()&lt;'Team_Info'!$E$5,"W","B")</x:f>
        <x:v>B</x:v>
      </x:c>
      <x:c r="U149" t="str">
        <x:f>IF(RAND()&lt;'Team_Info'!$E$5,"W","B")</x:f>
        <x:v>W</x:v>
      </x:c>
    </x:row>
    <x:row r="150">
      <x:c r="A150" s="1">
        <x:v>149</x:v>
      </x:c>
      <x:c r="B150" t="str">
        <x:f>IF(RAND()&lt;'Team_Info'!$E$5,"W","B")</x:f>
        <x:v>B</x:v>
      </x:c>
      <x:c r="C150" t="str">
        <x:f>IF(RAND()&lt;'Team_Info'!$E$5,"W","B")</x:f>
        <x:v>B</x:v>
      </x:c>
      <x:c r="D150" t="str">
        <x:f>IF(RAND()&lt;'Team_Info'!$E$5,"W","B")</x:f>
        <x:v>W</x:v>
      </x:c>
      <x:c r="E150" t="str">
        <x:f>IF(RAND()&lt;'Team_Info'!$E$5,"W","B")</x:f>
        <x:v>B</x:v>
      </x:c>
      <x:c r="F150" t="str">
        <x:f>IF(RAND()&lt;'Team_Info'!$E$5,"W","B")</x:f>
        <x:v>W</x:v>
      </x:c>
      <x:c r="G150" t="str">
        <x:f>IF(RAND()&lt;'Team_Info'!$E$5,"W","B")</x:f>
        <x:v>B</x:v>
      </x:c>
      <x:c r="H150" t="str">
        <x:f>IF(RAND()&lt;'Team_Info'!$E$5,"W","B")</x:f>
        <x:v>W</x:v>
      </x:c>
      <x:c r="I150" t="str">
        <x:f>IF(RAND()&lt;'Team_Info'!$E$5,"W","B")</x:f>
        <x:v>B</x:v>
      </x:c>
      <x:c r="J150" t="str">
        <x:f>IF(RAND()&lt;'Team_Info'!$E$5,"W","B")</x:f>
        <x:v>B</x:v>
      </x:c>
      <x:c r="K150" t="str">
        <x:f>IF(RAND()&lt;'Team_Info'!$E$5,"W","B")</x:f>
        <x:v>W</x:v>
      </x:c>
      <x:c r="L150" t="str">
        <x:f>IF(RAND()&lt;'Team_Info'!$E$5,"W","B")</x:f>
        <x:v>B</x:v>
      </x:c>
      <x:c r="M150" t="str">
        <x:f>IF(RAND()&lt;'Team_Info'!$E$5,"W","B")</x:f>
        <x:v>B</x:v>
      </x:c>
      <x:c r="N150" t="str">
        <x:f>IF(RAND()&lt;'Team_Info'!$E$5,"W","B")</x:f>
        <x:v>W</x:v>
      </x:c>
      <x:c r="O150" t="str">
        <x:f>IF(RAND()&lt;'Team_Info'!$E$5,"W","B")</x:f>
        <x:v>W</x:v>
      </x:c>
      <x:c r="P150" t="str">
        <x:f>IF(RAND()&lt;'Team_Info'!$E$5,"W","B")</x:f>
        <x:v>W</x:v>
      </x:c>
      <x:c r="Q150" t="str">
        <x:f>IF(RAND()&lt;'Team_Info'!$E$5,"W","B")</x:f>
        <x:v>W</x:v>
      </x:c>
      <x:c r="R150" t="str">
        <x:f>IF(RAND()&lt;'Team_Info'!$E$5,"W","B")</x:f>
        <x:v>W</x:v>
      </x:c>
      <x:c r="S150" t="str">
        <x:f>IF(RAND()&lt;'Team_Info'!$E$5,"W","B")</x:f>
        <x:v>B</x:v>
      </x:c>
      <x:c r="T150" t="str">
        <x:f>IF(RAND()&lt;'Team_Info'!$E$5,"W","B")</x:f>
        <x:v>W</x:v>
      </x:c>
      <x:c r="U150" t="str">
        <x:f>IF(RAND()&lt;'Team_Info'!$E$5,"W","B")</x:f>
        <x:v>B</x:v>
      </x:c>
    </x:row>
    <x:row r="151">
      <x:c r="A151" s="1">
        <x:v>150</x:v>
      </x:c>
      <x:c r="B151" t="str">
        <x:f>IF(RAND()&lt;'Team_Info'!$E$5,"W","B")</x:f>
        <x:v>W</x:v>
      </x:c>
      <x:c r="C151" t="str">
        <x:f>IF(RAND()&lt;'Team_Info'!$E$5,"W","B")</x:f>
        <x:v>W</x:v>
      </x:c>
      <x:c r="D151" t="str">
        <x:f>IF(RAND()&lt;'Team_Info'!$E$5,"W","B")</x:f>
        <x:v>W</x:v>
      </x:c>
      <x:c r="E151" t="str">
        <x:f>IF(RAND()&lt;'Team_Info'!$E$5,"W","B")</x:f>
        <x:v>W</x:v>
      </x:c>
      <x:c r="F151" t="str">
        <x:f>IF(RAND()&lt;'Team_Info'!$E$5,"W","B")</x:f>
        <x:v>W</x:v>
      </x:c>
      <x:c r="G151" t="str">
        <x:f>IF(RAND()&lt;'Team_Info'!$E$5,"W","B")</x:f>
        <x:v>B</x:v>
      </x:c>
      <x:c r="H151" t="str">
        <x:f>IF(RAND()&lt;'Team_Info'!$E$5,"W","B")</x:f>
        <x:v>B</x:v>
      </x:c>
      <x:c r="I151" t="str">
        <x:f>IF(RAND()&lt;'Team_Info'!$E$5,"W","B")</x:f>
        <x:v>B</x:v>
      </x:c>
      <x:c r="J151" t="str">
        <x:f>IF(RAND()&lt;'Team_Info'!$E$5,"W","B")</x:f>
        <x:v>W</x:v>
      </x:c>
      <x:c r="K151" t="str">
        <x:f>IF(RAND()&lt;'Team_Info'!$E$5,"W","B")</x:f>
        <x:v>W</x:v>
      </x:c>
      <x:c r="L151" t="str">
        <x:f>IF(RAND()&lt;'Team_Info'!$E$5,"W","B")</x:f>
        <x:v>B</x:v>
      </x:c>
      <x:c r="M151" t="str">
        <x:f>IF(RAND()&lt;'Team_Info'!$E$5,"W","B")</x:f>
        <x:v>W</x:v>
      </x:c>
      <x:c r="N151" t="str">
        <x:f>IF(RAND()&lt;'Team_Info'!$E$5,"W","B")</x:f>
        <x:v>B</x:v>
      </x:c>
      <x:c r="O151" t="str">
        <x:f>IF(RAND()&lt;'Team_Info'!$E$5,"W","B")</x:f>
        <x:v>B</x:v>
      </x:c>
      <x:c r="P151" t="str">
        <x:f>IF(RAND()&lt;'Team_Info'!$E$5,"W","B")</x:f>
        <x:v>B</x:v>
      </x:c>
      <x:c r="Q151" t="str">
        <x:f>IF(RAND()&lt;'Team_Info'!$E$5,"W","B")</x:f>
        <x:v>W</x:v>
      </x:c>
      <x:c r="R151" t="str">
        <x:f>IF(RAND()&lt;'Team_Info'!$E$5,"W","B")</x:f>
        <x:v>W</x:v>
      </x:c>
      <x:c r="S151" t="str">
        <x:f>IF(RAND()&lt;'Team_Info'!$E$5,"W","B")</x:f>
        <x:v>B</x:v>
      </x:c>
      <x:c r="T151" t="str">
        <x:f>IF(RAND()&lt;'Team_Info'!$E$5,"W","B")</x:f>
        <x:v>W</x:v>
      </x:c>
      <x:c r="U151" t="str">
        <x:f>IF(RAND()&lt;'Team_Info'!$E$5,"W","B")</x:f>
        <x:v>B</x:v>
      </x:c>
    </x:row>
    <x:row r="152">
      <x:c r="A152" s="1">
        <x:v>151</x:v>
      </x:c>
      <x:c r="B152" t="str">
        <x:f>IF(RAND()&lt;'Team_Info'!$E$5,"W","B")</x:f>
        <x:v>B</x:v>
      </x:c>
      <x:c r="C152" t="str">
        <x:f>IF(RAND()&lt;'Team_Info'!$E$5,"W","B")</x:f>
        <x:v>B</x:v>
      </x:c>
      <x:c r="D152" t="str">
        <x:f>IF(RAND()&lt;'Team_Info'!$E$5,"W","B")</x:f>
        <x:v>W</x:v>
      </x:c>
      <x:c r="E152" t="str">
        <x:f>IF(RAND()&lt;'Team_Info'!$E$5,"W","B")</x:f>
        <x:v>B</x:v>
      </x:c>
      <x:c r="F152" t="str">
        <x:f>IF(RAND()&lt;'Team_Info'!$E$5,"W","B")</x:f>
        <x:v>B</x:v>
      </x:c>
      <x:c r="G152" t="str">
        <x:f>IF(RAND()&lt;'Team_Info'!$E$5,"W","B")</x:f>
        <x:v>W</x:v>
      </x:c>
      <x:c r="H152" t="str">
        <x:f>IF(RAND()&lt;'Team_Info'!$E$5,"W","B")</x:f>
        <x:v>B</x:v>
      </x:c>
      <x:c r="I152" t="str">
        <x:f>IF(RAND()&lt;'Team_Info'!$E$5,"W","B")</x:f>
        <x:v>W</x:v>
      </x:c>
      <x:c r="J152" t="str">
        <x:f>IF(RAND()&lt;'Team_Info'!$E$5,"W","B")</x:f>
        <x:v>B</x:v>
      </x:c>
      <x:c r="K152" t="str">
        <x:f>IF(RAND()&lt;'Team_Info'!$E$5,"W","B")</x:f>
        <x:v>B</x:v>
      </x:c>
      <x:c r="L152" t="str">
        <x:f>IF(RAND()&lt;'Team_Info'!$E$5,"W","B")</x:f>
        <x:v>W</x:v>
      </x:c>
      <x:c r="M152" t="str">
        <x:f>IF(RAND()&lt;'Team_Info'!$E$5,"W","B")</x:f>
        <x:v>W</x:v>
      </x:c>
      <x:c r="N152" t="str">
        <x:f>IF(RAND()&lt;'Team_Info'!$E$5,"W","B")</x:f>
        <x:v>B</x:v>
      </x:c>
      <x:c r="O152" t="str">
        <x:f>IF(RAND()&lt;'Team_Info'!$E$5,"W","B")</x:f>
        <x:v>B</x:v>
      </x:c>
      <x:c r="P152" t="str">
        <x:f>IF(RAND()&lt;'Team_Info'!$E$5,"W","B")</x:f>
        <x:v>B</x:v>
      </x:c>
      <x:c r="Q152" t="str">
        <x:f>IF(RAND()&lt;'Team_Info'!$E$5,"W","B")</x:f>
        <x:v>B</x:v>
      </x:c>
      <x:c r="R152" t="str">
        <x:f>IF(RAND()&lt;'Team_Info'!$E$5,"W","B")</x:f>
        <x:v>B</x:v>
      </x:c>
      <x:c r="S152" t="str">
        <x:f>IF(RAND()&lt;'Team_Info'!$E$5,"W","B")</x:f>
        <x:v>B</x:v>
      </x:c>
      <x:c r="T152" t="str">
        <x:f>IF(RAND()&lt;'Team_Info'!$E$5,"W","B")</x:f>
        <x:v>B</x:v>
      </x:c>
      <x:c r="U152" t="str">
        <x:f>IF(RAND()&lt;'Team_Info'!$E$5,"W","B")</x:f>
        <x:v>W</x:v>
      </x:c>
    </x:row>
    <x:row r="153">
      <x:c r="A153" s="1">
        <x:v>152</x:v>
      </x:c>
      <x:c r="B153" t="str">
        <x:f>IF(RAND()&lt;'Team_Info'!$E$5,"W","B")</x:f>
        <x:v>W</x:v>
      </x:c>
      <x:c r="C153" t="str">
        <x:f>IF(RAND()&lt;'Team_Info'!$E$5,"W","B")</x:f>
        <x:v>W</x:v>
      </x:c>
      <x:c r="D153" t="str">
        <x:f>IF(RAND()&lt;'Team_Info'!$E$5,"W","B")</x:f>
        <x:v>B</x:v>
      </x:c>
      <x:c r="E153" t="str">
        <x:f>IF(RAND()&lt;'Team_Info'!$E$5,"W","B")</x:f>
        <x:v>W</x:v>
      </x:c>
      <x:c r="F153" t="str">
        <x:f>IF(RAND()&lt;'Team_Info'!$E$5,"W","B")</x:f>
        <x:v>W</x:v>
      </x:c>
      <x:c r="G153" t="str">
        <x:f>IF(RAND()&lt;'Team_Info'!$E$5,"W","B")</x:f>
        <x:v>B</x:v>
      </x:c>
      <x:c r="H153" t="str">
        <x:f>IF(RAND()&lt;'Team_Info'!$E$5,"W","B")</x:f>
        <x:v>B</x:v>
      </x:c>
      <x:c r="I153" t="str">
        <x:f>IF(RAND()&lt;'Team_Info'!$E$5,"W","B")</x:f>
        <x:v>B</x:v>
      </x:c>
      <x:c r="J153" t="str">
        <x:f>IF(RAND()&lt;'Team_Info'!$E$5,"W","B")</x:f>
        <x:v>B</x:v>
      </x:c>
      <x:c r="K153" t="str">
        <x:f>IF(RAND()&lt;'Team_Info'!$E$5,"W","B")</x:f>
        <x:v>B</x:v>
      </x:c>
      <x:c r="L153" t="str">
        <x:f>IF(RAND()&lt;'Team_Info'!$E$5,"W","B")</x:f>
        <x:v>B</x:v>
      </x:c>
      <x:c r="M153" t="str">
        <x:f>IF(RAND()&lt;'Team_Info'!$E$5,"W","B")</x:f>
        <x:v>B</x:v>
      </x:c>
      <x:c r="N153" t="str">
        <x:f>IF(RAND()&lt;'Team_Info'!$E$5,"W","B")</x:f>
        <x:v>W</x:v>
      </x:c>
      <x:c r="O153" t="str">
        <x:f>IF(RAND()&lt;'Team_Info'!$E$5,"W","B")</x:f>
        <x:v>B</x:v>
      </x:c>
      <x:c r="P153" t="str">
        <x:f>IF(RAND()&lt;'Team_Info'!$E$5,"W","B")</x:f>
        <x:v>W</x:v>
      </x:c>
      <x:c r="Q153" t="str">
        <x:f>IF(RAND()&lt;'Team_Info'!$E$5,"W","B")</x:f>
        <x:v>B</x:v>
      </x:c>
      <x:c r="R153" t="str">
        <x:f>IF(RAND()&lt;'Team_Info'!$E$5,"W","B")</x:f>
        <x:v>B</x:v>
      </x:c>
      <x:c r="S153" t="str">
        <x:f>IF(RAND()&lt;'Team_Info'!$E$5,"W","B")</x:f>
        <x:v>W</x:v>
      </x:c>
      <x:c r="T153" t="str">
        <x:f>IF(RAND()&lt;'Team_Info'!$E$5,"W","B")</x:f>
        <x:v>W</x:v>
      </x:c>
      <x:c r="U153" t="str">
        <x:f>IF(RAND()&lt;'Team_Info'!$E$5,"W","B")</x:f>
        <x:v>B</x:v>
      </x:c>
    </x:row>
    <x:row r="154">
      <x:c r="A154" s="1">
        <x:v>153</x:v>
      </x:c>
      <x:c r="B154" t="str">
        <x:f>IF(RAND()&lt;'Team_Info'!$E$5,"W","B")</x:f>
        <x:v>B</x:v>
      </x:c>
      <x:c r="C154" t="str">
        <x:f>IF(RAND()&lt;'Team_Info'!$E$5,"W","B")</x:f>
        <x:v>B</x:v>
      </x:c>
      <x:c r="D154" t="str">
        <x:f>IF(RAND()&lt;'Team_Info'!$E$5,"W","B")</x:f>
        <x:v>B</x:v>
      </x:c>
      <x:c r="E154" t="str">
        <x:f>IF(RAND()&lt;'Team_Info'!$E$5,"W","B")</x:f>
        <x:v>B</x:v>
      </x:c>
      <x:c r="F154" t="str">
        <x:f>IF(RAND()&lt;'Team_Info'!$E$5,"W","B")</x:f>
        <x:v>B</x:v>
      </x:c>
      <x:c r="G154" t="str">
        <x:f>IF(RAND()&lt;'Team_Info'!$E$5,"W","B")</x:f>
        <x:v>B</x:v>
      </x:c>
      <x:c r="H154" t="str">
        <x:f>IF(RAND()&lt;'Team_Info'!$E$5,"W","B")</x:f>
        <x:v>B</x:v>
      </x:c>
      <x:c r="I154" t="str">
        <x:f>IF(RAND()&lt;'Team_Info'!$E$5,"W","B")</x:f>
        <x:v>W</x:v>
      </x:c>
      <x:c r="J154" t="str">
        <x:f>IF(RAND()&lt;'Team_Info'!$E$5,"W","B")</x:f>
        <x:v>B</x:v>
      </x:c>
      <x:c r="K154" t="str">
        <x:f>IF(RAND()&lt;'Team_Info'!$E$5,"W","B")</x:f>
        <x:v>W</x:v>
      </x:c>
      <x:c r="L154" t="str">
        <x:f>IF(RAND()&lt;'Team_Info'!$E$5,"W","B")</x:f>
        <x:v>W</x:v>
      </x:c>
      <x:c r="M154" t="str">
        <x:f>IF(RAND()&lt;'Team_Info'!$E$5,"W","B")</x:f>
        <x:v>B</x:v>
      </x:c>
      <x:c r="N154" t="str">
        <x:f>IF(RAND()&lt;'Team_Info'!$E$5,"W","B")</x:f>
        <x:v>B</x:v>
      </x:c>
      <x:c r="O154" t="str">
        <x:f>IF(RAND()&lt;'Team_Info'!$E$5,"W","B")</x:f>
        <x:v>W</x:v>
      </x:c>
      <x:c r="P154" t="str">
        <x:f>IF(RAND()&lt;'Team_Info'!$E$5,"W","B")</x:f>
        <x:v>W</x:v>
      </x:c>
      <x:c r="Q154" t="str">
        <x:f>IF(RAND()&lt;'Team_Info'!$E$5,"W","B")</x:f>
        <x:v>B</x:v>
      </x:c>
      <x:c r="R154" t="str">
        <x:f>IF(RAND()&lt;'Team_Info'!$E$5,"W","B")</x:f>
        <x:v>B</x:v>
      </x:c>
      <x:c r="S154" t="str">
        <x:f>IF(RAND()&lt;'Team_Info'!$E$5,"W","B")</x:f>
        <x:v>W</x:v>
      </x:c>
      <x:c r="T154" t="str">
        <x:f>IF(RAND()&lt;'Team_Info'!$E$5,"W","B")</x:f>
        <x:v>B</x:v>
      </x:c>
      <x:c r="U154" t="str">
        <x:f>IF(RAND()&lt;'Team_Info'!$E$5,"W","B")</x:f>
        <x:v>B</x:v>
      </x:c>
    </x:row>
    <x:row r="155">
      <x:c r="A155" s="1">
        <x:v>154</x:v>
      </x:c>
      <x:c r="B155" t="str">
        <x:f>IF(RAND()&lt;'Team_Info'!$E$5,"W","B")</x:f>
        <x:v>W</x:v>
      </x:c>
      <x:c r="C155" t="str">
        <x:f>IF(RAND()&lt;'Team_Info'!$E$5,"W","B")</x:f>
        <x:v>W</x:v>
      </x:c>
      <x:c r="D155" t="str">
        <x:f>IF(RAND()&lt;'Team_Info'!$E$5,"W","B")</x:f>
        <x:v>B</x:v>
      </x:c>
      <x:c r="E155" t="str">
        <x:f>IF(RAND()&lt;'Team_Info'!$E$5,"W","B")</x:f>
        <x:v>W</x:v>
      </x:c>
      <x:c r="F155" t="str">
        <x:f>IF(RAND()&lt;'Team_Info'!$E$5,"W","B")</x:f>
        <x:v>W</x:v>
      </x:c>
      <x:c r="G155" t="str">
        <x:f>IF(RAND()&lt;'Team_Info'!$E$5,"W","B")</x:f>
        <x:v>B</x:v>
      </x:c>
      <x:c r="H155" t="str">
        <x:f>IF(RAND()&lt;'Team_Info'!$E$5,"W","B")</x:f>
        <x:v>B</x:v>
      </x:c>
      <x:c r="I155" t="str">
        <x:f>IF(RAND()&lt;'Team_Info'!$E$5,"W","B")</x:f>
        <x:v>B</x:v>
      </x:c>
      <x:c r="J155" t="str">
        <x:f>IF(RAND()&lt;'Team_Info'!$E$5,"W","B")</x:f>
        <x:v>B</x:v>
      </x:c>
      <x:c r="K155" t="str">
        <x:f>IF(RAND()&lt;'Team_Info'!$E$5,"W","B")</x:f>
        <x:v>W</x:v>
      </x:c>
      <x:c r="L155" t="str">
        <x:f>IF(RAND()&lt;'Team_Info'!$E$5,"W","B")</x:f>
        <x:v>B</x:v>
      </x:c>
      <x:c r="M155" t="str">
        <x:f>IF(RAND()&lt;'Team_Info'!$E$5,"W","B")</x:f>
        <x:v>B</x:v>
      </x:c>
      <x:c r="N155" t="str">
        <x:f>IF(RAND()&lt;'Team_Info'!$E$5,"W","B")</x:f>
        <x:v>W</x:v>
      </x:c>
      <x:c r="O155" t="str">
        <x:f>IF(RAND()&lt;'Team_Info'!$E$5,"W","B")</x:f>
        <x:v>B</x:v>
      </x:c>
      <x:c r="P155" t="str">
        <x:f>IF(RAND()&lt;'Team_Info'!$E$5,"W","B")</x:f>
        <x:v>B</x:v>
      </x:c>
      <x:c r="Q155" t="str">
        <x:f>IF(RAND()&lt;'Team_Info'!$E$5,"W","B")</x:f>
        <x:v>W</x:v>
      </x:c>
      <x:c r="R155" t="str">
        <x:f>IF(RAND()&lt;'Team_Info'!$E$5,"W","B")</x:f>
        <x:v>W</x:v>
      </x:c>
      <x:c r="S155" t="str">
        <x:f>IF(RAND()&lt;'Team_Info'!$E$5,"W","B")</x:f>
        <x:v>B</x:v>
      </x:c>
      <x:c r="T155" t="str">
        <x:f>IF(RAND()&lt;'Team_Info'!$E$5,"W","B")</x:f>
        <x:v>B</x:v>
      </x:c>
      <x:c r="U155" t="str">
        <x:f>IF(RAND()&lt;'Team_Info'!$E$5,"W","B")</x:f>
        <x:v>B</x:v>
      </x:c>
    </x:row>
    <x:row r="156">
      <x:c r="A156" s="1">
        <x:v>155</x:v>
      </x:c>
      <x:c r="B156" t="str">
        <x:f>IF(RAND()&lt;'Team_Info'!$E$5,"W","B")</x:f>
        <x:v>B</x:v>
      </x:c>
      <x:c r="C156" t="str">
        <x:f>IF(RAND()&lt;'Team_Info'!$E$5,"W","B")</x:f>
        <x:v>B</x:v>
      </x:c>
      <x:c r="D156" t="str">
        <x:f>IF(RAND()&lt;'Team_Info'!$E$5,"W","B")</x:f>
        <x:v>B</x:v>
      </x:c>
      <x:c r="E156" t="str">
        <x:f>IF(RAND()&lt;'Team_Info'!$E$5,"W","B")</x:f>
        <x:v>W</x:v>
      </x:c>
      <x:c r="F156" t="str">
        <x:f>IF(RAND()&lt;'Team_Info'!$E$5,"W","B")</x:f>
        <x:v>B</x:v>
      </x:c>
      <x:c r="G156" t="str">
        <x:f>IF(RAND()&lt;'Team_Info'!$E$5,"W","B")</x:f>
        <x:v>W</x:v>
      </x:c>
      <x:c r="H156" t="str">
        <x:f>IF(RAND()&lt;'Team_Info'!$E$5,"W","B")</x:f>
        <x:v>B</x:v>
      </x:c>
      <x:c r="I156" t="str">
        <x:f>IF(RAND()&lt;'Team_Info'!$E$5,"W","B")</x:f>
        <x:v>W</x:v>
      </x:c>
      <x:c r="J156" t="str">
        <x:f>IF(RAND()&lt;'Team_Info'!$E$5,"W","B")</x:f>
        <x:v>B</x:v>
      </x:c>
      <x:c r="K156" t="str">
        <x:f>IF(RAND()&lt;'Team_Info'!$E$5,"W","B")</x:f>
        <x:v>W</x:v>
      </x:c>
      <x:c r="L156" t="str">
        <x:f>IF(RAND()&lt;'Team_Info'!$E$5,"W","B")</x:f>
        <x:v>W</x:v>
      </x:c>
      <x:c r="M156" t="str">
        <x:f>IF(RAND()&lt;'Team_Info'!$E$5,"W","B")</x:f>
        <x:v>B</x:v>
      </x:c>
      <x:c r="N156" t="str">
        <x:f>IF(RAND()&lt;'Team_Info'!$E$5,"W","B")</x:f>
        <x:v>B</x:v>
      </x:c>
      <x:c r="O156" t="str">
        <x:f>IF(RAND()&lt;'Team_Info'!$E$5,"W","B")</x:f>
        <x:v>W</x:v>
      </x:c>
      <x:c r="P156" t="str">
        <x:f>IF(RAND()&lt;'Team_Info'!$E$5,"W","B")</x:f>
        <x:v>W</x:v>
      </x:c>
      <x:c r="Q156" t="str">
        <x:f>IF(RAND()&lt;'Team_Info'!$E$5,"W","B")</x:f>
        <x:v>W</x:v>
      </x:c>
      <x:c r="R156" t="str">
        <x:f>IF(RAND()&lt;'Team_Info'!$E$5,"W","B")</x:f>
        <x:v>W</x:v>
      </x:c>
      <x:c r="S156" t="str">
        <x:f>IF(RAND()&lt;'Team_Info'!$E$5,"W","B")</x:f>
        <x:v>B</x:v>
      </x:c>
      <x:c r="T156" t="str">
        <x:f>IF(RAND()&lt;'Team_Info'!$E$5,"W","B")</x:f>
        <x:v>B</x:v>
      </x:c>
      <x:c r="U156" t="str">
        <x:f>IF(RAND()&lt;'Team_Info'!$E$5,"W","B")</x:f>
        <x:v>W</x:v>
      </x:c>
    </x:row>
    <x:row r="157">
      <x:c r="A157" s="1">
        <x:v>156</x:v>
      </x:c>
      <x:c r="B157" t="str">
        <x:f>IF(RAND()&lt;'Team_Info'!$E$5,"W","B")</x:f>
        <x:v>B</x:v>
      </x:c>
      <x:c r="C157" t="str">
        <x:f>IF(RAND()&lt;'Team_Info'!$E$5,"W","B")</x:f>
        <x:v>W</x:v>
      </x:c>
      <x:c r="D157" t="str">
        <x:f>IF(RAND()&lt;'Team_Info'!$E$5,"W","B")</x:f>
        <x:v>W</x:v>
      </x:c>
      <x:c r="E157" t="str">
        <x:f>IF(RAND()&lt;'Team_Info'!$E$5,"W","B")</x:f>
        <x:v>W</x:v>
      </x:c>
      <x:c r="F157" t="str">
        <x:f>IF(RAND()&lt;'Team_Info'!$E$5,"W","B")</x:f>
        <x:v>B</x:v>
      </x:c>
      <x:c r="G157" t="str">
        <x:f>IF(RAND()&lt;'Team_Info'!$E$5,"W","B")</x:f>
        <x:v>B</x:v>
      </x:c>
      <x:c r="H157" t="str">
        <x:f>IF(RAND()&lt;'Team_Info'!$E$5,"W","B")</x:f>
        <x:v>W</x:v>
      </x:c>
      <x:c r="I157" t="str">
        <x:f>IF(RAND()&lt;'Team_Info'!$E$5,"W","B")</x:f>
        <x:v>W</x:v>
      </x:c>
      <x:c r="J157" t="str">
        <x:f>IF(RAND()&lt;'Team_Info'!$E$5,"W","B")</x:f>
        <x:v>B</x:v>
      </x:c>
      <x:c r="K157" t="str">
        <x:f>IF(RAND()&lt;'Team_Info'!$E$5,"W","B")</x:f>
        <x:v>W</x:v>
      </x:c>
      <x:c r="L157" t="str">
        <x:f>IF(RAND()&lt;'Team_Info'!$E$5,"W","B")</x:f>
        <x:v>B</x:v>
      </x:c>
      <x:c r="M157" t="str">
        <x:f>IF(RAND()&lt;'Team_Info'!$E$5,"W","B")</x:f>
        <x:v>W</x:v>
      </x:c>
      <x:c r="N157" t="str">
        <x:f>IF(RAND()&lt;'Team_Info'!$E$5,"W","B")</x:f>
        <x:v>B</x:v>
      </x:c>
      <x:c r="O157" t="str">
        <x:f>IF(RAND()&lt;'Team_Info'!$E$5,"W","B")</x:f>
        <x:v>W</x:v>
      </x:c>
      <x:c r="P157" t="str">
        <x:f>IF(RAND()&lt;'Team_Info'!$E$5,"W","B")</x:f>
        <x:v>B</x:v>
      </x:c>
      <x:c r="Q157" t="str">
        <x:f>IF(RAND()&lt;'Team_Info'!$E$5,"W","B")</x:f>
        <x:v>B</x:v>
      </x:c>
      <x:c r="R157" t="str">
        <x:f>IF(RAND()&lt;'Team_Info'!$E$5,"W","B")</x:f>
        <x:v>B</x:v>
      </x:c>
      <x:c r="S157" t="str">
        <x:f>IF(RAND()&lt;'Team_Info'!$E$5,"W","B")</x:f>
        <x:v>B</x:v>
      </x:c>
      <x:c r="T157" t="str">
        <x:f>IF(RAND()&lt;'Team_Info'!$E$5,"W","B")</x:f>
        <x:v>W</x:v>
      </x:c>
      <x:c r="U157" t="str">
        <x:f>IF(RAND()&lt;'Team_Info'!$E$5,"W","B")</x:f>
        <x:v>B</x:v>
      </x:c>
    </x:row>
    <x:row r="158">
      <x:c r="A158" s="1">
        <x:v>157</x:v>
      </x:c>
      <x:c r="B158" t="str">
        <x:f>IF(RAND()&lt;'Team_Info'!$E$5,"W","B")</x:f>
        <x:v>W</x:v>
      </x:c>
      <x:c r="C158" t="str">
        <x:f>IF(RAND()&lt;'Team_Info'!$E$5,"W","B")</x:f>
        <x:v>B</x:v>
      </x:c>
      <x:c r="D158" t="str">
        <x:f>IF(RAND()&lt;'Team_Info'!$E$5,"W","B")</x:f>
        <x:v>W</x:v>
      </x:c>
      <x:c r="E158" t="str">
        <x:f>IF(RAND()&lt;'Team_Info'!$E$5,"W","B")</x:f>
        <x:v>B</x:v>
      </x:c>
      <x:c r="F158" t="str">
        <x:f>IF(RAND()&lt;'Team_Info'!$E$5,"W","B")</x:f>
        <x:v>W</x:v>
      </x:c>
      <x:c r="G158" t="str">
        <x:f>IF(RAND()&lt;'Team_Info'!$E$5,"W","B")</x:f>
        <x:v>B</x:v>
      </x:c>
      <x:c r="H158" t="str">
        <x:f>IF(RAND()&lt;'Team_Info'!$E$5,"W","B")</x:f>
        <x:v>W</x:v>
      </x:c>
      <x:c r="I158" t="str">
        <x:f>IF(RAND()&lt;'Team_Info'!$E$5,"W","B")</x:f>
        <x:v>B</x:v>
      </x:c>
      <x:c r="J158" t="str">
        <x:f>IF(RAND()&lt;'Team_Info'!$E$5,"W","B")</x:f>
        <x:v>B</x:v>
      </x:c>
      <x:c r="K158" t="str">
        <x:f>IF(RAND()&lt;'Team_Info'!$E$5,"W","B")</x:f>
        <x:v>B</x:v>
      </x:c>
      <x:c r="L158" t="str">
        <x:f>IF(RAND()&lt;'Team_Info'!$E$5,"W","B")</x:f>
        <x:v>W</x:v>
      </x:c>
      <x:c r="M158" t="str">
        <x:f>IF(RAND()&lt;'Team_Info'!$E$5,"W","B")</x:f>
        <x:v>B</x:v>
      </x:c>
      <x:c r="N158" t="str">
        <x:f>IF(RAND()&lt;'Team_Info'!$E$5,"W","B")</x:f>
        <x:v>W</x:v>
      </x:c>
      <x:c r="O158" t="str">
        <x:f>IF(RAND()&lt;'Team_Info'!$E$5,"W","B")</x:f>
        <x:v>W</x:v>
      </x:c>
      <x:c r="P158" t="str">
        <x:f>IF(RAND()&lt;'Team_Info'!$E$5,"W","B")</x:f>
        <x:v>B</x:v>
      </x:c>
      <x:c r="Q158" t="str">
        <x:f>IF(RAND()&lt;'Team_Info'!$E$5,"W","B")</x:f>
        <x:v>B</x:v>
      </x:c>
      <x:c r="R158" t="str">
        <x:f>IF(RAND()&lt;'Team_Info'!$E$5,"W","B")</x:f>
        <x:v>B</x:v>
      </x:c>
      <x:c r="S158" t="str">
        <x:f>IF(RAND()&lt;'Team_Info'!$E$5,"W","B")</x:f>
        <x:v>W</x:v>
      </x:c>
      <x:c r="T158" t="str">
        <x:f>IF(RAND()&lt;'Team_Info'!$E$5,"W","B")</x:f>
        <x:v>B</x:v>
      </x:c>
      <x:c r="U158" t="str">
        <x:f>IF(RAND()&lt;'Team_Info'!$E$5,"W","B")</x:f>
        <x:v>W</x:v>
      </x:c>
    </x:row>
    <x:row r="159">
      <x:c r="A159" s="1">
        <x:v>158</x:v>
      </x:c>
      <x:c r="B159" t="str">
        <x:f>IF(RAND()&lt;'Team_Info'!$E$5,"W","B")</x:f>
        <x:v>W</x:v>
      </x:c>
      <x:c r="C159" t="str">
        <x:f>IF(RAND()&lt;'Team_Info'!$E$5,"W","B")</x:f>
        <x:v>B</x:v>
      </x:c>
      <x:c r="D159" t="str">
        <x:f>IF(RAND()&lt;'Team_Info'!$E$5,"W","B")</x:f>
        <x:v>B</x:v>
      </x:c>
      <x:c r="E159" t="str">
        <x:f>IF(RAND()&lt;'Team_Info'!$E$5,"W","B")</x:f>
        <x:v>B</x:v>
      </x:c>
      <x:c r="F159" t="str">
        <x:f>IF(RAND()&lt;'Team_Info'!$E$5,"W","B")</x:f>
        <x:v>B</x:v>
      </x:c>
      <x:c r="G159" t="str">
        <x:f>IF(RAND()&lt;'Team_Info'!$E$5,"W","B")</x:f>
        <x:v>B</x:v>
      </x:c>
      <x:c r="H159" t="str">
        <x:f>IF(RAND()&lt;'Team_Info'!$E$5,"W","B")</x:f>
        <x:v>W</x:v>
      </x:c>
      <x:c r="I159" t="str">
        <x:f>IF(RAND()&lt;'Team_Info'!$E$5,"W","B")</x:f>
        <x:v>W</x:v>
      </x:c>
      <x:c r="J159" t="str">
        <x:f>IF(RAND()&lt;'Team_Info'!$E$5,"W","B")</x:f>
        <x:v>W</x:v>
      </x:c>
      <x:c r="K159" t="str">
        <x:f>IF(RAND()&lt;'Team_Info'!$E$5,"W","B")</x:f>
        <x:v>B</x:v>
      </x:c>
      <x:c r="L159" t="str">
        <x:f>IF(RAND()&lt;'Team_Info'!$E$5,"W","B")</x:f>
        <x:v>B</x:v>
      </x:c>
      <x:c r="M159" t="str">
        <x:f>IF(RAND()&lt;'Team_Info'!$E$5,"W","B")</x:f>
        <x:v>B</x:v>
      </x:c>
      <x:c r="N159" t="str">
        <x:f>IF(RAND()&lt;'Team_Info'!$E$5,"W","B")</x:f>
        <x:v>B</x:v>
      </x:c>
      <x:c r="O159" t="str">
        <x:f>IF(RAND()&lt;'Team_Info'!$E$5,"W","B")</x:f>
        <x:v>W</x:v>
      </x:c>
      <x:c r="P159" t="str">
        <x:f>IF(RAND()&lt;'Team_Info'!$E$5,"W","B")</x:f>
        <x:v>B</x:v>
      </x:c>
      <x:c r="Q159" t="str">
        <x:f>IF(RAND()&lt;'Team_Info'!$E$5,"W","B")</x:f>
        <x:v>B</x:v>
      </x:c>
      <x:c r="R159" t="str">
        <x:f>IF(RAND()&lt;'Team_Info'!$E$5,"W","B")</x:f>
        <x:v>B</x:v>
      </x:c>
      <x:c r="S159" t="str">
        <x:f>IF(RAND()&lt;'Team_Info'!$E$5,"W","B")</x:f>
        <x:v>B</x:v>
      </x:c>
      <x:c r="T159" t="str">
        <x:f>IF(RAND()&lt;'Team_Info'!$E$5,"W","B")</x:f>
        <x:v>B</x:v>
      </x:c>
      <x:c r="U159" t="str">
        <x:f>IF(RAND()&lt;'Team_Info'!$E$5,"W","B")</x:f>
        <x:v>B</x:v>
      </x:c>
    </x:row>
    <x:row r="160">
      <x:c r="A160" s="1">
        <x:v>159</x:v>
      </x:c>
      <x:c r="B160" t="str">
        <x:f>IF(RAND()&lt;'Team_Info'!$E$5,"W","B")</x:f>
        <x:v>B</x:v>
      </x:c>
      <x:c r="C160" t="str">
        <x:f>IF(RAND()&lt;'Team_Info'!$E$5,"W","B")</x:f>
        <x:v>B</x:v>
      </x:c>
      <x:c r="D160" t="str">
        <x:f>IF(RAND()&lt;'Team_Info'!$E$5,"W","B")</x:f>
        <x:v>B</x:v>
      </x:c>
      <x:c r="E160" t="str">
        <x:f>IF(RAND()&lt;'Team_Info'!$E$5,"W","B")</x:f>
        <x:v>W</x:v>
      </x:c>
      <x:c r="F160" t="str">
        <x:f>IF(RAND()&lt;'Team_Info'!$E$5,"W","B")</x:f>
        <x:v>B</x:v>
      </x:c>
      <x:c r="G160" t="str">
        <x:f>IF(RAND()&lt;'Team_Info'!$E$5,"W","B")</x:f>
        <x:v>B</x:v>
      </x:c>
      <x:c r="H160" t="str">
        <x:f>IF(RAND()&lt;'Team_Info'!$E$5,"W","B")</x:f>
        <x:v>W</x:v>
      </x:c>
      <x:c r="I160" t="str">
        <x:f>IF(RAND()&lt;'Team_Info'!$E$5,"W","B")</x:f>
        <x:v>B</x:v>
      </x:c>
      <x:c r="J160" t="str">
        <x:f>IF(RAND()&lt;'Team_Info'!$E$5,"W","B")</x:f>
        <x:v>B</x:v>
      </x:c>
      <x:c r="K160" t="str">
        <x:f>IF(RAND()&lt;'Team_Info'!$E$5,"W","B")</x:f>
        <x:v>W</x:v>
      </x:c>
      <x:c r="L160" t="str">
        <x:f>IF(RAND()&lt;'Team_Info'!$E$5,"W","B")</x:f>
        <x:v>B</x:v>
      </x:c>
      <x:c r="M160" t="str">
        <x:f>IF(RAND()&lt;'Team_Info'!$E$5,"W","B")</x:f>
        <x:v>B</x:v>
      </x:c>
      <x:c r="N160" t="str">
        <x:f>IF(RAND()&lt;'Team_Info'!$E$5,"W","B")</x:f>
        <x:v>B</x:v>
      </x:c>
      <x:c r="O160" t="str">
        <x:f>IF(RAND()&lt;'Team_Info'!$E$5,"W","B")</x:f>
        <x:v>B</x:v>
      </x:c>
      <x:c r="P160" t="str">
        <x:f>IF(RAND()&lt;'Team_Info'!$E$5,"W","B")</x:f>
        <x:v>B</x:v>
      </x:c>
      <x:c r="Q160" t="str">
        <x:f>IF(RAND()&lt;'Team_Info'!$E$5,"W","B")</x:f>
        <x:v>W</x:v>
      </x:c>
      <x:c r="R160" t="str">
        <x:f>IF(RAND()&lt;'Team_Info'!$E$5,"W","B")</x:f>
        <x:v>W</x:v>
      </x:c>
      <x:c r="S160" t="str">
        <x:f>IF(RAND()&lt;'Team_Info'!$E$5,"W","B")</x:f>
        <x:v>W</x:v>
      </x:c>
      <x:c r="T160" t="str">
        <x:f>IF(RAND()&lt;'Team_Info'!$E$5,"W","B")</x:f>
        <x:v>B</x:v>
      </x:c>
      <x:c r="U160" t="str">
        <x:f>IF(RAND()&lt;'Team_Info'!$E$5,"W","B")</x:f>
        <x:v>W</x:v>
      </x:c>
    </x:row>
    <x:row r="161">
      <x:c r="A161" s="1">
        <x:v>160</x:v>
      </x:c>
      <x:c r="B161" t="str">
        <x:f>IF(RAND()&lt;'Team_Info'!$E$5,"W","B")</x:f>
        <x:v>B</x:v>
      </x:c>
      <x:c r="C161" t="str">
        <x:f>IF(RAND()&lt;'Team_Info'!$E$5,"W","B")</x:f>
        <x:v>W</x:v>
      </x:c>
      <x:c r="D161" t="str">
        <x:f>IF(RAND()&lt;'Team_Info'!$E$5,"W","B")</x:f>
        <x:v>W</x:v>
      </x:c>
      <x:c r="E161" t="str">
        <x:f>IF(RAND()&lt;'Team_Info'!$E$5,"W","B")</x:f>
        <x:v>W</x:v>
      </x:c>
      <x:c r="F161" t="str">
        <x:f>IF(RAND()&lt;'Team_Info'!$E$5,"W","B")</x:f>
        <x:v>B</x:v>
      </x:c>
      <x:c r="G161" t="str">
        <x:f>IF(RAND()&lt;'Team_Info'!$E$5,"W","B")</x:f>
        <x:v>W</x:v>
      </x:c>
      <x:c r="H161" t="str">
        <x:f>IF(RAND()&lt;'Team_Info'!$E$5,"W","B")</x:f>
        <x:v>W</x:v>
      </x:c>
      <x:c r="I161" t="str">
        <x:f>IF(RAND()&lt;'Team_Info'!$E$5,"W","B")</x:f>
        <x:v>W</x:v>
      </x:c>
      <x:c r="J161" t="str">
        <x:f>IF(RAND()&lt;'Team_Info'!$E$5,"W","B")</x:f>
        <x:v>B</x:v>
      </x:c>
      <x:c r="K161" t="str">
        <x:f>IF(RAND()&lt;'Team_Info'!$E$5,"W","B")</x:f>
        <x:v>W</x:v>
      </x:c>
      <x:c r="L161" t="str">
        <x:f>IF(RAND()&lt;'Team_Info'!$E$5,"W","B")</x:f>
        <x:v>W</x:v>
      </x:c>
      <x:c r="M161" t="str">
        <x:f>IF(RAND()&lt;'Team_Info'!$E$5,"W","B")</x:f>
        <x:v>B</x:v>
      </x:c>
      <x:c r="N161" t="str">
        <x:f>IF(RAND()&lt;'Team_Info'!$E$5,"W","B")</x:f>
        <x:v>B</x:v>
      </x:c>
      <x:c r="O161" t="str">
        <x:f>IF(RAND()&lt;'Team_Info'!$E$5,"W","B")</x:f>
        <x:v>B</x:v>
      </x:c>
      <x:c r="P161" t="str">
        <x:f>IF(RAND()&lt;'Team_Info'!$E$5,"W","B")</x:f>
        <x:v>W</x:v>
      </x:c>
      <x:c r="Q161" t="str">
        <x:f>IF(RAND()&lt;'Team_Info'!$E$5,"W","B")</x:f>
        <x:v>B</x:v>
      </x:c>
      <x:c r="R161" t="str">
        <x:f>IF(RAND()&lt;'Team_Info'!$E$5,"W","B")</x:f>
        <x:v>W</x:v>
      </x:c>
      <x:c r="S161" t="str">
        <x:f>IF(RAND()&lt;'Team_Info'!$E$5,"W","B")</x:f>
        <x:v>B</x:v>
      </x:c>
      <x:c r="T161" t="str">
        <x:f>IF(RAND()&lt;'Team_Info'!$E$5,"W","B")</x:f>
        <x:v>B</x:v>
      </x:c>
      <x:c r="U161" t="str">
        <x:f>IF(RAND()&lt;'Team_Info'!$E$5,"W","B")</x:f>
        <x:v>W</x:v>
      </x:c>
    </x:row>
    <x:row r="162">
      <x:c r="A162" s="1">
        <x:v>161</x:v>
      </x:c>
      <x:c r="B162" t="str">
        <x:f>IF(RAND()&lt;'Team_Info'!$E$5,"W","B")</x:f>
        <x:v>W</x:v>
      </x:c>
      <x:c r="C162" t="str">
        <x:f>IF(RAND()&lt;'Team_Info'!$E$5,"W","B")</x:f>
        <x:v>B</x:v>
      </x:c>
      <x:c r="D162" t="str">
        <x:f>IF(RAND()&lt;'Team_Info'!$E$5,"W","B")</x:f>
        <x:v>W</x:v>
      </x:c>
      <x:c r="E162" t="str">
        <x:f>IF(RAND()&lt;'Team_Info'!$E$5,"W","B")</x:f>
        <x:v>B</x:v>
      </x:c>
      <x:c r="F162" t="str">
        <x:f>IF(RAND()&lt;'Team_Info'!$E$5,"W","B")</x:f>
        <x:v>W</x:v>
      </x:c>
      <x:c r="G162" t="str">
        <x:f>IF(RAND()&lt;'Team_Info'!$E$5,"W","B")</x:f>
        <x:v>B</x:v>
      </x:c>
      <x:c r="H162" t="str">
        <x:f>IF(RAND()&lt;'Team_Info'!$E$5,"W","B")</x:f>
        <x:v>W</x:v>
      </x:c>
      <x:c r="I162" t="str">
        <x:f>IF(RAND()&lt;'Team_Info'!$E$5,"W","B")</x:f>
        <x:v>B</x:v>
      </x:c>
      <x:c r="J162" t="str">
        <x:f>IF(RAND()&lt;'Team_Info'!$E$5,"W","B")</x:f>
        <x:v>W</x:v>
      </x:c>
      <x:c r="K162" t="str">
        <x:f>IF(RAND()&lt;'Team_Info'!$E$5,"W","B")</x:f>
        <x:v>W</x:v>
      </x:c>
      <x:c r="L162" t="str">
        <x:f>IF(RAND()&lt;'Team_Info'!$E$5,"W","B")</x:f>
        <x:v>B</x:v>
      </x:c>
      <x:c r="M162" t="str">
        <x:f>IF(RAND()&lt;'Team_Info'!$E$5,"W","B")</x:f>
        <x:v>B</x:v>
      </x:c>
      <x:c r="N162" t="str">
        <x:f>IF(RAND()&lt;'Team_Info'!$E$5,"W","B")</x:f>
        <x:v>B</x:v>
      </x:c>
      <x:c r="O162" t="str">
        <x:f>IF(RAND()&lt;'Team_Info'!$E$5,"W","B")</x:f>
        <x:v>B</x:v>
      </x:c>
      <x:c r="P162" t="str">
        <x:f>IF(RAND()&lt;'Team_Info'!$E$5,"W","B")</x:f>
        <x:v>B</x:v>
      </x:c>
      <x:c r="Q162" t="str">
        <x:f>IF(RAND()&lt;'Team_Info'!$E$5,"W","B")</x:f>
        <x:v>W</x:v>
      </x:c>
      <x:c r="R162" t="str">
        <x:f>IF(RAND()&lt;'Team_Info'!$E$5,"W","B")</x:f>
        <x:v>W</x:v>
      </x:c>
      <x:c r="S162" t="str">
        <x:f>IF(RAND()&lt;'Team_Info'!$E$5,"W","B")</x:f>
        <x:v>W</x:v>
      </x:c>
      <x:c r="T162" t="str">
        <x:f>IF(RAND()&lt;'Team_Info'!$E$5,"W","B")</x:f>
        <x:v>W</x:v>
      </x:c>
      <x:c r="U162" t="str">
        <x:f>IF(RAND()&lt;'Team_Info'!$E$5,"W","B")</x:f>
        <x:v>B</x:v>
      </x:c>
    </x:row>
    <x:row r="163">
      <x:c r="A163" s="1">
        <x:v>162</x:v>
      </x:c>
      <x:c r="B163" t="str">
        <x:f>IF(RAND()&lt;'Team_Info'!$E$5,"W","B")</x:f>
        <x:v>B</x:v>
      </x:c>
      <x:c r="C163" t="str">
        <x:f>IF(RAND()&lt;'Team_Info'!$E$5,"W","B")</x:f>
        <x:v>B</x:v>
      </x:c>
      <x:c r="D163" t="str">
        <x:f>IF(RAND()&lt;'Team_Info'!$E$5,"W","B")</x:f>
        <x:v>B</x:v>
      </x:c>
      <x:c r="E163" t="str">
        <x:f>IF(RAND()&lt;'Team_Info'!$E$5,"W","B")</x:f>
        <x:v>B</x:v>
      </x:c>
      <x:c r="F163" t="str">
        <x:f>IF(RAND()&lt;'Team_Info'!$E$5,"W","B")</x:f>
        <x:v>B</x:v>
      </x:c>
      <x:c r="G163" t="str">
        <x:f>IF(RAND()&lt;'Team_Info'!$E$5,"W","B")</x:f>
        <x:v>B</x:v>
      </x:c>
      <x:c r="H163" t="str">
        <x:f>IF(RAND()&lt;'Team_Info'!$E$5,"W","B")</x:f>
        <x:v>B</x:v>
      </x:c>
      <x:c r="I163" t="str">
        <x:f>IF(RAND()&lt;'Team_Info'!$E$5,"W","B")</x:f>
        <x:v>W</x:v>
      </x:c>
      <x:c r="J163" t="str">
        <x:f>IF(RAND()&lt;'Team_Info'!$E$5,"W","B")</x:f>
        <x:v>W</x:v>
      </x:c>
      <x:c r="K163" t="str">
        <x:f>IF(RAND()&lt;'Team_Info'!$E$5,"W","B")</x:f>
        <x:v>B</x:v>
      </x:c>
      <x:c r="L163" t="str">
        <x:f>IF(RAND()&lt;'Team_Info'!$E$5,"W","B")</x:f>
        <x:v>B</x:v>
      </x:c>
      <x:c r="M163" t="str">
        <x:f>IF(RAND()&lt;'Team_Info'!$E$5,"W","B")</x:f>
        <x:v>B</x:v>
      </x:c>
      <x:c r="N163" t="str">
        <x:f>IF(RAND()&lt;'Team_Info'!$E$5,"W","B")</x:f>
        <x:v>W</x:v>
      </x:c>
      <x:c r="O163" t="str">
        <x:f>IF(RAND()&lt;'Team_Info'!$E$5,"W","B")</x:f>
        <x:v>B</x:v>
      </x:c>
      <x:c r="P163" t="str">
        <x:f>IF(RAND()&lt;'Team_Info'!$E$5,"W","B")</x:f>
        <x:v>B</x:v>
      </x:c>
      <x:c r="Q163" t="str">
        <x:f>IF(RAND()&lt;'Team_Info'!$E$5,"W","B")</x:f>
        <x:v>B</x:v>
      </x:c>
      <x:c r="R163" t="str">
        <x:f>IF(RAND()&lt;'Team_Info'!$E$5,"W","B")</x:f>
        <x:v>B</x:v>
      </x:c>
      <x:c r="S163" t="str">
        <x:f>IF(RAND()&lt;'Team_Info'!$E$5,"W","B")</x:f>
        <x:v>B</x:v>
      </x:c>
      <x:c r="T163" t="str">
        <x:f>IF(RAND()&lt;'Team_Info'!$E$5,"W","B")</x:f>
        <x:v>B</x:v>
      </x:c>
      <x:c r="U163" t="str">
        <x:f>IF(RAND()&lt;'Team_Info'!$E$5,"W","B")</x:f>
        <x:v>W</x:v>
      </x:c>
    </x:row>
    <x:row r="164">
      <x:c r="A164" s="1">
        <x:v>163</x:v>
      </x:c>
      <x:c r="B164" t="str">
        <x:f>IF(RAND()&lt;'Team_Info'!$E$5,"W","B")</x:f>
        <x:v>B</x:v>
      </x:c>
      <x:c r="C164" t="str">
        <x:f>IF(RAND()&lt;'Team_Info'!$E$5,"W","B")</x:f>
        <x:v>B</x:v>
      </x:c>
      <x:c r="D164" t="str">
        <x:f>IF(RAND()&lt;'Team_Info'!$E$5,"W","B")</x:f>
        <x:v>B</x:v>
      </x:c>
      <x:c r="E164" t="str">
        <x:f>IF(RAND()&lt;'Team_Info'!$E$5,"W","B")</x:f>
        <x:v>W</x:v>
      </x:c>
      <x:c r="F164" t="str">
        <x:f>IF(RAND()&lt;'Team_Info'!$E$5,"W","B")</x:f>
        <x:v>W</x:v>
      </x:c>
      <x:c r="G164" t="str">
        <x:f>IF(RAND()&lt;'Team_Info'!$E$5,"W","B")</x:f>
        <x:v>B</x:v>
      </x:c>
      <x:c r="H164" t="str">
        <x:f>IF(RAND()&lt;'Team_Info'!$E$5,"W","B")</x:f>
        <x:v>W</x:v>
      </x:c>
      <x:c r="I164" t="str">
        <x:f>IF(RAND()&lt;'Team_Info'!$E$5,"W","B")</x:f>
        <x:v>W</x:v>
      </x:c>
      <x:c r="J164" t="str">
        <x:f>IF(RAND()&lt;'Team_Info'!$E$5,"W","B")</x:f>
        <x:v>B</x:v>
      </x:c>
      <x:c r="K164" t="str">
        <x:f>IF(RAND()&lt;'Team_Info'!$E$5,"W","B")</x:f>
        <x:v>B</x:v>
      </x:c>
      <x:c r="L164" t="str">
        <x:f>IF(RAND()&lt;'Team_Info'!$E$5,"W","B")</x:f>
        <x:v>W</x:v>
      </x:c>
      <x:c r="M164" t="str">
        <x:f>IF(RAND()&lt;'Team_Info'!$E$5,"W","B")</x:f>
        <x:v>B</x:v>
      </x:c>
      <x:c r="N164" t="str">
        <x:f>IF(RAND()&lt;'Team_Info'!$E$5,"W","B")</x:f>
        <x:v>B</x:v>
      </x:c>
      <x:c r="O164" t="str">
        <x:f>IF(RAND()&lt;'Team_Info'!$E$5,"W","B")</x:f>
        <x:v>B</x:v>
      </x:c>
      <x:c r="P164" t="str">
        <x:f>IF(RAND()&lt;'Team_Info'!$E$5,"W","B")</x:f>
        <x:v>W</x:v>
      </x:c>
      <x:c r="Q164" t="str">
        <x:f>IF(RAND()&lt;'Team_Info'!$E$5,"W","B")</x:f>
        <x:v>B</x:v>
      </x:c>
      <x:c r="R164" t="str">
        <x:f>IF(RAND()&lt;'Team_Info'!$E$5,"W","B")</x:f>
        <x:v>B</x:v>
      </x:c>
      <x:c r="S164" t="str">
        <x:f>IF(RAND()&lt;'Team_Info'!$E$5,"W","B")</x:f>
        <x:v>W</x:v>
      </x:c>
      <x:c r="T164" t="str">
        <x:f>IF(RAND()&lt;'Team_Info'!$E$5,"W","B")</x:f>
        <x:v>B</x:v>
      </x:c>
      <x:c r="U164" t="str">
        <x:f>IF(RAND()&lt;'Team_Info'!$E$5,"W","B")</x:f>
        <x:v>B</x:v>
      </x:c>
    </x:row>
    <x:row r="165">
      <x:c r="A165" s="1">
        <x:v>164</x:v>
      </x:c>
      <x:c r="B165" t="str">
        <x:f>IF(RAND()&lt;'Team_Info'!$E$5,"W","B")</x:f>
        <x:v>B</x:v>
      </x:c>
      <x:c r="C165" t="str">
        <x:f>IF(RAND()&lt;'Team_Info'!$E$5,"W","B")</x:f>
        <x:v>B</x:v>
      </x:c>
      <x:c r="D165" t="str">
        <x:f>IF(RAND()&lt;'Team_Info'!$E$5,"W","B")</x:f>
        <x:v>W</x:v>
      </x:c>
      <x:c r="E165" t="str">
        <x:f>IF(RAND()&lt;'Team_Info'!$E$5,"W","B")</x:f>
        <x:v>B</x:v>
      </x:c>
      <x:c r="F165" t="str">
        <x:f>IF(RAND()&lt;'Team_Info'!$E$5,"W","B")</x:f>
        <x:v>B</x:v>
      </x:c>
      <x:c r="G165" t="str">
        <x:f>IF(RAND()&lt;'Team_Info'!$E$5,"W","B")</x:f>
        <x:v>W</x:v>
      </x:c>
      <x:c r="H165" t="str">
        <x:f>IF(RAND()&lt;'Team_Info'!$E$5,"W","B")</x:f>
        <x:v>B</x:v>
      </x:c>
      <x:c r="I165" t="str">
        <x:f>IF(RAND()&lt;'Team_Info'!$E$5,"W","B")</x:f>
        <x:v>B</x:v>
      </x:c>
      <x:c r="J165" t="str">
        <x:f>IF(RAND()&lt;'Team_Info'!$E$5,"W","B")</x:f>
        <x:v>W</x:v>
      </x:c>
      <x:c r="K165" t="str">
        <x:f>IF(RAND()&lt;'Team_Info'!$E$5,"W","B")</x:f>
        <x:v>B</x:v>
      </x:c>
      <x:c r="L165" t="str">
        <x:f>IF(RAND()&lt;'Team_Info'!$E$5,"W","B")</x:f>
        <x:v>B</x:v>
      </x:c>
      <x:c r="M165" t="str">
        <x:f>IF(RAND()&lt;'Team_Info'!$E$5,"W","B")</x:f>
        <x:v>W</x:v>
      </x:c>
      <x:c r="N165" t="str">
        <x:f>IF(RAND()&lt;'Team_Info'!$E$5,"W","B")</x:f>
        <x:v>B</x:v>
      </x:c>
      <x:c r="O165" t="str">
        <x:f>IF(RAND()&lt;'Team_Info'!$E$5,"W","B")</x:f>
        <x:v>B</x:v>
      </x:c>
      <x:c r="P165" t="str">
        <x:f>IF(RAND()&lt;'Team_Info'!$E$5,"W","B")</x:f>
        <x:v>B</x:v>
      </x:c>
      <x:c r="Q165" t="str">
        <x:f>IF(RAND()&lt;'Team_Info'!$E$5,"W","B")</x:f>
        <x:v>W</x:v>
      </x:c>
      <x:c r="R165" t="str">
        <x:f>IF(RAND()&lt;'Team_Info'!$E$5,"W","B")</x:f>
        <x:v>B</x:v>
      </x:c>
      <x:c r="S165" t="str">
        <x:f>IF(RAND()&lt;'Team_Info'!$E$5,"W","B")</x:f>
        <x:v>W</x:v>
      </x:c>
      <x:c r="T165" t="str">
        <x:f>IF(RAND()&lt;'Team_Info'!$E$5,"W","B")</x:f>
        <x:v>B</x:v>
      </x:c>
      <x:c r="U165" t="str">
        <x:f>IF(RAND()&lt;'Team_Info'!$E$5,"W","B")</x:f>
        <x:v>B</x:v>
      </x:c>
    </x:row>
    <x:row r="166">
      <x:c r="A166" s="1">
        <x:v>165</x:v>
      </x:c>
      <x:c r="B166" t="str">
        <x:f>IF(RAND()&lt;'Team_Info'!$E$5,"W","B")</x:f>
        <x:v>B</x:v>
      </x:c>
      <x:c r="C166" t="str">
        <x:f>IF(RAND()&lt;'Team_Info'!$E$5,"W","B")</x:f>
        <x:v>B</x:v>
      </x:c>
      <x:c r="D166" t="str">
        <x:f>IF(RAND()&lt;'Team_Info'!$E$5,"W","B")</x:f>
        <x:v>B</x:v>
      </x:c>
      <x:c r="E166" t="str">
        <x:f>IF(RAND()&lt;'Team_Info'!$E$5,"W","B")</x:f>
        <x:v>W</x:v>
      </x:c>
      <x:c r="F166" t="str">
        <x:f>IF(RAND()&lt;'Team_Info'!$E$5,"W","B")</x:f>
        <x:v>W</x:v>
      </x:c>
      <x:c r="G166" t="str">
        <x:f>IF(RAND()&lt;'Team_Info'!$E$5,"W","B")</x:f>
        <x:v>B</x:v>
      </x:c>
      <x:c r="H166" t="str">
        <x:f>IF(RAND()&lt;'Team_Info'!$E$5,"W","B")</x:f>
        <x:v>B</x:v>
      </x:c>
      <x:c r="I166" t="str">
        <x:f>IF(RAND()&lt;'Team_Info'!$E$5,"W","B")</x:f>
        <x:v>B</x:v>
      </x:c>
      <x:c r="J166" t="str">
        <x:f>IF(RAND()&lt;'Team_Info'!$E$5,"W","B")</x:f>
        <x:v>B</x:v>
      </x:c>
      <x:c r="K166" t="str">
        <x:f>IF(RAND()&lt;'Team_Info'!$E$5,"W","B")</x:f>
        <x:v>W</x:v>
      </x:c>
      <x:c r="L166" t="str">
        <x:f>IF(RAND()&lt;'Team_Info'!$E$5,"W","B")</x:f>
        <x:v>B</x:v>
      </x:c>
      <x:c r="M166" t="str">
        <x:f>IF(RAND()&lt;'Team_Info'!$E$5,"W","B")</x:f>
        <x:v>W</x:v>
      </x:c>
      <x:c r="N166" t="str">
        <x:f>IF(RAND()&lt;'Team_Info'!$E$5,"W","B")</x:f>
        <x:v>B</x:v>
      </x:c>
      <x:c r="O166" t="str">
        <x:f>IF(RAND()&lt;'Team_Info'!$E$5,"W","B")</x:f>
        <x:v>W</x:v>
      </x:c>
      <x:c r="P166" t="str">
        <x:f>IF(RAND()&lt;'Team_Info'!$E$5,"W","B")</x:f>
        <x:v>B</x:v>
      </x:c>
      <x:c r="Q166" t="str">
        <x:f>IF(RAND()&lt;'Team_Info'!$E$5,"W","B")</x:f>
        <x:v>W</x:v>
      </x:c>
      <x:c r="R166" t="str">
        <x:f>IF(RAND()&lt;'Team_Info'!$E$5,"W","B")</x:f>
        <x:v>B</x:v>
      </x:c>
      <x:c r="S166" t="str">
        <x:f>IF(RAND()&lt;'Team_Info'!$E$5,"W","B")</x:f>
        <x:v>W</x:v>
      </x:c>
      <x:c r="T166" t="str">
        <x:f>IF(RAND()&lt;'Team_Info'!$E$5,"W","B")</x:f>
        <x:v>B</x:v>
      </x:c>
      <x:c r="U166" t="str">
        <x:f>IF(RAND()&lt;'Team_Info'!$E$5,"W","B")</x:f>
        <x:v>W</x:v>
      </x:c>
    </x:row>
    <x:row r="167">
      <x:c r="A167" s="1">
        <x:v>166</x:v>
      </x:c>
      <x:c r="B167" t="str">
        <x:f>IF(RAND()&lt;'Team_Info'!$E$5,"W","B")</x:f>
        <x:v>B</x:v>
      </x:c>
      <x:c r="C167" t="str">
        <x:f>IF(RAND()&lt;'Team_Info'!$E$5,"W","B")</x:f>
        <x:v>B</x:v>
      </x:c>
      <x:c r="D167" t="str">
        <x:f>IF(RAND()&lt;'Team_Info'!$E$5,"W","B")</x:f>
        <x:v>B</x:v>
      </x:c>
      <x:c r="E167" t="str">
        <x:f>IF(RAND()&lt;'Team_Info'!$E$5,"W","B")</x:f>
        <x:v>W</x:v>
      </x:c>
      <x:c r="F167" t="str">
        <x:f>IF(RAND()&lt;'Team_Info'!$E$5,"W","B")</x:f>
        <x:v>B</x:v>
      </x:c>
      <x:c r="G167" t="str">
        <x:f>IF(RAND()&lt;'Team_Info'!$E$5,"W","B")</x:f>
        <x:v>B</x:v>
      </x:c>
      <x:c r="H167" t="str">
        <x:f>IF(RAND()&lt;'Team_Info'!$E$5,"W","B")</x:f>
        <x:v>B</x:v>
      </x:c>
      <x:c r="I167" t="str">
        <x:f>IF(RAND()&lt;'Team_Info'!$E$5,"W","B")</x:f>
        <x:v>W</x:v>
      </x:c>
      <x:c r="J167" t="str">
        <x:f>IF(RAND()&lt;'Team_Info'!$E$5,"W","B")</x:f>
        <x:v>B</x:v>
      </x:c>
      <x:c r="K167" t="str">
        <x:f>IF(RAND()&lt;'Team_Info'!$E$5,"W","B")</x:f>
        <x:v>B</x:v>
      </x:c>
      <x:c r="L167" t="str">
        <x:f>IF(RAND()&lt;'Team_Info'!$E$5,"W","B")</x:f>
        <x:v>W</x:v>
      </x:c>
      <x:c r="M167" t="str">
        <x:f>IF(RAND()&lt;'Team_Info'!$E$5,"W","B")</x:f>
        <x:v>W</x:v>
      </x:c>
      <x:c r="N167" t="str">
        <x:f>IF(RAND()&lt;'Team_Info'!$E$5,"W","B")</x:f>
        <x:v>B</x:v>
      </x:c>
      <x:c r="O167" t="str">
        <x:f>IF(RAND()&lt;'Team_Info'!$E$5,"W","B")</x:f>
        <x:v>W</x:v>
      </x:c>
      <x:c r="P167" t="str">
        <x:f>IF(RAND()&lt;'Team_Info'!$E$5,"W","B")</x:f>
        <x:v>W</x:v>
      </x:c>
      <x:c r="Q167" t="str">
        <x:f>IF(RAND()&lt;'Team_Info'!$E$5,"W","B")</x:f>
        <x:v>W</x:v>
      </x:c>
      <x:c r="R167" t="str">
        <x:f>IF(RAND()&lt;'Team_Info'!$E$5,"W","B")</x:f>
        <x:v>W</x:v>
      </x:c>
      <x:c r="S167" t="str">
        <x:f>IF(RAND()&lt;'Team_Info'!$E$5,"W","B")</x:f>
        <x:v>B</x:v>
      </x:c>
      <x:c r="T167" t="str">
        <x:f>IF(RAND()&lt;'Team_Info'!$E$5,"W","B")</x:f>
        <x:v>B</x:v>
      </x:c>
      <x:c r="U167" t="str">
        <x:f>IF(RAND()&lt;'Team_Info'!$E$5,"W","B")</x:f>
        <x:v>B</x:v>
      </x:c>
    </x:row>
    <x:row r="168">
      <x:c r="A168" s="1">
        <x:v>167</x:v>
      </x:c>
      <x:c r="B168" t="str">
        <x:f>IF(RAND()&lt;'Team_Info'!$E$5,"W","B")</x:f>
        <x:v>W</x:v>
      </x:c>
      <x:c r="C168" t="str">
        <x:f>IF(RAND()&lt;'Team_Info'!$E$5,"W","B")</x:f>
        <x:v>B</x:v>
      </x:c>
      <x:c r="D168" t="str">
        <x:f>IF(RAND()&lt;'Team_Info'!$E$5,"W","B")</x:f>
        <x:v>W</x:v>
      </x:c>
      <x:c r="E168" t="str">
        <x:f>IF(RAND()&lt;'Team_Info'!$E$5,"W","B")</x:f>
        <x:v>B</x:v>
      </x:c>
      <x:c r="F168" t="str">
        <x:f>IF(RAND()&lt;'Team_Info'!$E$5,"W","B")</x:f>
        <x:v>W</x:v>
      </x:c>
      <x:c r="G168" t="str">
        <x:f>IF(RAND()&lt;'Team_Info'!$E$5,"W","B")</x:f>
        <x:v>B</x:v>
      </x:c>
      <x:c r="H168" t="str">
        <x:f>IF(RAND()&lt;'Team_Info'!$E$5,"W","B")</x:f>
        <x:v>B</x:v>
      </x:c>
      <x:c r="I168" t="str">
        <x:f>IF(RAND()&lt;'Team_Info'!$E$5,"W","B")</x:f>
        <x:v>B</x:v>
      </x:c>
      <x:c r="J168" t="str">
        <x:f>IF(RAND()&lt;'Team_Info'!$E$5,"W","B")</x:f>
        <x:v>B</x:v>
      </x:c>
      <x:c r="K168" t="str">
        <x:f>IF(RAND()&lt;'Team_Info'!$E$5,"W","B")</x:f>
        <x:v>W</x:v>
      </x:c>
      <x:c r="L168" t="str">
        <x:f>IF(RAND()&lt;'Team_Info'!$E$5,"W","B")</x:f>
        <x:v>B</x:v>
      </x:c>
      <x:c r="M168" t="str">
        <x:f>IF(RAND()&lt;'Team_Info'!$E$5,"W","B")</x:f>
        <x:v>B</x:v>
      </x:c>
      <x:c r="N168" t="str">
        <x:f>IF(RAND()&lt;'Team_Info'!$E$5,"W","B")</x:f>
        <x:v>W</x:v>
      </x:c>
      <x:c r="O168" t="str">
        <x:f>IF(RAND()&lt;'Team_Info'!$E$5,"W","B")</x:f>
        <x:v>B</x:v>
      </x:c>
      <x:c r="P168" t="str">
        <x:f>IF(RAND()&lt;'Team_Info'!$E$5,"W","B")</x:f>
        <x:v>W</x:v>
      </x:c>
      <x:c r="Q168" t="str">
        <x:f>IF(RAND()&lt;'Team_Info'!$E$5,"W","B")</x:f>
        <x:v>W</x:v>
      </x:c>
      <x:c r="R168" t="str">
        <x:f>IF(RAND()&lt;'Team_Info'!$E$5,"W","B")</x:f>
        <x:v>B</x:v>
      </x:c>
      <x:c r="S168" t="str">
        <x:f>IF(RAND()&lt;'Team_Info'!$E$5,"W","B")</x:f>
        <x:v>B</x:v>
      </x:c>
      <x:c r="T168" t="str">
        <x:f>IF(RAND()&lt;'Team_Info'!$E$5,"W","B")</x:f>
        <x:v>B</x:v>
      </x:c>
      <x:c r="U168" t="str">
        <x:f>IF(RAND()&lt;'Team_Info'!$E$5,"W","B")</x:f>
        <x:v>B</x:v>
      </x:c>
    </x:row>
    <x:row r="169">
      <x:c r="A169" s="1">
        <x:v>168</x:v>
      </x:c>
      <x:c r="B169" t="str">
        <x:f>IF(RAND()&lt;'Team_Info'!$E$5,"W","B")</x:f>
        <x:v>B</x:v>
      </x:c>
      <x:c r="C169" t="str">
        <x:f>IF(RAND()&lt;'Team_Info'!$E$5,"W","B")</x:f>
        <x:v>B</x:v>
      </x:c>
      <x:c r="D169" t="str">
        <x:f>IF(RAND()&lt;'Team_Info'!$E$5,"W","B")</x:f>
        <x:v>B</x:v>
      </x:c>
      <x:c r="E169" t="str">
        <x:f>IF(RAND()&lt;'Team_Info'!$E$5,"W","B")</x:f>
        <x:v>B</x:v>
      </x:c>
      <x:c r="F169" t="str">
        <x:f>IF(RAND()&lt;'Team_Info'!$E$5,"W","B")</x:f>
        <x:v>W</x:v>
      </x:c>
      <x:c r="G169" t="str">
        <x:f>IF(RAND()&lt;'Team_Info'!$E$5,"W","B")</x:f>
        <x:v>W</x:v>
      </x:c>
      <x:c r="H169" t="str">
        <x:f>IF(RAND()&lt;'Team_Info'!$E$5,"W","B")</x:f>
        <x:v>W</x:v>
      </x:c>
      <x:c r="I169" t="str">
        <x:f>IF(RAND()&lt;'Team_Info'!$E$5,"W","B")</x:f>
        <x:v>B</x:v>
      </x:c>
      <x:c r="J169" t="str">
        <x:f>IF(RAND()&lt;'Team_Info'!$E$5,"W","B")</x:f>
        <x:v>B</x:v>
      </x:c>
      <x:c r="K169" t="str">
        <x:f>IF(RAND()&lt;'Team_Info'!$E$5,"W","B")</x:f>
        <x:v>W</x:v>
      </x:c>
      <x:c r="L169" t="str">
        <x:f>IF(RAND()&lt;'Team_Info'!$E$5,"W","B")</x:f>
        <x:v>B</x:v>
      </x:c>
      <x:c r="M169" t="str">
        <x:f>IF(RAND()&lt;'Team_Info'!$E$5,"W","B")</x:f>
        <x:v>B</x:v>
      </x:c>
      <x:c r="N169" t="str">
        <x:f>IF(RAND()&lt;'Team_Info'!$E$5,"W","B")</x:f>
        <x:v>B</x:v>
      </x:c>
      <x:c r="O169" t="str">
        <x:f>IF(RAND()&lt;'Team_Info'!$E$5,"W","B")</x:f>
        <x:v>B</x:v>
      </x:c>
      <x:c r="P169" t="str">
        <x:f>IF(RAND()&lt;'Team_Info'!$E$5,"W","B")</x:f>
        <x:v>B</x:v>
      </x:c>
      <x:c r="Q169" t="str">
        <x:f>IF(RAND()&lt;'Team_Info'!$E$5,"W","B")</x:f>
        <x:v>B</x:v>
      </x:c>
      <x:c r="R169" t="str">
        <x:f>IF(RAND()&lt;'Team_Info'!$E$5,"W","B")</x:f>
        <x:v>B</x:v>
      </x:c>
      <x:c r="S169" t="str">
        <x:f>IF(RAND()&lt;'Team_Info'!$E$5,"W","B")</x:f>
        <x:v>W</x:v>
      </x:c>
      <x:c r="T169" t="str">
        <x:f>IF(RAND()&lt;'Team_Info'!$E$5,"W","B")</x:f>
        <x:v>W</x:v>
      </x:c>
      <x:c r="U169" t="str">
        <x:f>IF(RAND()&lt;'Team_Info'!$E$5,"W","B")</x:f>
        <x:v>B</x:v>
      </x:c>
    </x:row>
    <x:row r="170">
      <x:c r="A170" s="1">
        <x:v>169</x:v>
      </x:c>
      <x:c r="B170" t="str">
        <x:f>IF(RAND()&lt;'Team_Info'!$E$5,"W","B")</x:f>
        <x:v>B</x:v>
      </x:c>
      <x:c r="C170" t="str">
        <x:f>IF(RAND()&lt;'Team_Info'!$E$5,"W","B")</x:f>
        <x:v>B</x:v>
      </x:c>
      <x:c r="D170" t="str">
        <x:f>IF(RAND()&lt;'Team_Info'!$E$5,"W","B")</x:f>
        <x:v>B</x:v>
      </x:c>
      <x:c r="E170" t="str">
        <x:f>IF(RAND()&lt;'Team_Info'!$E$5,"W","B")</x:f>
        <x:v>W</x:v>
      </x:c>
      <x:c r="F170" t="str">
        <x:f>IF(RAND()&lt;'Team_Info'!$E$5,"W","B")</x:f>
        <x:v>B</x:v>
      </x:c>
      <x:c r="G170" t="str">
        <x:f>IF(RAND()&lt;'Team_Info'!$E$5,"W","B")</x:f>
        <x:v>W</x:v>
      </x:c>
      <x:c r="H170" t="str">
        <x:f>IF(RAND()&lt;'Team_Info'!$E$5,"W","B")</x:f>
        <x:v>W</x:v>
      </x:c>
      <x:c r="I170" t="str">
        <x:f>IF(RAND()&lt;'Team_Info'!$E$5,"W","B")</x:f>
        <x:v>B</x:v>
      </x:c>
      <x:c r="J170" t="str">
        <x:f>IF(RAND()&lt;'Team_Info'!$E$5,"W","B")</x:f>
        <x:v>B</x:v>
      </x:c>
      <x:c r="K170" t="str">
        <x:f>IF(RAND()&lt;'Team_Info'!$E$5,"W","B")</x:f>
        <x:v>B</x:v>
      </x:c>
      <x:c r="L170" t="str">
        <x:f>IF(RAND()&lt;'Team_Info'!$E$5,"W","B")</x:f>
        <x:v>B</x:v>
      </x:c>
      <x:c r="M170" t="str">
        <x:f>IF(RAND()&lt;'Team_Info'!$E$5,"W","B")</x:f>
        <x:v>B</x:v>
      </x:c>
      <x:c r="N170" t="str">
        <x:f>IF(RAND()&lt;'Team_Info'!$E$5,"W","B")</x:f>
        <x:v>B</x:v>
      </x:c>
      <x:c r="O170" t="str">
        <x:f>IF(RAND()&lt;'Team_Info'!$E$5,"W","B")</x:f>
        <x:v>B</x:v>
      </x:c>
      <x:c r="P170" t="str">
        <x:f>IF(RAND()&lt;'Team_Info'!$E$5,"W","B")</x:f>
        <x:v>W</x:v>
      </x:c>
      <x:c r="Q170" t="str">
        <x:f>IF(RAND()&lt;'Team_Info'!$E$5,"W","B")</x:f>
        <x:v>B</x:v>
      </x:c>
      <x:c r="R170" t="str">
        <x:f>IF(RAND()&lt;'Team_Info'!$E$5,"W","B")</x:f>
        <x:v>B</x:v>
      </x:c>
      <x:c r="S170" t="str">
        <x:f>IF(RAND()&lt;'Team_Info'!$E$5,"W","B")</x:f>
        <x:v>B</x:v>
      </x:c>
      <x:c r="T170" t="str">
        <x:f>IF(RAND()&lt;'Team_Info'!$E$5,"W","B")</x:f>
        <x:v>B</x:v>
      </x:c>
      <x:c r="U170" t="str">
        <x:f>IF(RAND()&lt;'Team_Info'!$E$5,"W","B")</x:f>
        <x:v>W</x:v>
      </x:c>
    </x:row>
    <x:row r="171">
      <x:c r="A171" s="1">
        <x:v>170</x:v>
      </x:c>
      <x:c r="B171" t="str">
        <x:f>IF(RAND()&lt;'Team_Info'!$E$5,"W","B")</x:f>
        <x:v>W</x:v>
      </x:c>
      <x:c r="C171" t="str">
        <x:f>IF(RAND()&lt;'Team_Info'!$E$5,"W","B")</x:f>
        <x:v>B</x:v>
      </x:c>
      <x:c r="D171" t="str">
        <x:f>IF(RAND()&lt;'Team_Info'!$E$5,"W","B")</x:f>
        <x:v>B</x:v>
      </x:c>
      <x:c r="E171" t="str">
        <x:f>IF(RAND()&lt;'Team_Info'!$E$5,"W","B")</x:f>
        <x:v>B</x:v>
      </x:c>
      <x:c r="F171" t="str">
        <x:f>IF(RAND()&lt;'Team_Info'!$E$5,"W","B")</x:f>
        <x:v>W</x:v>
      </x:c>
      <x:c r="G171" t="str">
        <x:f>IF(RAND()&lt;'Team_Info'!$E$5,"W","B")</x:f>
        <x:v>B</x:v>
      </x:c>
      <x:c r="H171" t="str">
        <x:f>IF(RAND()&lt;'Team_Info'!$E$5,"W","B")</x:f>
        <x:v>B</x:v>
      </x:c>
      <x:c r="I171" t="str">
        <x:f>IF(RAND()&lt;'Team_Info'!$E$5,"W","B")</x:f>
        <x:v>B</x:v>
      </x:c>
      <x:c r="J171" t="str">
        <x:f>IF(RAND()&lt;'Team_Info'!$E$5,"W","B")</x:f>
        <x:v>B</x:v>
      </x:c>
      <x:c r="K171" t="str">
        <x:f>IF(RAND()&lt;'Team_Info'!$E$5,"W","B")</x:f>
        <x:v>B</x:v>
      </x:c>
      <x:c r="L171" t="str">
        <x:f>IF(RAND()&lt;'Team_Info'!$E$5,"W","B")</x:f>
        <x:v>W</x:v>
      </x:c>
      <x:c r="M171" t="str">
        <x:f>IF(RAND()&lt;'Team_Info'!$E$5,"W","B")</x:f>
        <x:v>B</x:v>
      </x:c>
      <x:c r="N171" t="str">
        <x:f>IF(RAND()&lt;'Team_Info'!$E$5,"W","B")</x:f>
        <x:v>B</x:v>
      </x:c>
      <x:c r="O171" t="str">
        <x:f>IF(RAND()&lt;'Team_Info'!$E$5,"W","B")</x:f>
        <x:v>W</x:v>
      </x:c>
      <x:c r="P171" t="str">
        <x:f>IF(RAND()&lt;'Team_Info'!$E$5,"W","B")</x:f>
        <x:v>W</x:v>
      </x:c>
      <x:c r="Q171" t="str">
        <x:f>IF(RAND()&lt;'Team_Info'!$E$5,"W","B")</x:f>
        <x:v>B</x:v>
      </x:c>
      <x:c r="R171" t="str">
        <x:f>IF(RAND()&lt;'Team_Info'!$E$5,"W","B")</x:f>
        <x:v>W</x:v>
      </x:c>
      <x:c r="S171" t="str">
        <x:f>IF(RAND()&lt;'Team_Info'!$E$5,"W","B")</x:f>
        <x:v>B</x:v>
      </x:c>
      <x:c r="T171" t="str">
        <x:f>IF(RAND()&lt;'Team_Info'!$E$5,"W","B")</x:f>
        <x:v>B</x:v>
      </x:c>
      <x:c r="U171" t="str">
        <x:f>IF(RAND()&lt;'Team_Info'!$E$5,"W","B")</x:f>
        <x:v>W</x:v>
      </x:c>
    </x:row>
    <x:row r="172">
      <x:c r="A172" s="1">
        <x:v>171</x:v>
      </x:c>
      <x:c r="B172" t="str">
        <x:f>IF(RAND()&lt;'Team_Info'!$E$5,"W","B")</x:f>
        <x:v>W</x:v>
      </x:c>
      <x:c r="C172" t="str">
        <x:f>IF(RAND()&lt;'Team_Info'!$E$5,"W","B")</x:f>
        <x:v>B</x:v>
      </x:c>
      <x:c r="D172" t="str">
        <x:f>IF(RAND()&lt;'Team_Info'!$E$5,"W","B")</x:f>
        <x:v>B</x:v>
      </x:c>
      <x:c r="E172" t="str">
        <x:f>IF(RAND()&lt;'Team_Info'!$E$5,"W","B")</x:f>
        <x:v>W</x:v>
      </x:c>
      <x:c r="F172" t="str">
        <x:f>IF(RAND()&lt;'Team_Info'!$E$5,"W","B")</x:f>
        <x:v>B</x:v>
      </x:c>
      <x:c r="G172" t="str">
        <x:f>IF(RAND()&lt;'Team_Info'!$E$5,"W","B")</x:f>
        <x:v>W</x:v>
      </x:c>
      <x:c r="H172" t="str">
        <x:f>IF(RAND()&lt;'Team_Info'!$E$5,"W","B")</x:f>
        <x:v>B</x:v>
      </x:c>
      <x:c r="I172" t="str">
        <x:f>IF(RAND()&lt;'Team_Info'!$E$5,"W","B")</x:f>
        <x:v>B</x:v>
      </x:c>
      <x:c r="J172" t="str">
        <x:f>IF(RAND()&lt;'Team_Info'!$E$5,"W","B")</x:f>
        <x:v>B</x:v>
      </x:c>
      <x:c r="K172" t="str">
        <x:f>IF(RAND()&lt;'Team_Info'!$E$5,"W","B")</x:f>
        <x:v>B</x:v>
      </x:c>
      <x:c r="L172" t="str">
        <x:f>IF(RAND()&lt;'Team_Info'!$E$5,"W","B")</x:f>
        <x:v>B</x:v>
      </x:c>
      <x:c r="M172" t="str">
        <x:f>IF(RAND()&lt;'Team_Info'!$E$5,"W","B")</x:f>
        <x:v>W</x:v>
      </x:c>
      <x:c r="N172" t="str">
        <x:f>IF(RAND()&lt;'Team_Info'!$E$5,"W","B")</x:f>
        <x:v>B</x:v>
      </x:c>
      <x:c r="O172" t="str">
        <x:f>IF(RAND()&lt;'Team_Info'!$E$5,"W","B")</x:f>
        <x:v>B</x:v>
      </x:c>
      <x:c r="P172" t="str">
        <x:f>IF(RAND()&lt;'Team_Info'!$E$5,"W","B")</x:f>
        <x:v>B</x:v>
      </x:c>
      <x:c r="Q172" t="str">
        <x:f>IF(RAND()&lt;'Team_Info'!$E$5,"W","B")</x:f>
        <x:v>W</x:v>
      </x:c>
      <x:c r="R172" t="str">
        <x:f>IF(RAND()&lt;'Team_Info'!$E$5,"W","B")</x:f>
        <x:v>B</x:v>
      </x:c>
      <x:c r="S172" t="str">
        <x:f>IF(RAND()&lt;'Team_Info'!$E$5,"W","B")</x:f>
        <x:v>W</x:v>
      </x:c>
      <x:c r="T172" t="str">
        <x:f>IF(RAND()&lt;'Team_Info'!$E$5,"W","B")</x:f>
        <x:v>B</x:v>
      </x:c>
      <x:c r="U172" t="str">
        <x:f>IF(RAND()&lt;'Team_Info'!$E$5,"W","B")</x:f>
        <x:v>B</x:v>
      </x:c>
    </x:row>
    <x:row r="173">
      <x:c r="A173" s="1">
        <x:v>172</x:v>
      </x:c>
      <x:c r="B173" t="str">
        <x:f>IF(RAND()&lt;'Team_Info'!$E$5,"W","B")</x:f>
        <x:v>W</x:v>
      </x:c>
      <x:c r="C173" t="str">
        <x:f>IF(RAND()&lt;'Team_Info'!$E$5,"W","B")</x:f>
        <x:v>B</x:v>
      </x:c>
      <x:c r="D173" t="str">
        <x:f>IF(RAND()&lt;'Team_Info'!$E$5,"W","B")</x:f>
        <x:v>W</x:v>
      </x:c>
      <x:c r="E173" t="str">
        <x:f>IF(RAND()&lt;'Team_Info'!$E$5,"W","B")</x:f>
        <x:v>W</x:v>
      </x:c>
      <x:c r="F173" t="str">
        <x:f>IF(RAND()&lt;'Team_Info'!$E$5,"W","B")</x:f>
        <x:v>B</x:v>
      </x:c>
      <x:c r="G173" t="str">
        <x:f>IF(RAND()&lt;'Team_Info'!$E$5,"W","B")</x:f>
        <x:v>W</x:v>
      </x:c>
      <x:c r="H173" t="str">
        <x:f>IF(RAND()&lt;'Team_Info'!$E$5,"W","B")</x:f>
        <x:v>W</x:v>
      </x:c>
      <x:c r="I173" t="str">
        <x:f>IF(RAND()&lt;'Team_Info'!$E$5,"W","B")</x:f>
        <x:v>B</x:v>
      </x:c>
      <x:c r="J173" t="str">
        <x:f>IF(RAND()&lt;'Team_Info'!$E$5,"W","B")</x:f>
        <x:v>B</x:v>
      </x:c>
      <x:c r="K173" t="str">
        <x:f>IF(RAND()&lt;'Team_Info'!$E$5,"W","B")</x:f>
        <x:v>B</x:v>
      </x:c>
      <x:c r="L173" t="str">
        <x:f>IF(RAND()&lt;'Team_Info'!$E$5,"W","B")</x:f>
        <x:v>B</x:v>
      </x:c>
      <x:c r="M173" t="str">
        <x:f>IF(RAND()&lt;'Team_Info'!$E$5,"W","B")</x:f>
        <x:v>W</x:v>
      </x:c>
      <x:c r="N173" t="str">
        <x:f>IF(RAND()&lt;'Team_Info'!$E$5,"W","B")</x:f>
        <x:v>B</x:v>
      </x:c>
      <x:c r="O173" t="str">
        <x:f>IF(RAND()&lt;'Team_Info'!$E$5,"W","B")</x:f>
        <x:v>W</x:v>
      </x:c>
      <x:c r="P173" t="str">
        <x:f>IF(RAND()&lt;'Team_Info'!$E$5,"W","B")</x:f>
        <x:v>B</x:v>
      </x:c>
      <x:c r="Q173" t="str">
        <x:f>IF(RAND()&lt;'Team_Info'!$E$5,"W","B")</x:f>
        <x:v>B</x:v>
      </x:c>
      <x:c r="R173" t="str">
        <x:f>IF(RAND()&lt;'Team_Info'!$E$5,"W","B")</x:f>
        <x:v>B</x:v>
      </x:c>
      <x:c r="S173" t="str">
        <x:f>IF(RAND()&lt;'Team_Info'!$E$5,"W","B")</x:f>
        <x:v>W</x:v>
      </x:c>
      <x:c r="T173" t="str">
        <x:f>IF(RAND()&lt;'Team_Info'!$E$5,"W","B")</x:f>
        <x:v>W</x:v>
      </x:c>
      <x:c r="U173" t="str">
        <x:f>IF(RAND()&lt;'Team_Info'!$E$5,"W","B")</x:f>
        <x:v>B</x:v>
      </x:c>
    </x:row>
    <x:row r="174">
      <x:c r="A174" s="1">
        <x:v>173</x:v>
      </x:c>
      <x:c r="B174" t="str">
        <x:f>IF(RAND()&lt;'Team_Info'!$E$5,"W","B")</x:f>
        <x:v>B</x:v>
      </x:c>
      <x:c r="C174" t="str">
        <x:f>IF(RAND()&lt;'Team_Info'!$E$5,"W","B")</x:f>
        <x:v>B</x:v>
      </x:c>
      <x:c r="D174" t="str">
        <x:f>IF(RAND()&lt;'Team_Info'!$E$5,"W","B")</x:f>
        <x:v>B</x:v>
      </x:c>
      <x:c r="E174" t="str">
        <x:f>IF(RAND()&lt;'Team_Info'!$E$5,"W","B")</x:f>
        <x:v>W</x:v>
      </x:c>
      <x:c r="F174" t="str">
        <x:f>IF(RAND()&lt;'Team_Info'!$E$5,"W","B")</x:f>
        <x:v>B</x:v>
      </x:c>
      <x:c r="G174" t="str">
        <x:f>IF(RAND()&lt;'Team_Info'!$E$5,"W","B")</x:f>
        <x:v>W</x:v>
      </x:c>
      <x:c r="H174" t="str">
        <x:f>IF(RAND()&lt;'Team_Info'!$E$5,"W","B")</x:f>
        <x:v>B</x:v>
      </x:c>
      <x:c r="I174" t="str">
        <x:f>IF(RAND()&lt;'Team_Info'!$E$5,"W","B")</x:f>
        <x:v>W</x:v>
      </x:c>
      <x:c r="J174" t="str">
        <x:f>IF(RAND()&lt;'Team_Info'!$E$5,"W","B")</x:f>
        <x:v>W</x:v>
      </x:c>
      <x:c r="K174" t="str">
        <x:f>IF(RAND()&lt;'Team_Info'!$E$5,"W","B")</x:f>
        <x:v>W</x:v>
      </x:c>
      <x:c r="L174" t="str">
        <x:f>IF(RAND()&lt;'Team_Info'!$E$5,"W","B")</x:f>
        <x:v>B</x:v>
      </x:c>
      <x:c r="M174" t="str">
        <x:f>IF(RAND()&lt;'Team_Info'!$E$5,"W","B")</x:f>
        <x:v>W</x:v>
      </x:c>
      <x:c r="N174" t="str">
        <x:f>IF(RAND()&lt;'Team_Info'!$E$5,"W","B")</x:f>
        <x:v>B</x:v>
      </x:c>
      <x:c r="O174" t="str">
        <x:f>IF(RAND()&lt;'Team_Info'!$E$5,"W","B")</x:f>
        <x:v>B</x:v>
      </x:c>
      <x:c r="P174" t="str">
        <x:f>IF(RAND()&lt;'Team_Info'!$E$5,"W","B")</x:f>
        <x:v>B</x:v>
      </x:c>
      <x:c r="Q174" t="str">
        <x:f>IF(RAND()&lt;'Team_Info'!$E$5,"W","B")</x:f>
        <x:v>B</x:v>
      </x:c>
      <x:c r="R174" t="str">
        <x:f>IF(RAND()&lt;'Team_Info'!$E$5,"W","B")</x:f>
        <x:v>B</x:v>
      </x:c>
      <x:c r="S174" t="str">
        <x:f>IF(RAND()&lt;'Team_Info'!$E$5,"W","B")</x:f>
        <x:v>B</x:v>
      </x:c>
      <x:c r="T174" t="str">
        <x:f>IF(RAND()&lt;'Team_Info'!$E$5,"W","B")</x:f>
        <x:v>B</x:v>
      </x:c>
      <x:c r="U174" t="str">
        <x:f>IF(RAND()&lt;'Team_Info'!$E$5,"W","B")</x:f>
        <x:v>B</x:v>
      </x:c>
    </x:row>
    <x:row r="175">
      <x:c r="A175" s="1">
        <x:v>174</x:v>
      </x:c>
      <x:c r="B175" t="str">
        <x:f>IF(RAND()&lt;'Team_Info'!$E$5,"W","B")</x:f>
        <x:v>B</x:v>
      </x:c>
      <x:c r="C175" t="str">
        <x:f>IF(RAND()&lt;'Team_Info'!$E$5,"W","B")</x:f>
        <x:v>B</x:v>
      </x:c>
      <x:c r="D175" t="str">
        <x:f>IF(RAND()&lt;'Team_Info'!$E$5,"W","B")</x:f>
        <x:v>W</x:v>
      </x:c>
      <x:c r="E175" t="str">
        <x:f>IF(RAND()&lt;'Team_Info'!$E$5,"W","B")</x:f>
        <x:v>B</x:v>
      </x:c>
      <x:c r="F175" t="str">
        <x:f>IF(RAND()&lt;'Team_Info'!$E$5,"W","B")</x:f>
        <x:v>W</x:v>
      </x:c>
      <x:c r="G175" t="str">
        <x:f>IF(RAND()&lt;'Team_Info'!$E$5,"W","B")</x:f>
        <x:v>B</x:v>
      </x:c>
      <x:c r="H175" t="str">
        <x:f>IF(RAND()&lt;'Team_Info'!$E$5,"W","B")</x:f>
        <x:v>W</x:v>
      </x:c>
      <x:c r="I175" t="str">
        <x:f>IF(RAND()&lt;'Team_Info'!$E$5,"W","B")</x:f>
        <x:v>B</x:v>
      </x:c>
      <x:c r="J175" t="str">
        <x:f>IF(RAND()&lt;'Team_Info'!$E$5,"W","B")</x:f>
        <x:v>W</x:v>
      </x:c>
      <x:c r="K175" t="str">
        <x:f>IF(RAND()&lt;'Team_Info'!$E$5,"W","B")</x:f>
        <x:v>B</x:v>
      </x:c>
      <x:c r="L175" t="str">
        <x:f>IF(RAND()&lt;'Team_Info'!$E$5,"W","B")</x:f>
        <x:v>W</x:v>
      </x:c>
      <x:c r="M175" t="str">
        <x:f>IF(RAND()&lt;'Team_Info'!$E$5,"W","B")</x:f>
        <x:v>B</x:v>
      </x:c>
      <x:c r="N175" t="str">
        <x:f>IF(RAND()&lt;'Team_Info'!$E$5,"W","B")</x:f>
        <x:v>B</x:v>
      </x:c>
      <x:c r="O175" t="str">
        <x:f>IF(RAND()&lt;'Team_Info'!$E$5,"W","B")</x:f>
        <x:v>B</x:v>
      </x:c>
      <x:c r="P175" t="str">
        <x:f>IF(RAND()&lt;'Team_Info'!$E$5,"W","B")</x:f>
        <x:v>B</x:v>
      </x:c>
      <x:c r="Q175" t="str">
        <x:f>IF(RAND()&lt;'Team_Info'!$E$5,"W","B")</x:f>
        <x:v>B</x:v>
      </x:c>
      <x:c r="R175" t="str">
        <x:f>IF(RAND()&lt;'Team_Info'!$E$5,"W","B")</x:f>
        <x:v>B</x:v>
      </x:c>
      <x:c r="S175" t="str">
        <x:f>IF(RAND()&lt;'Team_Info'!$E$5,"W","B")</x:f>
        <x:v>W</x:v>
      </x:c>
      <x:c r="T175" t="str">
        <x:f>IF(RAND()&lt;'Team_Info'!$E$5,"W","B")</x:f>
        <x:v>W</x:v>
      </x:c>
      <x:c r="U175" t="str">
        <x:f>IF(RAND()&lt;'Team_Info'!$E$5,"W","B")</x:f>
        <x:v>W</x:v>
      </x:c>
    </x:row>
    <x:row r="176">
      <x:c r="A176" s="1">
        <x:v>175</x:v>
      </x:c>
      <x:c r="B176" t="str">
        <x:f>IF(RAND()&lt;'Team_Info'!$E$5,"W","B")</x:f>
        <x:v>B</x:v>
      </x:c>
      <x:c r="C176" t="str">
        <x:f>IF(RAND()&lt;'Team_Info'!$E$5,"W","B")</x:f>
        <x:v>B</x:v>
      </x:c>
      <x:c r="D176" t="str">
        <x:f>IF(RAND()&lt;'Team_Info'!$E$5,"W","B")</x:f>
        <x:v>B</x:v>
      </x:c>
      <x:c r="E176" t="str">
        <x:f>IF(RAND()&lt;'Team_Info'!$E$5,"W","B")</x:f>
        <x:v>W</x:v>
      </x:c>
      <x:c r="F176" t="str">
        <x:f>IF(RAND()&lt;'Team_Info'!$E$5,"W","B")</x:f>
        <x:v>B</x:v>
      </x:c>
      <x:c r="G176" t="str">
        <x:f>IF(RAND()&lt;'Team_Info'!$E$5,"W","B")</x:f>
        <x:v>W</x:v>
      </x:c>
      <x:c r="H176" t="str">
        <x:f>IF(RAND()&lt;'Team_Info'!$E$5,"W","B")</x:f>
        <x:v>W</x:v>
      </x:c>
      <x:c r="I176" t="str">
        <x:f>IF(RAND()&lt;'Team_Info'!$E$5,"W","B")</x:f>
        <x:v>B</x:v>
      </x:c>
      <x:c r="J176" t="str">
        <x:f>IF(RAND()&lt;'Team_Info'!$E$5,"W","B")</x:f>
        <x:v>B</x:v>
      </x:c>
      <x:c r="K176" t="str">
        <x:f>IF(RAND()&lt;'Team_Info'!$E$5,"W","B")</x:f>
        <x:v>B</x:v>
      </x:c>
      <x:c r="L176" t="str">
        <x:f>IF(RAND()&lt;'Team_Info'!$E$5,"W","B")</x:f>
        <x:v>B</x:v>
      </x:c>
      <x:c r="M176" t="str">
        <x:f>IF(RAND()&lt;'Team_Info'!$E$5,"W","B")</x:f>
        <x:v>W</x:v>
      </x:c>
      <x:c r="N176" t="str">
        <x:f>IF(RAND()&lt;'Team_Info'!$E$5,"W","B")</x:f>
        <x:v>B</x:v>
      </x:c>
      <x:c r="O176" t="str">
        <x:f>IF(RAND()&lt;'Team_Info'!$E$5,"W","B")</x:f>
        <x:v>W</x:v>
      </x:c>
      <x:c r="P176" t="str">
        <x:f>IF(RAND()&lt;'Team_Info'!$E$5,"W","B")</x:f>
        <x:v>W</x:v>
      </x:c>
      <x:c r="Q176" t="str">
        <x:f>IF(RAND()&lt;'Team_Info'!$E$5,"W","B")</x:f>
        <x:v>W</x:v>
      </x:c>
      <x:c r="R176" t="str">
        <x:f>IF(RAND()&lt;'Team_Info'!$E$5,"W","B")</x:f>
        <x:v>B</x:v>
      </x:c>
      <x:c r="S176" t="str">
        <x:f>IF(RAND()&lt;'Team_Info'!$E$5,"W","B")</x:f>
        <x:v>B</x:v>
      </x:c>
      <x:c r="T176" t="str">
        <x:f>IF(RAND()&lt;'Team_Info'!$E$5,"W","B")</x:f>
        <x:v>B</x:v>
      </x:c>
      <x:c r="U176" t="str">
        <x:f>IF(RAND()&lt;'Team_Info'!$E$5,"W","B")</x:f>
        <x:v>W</x:v>
      </x:c>
    </x:row>
    <x:row r="177">
      <x:c r="A177" s="1">
        <x:v>176</x:v>
      </x:c>
      <x:c r="B177" t="str">
        <x:f>IF(RAND()&lt;'Team_Info'!$E$5,"W","B")</x:f>
        <x:v>B</x:v>
      </x:c>
      <x:c r="C177" t="str">
        <x:f>IF(RAND()&lt;'Team_Info'!$E$5,"W","B")</x:f>
        <x:v>B</x:v>
      </x:c>
      <x:c r="D177" t="str">
        <x:f>IF(RAND()&lt;'Team_Info'!$E$5,"W","B")</x:f>
        <x:v>B</x:v>
      </x:c>
      <x:c r="E177" t="str">
        <x:f>IF(RAND()&lt;'Team_Info'!$E$5,"W","B")</x:f>
        <x:v>B</x:v>
      </x:c>
      <x:c r="F177" t="str">
        <x:f>IF(RAND()&lt;'Team_Info'!$E$5,"W","B")</x:f>
        <x:v>W</x:v>
      </x:c>
      <x:c r="G177" t="str">
        <x:f>IF(RAND()&lt;'Team_Info'!$E$5,"W","B")</x:f>
        <x:v>B</x:v>
      </x:c>
      <x:c r="H177" t="str">
        <x:f>IF(RAND()&lt;'Team_Info'!$E$5,"W","B")</x:f>
        <x:v>W</x:v>
      </x:c>
      <x:c r="I177" t="str">
        <x:f>IF(RAND()&lt;'Team_Info'!$E$5,"W","B")</x:f>
        <x:v>B</x:v>
      </x:c>
      <x:c r="J177" t="str">
        <x:f>IF(RAND()&lt;'Team_Info'!$E$5,"W","B")</x:f>
        <x:v>B</x:v>
      </x:c>
      <x:c r="K177" t="str">
        <x:f>IF(RAND()&lt;'Team_Info'!$E$5,"W","B")</x:f>
        <x:v>W</x:v>
      </x:c>
      <x:c r="L177" t="str">
        <x:f>IF(RAND()&lt;'Team_Info'!$E$5,"W","B")</x:f>
        <x:v>B</x:v>
      </x:c>
      <x:c r="M177" t="str">
        <x:f>IF(RAND()&lt;'Team_Info'!$E$5,"W","B")</x:f>
        <x:v>B</x:v>
      </x:c>
      <x:c r="N177" t="str">
        <x:f>IF(RAND()&lt;'Team_Info'!$E$5,"W","B")</x:f>
        <x:v>B</x:v>
      </x:c>
      <x:c r="O177" t="str">
        <x:f>IF(RAND()&lt;'Team_Info'!$E$5,"W","B")</x:f>
        <x:v>W</x:v>
      </x:c>
      <x:c r="P177" t="str">
        <x:f>IF(RAND()&lt;'Team_Info'!$E$5,"W","B")</x:f>
        <x:v>W</x:v>
      </x:c>
      <x:c r="Q177" t="str">
        <x:f>IF(RAND()&lt;'Team_Info'!$E$5,"W","B")</x:f>
        <x:v>B</x:v>
      </x:c>
      <x:c r="R177" t="str">
        <x:f>IF(RAND()&lt;'Team_Info'!$E$5,"W","B")</x:f>
        <x:v>B</x:v>
      </x:c>
      <x:c r="S177" t="str">
        <x:f>IF(RAND()&lt;'Team_Info'!$E$5,"W","B")</x:f>
        <x:v>B</x:v>
      </x:c>
      <x:c r="T177" t="str">
        <x:f>IF(RAND()&lt;'Team_Info'!$E$5,"W","B")</x:f>
        <x:v>B</x:v>
      </x:c>
      <x:c r="U177" t="str">
        <x:f>IF(RAND()&lt;'Team_Info'!$E$5,"W","B")</x:f>
        <x:v>W</x:v>
      </x:c>
    </x:row>
    <x:row r="178">
      <x:c r="A178" s="1">
        <x:v>177</x:v>
      </x:c>
      <x:c r="B178" t="str">
        <x:f>IF(RAND()&lt;'Team_Info'!$E$5,"W","B")</x:f>
        <x:v>W</x:v>
      </x:c>
      <x:c r="C178" t="str">
        <x:f>IF(RAND()&lt;'Team_Info'!$E$5,"W","B")</x:f>
        <x:v>B</x:v>
      </x:c>
      <x:c r="D178" t="str">
        <x:f>IF(RAND()&lt;'Team_Info'!$E$5,"W","B")</x:f>
        <x:v>B</x:v>
      </x:c>
      <x:c r="E178" t="str">
        <x:f>IF(RAND()&lt;'Team_Info'!$E$5,"W","B")</x:f>
        <x:v>B</x:v>
      </x:c>
      <x:c r="F178" t="str">
        <x:f>IF(RAND()&lt;'Team_Info'!$E$5,"W","B")</x:f>
        <x:v>W</x:v>
      </x:c>
      <x:c r="G178" t="str">
        <x:f>IF(RAND()&lt;'Team_Info'!$E$5,"W","B")</x:f>
        <x:v>W</x:v>
      </x:c>
      <x:c r="H178" t="str">
        <x:f>IF(RAND()&lt;'Team_Info'!$E$5,"W","B")</x:f>
        <x:v>W</x:v>
      </x:c>
      <x:c r="I178" t="str">
        <x:f>IF(RAND()&lt;'Team_Info'!$E$5,"W","B")</x:f>
        <x:v>B</x:v>
      </x:c>
      <x:c r="J178" t="str">
        <x:f>IF(RAND()&lt;'Team_Info'!$E$5,"W","B")</x:f>
        <x:v>B</x:v>
      </x:c>
      <x:c r="K178" t="str">
        <x:f>IF(RAND()&lt;'Team_Info'!$E$5,"W","B")</x:f>
        <x:v>W</x:v>
      </x:c>
      <x:c r="L178" t="str">
        <x:f>IF(RAND()&lt;'Team_Info'!$E$5,"W","B")</x:f>
        <x:v>B</x:v>
      </x:c>
      <x:c r="M178" t="str">
        <x:f>IF(RAND()&lt;'Team_Info'!$E$5,"W","B")</x:f>
        <x:v>W</x:v>
      </x:c>
      <x:c r="N178" t="str">
        <x:f>IF(RAND()&lt;'Team_Info'!$E$5,"W","B")</x:f>
        <x:v>B</x:v>
      </x:c>
      <x:c r="O178" t="str">
        <x:f>IF(RAND()&lt;'Team_Info'!$E$5,"W","B")</x:f>
        <x:v>B</x:v>
      </x:c>
      <x:c r="P178" t="str">
        <x:f>IF(RAND()&lt;'Team_Info'!$E$5,"W","B")</x:f>
        <x:v>W</x:v>
      </x:c>
      <x:c r="Q178" t="str">
        <x:f>IF(RAND()&lt;'Team_Info'!$E$5,"W","B")</x:f>
        <x:v>B</x:v>
      </x:c>
      <x:c r="R178" t="str">
        <x:f>IF(RAND()&lt;'Team_Info'!$E$5,"W","B")</x:f>
        <x:v>W</x:v>
      </x:c>
      <x:c r="S178" t="str">
        <x:f>IF(RAND()&lt;'Team_Info'!$E$5,"W","B")</x:f>
        <x:v>B</x:v>
      </x:c>
      <x:c r="T178" t="str">
        <x:f>IF(RAND()&lt;'Team_Info'!$E$5,"W","B")</x:f>
        <x:v>W</x:v>
      </x:c>
      <x:c r="U178" t="str">
        <x:f>IF(RAND()&lt;'Team_Info'!$E$5,"W","B")</x:f>
        <x:v>W</x:v>
      </x:c>
    </x:row>
    <x:row r="179">
      <x:c r="A179" s="1">
        <x:v>178</x:v>
      </x:c>
      <x:c r="B179" t="str">
        <x:f>IF(RAND()&lt;'Team_Info'!$E$5,"W","B")</x:f>
        <x:v>B</x:v>
      </x:c>
      <x:c r="C179" t="str">
        <x:f>IF(RAND()&lt;'Team_Info'!$E$5,"W","B")</x:f>
        <x:v>W</x:v>
      </x:c>
      <x:c r="D179" t="str">
        <x:f>IF(RAND()&lt;'Team_Info'!$E$5,"W","B")</x:f>
        <x:v>W</x:v>
      </x:c>
      <x:c r="E179" t="str">
        <x:f>IF(RAND()&lt;'Team_Info'!$E$5,"W","B")</x:f>
        <x:v>W</x:v>
      </x:c>
      <x:c r="F179" t="str">
        <x:f>IF(RAND()&lt;'Team_Info'!$E$5,"W","B")</x:f>
        <x:v>W</x:v>
      </x:c>
      <x:c r="G179" t="str">
        <x:f>IF(RAND()&lt;'Team_Info'!$E$5,"W","B")</x:f>
        <x:v>W</x:v>
      </x:c>
      <x:c r="H179" t="str">
        <x:f>IF(RAND()&lt;'Team_Info'!$E$5,"W","B")</x:f>
        <x:v>W</x:v>
      </x:c>
      <x:c r="I179" t="str">
        <x:f>IF(RAND()&lt;'Team_Info'!$E$5,"W","B")</x:f>
        <x:v>B</x:v>
      </x:c>
      <x:c r="J179" t="str">
        <x:f>IF(RAND()&lt;'Team_Info'!$E$5,"W","B")</x:f>
        <x:v>W</x:v>
      </x:c>
      <x:c r="K179" t="str">
        <x:f>IF(RAND()&lt;'Team_Info'!$E$5,"W","B")</x:f>
        <x:v>W</x:v>
      </x:c>
      <x:c r="L179" t="str">
        <x:f>IF(RAND()&lt;'Team_Info'!$E$5,"W","B")</x:f>
        <x:v>B</x:v>
      </x:c>
      <x:c r="M179" t="str">
        <x:f>IF(RAND()&lt;'Team_Info'!$E$5,"W","B")</x:f>
        <x:v>W</x:v>
      </x:c>
      <x:c r="N179" t="str">
        <x:f>IF(RAND()&lt;'Team_Info'!$E$5,"W","B")</x:f>
        <x:v>W</x:v>
      </x:c>
      <x:c r="O179" t="str">
        <x:f>IF(RAND()&lt;'Team_Info'!$E$5,"W","B")</x:f>
        <x:v>W</x:v>
      </x:c>
      <x:c r="P179" t="str">
        <x:f>IF(RAND()&lt;'Team_Info'!$E$5,"W","B")</x:f>
        <x:v>W</x:v>
      </x:c>
      <x:c r="Q179" t="str">
        <x:f>IF(RAND()&lt;'Team_Info'!$E$5,"W","B")</x:f>
        <x:v>B</x:v>
      </x:c>
      <x:c r="R179" t="str">
        <x:f>IF(RAND()&lt;'Team_Info'!$E$5,"W","B")</x:f>
        <x:v>B</x:v>
      </x:c>
      <x:c r="S179" t="str">
        <x:f>IF(RAND()&lt;'Team_Info'!$E$5,"W","B")</x:f>
        <x:v>B</x:v>
      </x:c>
      <x:c r="T179" t="str">
        <x:f>IF(RAND()&lt;'Team_Info'!$E$5,"W","B")</x:f>
        <x:v>B</x:v>
      </x:c>
      <x:c r="U179" t="str">
        <x:f>IF(RAND()&lt;'Team_Info'!$E$5,"W","B")</x:f>
        <x:v>W</x:v>
      </x:c>
    </x:row>
    <x:row r="180">
      <x:c r="A180" s="1">
        <x:v>179</x:v>
      </x:c>
      <x:c r="B180" t="str">
        <x:f>IF(RAND()&lt;'Team_Info'!$E$5,"W","B")</x:f>
        <x:v>B</x:v>
      </x:c>
      <x:c r="C180" t="str">
        <x:f>IF(RAND()&lt;'Team_Info'!$E$5,"W","B")</x:f>
        <x:v>B</x:v>
      </x:c>
      <x:c r="D180" t="str">
        <x:f>IF(RAND()&lt;'Team_Info'!$E$5,"W","B")</x:f>
        <x:v>W</x:v>
      </x:c>
      <x:c r="E180" t="str">
        <x:f>IF(RAND()&lt;'Team_Info'!$E$5,"W","B")</x:f>
        <x:v>W</x:v>
      </x:c>
      <x:c r="F180" t="str">
        <x:f>IF(RAND()&lt;'Team_Info'!$E$5,"W","B")</x:f>
        <x:v>B</x:v>
      </x:c>
      <x:c r="G180" t="str">
        <x:f>IF(RAND()&lt;'Team_Info'!$E$5,"W","B")</x:f>
        <x:v>W</x:v>
      </x:c>
      <x:c r="H180" t="str">
        <x:f>IF(RAND()&lt;'Team_Info'!$E$5,"W","B")</x:f>
        <x:v>W</x:v>
      </x:c>
      <x:c r="I180" t="str">
        <x:f>IF(RAND()&lt;'Team_Info'!$E$5,"W","B")</x:f>
        <x:v>W</x:v>
      </x:c>
      <x:c r="J180" t="str">
        <x:f>IF(RAND()&lt;'Team_Info'!$E$5,"W","B")</x:f>
        <x:v>B</x:v>
      </x:c>
      <x:c r="K180" t="str">
        <x:f>IF(RAND()&lt;'Team_Info'!$E$5,"W","B")</x:f>
        <x:v>B</x:v>
      </x:c>
      <x:c r="L180" t="str">
        <x:f>IF(RAND()&lt;'Team_Info'!$E$5,"W","B")</x:f>
        <x:v>B</x:v>
      </x:c>
      <x:c r="M180" t="str">
        <x:f>IF(RAND()&lt;'Team_Info'!$E$5,"W","B")</x:f>
        <x:v>W</x:v>
      </x:c>
      <x:c r="N180" t="str">
        <x:f>IF(RAND()&lt;'Team_Info'!$E$5,"W","B")</x:f>
        <x:v>W</x:v>
      </x:c>
      <x:c r="O180" t="str">
        <x:f>IF(RAND()&lt;'Team_Info'!$E$5,"W","B")</x:f>
        <x:v>B</x:v>
      </x:c>
      <x:c r="P180" t="str">
        <x:f>IF(RAND()&lt;'Team_Info'!$E$5,"W","B")</x:f>
        <x:v>B</x:v>
      </x:c>
      <x:c r="Q180" t="str">
        <x:f>IF(RAND()&lt;'Team_Info'!$E$5,"W","B")</x:f>
        <x:v>B</x:v>
      </x:c>
      <x:c r="R180" t="str">
        <x:f>IF(RAND()&lt;'Team_Info'!$E$5,"W","B")</x:f>
        <x:v>B</x:v>
      </x:c>
      <x:c r="S180" t="str">
        <x:f>IF(RAND()&lt;'Team_Info'!$E$5,"W","B")</x:f>
        <x:v>B</x:v>
      </x:c>
      <x:c r="T180" t="str">
        <x:f>IF(RAND()&lt;'Team_Info'!$E$5,"W","B")</x:f>
        <x:v>B</x:v>
      </x:c>
      <x:c r="U180" t="str">
        <x:f>IF(RAND()&lt;'Team_Info'!$E$5,"W","B")</x:f>
        <x:v>B</x:v>
      </x:c>
    </x:row>
    <x:row r="181">
      <x:c r="A181" s="1">
        <x:v>180</x:v>
      </x:c>
      <x:c r="B181" t="str">
        <x:f>IF(RAND()&lt;'Team_Info'!$E$5,"W","B")</x:f>
        <x:v>W</x:v>
      </x:c>
      <x:c r="C181" t="str">
        <x:f>IF(RAND()&lt;'Team_Info'!$E$5,"W","B")</x:f>
        <x:v>W</x:v>
      </x:c>
      <x:c r="D181" t="str">
        <x:f>IF(RAND()&lt;'Team_Info'!$E$5,"W","B")</x:f>
        <x:v>W</x:v>
      </x:c>
      <x:c r="E181" t="str">
        <x:f>IF(RAND()&lt;'Team_Info'!$E$5,"W","B")</x:f>
        <x:v>B</x:v>
      </x:c>
      <x:c r="F181" t="str">
        <x:f>IF(RAND()&lt;'Team_Info'!$E$5,"W","B")</x:f>
        <x:v>B</x:v>
      </x:c>
      <x:c r="G181" t="str">
        <x:f>IF(RAND()&lt;'Team_Info'!$E$5,"W","B")</x:f>
        <x:v>B</x:v>
      </x:c>
      <x:c r="H181" t="str">
        <x:f>IF(RAND()&lt;'Team_Info'!$E$5,"W","B")</x:f>
        <x:v>B</x:v>
      </x:c>
      <x:c r="I181" t="str">
        <x:f>IF(RAND()&lt;'Team_Info'!$E$5,"W","B")</x:f>
        <x:v>B</x:v>
      </x:c>
      <x:c r="J181" t="str">
        <x:f>IF(RAND()&lt;'Team_Info'!$E$5,"W","B")</x:f>
        <x:v>B</x:v>
      </x:c>
      <x:c r="K181" t="str">
        <x:f>IF(RAND()&lt;'Team_Info'!$E$5,"W","B")</x:f>
        <x:v>W</x:v>
      </x:c>
      <x:c r="L181" t="str">
        <x:f>IF(RAND()&lt;'Team_Info'!$E$5,"W","B")</x:f>
        <x:v>B</x:v>
      </x:c>
      <x:c r="M181" t="str">
        <x:f>IF(RAND()&lt;'Team_Info'!$E$5,"W","B")</x:f>
        <x:v>B</x:v>
      </x:c>
      <x:c r="N181" t="str">
        <x:f>IF(RAND()&lt;'Team_Info'!$E$5,"W","B")</x:f>
        <x:v>B</x:v>
      </x:c>
      <x:c r="O181" t="str">
        <x:f>IF(RAND()&lt;'Team_Info'!$E$5,"W","B")</x:f>
        <x:v>B</x:v>
      </x:c>
      <x:c r="P181" t="str">
        <x:f>IF(RAND()&lt;'Team_Info'!$E$5,"W","B")</x:f>
        <x:v>B</x:v>
      </x:c>
      <x:c r="Q181" t="str">
        <x:f>IF(RAND()&lt;'Team_Info'!$E$5,"W","B")</x:f>
        <x:v>B</x:v>
      </x:c>
      <x:c r="R181" t="str">
        <x:f>IF(RAND()&lt;'Team_Info'!$E$5,"W","B")</x:f>
        <x:v>B</x:v>
      </x:c>
      <x:c r="S181" t="str">
        <x:f>IF(RAND()&lt;'Team_Info'!$E$5,"W","B")</x:f>
        <x:v>B</x:v>
      </x:c>
      <x:c r="T181" t="str">
        <x:f>IF(RAND()&lt;'Team_Info'!$E$5,"W","B")</x:f>
        <x:v>B</x:v>
      </x:c>
      <x:c r="U181" t="str">
        <x:f>IF(RAND()&lt;'Team_Info'!$E$5,"W","B")</x:f>
        <x:v>W</x:v>
      </x:c>
    </x:row>
    <x:row r="182">
      <x:c r="A182" s="1">
        <x:v>181</x:v>
      </x:c>
      <x:c r="B182" t="str">
        <x:f>IF(RAND()&lt;'Team_Info'!$E$5,"W","B")</x:f>
        <x:v>W</x:v>
      </x:c>
      <x:c r="C182" t="str">
        <x:f>IF(RAND()&lt;'Team_Info'!$E$5,"W","B")</x:f>
        <x:v>W</x:v>
      </x:c>
      <x:c r="D182" t="str">
        <x:f>IF(RAND()&lt;'Team_Info'!$E$5,"W","B")</x:f>
        <x:v>B</x:v>
      </x:c>
      <x:c r="E182" t="str">
        <x:f>IF(RAND()&lt;'Team_Info'!$E$5,"W","B")</x:f>
        <x:v>W</x:v>
      </x:c>
      <x:c r="F182" t="str">
        <x:f>IF(RAND()&lt;'Team_Info'!$E$5,"W","B")</x:f>
        <x:v>B</x:v>
      </x:c>
      <x:c r="G182" t="str">
        <x:f>IF(RAND()&lt;'Team_Info'!$E$5,"W","B")</x:f>
        <x:v>B</x:v>
      </x:c>
      <x:c r="H182" t="str">
        <x:f>IF(RAND()&lt;'Team_Info'!$E$5,"W","B")</x:f>
        <x:v>W</x:v>
      </x:c>
      <x:c r="I182" t="str">
        <x:f>IF(RAND()&lt;'Team_Info'!$E$5,"W","B")</x:f>
        <x:v>B</x:v>
      </x:c>
      <x:c r="J182" t="str">
        <x:f>IF(RAND()&lt;'Team_Info'!$E$5,"W","B")</x:f>
        <x:v>B</x:v>
      </x:c>
      <x:c r="K182" t="str">
        <x:f>IF(RAND()&lt;'Team_Info'!$E$5,"W","B")</x:f>
        <x:v>W</x:v>
      </x:c>
      <x:c r="L182" t="str">
        <x:f>IF(RAND()&lt;'Team_Info'!$E$5,"W","B")</x:f>
        <x:v>B</x:v>
      </x:c>
      <x:c r="M182" t="str">
        <x:f>IF(RAND()&lt;'Team_Info'!$E$5,"W","B")</x:f>
        <x:v>B</x:v>
      </x:c>
      <x:c r="N182" t="str">
        <x:f>IF(RAND()&lt;'Team_Info'!$E$5,"W","B")</x:f>
        <x:v>B</x:v>
      </x:c>
      <x:c r="O182" t="str">
        <x:f>IF(RAND()&lt;'Team_Info'!$E$5,"W","B")</x:f>
        <x:v>B</x:v>
      </x:c>
      <x:c r="P182" t="str">
        <x:f>IF(RAND()&lt;'Team_Info'!$E$5,"W","B")</x:f>
        <x:v>W</x:v>
      </x:c>
      <x:c r="Q182" t="str">
        <x:f>IF(RAND()&lt;'Team_Info'!$E$5,"W","B")</x:f>
        <x:v>B</x:v>
      </x:c>
      <x:c r="R182" t="str">
        <x:f>IF(RAND()&lt;'Team_Info'!$E$5,"W","B")</x:f>
        <x:v>B</x:v>
      </x:c>
      <x:c r="S182" t="str">
        <x:f>IF(RAND()&lt;'Team_Info'!$E$5,"W","B")</x:f>
        <x:v>W</x:v>
      </x:c>
      <x:c r="T182" t="str">
        <x:f>IF(RAND()&lt;'Team_Info'!$E$5,"W","B")</x:f>
        <x:v>W</x:v>
      </x:c>
      <x:c r="U182" t="str">
        <x:f>IF(RAND()&lt;'Team_Info'!$E$5,"W","B")</x:f>
        <x:v>W</x:v>
      </x:c>
    </x:row>
    <x:row r="183">
      <x:c r="A183" s="1">
        <x:v>182</x:v>
      </x:c>
      <x:c r="B183" t="str">
        <x:f>IF(RAND()&lt;'Team_Info'!$E$5,"W","B")</x:f>
        <x:v>B</x:v>
      </x:c>
      <x:c r="C183" t="str">
        <x:f>IF(RAND()&lt;'Team_Info'!$E$5,"W","B")</x:f>
        <x:v>W</x:v>
      </x:c>
      <x:c r="D183" t="str">
        <x:f>IF(RAND()&lt;'Team_Info'!$E$5,"W","B")</x:f>
        <x:v>W</x:v>
      </x:c>
      <x:c r="E183" t="str">
        <x:f>IF(RAND()&lt;'Team_Info'!$E$5,"W","B")</x:f>
        <x:v>B</x:v>
      </x:c>
      <x:c r="F183" t="str">
        <x:f>IF(RAND()&lt;'Team_Info'!$E$5,"W","B")</x:f>
        <x:v>B</x:v>
      </x:c>
      <x:c r="G183" t="str">
        <x:f>IF(RAND()&lt;'Team_Info'!$E$5,"W","B")</x:f>
        <x:v>B</x:v>
      </x:c>
      <x:c r="H183" t="str">
        <x:f>IF(RAND()&lt;'Team_Info'!$E$5,"W","B")</x:f>
        <x:v>B</x:v>
      </x:c>
      <x:c r="I183" t="str">
        <x:f>IF(RAND()&lt;'Team_Info'!$E$5,"W","B")</x:f>
        <x:v>W</x:v>
      </x:c>
      <x:c r="J183" t="str">
        <x:f>IF(RAND()&lt;'Team_Info'!$E$5,"W","B")</x:f>
        <x:v>B</x:v>
      </x:c>
      <x:c r="K183" t="str">
        <x:f>IF(RAND()&lt;'Team_Info'!$E$5,"W","B")</x:f>
        <x:v>B</x:v>
      </x:c>
      <x:c r="L183" t="str">
        <x:f>IF(RAND()&lt;'Team_Info'!$E$5,"W","B")</x:f>
        <x:v>W</x:v>
      </x:c>
      <x:c r="M183" t="str">
        <x:f>IF(RAND()&lt;'Team_Info'!$E$5,"W","B")</x:f>
        <x:v>W</x:v>
      </x:c>
      <x:c r="N183" t="str">
        <x:f>IF(RAND()&lt;'Team_Info'!$E$5,"W","B")</x:f>
        <x:v>B</x:v>
      </x:c>
      <x:c r="O183" t="str">
        <x:f>IF(RAND()&lt;'Team_Info'!$E$5,"W","B")</x:f>
        <x:v>W</x:v>
      </x:c>
      <x:c r="P183" t="str">
        <x:f>IF(RAND()&lt;'Team_Info'!$E$5,"W","B")</x:f>
        <x:v>W</x:v>
      </x:c>
      <x:c r="Q183" t="str">
        <x:f>IF(RAND()&lt;'Team_Info'!$E$5,"W","B")</x:f>
        <x:v>B</x:v>
      </x:c>
      <x:c r="R183" t="str">
        <x:f>IF(RAND()&lt;'Team_Info'!$E$5,"W","B")</x:f>
        <x:v>B</x:v>
      </x:c>
      <x:c r="S183" t="str">
        <x:f>IF(RAND()&lt;'Team_Info'!$E$5,"W","B")</x:f>
        <x:v>W</x:v>
      </x:c>
      <x:c r="T183" t="str">
        <x:f>IF(RAND()&lt;'Team_Info'!$E$5,"W","B")</x:f>
        <x:v>B</x:v>
      </x:c>
      <x:c r="U183" t="str">
        <x:f>IF(RAND()&lt;'Team_Info'!$E$5,"W","B")</x:f>
        <x:v>W</x:v>
      </x:c>
    </x:row>
    <x:row r="184">
      <x:c r="A184" s="1">
        <x:v>183</x:v>
      </x:c>
      <x:c r="B184" t="str">
        <x:f>IF(RAND()&lt;'Team_Info'!$E$5,"W","B")</x:f>
        <x:v>B</x:v>
      </x:c>
      <x:c r="C184" t="str">
        <x:f>IF(RAND()&lt;'Team_Info'!$E$5,"W","B")</x:f>
        <x:v>B</x:v>
      </x:c>
      <x:c r="D184" t="str">
        <x:f>IF(RAND()&lt;'Team_Info'!$E$5,"W","B")</x:f>
        <x:v>B</x:v>
      </x:c>
      <x:c r="E184" t="str">
        <x:f>IF(RAND()&lt;'Team_Info'!$E$5,"W","B")</x:f>
        <x:v>W</x:v>
      </x:c>
      <x:c r="F184" t="str">
        <x:f>IF(RAND()&lt;'Team_Info'!$E$5,"W","B")</x:f>
        <x:v>W</x:v>
      </x:c>
      <x:c r="G184" t="str">
        <x:f>IF(RAND()&lt;'Team_Info'!$E$5,"W","B")</x:f>
        <x:v>W</x:v>
      </x:c>
      <x:c r="H184" t="str">
        <x:f>IF(RAND()&lt;'Team_Info'!$E$5,"W","B")</x:f>
        <x:v>B</x:v>
      </x:c>
      <x:c r="I184" t="str">
        <x:f>IF(RAND()&lt;'Team_Info'!$E$5,"W","B")</x:f>
        <x:v>B</x:v>
      </x:c>
      <x:c r="J184" t="str">
        <x:f>IF(RAND()&lt;'Team_Info'!$E$5,"W","B")</x:f>
        <x:v>W</x:v>
      </x:c>
      <x:c r="K184" t="str">
        <x:f>IF(RAND()&lt;'Team_Info'!$E$5,"W","B")</x:f>
        <x:v>W</x:v>
      </x:c>
      <x:c r="L184" t="str">
        <x:f>IF(RAND()&lt;'Team_Info'!$E$5,"W","B")</x:f>
        <x:v>B</x:v>
      </x:c>
      <x:c r="M184" t="str">
        <x:f>IF(RAND()&lt;'Team_Info'!$E$5,"W","B")</x:f>
        <x:v>W</x:v>
      </x:c>
      <x:c r="N184" t="str">
        <x:f>IF(RAND()&lt;'Team_Info'!$E$5,"W","B")</x:f>
        <x:v>W</x:v>
      </x:c>
      <x:c r="O184" t="str">
        <x:f>IF(RAND()&lt;'Team_Info'!$E$5,"W","B")</x:f>
        <x:v>W</x:v>
      </x:c>
      <x:c r="P184" t="str">
        <x:f>IF(RAND()&lt;'Team_Info'!$E$5,"W","B")</x:f>
        <x:v>B</x:v>
      </x:c>
      <x:c r="Q184" t="str">
        <x:f>IF(RAND()&lt;'Team_Info'!$E$5,"W","B")</x:f>
        <x:v>B</x:v>
      </x:c>
      <x:c r="R184" t="str">
        <x:f>IF(RAND()&lt;'Team_Info'!$E$5,"W","B")</x:f>
        <x:v>B</x:v>
      </x:c>
      <x:c r="S184" t="str">
        <x:f>IF(RAND()&lt;'Team_Info'!$E$5,"W","B")</x:f>
        <x:v>W</x:v>
      </x:c>
      <x:c r="T184" t="str">
        <x:f>IF(RAND()&lt;'Team_Info'!$E$5,"W","B")</x:f>
        <x:v>B</x:v>
      </x:c>
      <x:c r="U184" t="str">
        <x:f>IF(RAND()&lt;'Team_Info'!$E$5,"W","B")</x:f>
        <x:v>B</x:v>
      </x:c>
    </x:row>
    <x:row r="185">
      <x:c r="A185" s="1">
        <x:v>184</x:v>
      </x:c>
      <x:c r="B185" t="str">
        <x:f>IF(RAND()&lt;'Team_Info'!$E$5,"W","B")</x:f>
        <x:v>W</x:v>
      </x:c>
      <x:c r="C185" t="str">
        <x:f>IF(RAND()&lt;'Team_Info'!$E$5,"W","B")</x:f>
        <x:v>B</x:v>
      </x:c>
      <x:c r="D185" t="str">
        <x:f>IF(RAND()&lt;'Team_Info'!$E$5,"W","B")</x:f>
        <x:v>W</x:v>
      </x:c>
      <x:c r="E185" t="str">
        <x:f>IF(RAND()&lt;'Team_Info'!$E$5,"W","B")</x:f>
        <x:v>W</x:v>
      </x:c>
      <x:c r="F185" t="str">
        <x:f>IF(RAND()&lt;'Team_Info'!$E$5,"W","B")</x:f>
        <x:v>B</x:v>
      </x:c>
      <x:c r="G185" t="str">
        <x:f>IF(RAND()&lt;'Team_Info'!$E$5,"W","B")</x:f>
        <x:v>W</x:v>
      </x:c>
      <x:c r="H185" t="str">
        <x:f>IF(RAND()&lt;'Team_Info'!$E$5,"W","B")</x:f>
        <x:v>W</x:v>
      </x:c>
      <x:c r="I185" t="str">
        <x:f>IF(RAND()&lt;'Team_Info'!$E$5,"W","B")</x:f>
        <x:v>B</x:v>
      </x:c>
      <x:c r="J185" t="str">
        <x:f>IF(RAND()&lt;'Team_Info'!$E$5,"W","B")</x:f>
        <x:v>B</x:v>
      </x:c>
      <x:c r="K185" t="str">
        <x:f>IF(RAND()&lt;'Team_Info'!$E$5,"W","B")</x:f>
        <x:v>W</x:v>
      </x:c>
      <x:c r="L185" t="str">
        <x:f>IF(RAND()&lt;'Team_Info'!$E$5,"W","B")</x:f>
        <x:v>B</x:v>
      </x:c>
      <x:c r="M185" t="str">
        <x:f>IF(RAND()&lt;'Team_Info'!$E$5,"W","B")</x:f>
        <x:v>B</x:v>
      </x:c>
      <x:c r="N185" t="str">
        <x:f>IF(RAND()&lt;'Team_Info'!$E$5,"W","B")</x:f>
        <x:v>B</x:v>
      </x:c>
      <x:c r="O185" t="str">
        <x:f>IF(RAND()&lt;'Team_Info'!$E$5,"W","B")</x:f>
        <x:v>B</x:v>
      </x:c>
      <x:c r="P185" t="str">
        <x:f>IF(RAND()&lt;'Team_Info'!$E$5,"W","B")</x:f>
        <x:v>B</x:v>
      </x:c>
      <x:c r="Q185" t="str">
        <x:f>IF(RAND()&lt;'Team_Info'!$E$5,"W","B")</x:f>
        <x:v>B</x:v>
      </x:c>
      <x:c r="R185" t="str">
        <x:f>IF(RAND()&lt;'Team_Info'!$E$5,"W","B")</x:f>
        <x:v>W</x:v>
      </x:c>
      <x:c r="S185" t="str">
        <x:f>IF(RAND()&lt;'Team_Info'!$E$5,"W","B")</x:f>
        <x:v>B</x:v>
      </x:c>
      <x:c r="T185" t="str">
        <x:f>IF(RAND()&lt;'Team_Info'!$E$5,"W","B")</x:f>
        <x:v>B</x:v>
      </x:c>
      <x:c r="U185" t="str">
        <x:f>IF(RAND()&lt;'Team_Info'!$E$5,"W","B")</x:f>
        <x:v>B</x:v>
      </x:c>
    </x:row>
    <x:row r="186">
      <x:c r="A186" s="1">
        <x:v>185</x:v>
      </x:c>
      <x:c r="B186" t="str">
        <x:f>IF(RAND()&lt;'Team_Info'!$E$5,"W","B")</x:f>
        <x:v>B</x:v>
      </x:c>
      <x:c r="C186" t="str">
        <x:f>IF(RAND()&lt;'Team_Info'!$E$5,"W","B")</x:f>
        <x:v>W</x:v>
      </x:c>
      <x:c r="D186" t="str">
        <x:f>IF(RAND()&lt;'Team_Info'!$E$5,"W","B")</x:f>
        <x:v>B</x:v>
      </x:c>
      <x:c r="E186" t="str">
        <x:f>IF(RAND()&lt;'Team_Info'!$E$5,"W","B")</x:f>
        <x:v>W</x:v>
      </x:c>
      <x:c r="F186" t="str">
        <x:f>IF(RAND()&lt;'Team_Info'!$E$5,"W","B")</x:f>
        <x:v>B</x:v>
      </x:c>
      <x:c r="G186" t="str">
        <x:f>IF(RAND()&lt;'Team_Info'!$E$5,"W","B")</x:f>
        <x:v>B</x:v>
      </x:c>
      <x:c r="H186" t="str">
        <x:f>IF(RAND()&lt;'Team_Info'!$E$5,"W","B")</x:f>
        <x:v>B</x:v>
      </x:c>
      <x:c r="I186" t="str">
        <x:f>IF(RAND()&lt;'Team_Info'!$E$5,"W","B")</x:f>
        <x:v>B</x:v>
      </x:c>
      <x:c r="J186" t="str">
        <x:f>IF(RAND()&lt;'Team_Info'!$E$5,"W","B")</x:f>
        <x:v>B</x:v>
      </x:c>
      <x:c r="K186" t="str">
        <x:f>IF(RAND()&lt;'Team_Info'!$E$5,"W","B")</x:f>
        <x:v>B</x:v>
      </x:c>
      <x:c r="L186" t="str">
        <x:f>IF(RAND()&lt;'Team_Info'!$E$5,"W","B")</x:f>
        <x:v>B</x:v>
      </x:c>
      <x:c r="M186" t="str">
        <x:f>IF(RAND()&lt;'Team_Info'!$E$5,"W","B")</x:f>
        <x:v>B</x:v>
      </x:c>
      <x:c r="N186" t="str">
        <x:f>IF(RAND()&lt;'Team_Info'!$E$5,"W","B")</x:f>
        <x:v>B</x:v>
      </x:c>
      <x:c r="O186" t="str">
        <x:f>IF(RAND()&lt;'Team_Info'!$E$5,"W","B")</x:f>
        <x:v>B</x:v>
      </x:c>
      <x:c r="P186" t="str">
        <x:f>IF(RAND()&lt;'Team_Info'!$E$5,"W","B")</x:f>
        <x:v>B</x:v>
      </x:c>
      <x:c r="Q186" t="str">
        <x:f>IF(RAND()&lt;'Team_Info'!$E$5,"W","B")</x:f>
        <x:v>W</x:v>
      </x:c>
      <x:c r="R186" t="str">
        <x:f>IF(RAND()&lt;'Team_Info'!$E$5,"W","B")</x:f>
        <x:v>W</x:v>
      </x:c>
      <x:c r="S186" t="str">
        <x:f>IF(RAND()&lt;'Team_Info'!$E$5,"W","B")</x:f>
        <x:v>B</x:v>
      </x:c>
      <x:c r="T186" t="str">
        <x:f>IF(RAND()&lt;'Team_Info'!$E$5,"W","B")</x:f>
        <x:v>W</x:v>
      </x:c>
      <x:c r="U186" t="str">
        <x:f>IF(RAND()&lt;'Team_Info'!$E$5,"W","B")</x:f>
        <x:v>W</x:v>
      </x:c>
    </x:row>
    <x:row r="187">
      <x:c r="A187" s="1">
        <x:v>186</x:v>
      </x:c>
      <x:c r="B187" t="str">
        <x:f>IF(RAND()&lt;'Team_Info'!$E$5,"W","B")</x:f>
        <x:v>B</x:v>
      </x:c>
      <x:c r="C187" t="str">
        <x:f>IF(RAND()&lt;'Team_Info'!$E$5,"W","B")</x:f>
        <x:v>B</x:v>
      </x:c>
      <x:c r="D187" t="str">
        <x:f>IF(RAND()&lt;'Team_Info'!$E$5,"W","B")</x:f>
        <x:v>B</x:v>
      </x:c>
      <x:c r="E187" t="str">
        <x:f>IF(RAND()&lt;'Team_Info'!$E$5,"W","B")</x:f>
        <x:v>B</x:v>
      </x:c>
      <x:c r="F187" t="str">
        <x:f>IF(RAND()&lt;'Team_Info'!$E$5,"W","B")</x:f>
        <x:v>B</x:v>
      </x:c>
      <x:c r="G187" t="str">
        <x:f>IF(RAND()&lt;'Team_Info'!$E$5,"W","B")</x:f>
        <x:v>B</x:v>
      </x:c>
      <x:c r="H187" t="str">
        <x:f>IF(RAND()&lt;'Team_Info'!$E$5,"W","B")</x:f>
        <x:v>B</x:v>
      </x:c>
      <x:c r="I187" t="str">
        <x:f>IF(RAND()&lt;'Team_Info'!$E$5,"W","B")</x:f>
        <x:v>W</x:v>
      </x:c>
      <x:c r="J187" t="str">
        <x:f>IF(RAND()&lt;'Team_Info'!$E$5,"W","B")</x:f>
        <x:v>B</x:v>
      </x:c>
      <x:c r="K187" t="str">
        <x:f>IF(RAND()&lt;'Team_Info'!$E$5,"W","B")</x:f>
        <x:v>W</x:v>
      </x:c>
      <x:c r="L187" t="str">
        <x:f>IF(RAND()&lt;'Team_Info'!$E$5,"W","B")</x:f>
        <x:v>W</x:v>
      </x:c>
      <x:c r="M187" t="str">
        <x:f>IF(RAND()&lt;'Team_Info'!$E$5,"W","B")</x:f>
        <x:v>B</x:v>
      </x:c>
      <x:c r="N187" t="str">
        <x:f>IF(RAND()&lt;'Team_Info'!$E$5,"W","B")</x:f>
        <x:v>B</x:v>
      </x:c>
      <x:c r="O187" t="str">
        <x:f>IF(RAND()&lt;'Team_Info'!$E$5,"W","B")</x:f>
        <x:v>W</x:v>
      </x:c>
      <x:c r="P187" t="str">
        <x:f>IF(RAND()&lt;'Team_Info'!$E$5,"W","B")</x:f>
        <x:v>W</x:v>
      </x:c>
      <x:c r="Q187" t="str">
        <x:f>IF(RAND()&lt;'Team_Info'!$E$5,"W","B")</x:f>
        <x:v>B</x:v>
      </x:c>
      <x:c r="R187" t="str">
        <x:f>IF(RAND()&lt;'Team_Info'!$E$5,"W","B")</x:f>
        <x:v>B</x:v>
      </x:c>
      <x:c r="S187" t="str">
        <x:f>IF(RAND()&lt;'Team_Info'!$E$5,"W","B")</x:f>
        <x:v>B</x:v>
      </x:c>
      <x:c r="T187" t="str">
        <x:f>IF(RAND()&lt;'Team_Info'!$E$5,"W","B")</x:f>
        <x:v>B</x:v>
      </x:c>
      <x:c r="U187" t="str">
        <x:f>IF(RAND()&lt;'Team_Info'!$E$5,"W","B")</x:f>
        <x:v>W</x:v>
      </x:c>
    </x:row>
    <x:row r="188">
      <x:c r="A188" s="1">
        <x:v>187</x:v>
      </x:c>
      <x:c r="B188" t="str">
        <x:f>IF(RAND()&lt;'Team_Info'!$E$5,"W","B")</x:f>
        <x:v>B</x:v>
      </x:c>
      <x:c r="C188" t="str">
        <x:f>IF(RAND()&lt;'Team_Info'!$E$5,"W","B")</x:f>
        <x:v>W</x:v>
      </x:c>
      <x:c r="D188" t="str">
        <x:f>IF(RAND()&lt;'Team_Info'!$E$5,"W","B")</x:f>
        <x:v>W</x:v>
      </x:c>
      <x:c r="E188" t="str">
        <x:f>IF(RAND()&lt;'Team_Info'!$E$5,"W","B")</x:f>
        <x:v>W</x:v>
      </x:c>
      <x:c r="F188" t="str">
        <x:f>IF(RAND()&lt;'Team_Info'!$E$5,"W","B")</x:f>
        <x:v>B</x:v>
      </x:c>
      <x:c r="G188" t="str">
        <x:f>IF(RAND()&lt;'Team_Info'!$E$5,"W","B")</x:f>
        <x:v>W</x:v>
      </x:c>
      <x:c r="H188" t="str">
        <x:f>IF(RAND()&lt;'Team_Info'!$E$5,"W","B")</x:f>
        <x:v>B</x:v>
      </x:c>
      <x:c r="I188" t="str">
        <x:f>IF(RAND()&lt;'Team_Info'!$E$5,"W","B")</x:f>
        <x:v>W</x:v>
      </x:c>
      <x:c r="J188" t="str">
        <x:f>IF(RAND()&lt;'Team_Info'!$E$5,"W","B")</x:f>
        <x:v>B</x:v>
      </x:c>
      <x:c r="K188" t="str">
        <x:f>IF(RAND()&lt;'Team_Info'!$E$5,"W","B")</x:f>
        <x:v>B</x:v>
      </x:c>
      <x:c r="L188" t="str">
        <x:f>IF(RAND()&lt;'Team_Info'!$E$5,"W","B")</x:f>
        <x:v>W</x:v>
      </x:c>
      <x:c r="M188" t="str">
        <x:f>IF(RAND()&lt;'Team_Info'!$E$5,"W","B")</x:f>
        <x:v>B</x:v>
      </x:c>
      <x:c r="N188" t="str">
        <x:f>IF(RAND()&lt;'Team_Info'!$E$5,"W","B")</x:f>
        <x:v>B</x:v>
      </x:c>
      <x:c r="O188" t="str">
        <x:f>IF(RAND()&lt;'Team_Info'!$E$5,"W","B")</x:f>
        <x:v>B</x:v>
      </x:c>
      <x:c r="P188" t="str">
        <x:f>IF(RAND()&lt;'Team_Info'!$E$5,"W","B")</x:f>
        <x:v>B</x:v>
      </x:c>
      <x:c r="Q188" t="str">
        <x:f>IF(RAND()&lt;'Team_Info'!$E$5,"W","B")</x:f>
        <x:v>W</x:v>
      </x:c>
      <x:c r="R188" t="str">
        <x:f>IF(RAND()&lt;'Team_Info'!$E$5,"W","B")</x:f>
        <x:v>W</x:v>
      </x:c>
      <x:c r="S188" t="str">
        <x:f>IF(RAND()&lt;'Team_Info'!$E$5,"W","B")</x:f>
        <x:v>B</x:v>
      </x:c>
      <x:c r="T188" t="str">
        <x:f>IF(RAND()&lt;'Team_Info'!$E$5,"W","B")</x:f>
        <x:v>B</x:v>
      </x:c>
      <x:c r="U188" t="str">
        <x:f>IF(RAND()&lt;'Team_Info'!$E$5,"W","B")</x:f>
        <x:v>B</x:v>
      </x:c>
    </x:row>
    <x:row r="189">
      <x:c r="A189" s="1">
        <x:v>188</x:v>
      </x:c>
      <x:c r="B189" t="str">
        <x:f>IF(RAND()&lt;'Team_Info'!$E$5,"W","B")</x:f>
        <x:v>B</x:v>
      </x:c>
      <x:c r="C189" t="str">
        <x:f>IF(RAND()&lt;'Team_Info'!$E$5,"W","B")</x:f>
        <x:v>B</x:v>
      </x:c>
      <x:c r="D189" t="str">
        <x:f>IF(RAND()&lt;'Team_Info'!$E$5,"W","B")</x:f>
        <x:v>B</x:v>
      </x:c>
      <x:c r="E189" t="str">
        <x:f>IF(RAND()&lt;'Team_Info'!$E$5,"W","B")</x:f>
        <x:v>W</x:v>
      </x:c>
      <x:c r="F189" t="str">
        <x:f>IF(RAND()&lt;'Team_Info'!$E$5,"W","B")</x:f>
        <x:v>W</x:v>
      </x:c>
      <x:c r="G189" t="str">
        <x:f>IF(RAND()&lt;'Team_Info'!$E$5,"W","B")</x:f>
        <x:v>B</x:v>
      </x:c>
      <x:c r="H189" t="str">
        <x:f>IF(RAND()&lt;'Team_Info'!$E$5,"W","B")</x:f>
        <x:v>B</x:v>
      </x:c>
      <x:c r="I189" t="str">
        <x:f>IF(RAND()&lt;'Team_Info'!$E$5,"W","B")</x:f>
        <x:v>W</x:v>
      </x:c>
      <x:c r="J189" t="str">
        <x:f>IF(RAND()&lt;'Team_Info'!$E$5,"W","B")</x:f>
        <x:v>W</x:v>
      </x:c>
      <x:c r="K189" t="str">
        <x:f>IF(RAND()&lt;'Team_Info'!$E$5,"W","B")</x:f>
        <x:v>W</x:v>
      </x:c>
      <x:c r="L189" t="str">
        <x:f>IF(RAND()&lt;'Team_Info'!$E$5,"W","B")</x:f>
        <x:v>B</x:v>
      </x:c>
      <x:c r="M189" t="str">
        <x:f>IF(RAND()&lt;'Team_Info'!$E$5,"W","B")</x:f>
        <x:v>B</x:v>
      </x:c>
      <x:c r="N189" t="str">
        <x:f>IF(RAND()&lt;'Team_Info'!$E$5,"W","B")</x:f>
        <x:v>B</x:v>
      </x:c>
      <x:c r="O189" t="str">
        <x:f>IF(RAND()&lt;'Team_Info'!$E$5,"W","B")</x:f>
        <x:v>B</x:v>
      </x:c>
      <x:c r="P189" t="str">
        <x:f>IF(RAND()&lt;'Team_Info'!$E$5,"W","B")</x:f>
        <x:v>B</x:v>
      </x:c>
      <x:c r="Q189" t="str">
        <x:f>IF(RAND()&lt;'Team_Info'!$E$5,"W","B")</x:f>
        <x:v>B</x:v>
      </x:c>
      <x:c r="R189" t="str">
        <x:f>IF(RAND()&lt;'Team_Info'!$E$5,"W","B")</x:f>
        <x:v>B</x:v>
      </x:c>
      <x:c r="S189" t="str">
        <x:f>IF(RAND()&lt;'Team_Info'!$E$5,"W","B")</x:f>
        <x:v>W</x:v>
      </x:c>
      <x:c r="T189" t="str">
        <x:f>IF(RAND()&lt;'Team_Info'!$E$5,"W","B")</x:f>
        <x:v>W</x:v>
      </x:c>
      <x:c r="U189" t="str">
        <x:f>IF(RAND()&lt;'Team_Info'!$E$5,"W","B")</x:f>
        <x:v>B</x:v>
      </x:c>
    </x:row>
    <x:row r="190">
      <x:c r="A190" s="1">
        <x:v>189</x:v>
      </x:c>
      <x:c r="B190" t="str">
        <x:f>IF(RAND()&lt;'Team_Info'!$E$5,"W","B")</x:f>
        <x:v>B</x:v>
      </x:c>
      <x:c r="C190" t="str">
        <x:f>IF(RAND()&lt;'Team_Info'!$E$5,"W","B")</x:f>
        <x:v>W</x:v>
      </x:c>
      <x:c r="D190" t="str">
        <x:f>IF(RAND()&lt;'Team_Info'!$E$5,"W","B")</x:f>
        <x:v>B</x:v>
      </x:c>
      <x:c r="E190" t="str">
        <x:f>IF(RAND()&lt;'Team_Info'!$E$5,"W","B")</x:f>
        <x:v>W</x:v>
      </x:c>
      <x:c r="F190" t="str">
        <x:f>IF(RAND()&lt;'Team_Info'!$E$5,"W","B")</x:f>
        <x:v>W</x:v>
      </x:c>
      <x:c r="G190" t="str">
        <x:f>IF(RAND()&lt;'Team_Info'!$E$5,"W","B")</x:f>
        <x:v>B</x:v>
      </x:c>
      <x:c r="H190" t="str">
        <x:f>IF(RAND()&lt;'Team_Info'!$E$5,"W","B")</x:f>
        <x:v>W</x:v>
      </x:c>
      <x:c r="I190" t="str">
        <x:f>IF(RAND()&lt;'Team_Info'!$E$5,"W","B")</x:f>
        <x:v>B</x:v>
      </x:c>
      <x:c r="J190" t="str">
        <x:f>IF(RAND()&lt;'Team_Info'!$E$5,"W","B")</x:f>
        <x:v>B</x:v>
      </x:c>
      <x:c r="K190" t="str">
        <x:f>IF(RAND()&lt;'Team_Info'!$E$5,"W","B")</x:f>
        <x:v>W</x:v>
      </x:c>
      <x:c r="L190" t="str">
        <x:f>IF(RAND()&lt;'Team_Info'!$E$5,"W","B")</x:f>
        <x:v>B</x:v>
      </x:c>
      <x:c r="M190" t="str">
        <x:f>IF(RAND()&lt;'Team_Info'!$E$5,"W","B")</x:f>
        <x:v>W</x:v>
      </x:c>
      <x:c r="N190" t="str">
        <x:f>IF(RAND()&lt;'Team_Info'!$E$5,"W","B")</x:f>
        <x:v>B</x:v>
      </x:c>
      <x:c r="O190" t="str">
        <x:f>IF(RAND()&lt;'Team_Info'!$E$5,"W","B")</x:f>
        <x:v>B</x:v>
      </x:c>
      <x:c r="P190" t="str">
        <x:f>IF(RAND()&lt;'Team_Info'!$E$5,"W","B")</x:f>
        <x:v>W</x:v>
      </x:c>
      <x:c r="Q190" t="str">
        <x:f>IF(RAND()&lt;'Team_Info'!$E$5,"W","B")</x:f>
        <x:v>B</x:v>
      </x:c>
      <x:c r="R190" t="str">
        <x:f>IF(RAND()&lt;'Team_Info'!$E$5,"W","B")</x:f>
        <x:v>B</x:v>
      </x:c>
      <x:c r="S190" t="str">
        <x:f>IF(RAND()&lt;'Team_Info'!$E$5,"W","B")</x:f>
        <x:v>B</x:v>
      </x:c>
      <x:c r="T190" t="str">
        <x:f>IF(RAND()&lt;'Team_Info'!$E$5,"W","B")</x:f>
        <x:v>B</x:v>
      </x:c>
      <x:c r="U190" t="str">
        <x:f>IF(RAND()&lt;'Team_Info'!$E$5,"W","B")</x:f>
        <x:v>B</x:v>
      </x:c>
    </x:row>
    <x:row r="191">
      <x:c r="A191" s="1">
        <x:v>190</x:v>
      </x:c>
      <x:c r="B191" t="str">
        <x:f>IF(RAND()&lt;'Team_Info'!$E$5,"W","B")</x:f>
        <x:v>B</x:v>
      </x:c>
      <x:c r="C191" t="str">
        <x:f>IF(RAND()&lt;'Team_Info'!$E$5,"W","B")</x:f>
        <x:v>B</x:v>
      </x:c>
      <x:c r="D191" t="str">
        <x:f>IF(RAND()&lt;'Team_Info'!$E$5,"W","B")</x:f>
        <x:v>W</x:v>
      </x:c>
      <x:c r="E191" t="str">
        <x:f>IF(RAND()&lt;'Team_Info'!$E$5,"W","B")</x:f>
        <x:v>W</x:v>
      </x:c>
      <x:c r="F191" t="str">
        <x:f>IF(RAND()&lt;'Team_Info'!$E$5,"W","B")</x:f>
        <x:v>W</x:v>
      </x:c>
      <x:c r="G191" t="str">
        <x:f>IF(RAND()&lt;'Team_Info'!$E$5,"W","B")</x:f>
        <x:v>W</x:v>
      </x:c>
      <x:c r="H191" t="str">
        <x:f>IF(RAND()&lt;'Team_Info'!$E$5,"W","B")</x:f>
        <x:v>W</x:v>
      </x:c>
      <x:c r="I191" t="str">
        <x:f>IF(RAND()&lt;'Team_Info'!$E$5,"W","B")</x:f>
        <x:v>W</x:v>
      </x:c>
      <x:c r="J191" t="str">
        <x:f>IF(RAND()&lt;'Team_Info'!$E$5,"W","B")</x:f>
        <x:v>B</x:v>
      </x:c>
      <x:c r="K191" t="str">
        <x:f>IF(RAND()&lt;'Team_Info'!$E$5,"W","B")</x:f>
        <x:v>W</x:v>
      </x:c>
      <x:c r="L191" t="str">
        <x:f>IF(RAND()&lt;'Team_Info'!$E$5,"W","B")</x:f>
        <x:v>B</x:v>
      </x:c>
      <x:c r="M191" t="str">
        <x:f>IF(RAND()&lt;'Team_Info'!$E$5,"W","B")</x:f>
        <x:v>B</x:v>
      </x:c>
      <x:c r="N191" t="str">
        <x:f>IF(RAND()&lt;'Team_Info'!$E$5,"W","B")</x:f>
        <x:v>W</x:v>
      </x:c>
      <x:c r="O191" t="str">
        <x:f>IF(RAND()&lt;'Team_Info'!$E$5,"W","B")</x:f>
        <x:v>B</x:v>
      </x:c>
      <x:c r="P191" t="str">
        <x:f>IF(RAND()&lt;'Team_Info'!$E$5,"W","B")</x:f>
        <x:v>B</x:v>
      </x:c>
      <x:c r="Q191" t="str">
        <x:f>IF(RAND()&lt;'Team_Info'!$E$5,"W","B")</x:f>
        <x:v>W</x:v>
      </x:c>
      <x:c r="R191" t="str">
        <x:f>IF(RAND()&lt;'Team_Info'!$E$5,"W","B")</x:f>
        <x:v>W</x:v>
      </x:c>
      <x:c r="S191" t="str">
        <x:f>IF(RAND()&lt;'Team_Info'!$E$5,"W","B")</x:f>
        <x:v>W</x:v>
      </x:c>
      <x:c r="T191" t="str">
        <x:f>IF(RAND()&lt;'Team_Info'!$E$5,"W","B")</x:f>
        <x:v>W</x:v>
      </x:c>
      <x:c r="U191" t="str">
        <x:f>IF(RAND()&lt;'Team_Info'!$E$5,"W","B")</x:f>
        <x:v>W</x:v>
      </x:c>
    </x:row>
    <x:row r="192">
      <x:c r="A192" s="1">
        <x:v>191</x:v>
      </x:c>
      <x:c r="B192" t="str">
        <x:f>IF(RAND()&lt;'Team_Info'!$E$5,"W","B")</x:f>
        <x:v>W</x:v>
      </x:c>
      <x:c r="C192" t="str">
        <x:f>IF(RAND()&lt;'Team_Info'!$E$5,"W","B")</x:f>
        <x:v>B</x:v>
      </x:c>
      <x:c r="D192" t="str">
        <x:f>IF(RAND()&lt;'Team_Info'!$E$5,"W","B")</x:f>
        <x:v>W</x:v>
      </x:c>
      <x:c r="E192" t="str">
        <x:f>IF(RAND()&lt;'Team_Info'!$E$5,"W","B")</x:f>
        <x:v>B</x:v>
      </x:c>
      <x:c r="F192" t="str">
        <x:f>IF(RAND()&lt;'Team_Info'!$E$5,"W","B")</x:f>
        <x:v>B</x:v>
      </x:c>
      <x:c r="G192" t="str">
        <x:f>IF(RAND()&lt;'Team_Info'!$E$5,"W","B")</x:f>
        <x:v>W</x:v>
      </x:c>
      <x:c r="H192" t="str">
        <x:f>IF(RAND()&lt;'Team_Info'!$E$5,"W","B")</x:f>
        <x:v>W</x:v>
      </x:c>
      <x:c r="I192" t="str">
        <x:f>IF(RAND()&lt;'Team_Info'!$E$5,"W","B")</x:f>
        <x:v>W</x:v>
      </x:c>
      <x:c r="J192" t="str">
        <x:f>IF(RAND()&lt;'Team_Info'!$E$5,"W","B")</x:f>
        <x:v>B</x:v>
      </x:c>
      <x:c r="K192" t="str">
        <x:f>IF(RAND()&lt;'Team_Info'!$E$5,"W","B")</x:f>
        <x:v>B</x:v>
      </x:c>
      <x:c r="L192" t="str">
        <x:f>IF(RAND()&lt;'Team_Info'!$E$5,"W","B")</x:f>
        <x:v>B</x:v>
      </x:c>
      <x:c r="M192" t="str">
        <x:f>IF(RAND()&lt;'Team_Info'!$E$5,"W","B")</x:f>
        <x:v>B</x:v>
      </x:c>
      <x:c r="N192" t="str">
        <x:f>IF(RAND()&lt;'Team_Info'!$E$5,"W","B")</x:f>
        <x:v>B</x:v>
      </x:c>
      <x:c r="O192" t="str">
        <x:f>IF(RAND()&lt;'Team_Info'!$E$5,"W","B")</x:f>
        <x:v>B</x:v>
      </x:c>
      <x:c r="P192" t="str">
        <x:f>IF(RAND()&lt;'Team_Info'!$E$5,"W","B")</x:f>
        <x:v>W</x:v>
      </x:c>
      <x:c r="Q192" t="str">
        <x:f>IF(RAND()&lt;'Team_Info'!$E$5,"W","B")</x:f>
        <x:v>B</x:v>
      </x:c>
      <x:c r="R192" t="str">
        <x:f>IF(RAND()&lt;'Team_Info'!$E$5,"W","B")</x:f>
        <x:v>B</x:v>
      </x:c>
      <x:c r="S192" t="str">
        <x:f>IF(RAND()&lt;'Team_Info'!$E$5,"W","B")</x:f>
        <x:v>B</x:v>
      </x:c>
      <x:c r="T192" t="str">
        <x:f>IF(RAND()&lt;'Team_Info'!$E$5,"W","B")</x:f>
        <x:v>B</x:v>
      </x:c>
      <x:c r="U192" t="str">
        <x:f>IF(RAND()&lt;'Team_Info'!$E$5,"W","B")</x:f>
        <x:v>B</x:v>
      </x:c>
    </x:row>
    <x:row r="193">
      <x:c r="A193" s="1">
        <x:v>192</x:v>
      </x:c>
      <x:c r="B193" t="str">
        <x:f>IF(RAND()&lt;'Team_Info'!$E$5,"W","B")</x:f>
        <x:v>W</x:v>
      </x:c>
      <x:c r="C193" t="str">
        <x:f>IF(RAND()&lt;'Team_Info'!$E$5,"W","B")</x:f>
        <x:v>W</x:v>
      </x:c>
      <x:c r="D193" t="str">
        <x:f>IF(RAND()&lt;'Team_Info'!$E$5,"W","B")</x:f>
        <x:v>B</x:v>
      </x:c>
      <x:c r="E193" t="str">
        <x:f>IF(RAND()&lt;'Team_Info'!$E$5,"W","B")</x:f>
        <x:v>W</x:v>
      </x:c>
      <x:c r="F193" t="str">
        <x:f>IF(RAND()&lt;'Team_Info'!$E$5,"W","B")</x:f>
        <x:v>B</x:v>
      </x:c>
      <x:c r="G193" t="str">
        <x:f>IF(RAND()&lt;'Team_Info'!$E$5,"W","B")</x:f>
        <x:v>B</x:v>
      </x:c>
      <x:c r="H193" t="str">
        <x:f>IF(RAND()&lt;'Team_Info'!$E$5,"W","B")</x:f>
        <x:v>W</x:v>
      </x:c>
      <x:c r="I193" t="str">
        <x:f>IF(RAND()&lt;'Team_Info'!$E$5,"W","B")</x:f>
        <x:v>B</x:v>
      </x:c>
      <x:c r="J193" t="str">
        <x:f>IF(RAND()&lt;'Team_Info'!$E$5,"W","B")</x:f>
        <x:v>B</x:v>
      </x:c>
      <x:c r="K193" t="str">
        <x:f>IF(RAND()&lt;'Team_Info'!$E$5,"W","B")</x:f>
        <x:v>W</x:v>
      </x:c>
      <x:c r="L193" t="str">
        <x:f>IF(RAND()&lt;'Team_Info'!$E$5,"W","B")</x:f>
        <x:v>B</x:v>
      </x:c>
      <x:c r="M193" t="str">
        <x:f>IF(RAND()&lt;'Team_Info'!$E$5,"W","B")</x:f>
        <x:v>B</x:v>
      </x:c>
      <x:c r="N193" t="str">
        <x:f>IF(RAND()&lt;'Team_Info'!$E$5,"W","B")</x:f>
        <x:v>B</x:v>
      </x:c>
      <x:c r="O193" t="str">
        <x:f>IF(RAND()&lt;'Team_Info'!$E$5,"W","B")</x:f>
        <x:v>B</x:v>
      </x:c>
      <x:c r="P193" t="str">
        <x:f>IF(RAND()&lt;'Team_Info'!$E$5,"W","B")</x:f>
        <x:v>B</x:v>
      </x:c>
      <x:c r="Q193" t="str">
        <x:f>IF(RAND()&lt;'Team_Info'!$E$5,"W","B")</x:f>
        <x:v>B</x:v>
      </x:c>
      <x:c r="R193" t="str">
        <x:f>IF(RAND()&lt;'Team_Info'!$E$5,"W","B")</x:f>
        <x:v>B</x:v>
      </x:c>
      <x:c r="S193" t="str">
        <x:f>IF(RAND()&lt;'Team_Info'!$E$5,"W","B")</x:f>
        <x:v>B</x:v>
      </x:c>
      <x:c r="T193" t="str">
        <x:f>IF(RAND()&lt;'Team_Info'!$E$5,"W","B")</x:f>
        <x:v>B</x:v>
      </x:c>
      <x:c r="U193" t="str">
        <x:f>IF(RAND()&lt;'Team_Info'!$E$5,"W","B")</x:f>
        <x:v>W</x:v>
      </x:c>
    </x:row>
    <x:row r="194">
      <x:c r="A194" s="1">
        <x:v>193</x:v>
      </x:c>
      <x:c r="B194" t="str">
        <x:f>IF(RAND()&lt;'Team_Info'!$E$5,"W","B")</x:f>
        <x:v>W</x:v>
      </x:c>
      <x:c r="C194" t="str">
        <x:f>IF(RAND()&lt;'Team_Info'!$E$5,"W","B")</x:f>
        <x:v>W</x:v>
      </x:c>
      <x:c r="D194" t="str">
        <x:f>IF(RAND()&lt;'Team_Info'!$E$5,"W","B")</x:f>
        <x:v>B</x:v>
      </x:c>
      <x:c r="E194" t="str">
        <x:f>IF(RAND()&lt;'Team_Info'!$E$5,"W","B")</x:f>
        <x:v>W</x:v>
      </x:c>
      <x:c r="F194" t="str">
        <x:f>IF(RAND()&lt;'Team_Info'!$E$5,"W","B")</x:f>
        <x:v>B</x:v>
      </x:c>
      <x:c r="G194" t="str">
        <x:f>IF(RAND()&lt;'Team_Info'!$E$5,"W","B")</x:f>
        <x:v>B</x:v>
      </x:c>
      <x:c r="H194" t="str">
        <x:f>IF(RAND()&lt;'Team_Info'!$E$5,"W","B")</x:f>
        <x:v>B</x:v>
      </x:c>
      <x:c r="I194" t="str">
        <x:f>IF(RAND()&lt;'Team_Info'!$E$5,"W","B")</x:f>
        <x:v>B</x:v>
      </x:c>
      <x:c r="J194" t="str">
        <x:f>IF(RAND()&lt;'Team_Info'!$E$5,"W","B")</x:f>
        <x:v>W</x:v>
      </x:c>
      <x:c r="K194" t="str">
        <x:f>IF(RAND()&lt;'Team_Info'!$E$5,"W","B")</x:f>
        <x:v>W</x:v>
      </x:c>
      <x:c r="L194" t="str">
        <x:f>IF(RAND()&lt;'Team_Info'!$E$5,"W","B")</x:f>
        <x:v>B</x:v>
      </x:c>
      <x:c r="M194" t="str">
        <x:f>IF(RAND()&lt;'Team_Info'!$E$5,"W","B")</x:f>
        <x:v>W</x:v>
      </x:c>
      <x:c r="N194" t="str">
        <x:f>IF(RAND()&lt;'Team_Info'!$E$5,"W","B")</x:f>
        <x:v>W</x:v>
      </x:c>
      <x:c r="O194" t="str">
        <x:f>IF(RAND()&lt;'Team_Info'!$E$5,"W","B")</x:f>
        <x:v>B</x:v>
      </x:c>
      <x:c r="P194" t="str">
        <x:f>IF(RAND()&lt;'Team_Info'!$E$5,"W","B")</x:f>
        <x:v>B</x:v>
      </x:c>
      <x:c r="Q194" t="str">
        <x:f>IF(RAND()&lt;'Team_Info'!$E$5,"W","B")</x:f>
        <x:v>W</x:v>
      </x:c>
      <x:c r="R194" t="str">
        <x:f>IF(RAND()&lt;'Team_Info'!$E$5,"W","B")</x:f>
        <x:v>W</x:v>
      </x:c>
      <x:c r="S194" t="str">
        <x:f>IF(RAND()&lt;'Team_Info'!$E$5,"W","B")</x:f>
        <x:v>B</x:v>
      </x:c>
      <x:c r="T194" t="str">
        <x:f>IF(RAND()&lt;'Team_Info'!$E$5,"W","B")</x:f>
        <x:v>B</x:v>
      </x:c>
      <x:c r="U194" t="str">
        <x:f>IF(RAND()&lt;'Team_Info'!$E$5,"W","B")</x:f>
        <x:v>W</x:v>
      </x:c>
    </x:row>
    <x:row r="195">
      <x:c r="A195" s="1">
        <x:v>194</x:v>
      </x:c>
      <x:c r="B195" t="str">
        <x:f>IF(RAND()&lt;'Team_Info'!$E$5,"W","B")</x:f>
        <x:v>B</x:v>
      </x:c>
      <x:c r="C195" t="str">
        <x:f>IF(RAND()&lt;'Team_Info'!$E$5,"W","B")</x:f>
        <x:v>B</x:v>
      </x:c>
      <x:c r="D195" t="str">
        <x:f>IF(RAND()&lt;'Team_Info'!$E$5,"W","B")</x:f>
        <x:v>W</x:v>
      </x:c>
      <x:c r="E195" t="str">
        <x:f>IF(RAND()&lt;'Team_Info'!$E$5,"W","B")</x:f>
        <x:v>B</x:v>
      </x:c>
      <x:c r="F195" t="str">
        <x:f>IF(RAND()&lt;'Team_Info'!$E$5,"W","B")</x:f>
        <x:v>B</x:v>
      </x:c>
      <x:c r="G195" t="str">
        <x:f>IF(RAND()&lt;'Team_Info'!$E$5,"W","B")</x:f>
        <x:v>B</x:v>
      </x:c>
      <x:c r="H195" t="str">
        <x:f>IF(RAND()&lt;'Team_Info'!$E$5,"W","B")</x:f>
        <x:v>B</x:v>
      </x:c>
      <x:c r="I195" t="str">
        <x:f>IF(RAND()&lt;'Team_Info'!$E$5,"W","B")</x:f>
        <x:v>B</x:v>
      </x:c>
      <x:c r="J195" t="str">
        <x:f>IF(RAND()&lt;'Team_Info'!$E$5,"W","B")</x:f>
        <x:v>W</x:v>
      </x:c>
      <x:c r="K195" t="str">
        <x:f>IF(RAND()&lt;'Team_Info'!$E$5,"W","B")</x:f>
        <x:v>W</x:v>
      </x:c>
      <x:c r="L195" t="str">
        <x:f>IF(RAND()&lt;'Team_Info'!$E$5,"W","B")</x:f>
        <x:v>B</x:v>
      </x:c>
      <x:c r="M195" t="str">
        <x:f>IF(RAND()&lt;'Team_Info'!$E$5,"W","B")</x:f>
        <x:v>B</x:v>
      </x:c>
      <x:c r="N195" t="str">
        <x:f>IF(RAND()&lt;'Team_Info'!$E$5,"W","B")</x:f>
        <x:v>B</x:v>
      </x:c>
      <x:c r="O195" t="str">
        <x:f>IF(RAND()&lt;'Team_Info'!$E$5,"W","B")</x:f>
        <x:v>W</x:v>
      </x:c>
      <x:c r="P195" t="str">
        <x:f>IF(RAND()&lt;'Team_Info'!$E$5,"W","B")</x:f>
        <x:v>W</x:v>
      </x:c>
      <x:c r="Q195" t="str">
        <x:f>IF(RAND()&lt;'Team_Info'!$E$5,"W","B")</x:f>
        <x:v>B</x:v>
      </x:c>
      <x:c r="R195" t="str">
        <x:f>IF(RAND()&lt;'Team_Info'!$E$5,"W","B")</x:f>
        <x:v>B</x:v>
      </x:c>
      <x:c r="S195" t="str">
        <x:f>IF(RAND()&lt;'Team_Info'!$E$5,"W","B")</x:f>
        <x:v>B</x:v>
      </x:c>
      <x:c r="T195" t="str">
        <x:f>IF(RAND()&lt;'Team_Info'!$E$5,"W","B")</x:f>
        <x:v>B</x:v>
      </x:c>
      <x:c r="U195" t="str">
        <x:f>IF(RAND()&lt;'Team_Info'!$E$5,"W","B")</x:f>
        <x:v>B</x:v>
      </x:c>
    </x:row>
    <x:row r="196">
      <x:c r="A196" s="1">
        <x:v>195</x:v>
      </x:c>
      <x:c r="B196" t="str">
        <x:f>IF(RAND()&lt;'Team_Info'!$E$5,"W","B")</x:f>
        <x:v>B</x:v>
      </x:c>
      <x:c r="C196" t="str">
        <x:f>IF(RAND()&lt;'Team_Info'!$E$5,"W","B")</x:f>
        <x:v>B</x:v>
      </x:c>
      <x:c r="D196" t="str">
        <x:f>IF(RAND()&lt;'Team_Info'!$E$5,"W","B")</x:f>
        <x:v>B</x:v>
      </x:c>
      <x:c r="E196" t="str">
        <x:f>IF(RAND()&lt;'Team_Info'!$E$5,"W","B")</x:f>
        <x:v>W</x:v>
      </x:c>
      <x:c r="F196" t="str">
        <x:f>IF(RAND()&lt;'Team_Info'!$E$5,"W","B")</x:f>
        <x:v>B</x:v>
      </x:c>
      <x:c r="G196" t="str">
        <x:f>IF(RAND()&lt;'Team_Info'!$E$5,"W","B")</x:f>
        <x:v>W</x:v>
      </x:c>
      <x:c r="H196" t="str">
        <x:f>IF(RAND()&lt;'Team_Info'!$E$5,"W","B")</x:f>
        <x:v>W</x:v>
      </x:c>
      <x:c r="I196" t="str">
        <x:f>IF(RAND()&lt;'Team_Info'!$E$5,"W","B")</x:f>
        <x:v>B</x:v>
      </x:c>
      <x:c r="J196" t="str">
        <x:f>IF(RAND()&lt;'Team_Info'!$E$5,"W","B")</x:f>
        <x:v>W</x:v>
      </x:c>
      <x:c r="K196" t="str">
        <x:f>IF(RAND()&lt;'Team_Info'!$E$5,"W","B")</x:f>
        <x:v>B</x:v>
      </x:c>
      <x:c r="L196" t="str">
        <x:f>IF(RAND()&lt;'Team_Info'!$E$5,"W","B")</x:f>
        <x:v>B</x:v>
      </x:c>
      <x:c r="M196" t="str">
        <x:f>IF(RAND()&lt;'Team_Info'!$E$5,"W","B")</x:f>
        <x:v>B</x:v>
      </x:c>
      <x:c r="N196" t="str">
        <x:f>IF(RAND()&lt;'Team_Info'!$E$5,"W","B")</x:f>
        <x:v>B</x:v>
      </x:c>
      <x:c r="O196" t="str">
        <x:f>IF(RAND()&lt;'Team_Info'!$E$5,"W","B")</x:f>
        <x:v>B</x:v>
      </x:c>
      <x:c r="P196" t="str">
        <x:f>IF(RAND()&lt;'Team_Info'!$E$5,"W","B")</x:f>
        <x:v>W</x:v>
      </x:c>
      <x:c r="Q196" t="str">
        <x:f>IF(RAND()&lt;'Team_Info'!$E$5,"W","B")</x:f>
        <x:v>W</x:v>
      </x:c>
      <x:c r="R196" t="str">
        <x:f>IF(RAND()&lt;'Team_Info'!$E$5,"W","B")</x:f>
        <x:v>B</x:v>
      </x:c>
      <x:c r="S196" t="str">
        <x:f>IF(RAND()&lt;'Team_Info'!$E$5,"W","B")</x:f>
        <x:v>W</x:v>
      </x:c>
      <x:c r="T196" t="str">
        <x:f>IF(RAND()&lt;'Team_Info'!$E$5,"W","B")</x:f>
        <x:v>W</x:v>
      </x:c>
      <x:c r="U196" t="str">
        <x:f>IF(RAND()&lt;'Team_Info'!$E$5,"W","B")</x:f>
        <x:v>B</x:v>
      </x:c>
    </x:row>
    <x:row r="197">
      <x:c r="A197" s="1">
        <x:v>196</x:v>
      </x:c>
      <x:c r="B197" t="str">
        <x:f>IF(RAND()&lt;'Team_Info'!$E$5,"W","B")</x:f>
        <x:v>W</x:v>
      </x:c>
      <x:c r="C197" t="str">
        <x:f>IF(RAND()&lt;'Team_Info'!$E$5,"W","B")</x:f>
        <x:v>B</x:v>
      </x:c>
      <x:c r="D197" t="str">
        <x:f>IF(RAND()&lt;'Team_Info'!$E$5,"W","B")</x:f>
        <x:v>B</x:v>
      </x:c>
      <x:c r="E197" t="str">
        <x:f>IF(RAND()&lt;'Team_Info'!$E$5,"W","B")</x:f>
        <x:v>B</x:v>
      </x:c>
      <x:c r="F197" t="str">
        <x:f>IF(RAND()&lt;'Team_Info'!$E$5,"W","B")</x:f>
        <x:v>B</x:v>
      </x:c>
      <x:c r="G197" t="str">
        <x:f>IF(RAND()&lt;'Team_Info'!$E$5,"W","B")</x:f>
        <x:v>B</x:v>
      </x:c>
      <x:c r="H197" t="str">
        <x:f>IF(RAND()&lt;'Team_Info'!$E$5,"W","B")</x:f>
        <x:v>B</x:v>
      </x:c>
      <x:c r="I197" t="str">
        <x:f>IF(RAND()&lt;'Team_Info'!$E$5,"W","B")</x:f>
        <x:v>W</x:v>
      </x:c>
      <x:c r="J197" t="str">
        <x:f>IF(RAND()&lt;'Team_Info'!$E$5,"W","B")</x:f>
        <x:v>B</x:v>
      </x:c>
      <x:c r="K197" t="str">
        <x:f>IF(RAND()&lt;'Team_Info'!$E$5,"W","B")</x:f>
        <x:v>B</x:v>
      </x:c>
      <x:c r="L197" t="str">
        <x:f>IF(RAND()&lt;'Team_Info'!$E$5,"W","B")</x:f>
        <x:v>B</x:v>
      </x:c>
      <x:c r="M197" t="str">
        <x:f>IF(RAND()&lt;'Team_Info'!$E$5,"W","B")</x:f>
        <x:v>B</x:v>
      </x:c>
      <x:c r="N197" t="str">
        <x:f>IF(RAND()&lt;'Team_Info'!$E$5,"W","B")</x:f>
        <x:v>B</x:v>
      </x:c>
      <x:c r="O197" t="str">
        <x:f>IF(RAND()&lt;'Team_Info'!$E$5,"W","B")</x:f>
        <x:v>B</x:v>
      </x:c>
      <x:c r="P197" t="str">
        <x:f>IF(RAND()&lt;'Team_Info'!$E$5,"W","B")</x:f>
        <x:v>B</x:v>
      </x:c>
      <x:c r="Q197" t="str">
        <x:f>IF(RAND()&lt;'Team_Info'!$E$5,"W","B")</x:f>
        <x:v>B</x:v>
      </x:c>
      <x:c r="R197" t="str">
        <x:f>IF(RAND()&lt;'Team_Info'!$E$5,"W","B")</x:f>
        <x:v>B</x:v>
      </x:c>
      <x:c r="S197" t="str">
        <x:f>IF(RAND()&lt;'Team_Info'!$E$5,"W","B")</x:f>
        <x:v>B</x:v>
      </x:c>
      <x:c r="T197" t="str">
        <x:f>IF(RAND()&lt;'Team_Info'!$E$5,"W","B")</x:f>
        <x:v>W</x:v>
      </x:c>
      <x:c r="U197" t="str">
        <x:f>IF(RAND()&lt;'Team_Info'!$E$5,"W","B")</x:f>
        <x:v>W</x:v>
      </x:c>
    </x:row>
    <x:row r="198">
      <x:c r="A198" s="1">
        <x:v>197</x:v>
      </x:c>
      <x:c r="B198" t="str">
        <x:f>IF(RAND()&lt;'Team_Info'!$E$5,"W","B")</x:f>
        <x:v>B</x:v>
      </x:c>
      <x:c r="C198" t="str">
        <x:f>IF(RAND()&lt;'Team_Info'!$E$5,"W","B")</x:f>
        <x:v>W</x:v>
      </x:c>
      <x:c r="D198" t="str">
        <x:f>IF(RAND()&lt;'Team_Info'!$E$5,"W","B")</x:f>
        <x:v>W</x:v>
      </x:c>
      <x:c r="E198" t="str">
        <x:f>IF(RAND()&lt;'Team_Info'!$E$5,"W","B")</x:f>
        <x:v>B</x:v>
      </x:c>
      <x:c r="F198" t="str">
        <x:f>IF(RAND()&lt;'Team_Info'!$E$5,"W","B")</x:f>
        <x:v>W</x:v>
      </x:c>
      <x:c r="G198" t="str">
        <x:f>IF(RAND()&lt;'Team_Info'!$E$5,"W","B")</x:f>
        <x:v>W</x:v>
      </x:c>
      <x:c r="H198" t="str">
        <x:f>IF(RAND()&lt;'Team_Info'!$E$5,"W","B")</x:f>
        <x:v>W</x:v>
      </x:c>
      <x:c r="I198" t="str">
        <x:f>IF(RAND()&lt;'Team_Info'!$E$5,"W","B")</x:f>
        <x:v>B</x:v>
      </x:c>
      <x:c r="J198" t="str">
        <x:f>IF(RAND()&lt;'Team_Info'!$E$5,"W","B")</x:f>
        <x:v>B</x:v>
      </x:c>
      <x:c r="K198" t="str">
        <x:f>IF(RAND()&lt;'Team_Info'!$E$5,"W","B")</x:f>
        <x:v>W</x:v>
      </x:c>
      <x:c r="L198" t="str">
        <x:f>IF(RAND()&lt;'Team_Info'!$E$5,"W","B")</x:f>
        <x:v>B</x:v>
      </x:c>
      <x:c r="M198" t="str">
        <x:f>IF(RAND()&lt;'Team_Info'!$E$5,"W","B")</x:f>
        <x:v>B</x:v>
      </x:c>
      <x:c r="N198" t="str">
        <x:f>IF(RAND()&lt;'Team_Info'!$E$5,"W","B")</x:f>
        <x:v>W</x:v>
      </x:c>
      <x:c r="O198" t="str">
        <x:f>IF(RAND()&lt;'Team_Info'!$E$5,"W","B")</x:f>
        <x:v>W</x:v>
      </x:c>
      <x:c r="P198" t="str">
        <x:f>IF(RAND()&lt;'Team_Info'!$E$5,"W","B")</x:f>
        <x:v>B</x:v>
      </x:c>
      <x:c r="Q198" t="str">
        <x:f>IF(RAND()&lt;'Team_Info'!$E$5,"W","B")</x:f>
        <x:v>B</x:v>
      </x:c>
      <x:c r="R198" t="str">
        <x:f>IF(RAND()&lt;'Team_Info'!$E$5,"W","B")</x:f>
        <x:v>B</x:v>
      </x:c>
      <x:c r="S198" t="str">
        <x:f>IF(RAND()&lt;'Team_Info'!$E$5,"W","B")</x:f>
        <x:v>W</x:v>
      </x:c>
      <x:c r="T198" t="str">
        <x:f>IF(RAND()&lt;'Team_Info'!$E$5,"W","B")</x:f>
        <x:v>W</x:v>
      </x:c>
      <x:c r="U198" t="str">
        <x:f>IF(RAND()&lt;'Team_Info'!$E$5,"W","B")</x:f>
        <x:v>B</x:v>
      </x:c>
    </x:row>
    <x:row r="199">
      <x:c r="A199" s="1">
        <x:v>198</x:v>
      </x:c>
      <x:c r="B199" t="str">
        <x:f>IF(RAND()&lt;'Team_Info'!$E$5,"W","B")</x:f>
        <x:v>W</x:v>
      </x:c>
      <x:c r="C199" t="str">
        <x:f>IF(RAND()&lt;'Team_Info'!$E$5,"W","B")</x:f>
        <x:v>B</x:v>
      </x:c>
      <x:c r="D199" t="str">
        <x:f>IF(RAND()&lt;'Team_Info'!$E$5,"W","B")</x:f>
        <x:v>B</x:v>
      </x:c>
      <x:c r="E199" t="str">
        <x:f>IF(RAND()&lt;'Team_Info'!$E$5,"W","B")</x:f>
        <x:v>B</x:v>
      </x:c>
      <x:c r="F199" t="str">
        <x:f>IF(RAND()&lt;'Team_Info'!$E$5,"W","B")</x:f>
        <x:v>B</x:v>
      </x:c>
      <x:c r="G199" t="str">
        <x:f>IF(RAND()&lt;'Team_Info'!$E$5,"W","B")</x:f>
        <x:v>B</x:v>
      </x:c>
      <x:c r="H199" t="str">
        <x:f>IF(RAND()&lt;'Team_Info'!$E$5,"W","B")</x:f>
        <x:v>B</x:v>
      </x:c>
      <x:c r="I199" t="str">
        <x:f>IF(RAND()&lt;'Team_Info'!$E$5,"W","B")</x:f>
        <x:v>B</x:v>
      </x:c>
      <x:c r="J199" t="str">
        <x:f>IF(RAND()&lt;'Team_Info'!$E$5,"W","B")</x:f>
        <x:v>B</x:v>
      </x:c>
      <x:c r="K199" t="str">
        <x:f>IF(RAND()&lt;'Team_Info'!$E$5,"W","B")</x:f>
        <x:v>B</x:v>
      </x:c>
      <x:c r="L199" t="str">
        <x:f>IF(RAND()&lt;'Team_Info'!$E$5,"W","B")</x:f>
        <x:v>W</x:v>
      </x:c>
      <x:c r="M199" t="str">
        <x:f>IF(RAND()&lt;'Team_Info'!$E$5,"W","B")</x:f>
        <x:v>B</x:v>
      </x:c>
      <x:c r="N199" t="str">
        <x:f>IF(RAND()&lt;'Team_Info'!$E$5,"W","B")</x:f>
        <x:v>W</x:v>
      </x:c>
      <x:c r="O199" t="str">
        <x:f>IF(RAND()&lt;'Team_Info'!$E$5,"W","B")</x:f>
        <x:v>W</x:v>
      </x:c>
      <x:c r="P199" t="str">
        <x:f>IF(RAND()&lt;'Team_Info'!$E$5,"W","B")</x:f>
        <x:v>W</x:v>
      </x:c>
      <x:c r="Q199" t="str">
        <x:f>IF(RAND()&lt;'Team_Info'!$E$5,"W","B")</x:f>
        <x:v>W</x:v>
      </x:c>
      <x:c r="R199" t="str">
        <x:f>IF(RAND()&lt;'Team_Info'!$E$5,"W","B")</x:f>
        <x:v>W</x:v>
      </x:c>
      <x:c r="S199" t="str">
        <x:f>IF(RAND()&lt;'Team_Info'!$E$5,"W","B")</x:f>
        <x:v>W</x:v>
      </x:c>
      <x:c r="T199" t="str">
        <x:f>IF(RAND()&lt;'Team_Info'!$E$5,"W","B")</x:f>
        <x:v>B</x:v>
      </x:c>
      <x:c r="U199" t="str">
        <x:f>IF(RAND()&lt;'Team_Info'!$E$5,"W","B")</x:f>
        <x:v>B</x:v>
      </x:c>
    </x:row>
    <x:row r="200">
      <x:c r="A200" s="1">
        <x:v>199</x:v>
      </x:c>
      <x:c r="B200" t="str">
        <x:f>IF(RAND()&lt;'Team_Info'!$E$5,"W","B")</x:f>
        <x:v>W</x:v>
      </x:c>
      <x:c r="C200" t="str">
        <x:f>IF(RAND()&lt;'Team_Info'!$E$5,"W","B")</x:f>
        <x:v>B</x:v>
      </x:c>
      <x:c r="D200" t="str">
        <x:f>IF(RAND()&lt;'Team_Info'!$E$5,"W","B")</x:f>
        <x:v>B</x:v>
      </x:c>
      <x:c r="E200" t="str">
        <x:f>IF(RAND()&lt;'Team_Info'!$E$5,"W","B")</x:f>
        <x:v>B</x:v>
      </x:c>
      <x:c r="F200" t="str">
        <x:f>IF(RAND()&lt;'Team_Info'!$E$5,"W","B")</x:f>
        <x:v>B</x:v>
      </x:c>
      <x:c r="G200" t="str">
        <x:f>IF(RAND()&lt;'Team_Info'!$E$5,"W","B")</x:f>
        <x:v>W</x:v>
      </x:c>
      <x:c r="H200" t="str">
        <x:f>IF(RAND()&lt;'Team_Info'!$E$5,"W","B")</x:f>
        <x:v>W</x:v>
      </x:c>
      <x:c r="I200" t="str">
        <x:f>IF(RAND()&lt;'Team_Info'!$E$5,"W","B")</x:f>
        <x:v>W</x:v>
      </x:c>
      <x:c r="J200" t="str">
        <x:f>IF(RAND()&lt;'Team_Info'!$E$5,"W","B")</x:f>
        <x:v>W</x:v>
      </x:c>
      <x:c r="K200" t="str">
        <x:f>IF(RAND()&lt;'Team_Info'!$E$5,"W","B")</x:f>
        <x:v>B</x:v>
      </x:c>
      <x:c r="L200" t="str">
        <x:f>IF(RAND()&lt;'Team_Info'!$E$5,"W","B")</x:f>
        <x:v>B</x:v>
      </x:c>
      <x:c r="M200" t="str">
        <x:f>IF(RAND()&lt;'Team_Info'!$E$5,"W","B")</x:f>
        <x:v>B</x:v>
      </x:c>
      <x:c r="N200" t="str">
        <x:f>IF(RAND()&lt;'Team_Info'!$E$5,"W","B")</x:f>
        <x:v>W</x:v>
      </x:c>
      <x:c r="O200" t="str">
        <x:f>IF(RAND()&lt;'Team_Info'!$E$5,"W","B")</x:f>
        <x:v>B</x:v>
      </x:c>
      <x:c r="P200" t="str">
        <x:f>IF(RAND()&lt;'Team_Info'!$E$5,"W","B")</x:f>
        <x:v>W</x:v>
      </x:c>
      <x:c r="Q200" t="str">
        <x:f>IF(RAND()&lt;'Team_Info'!$E$5,"W","B")</x:f>
        <x:v>W</x:v>
      </x:c>
      <x:c r="R200" t="str">
        <x:f>IF(RAND()&lt;'Team_Info'!$E$5,"W","B")</x:f>
        <x:v>B</x:v>
      </x:c>
      <x:c r="S200" t="str">
        <x:f>IF(RAND()&lt;'Team_Info'!$E$5,"W","B")</x:f>
        <x:v>B</x:v>
      </x:c>
      <x:c r="T200" t="str">
        <x:f>IF(RAND()&lt;'Team_Info'!$E$5,"W","B")</x:f>
        <x:v>W</x:v>
      </x:c>
      <x:c r="U200" t="str">
        <x:f>IF(RAND()&lt;'Team_Info'!$E$5,"W","B")</x:f>
        <x:v>B</x:v>
      </x:c>
    </x:row>
    <x:row r="201">
      <x:c r="A201" s="1">
        <x:v>200</x:v>
      </x:c>
      <x:c r="B201" t="str">
        <x:f>IF(RAND()&lt;'Team_Info'!$E$5,"W","B")</x:f>
        <x:v>W</x:v>
      </x:c>
      <x:c r="C201" t="str">
        <x:f>IF(RAND()&lt;'Team_Info'!$E$5,"W","B")</x:f>
        <x:v>W</x:v>
      </x:c>
      <x:c r="D201" t="str">
        <x:f>IF(RAND()&lt;'Team_Info'!$E$5,"W","B")</x:f>
        <x:v>W</x:v>
      </x:c>
      <x:c r="E201" t="str">
        <x:f>IF(RAND()&lt;'Team_Info'!$E$5,"W","B")</x:f>
        <x:v>B</x:v>
      </x:c>
      <x:c r="F201" t="str">
        <x:f>IF(RAND()&lt;'Team_Info'!$E$5,"W","B")</x:f>
        <x:v>W</x:v>
      </x:c>
      <x:c r="G201" t="str">
        <x:f>IF(RAND()&lt;'Team_Info'!$E$5,"W","B")</x:f>
        <x:v>B</x:v>
      </x:c>
      <x:c r="H201" t="str">
        <x:f>IF(RAND()&lt;'Team_Info'!$E$5,"W","B")</x:f>
        <x:v>W</x:v>
      </x:c>
      <x:c r="I201" t="str">
        <x:f>IF(RAND()&lt;'Team_Info'!$E$5,"W","B")</x:f>
        <x:v>B</x:v>
      </x:c>
      <x:c r="J201" t="str">
        <x:f>IF(RAND()&lt;'Team_Info'!$E$5,"W","B")</x:f>
        <x:v>B</x:v>
      </x:c>
      <x:c r="K201" t="str">
        <x:f>IF(RAND()&lt;'Team_Info'!$E$5,"W","B")</x:f>
        <x:v>B</x:v>
      </x:c>
      <x:c r="L201" t="str">
        <x:f>IF(RAND()&lt;'Team_Info'!$E$5,"W","B")</x:f>
        <x:v>B</x:v>
      </x:c>
      <x:c r="M201" t="str">
        <x:f>IF(RAND()&lt;'Team_Info'!$E$5,"W","B")</x:f>
        <x:v>B</x:v>
      </x:c>
      <x:c r="N201" t="str">
        <x:f>IF(RAND()&lt;'Team_Info'!$E$5,"W","B")</x:f>
        <x:v>W</x:v>
      </x:c>
      <x:c r="O201" t="str">
        <x:f>IF(RAND()&lt;'Team_Info'!$E$5,"W","B")</x:f>
        <x:v>B</x:v>
      </x:c>
      <x:c r="P201" t="str">
        <x:f>IF(RAND()&lt;'Team_Info'!$E$5,"W","B")</x:f>
        <x:v>B</x:v>
      </x:c>
      <x:c r="Q201" t="str">
        <x:f>IF(RAND()&lt;'Team_Info'!$E$5,"W","B")</x:f>
        <x:v>B</x:v>
      </x:c>
      <x:c r="R201" t="str">
        <x:f>IF(RAND()&lt;'Team_Info'!$E$5,"W","B")</x:f>
        <x:v>W</x:v>
      </x:c>
      <x:c r="S201" t="str">
        <x:f>IF(RAND()&lt;'Team_Info'!$E$5,"W","B")</x:f>
        <x:v>B</x:v>
      </x:c>
      <x:c r="T201" t="str">
        <x:f>IF(RAND()&lt;'Team_Info'!$E$5,"W","B")</x:f>
        <x:v>B</x:v>
      </x:c>
      <x:c r="U201" t="str">
        <x:f>IF(RAND()&lt;'Team_Info'!$E$5,"W","B")</x:f>
        <x:v>B</x:v>
      </x:c>
    </x:row>
    <x:row r="202">
      <x:c r="A202" s="1">
        <x:v>201</x:v>
      </x:c>
      <x:c r="B202" t="str">
        <x:f>IF(RAND()&lt;'Team_Info'!$E$5,"W","B")</x:f>
        <x:v>W</x:v>
      </x:c>
      <x:c r="C202" t="str">
        <x:f>IF(RAND()&lt;'Team_Info'!$E$5,"W","B")</x:f>
        <x:v>W</x:v>
      </x:c>
      <x:c r="D202" t="str">
        <x:f>IF(RAND()&lt;'Team_Info'!$E$5,"W","B")</x:f>
        <x:v>W</x:v>
      </x:c>
      <x:c r="E202" t="str">
        <x:f>IF(RAND()&lt;'Team_Info'!$E$5,"W","B")</x:f>
        <x:v>B</x:v>
      </x:c>
      <x:c r="F202" t="str">
        <x:f>IF(RAND()&lt;'Team_Info'!$E$5,"W","B")</x:f>
        <x:v>B</x:v>
      </x:c>
      <x:c r="G202" t="str">
        <x:f>IF(RAND()&lt;'Team_Info'!$E$5,"W","B")</x:f>
        <x:v>B</x:v>
      </x:c>
      <x:c r="H202" t="str">
        <x:f>IF(RAND()&lt;'Team_Info'!$E$5,"W","B")</x:f>
        <x:v>B</x:v>
      </x:c>
      <x:c r="I202" t="str">
        <x:f>IF(RAND()&lt;'Team_Info'!$E$5,"W","B")</x:f>
        <x:v>B</x:v>
      </x:c>
      <x:c r="J202" t="str">
        <x:f>IF(RAND()&lt;'Team_Info'!$E$5,"W","B")</x:f>
        <x:v>B</x:v>
      </x:c>
      <x:c r="K202" t="str">
        <x:f>IF(RAND()&lt;'Team_Info'!$E$5,"W","B")</x:f>
        <x:v>B</x:v>
      </x:c>
      <x:c r="L202" t="str">
        <x:f>IF(RAND()&lt;'Team_Info'!$E$5,"W","B")</x:f>
        <x:v>W</x:v>
      </x:c>
      <x:c r="M202" t="str">
        <x:f>IF(RAND()&lt;'Team_Info'!$E$5,"W","B")</x:f>
        <x:v>W</x:v>
      </x:c>
      <x:c r="N202" t="str">
        <x:f>IF(RAND()&lt;'Team_Info'!$E$5,"W","B")</x:f>
        <x:v>B</x:v>
      </x:c>
      <x:c r="O202" t="str">
        <x:f>IF(RAND()&lt;'Team_Info'!$E$5,"W","B")</x:f>
        <x:v>W</x:v>
      </x:c>
      <x:c r="P202" t="str">
        <x:f>IF(RAND()&lt;'Team_Info'!$E$5,"W","B")</x:f>
        <x:v>B</x:v>
      </x:c>
      <x:c r="Q202" t="str">
        <x:f>IF(RAND()&lt;'Team_Info'!$E$5,"W","B")</x:f>
        <x:v>B</x:v>
      </x:c>
      <x:c r="R202" t="str">
        <x:f>IF(RAND()&lt;'Team_Info'!$E$5,"W","B")</x:f>
        <x:v>B</x:v>
      </x:c>
      <x:c r="S202" t="str">
        <x:f>IF(RAND()&lt;'Team_Info'!$E$5,"W","B")</x:f>
        <x:v>W</x:v>
      </x:c>
      <x:c r="T202" t="str">
        <x:f>IF(RAND()&lt;'Team_Info'!$E$5,"W","B")</x:f>
        <x:v>W</x:v>
      </x:c>
      <x:c r="U202" t="str">
        <x:f>IF(RAND()&lt;'Team_Info'!$E$5,"W","B")</x:f>
        <x:v>B</x:v>
      </x:c>
    </x:row>
    <x:row r="203">
      <x:c r="A203" s="1">
        <x:v>202</x:v>
      </x:c>
      <x:c r="B203" t="str">
        <x:f>IF(RAND()&lt;'Team_Info'!$E$5,"W","B")</x:f>
        <x:v>B</x:v>
      </x:c>
      <x:c r="C203" t="str">
        <x:f>IF(RAND()&lt;'Team_Info'!$E$5,"W","B")</x:f>
        <x:v>B</x:v>
      </x:c>
      <x:c r="D203" t="str">
        <x:f>IF(RAND()&lt;'Team_Info'!$E$5,"W","B")</x:f>
        <x:v>B</x:v>
      </x:c>
      <x:c r="E203" t="str">
        <x:f>IF(RAND()&lt;'Team_Info'!$E$5,"W","B")</x:f>
        <x:v>B</x:v>
      </x:c>
      <x:c r="F203" t="str">
        <x:f>IF(RAND()&lt;'Team_Info'!$E$5,"W","B")</x:f>
        <x:v>B</x:v>
      </x:c>
      <x:c r="G203" t="str">
        <x:f>IF(RAND()&lt;'Team_Info'!$E$5,"W","B")</x:f>
        <x:v>B</x:v>
      </x:c>
      <x:c r="H203" t="str">
        <x:f>IF(RAND()&lt;'Team_Info'!$E$5,"W","B")</x:f>
        <x:v>W</x:v>
      </x:c>
      <x:c r="I203" t="str">
        <x:f>IF(RAND()&lt;'Team_Info'!$E$5,"W","B")</x:f>
        <x:v>B</x:v>
      </x:c>
      <x:c r="J203" t="str">
        <x:f>IF(RAND()&lt;'Team_Info'!$E$5,"W","B")</x:f>
        <x:v>B</x:v>
      </x:c>
      <x:c r="K203" t="str">
        <x:f>IF(RAND()&lt;'Team_Info'!$E$5,"W","B")</x:f>
        <x:v>B</x:v>
      </x:c>
      <x:c r="L203" t="str">
        <x:f>IF(RAND()&lt;'Team_Info'!$E$5,"W","B")</x:f>
        <x:v>B</x:v>
      </x:c>
      <x:c r="M203" t="str">
        <x:f>IF(RAND()&lt;'Team_Info'!$E$5,"W","B")</x:f>
        <x:v>W</x:v>
      </x:c>
      <x:c r="N203" t="str">
        <x:f>IF(RAND()&lt;'Team_Info'!$E$5,"W","B")</x:f>
        <x:v>W</x:v>
      </x:c>
      <x:c r="O203" t="str">
        <x:f>IF(RAND()&lt;'Team_Info'!$E$5,"W","B")</x:f>
        <x:v>B</x:v>
      </x:c>
      <x:c r="P203" t="str">
        <x:f>IF(RAND()&lt;'Team_Info'!$E$5,"W","B")</x:f>
        <x:v>W</x:v>
      </x:c>
      <x:c r="Q203" t="str">
        <x:f>IF(RAND()&lt;'Team_Info'!$E$5,"W","B")</x:f>
        <x:v>B</x:v>
      </x:c>
      <x:c r="R203" t="str">
        <x:f>IF(RAND()&lt;'Team_Info'!$E$5,"W","B")</x:f>
        <x:v>B</x:v>
      </x:c>
      <x:c r="S203" t="str">
        <x:f>IF(RAND()&lt;'Team_Info'!$E$5,"W","B")</x:f>
        <x:v>B</x:v>
      </x:c>
      <x:c r="T203" t="str">
        <x:f>IF(RAND()&lt;'Team_Info'!$E$5,"W","B")</x:f>
        <x:v>B</x:v>
      </x:c>
      <x:c r="U203" t="str">
        <x:f>IF(RAND()&lt;'Team_Info'!$E$5,"W","B")</x:f>
        <x:v>B</x:v>
      </x:c>
    </x:row>
    <x:row r="204">
      <x:c r="A204" s="1">
        <x:v>203</x:v>
      </x:c>
      <x:c r="B204" t="str">
        <x:f>IF(RAND()&lt;'Team_Info'!$E$5,"W","B")</x:f>
        <x:v>B</x:v>
      </x:c>
      <x:c r="C204" t="str">
        <x:f>IF(RAND()&lt;'Team_Info'!$E$5,"W","B")</x:f>
        <x:v>B</x:v>
      </x:c>
      <x:c r="D204" t="str">
        <x:f>IF(RAND()&lt;'Team_Info'!$E$5,"W","B")</x:f>
        <x:v>B</x:v>
      </x:c>
      <x:c r="E204" t="str">
        <x:f>IF(RAND()&lt;'Team_Info'!$E$5,"W","B")</x:f>
        <x:v>B</x:v>
      </x:c>
      <x:c r="F204" t="str">
        <x:f>IF(RAND()&lt;'Team_Info'!$E$5,"W","B")</x:f>
        <x:v>B</x:v>
      </x:c>
      <x:c r="G204" t="str">
        <x:f>IF(RAND()&lt;'Team_Info'!$E$5,"W","B")</x:f>
        <x:v>B</x:v>
      </x:c>
      <x:c r="H204" t="str">
        <x:f>IF(RAND()&lt;'Team_Info'!$E$5,"W","B")</x:f>
        <x:v>B</x:v>
      </x:c>
      <x:c r="I204" t="str">
        <x:f>IF(RAND()&lt;'Team_Info'!$E$5,"W","B")</x:f>
        <x:v>W</x:v>
      </x:c>
      <x:c r="J204" t="str">
        <x:f>IF(RAND()&lt;'Team_Info'!$E$5,"W","B")</x:f>
        <x:v>B</x:v>
      </x:c>
      <x:c r="K204" t="str">
        <x:f>IF(RAND()&lt;'Team_Info'!$E$5,"W","B")</x:f>
        <x:v>W</x:v>
      </x:c>
      <x:c r="L204" t="str">
        <x:f>IF(RAND()&lt;'Team_Info'!$E$5,"W","B")</x:f>
        <x:v>B</x:v>
      </x:c>
      <x:c r="M204" t="str">
        <x:f>IF(RAND()&lt;'Team_Info'!$E$5,"W","B")</x:f>
        <x:v>W</x:v>
      </x:c>
      <x:c r="N204" t="str">
        <x:f>IF(RAND()&lt;'Team_Info'!$E$5,"W","B")</x:f>
        <x:v>B</x:v>
      </x:c>
      <x:c r="O204" t="str">
        <x:f>IF(RAND()&lt;'Team_Info'!$E$5,"W","B")</x:f>
        <x:v>B</x:v>
      </x:c>
      <x:c r="P204" t="str">
        <x:f>IF(RAND()&lt;'Team_Info'!$E$5,"W","B")</x:f>
        <x:v>B</x:v>
      </x:c>
      <x:c r="Q204" t="str">
        <x:f>IF(RAND()&lt;'Team_Info'!$E$5,"W","B")</x:f>
        <x:v>B</x:v>
      </x:c>
      <x:c r="R204" t="str">
        <x:f>IF(RAND()&lt;'Team_Info'!$E$5,"W","B")</x:f>
        <x:v>B</x:v>
      </x:c>
      <x:c r="S204" t="str">
        <x:f>IF(RAND()&lt;'Team_Info'!$E$5,"W","B")</x:f>
        <x:v>B</x:v>
      </x:c>
      <x:c r="T204" t="str">
        <x:f>IF(RAND()&lt;'Team_Info'!$E$5,"W","B")</x:f>
        <x:v>B</x:v>
      </x:c>
      <x:c r="U204" t="str">
        <x:f>IF(RAND()&lt;'Team_Info'!$E$5,"W","B")</x:f>
        <x:v>W</x:v>
      </x:c>
    </x:row>
    <x:row r="205">
      <x:c r="A205" s="1">
        <x:v>204</x:v>
      </x:c>
      <x:c r="B205" t="str">
        <x:f>IF(RAND()&lt;'Team_Info'!$E$5,"W","B")</x:f>
        <x:v>W</x:v>
      </x:c>
      <x:c r="C205" t="str">
        <x:f>IF(RAND()&lt;'Team_Info'!$E$5,"W","B")</x:f>
        <x:v>W</x:v>
      </x:c>
      <x:c r="D205" t="str">
        <x:f>IF(RAND()&lt;'Team_Info'!$E$5,"W","B")</x:f>
        <x:v>W</x:v>
      </x:c>
      <x:c r="E205" t="str">
        <x:f>IF(RAND()&lt;'Team_Info'!$E$5,"W","B")</x:f>
        <x:v>B</x:v>
      </x:c>
      <x:c r="F205" t="str">
        <x:f>IF(RAND()&lt;'Team_Info'!$E$5,"W","B")</x:f>
        <x:v>B</x:v>
      </x:c>
      <x:c r="G205" t="str">
        <x:f>IF(RAND()&lt;'Team_Info'!$E$5,"W","B")</x:f>
        <x:v>B</x:v>
      </x:c>
      <x:c r="H205" t="str">
        <x:f>IF(RAND()&lt;'Team_Info'!$E$5,"W","B")</x:f>
        <x:v>B</x:v>
      </x:c>
      <x:c r="I205" t="str">
        <x:f>IF(RAND()&lt;'Team_Info'!$E$5,"W","B")</x:f>
        <x:v>B</x:v>
      </x:c>
      <x:c r="J205" t="str">
        <x:f>IF(RAND()&lt;'Team_Info'!$E$5,"W","B")</x:f>
        <x:v>W</x:v>
      </x:c>
      <x:c r="K205" t="str">
        <x:f>IF(RAND()&lt;'Team_Info'!$E$5,"W","B")</x:f>
        <x:v>B</x:v>
      </x:c>
      <x:c r="L205" t="str">
        <x:f>IF(RAND()&lt;'Team_Info'!$E$5,"W","B")</x:f>
        <x:v>W</x:v>
      </x:c>
      <x:c r="M205" t="str">
        <x:f>IF(RAND()&lt;'Team_Info'!$E$5,"W","B")</x:f>
        <x:v>B</x:v>
      </x:c>
      <x:c r="N205" t="str">
        <x:f>IF(RAND()&lt;'Team_Info'!$E$5,"W","B")</x:f>
        <x:v>B</x:v>
      </x:c>
      <x:c r="O205" t="str">
        <x:f>IF(RAND()&lt;'Team_Info'!$E$5,"W","B")</x:f>
        <x:v>B</x:v>
      </x:c>
      <x:c r="P205" t="str">
        <x:f>IF(RAND()&lt;'Team_Info'!$E$5,"W","B")</x:f>
        <x:v>B</x:v>
      </x:c>
      <x:c r="Q205" t="str">
        <x:f>IF(RAND()&lt;'Team_Info'!$E$5,"W","B")</x:f>
        <x:v>B</x:v>
      </x:c>
      <x:c r="R205" t="str">
        <x:f>IF(RAND()&lt;'Team_Info'!$E$5,"W","B")</x:f>
        <x:v>W</x:v>
      </x:c>
      <x:c r="S205" t="str">
        <x:f>IF(RAND()&lt;'Team_Info'!$E$5,"W","B")</x:f>
        <x:v>B</x:v>
      </x:c>
      <x:c r="T205" t="str">
        <x:f>IF(RAND()&lt;'Team_Info'!$E$5,"W","B")</x:f>
        <x:v>W</x:v>
      </x:c>
      <x:c r="U205" t="str">
        <x:f>IF(RAND()&lt;'Team_Info'!$E$5,"W","B")</x:f>
        <x:v>W</x:v>
      </x:c>
    </x:row>
    <x:row r="206">
      <x:c r="A206" s="1">
        <x:v>205</x:v>
      </x:c>
      <x:c r="B206" t="str">
        <x:f>IF(RAND()&lt;'Team_Info'!$E$5,"W","B")</x:f>
        <x:v>W</x:v>
      </x:c>
      <x:c r="C206" t="str">
        <x:f>IF(RAND()&lt;'Team_Info'!$E$5,"W","B")</x:f>
        <x:v>W</x:v>
      </x:c>
      <x:c r="D206" t="str">
        <x:f>IF(RAND()&lt;'Team_Info'!$E$5,"W","B")</x:f>
        <x:v>B</x:v>
      </x:c>
      <x:c r="E206" t="str">
        <x:f>IF(RAND()&lt;'Team_Info'!$E$5,"W","B")</x:f>
        <x:v>B</x:v>
      </x:c>
      <x:c r="F206" t="str">
        <x:f>IF(RAND()&lt;'Team_Info'!$E$5,"W","B")</x:f>
        <x:v>W</x:v>
      </x:c>
      <x:c r="G206" t="str">
        <x:f>IF(RAND()&lt;'Team_Info'!$E$5,"W","B")</x:f>
        <x:v>W</x:v>
      </x:c>
      <x:c r="H206" t="str">
        <x:f>IF(RAND()&lt;'Team_Info'!$E$5,"W","B")</x:f>
        <x:v>W</x:v>
      </x:c>
      <x:c r="I206" t="str">
        <x:f>IF(RAND()&lt;'Team_Info'!$E$5,"W","B")</x:f>
        <x:v>W</x:v>
      </x:c>
      <x:c r="J206" t="str">
        <x:f>IF(RAND()&lt;'Team_Info'!$E$5,"W","B")</x:f>
        <x:v>B</x:v>
      </x:c>
      <x:c r="K206" t="str">
        <x:f>IF(RAND()&lt;'Team_Info'!$E$5,"W","B")</x:f>
        <x:v>B</x:v>
      </x:c>
      <x:c r="L206" t="str">
        <x:f>IF(RAND()&lt;'Team_Info'!$E$5,"W","B")</x:f>
        <x:v>B</x:v>
      </x:c>
      <x:c r="M206" t="str">
        <x:f>IF(RAND()&lt;'Team_Info'!$E$5,"W","B")</x:f>
        <x:v>W</x:v>
      </x:c>
      <x:c r="N206" t="str">
        <x:f>IF(RAND()&lt;'Team_Info'!$E$5,"W","B")</x:f>
        <x:v>W</x:v>
      </x:c>
      <x:c r="O206" t="str">
        <x:f>IF(RAND()&lt;'Team_Info'!$E$5,"W","B")</x:f>
        <x:v>B</x:v>
      </x:c>
      <x:c r="P206" t="str">
        <x:f>IF(RAND()&lt;'Team_Info'!$E$5,"W","B")</x:f>
        <x:v>B</x:v>
      </x:c>
      <x:c r="Q206" t="str">
        <x:f>IF(RAND()&lt;'Team_Info'!$E$5,"W","B")</x:f>
        <x:v>W</x:v>
      </x:c>
      <x:c r="R206" t="str">
        <x:f>IF(RAND()&lt;'Team_Info'!$E$5,"W","B")</x:f>
        <x:v>B</x:v>
      </x:c>
      <x:c r="S206" t="str">
        <x:f>IF(RAND()&lt;'Team_Info'!$E$5,"W","B")</x:f>
        <x:v>B</x:v>
      </x:c>
      <x:c r="T206" t="str">
        <x:f>IF(RAND()&lt;'Team_Info'!$E$5,"W","B")</x:f>
        <x:v>W</x:v>
      </x:c>
      <x:c r="U206" t="str">
        <x:f>IF(RAND()&lt;'Team_Info'!$E$5,"W","B")</x:f>
        <x:v>B</x:v>
      </x:c>
    </x:row>
    <x:row r="207">
      <x:c r="A207" s="1">
        <x:v>206</x:v>
      </x:c>
      <x:c r="B207" t="str">
        <x:f>IF(RAND()&lt;'Team_Info'!$E$5,"W","B")</x:f>
        <x:v>B</x:v>
      </x:c>
      <x:c r="C207" t="str">
        <x:f>IF(RAND()&lt;'Team_Info'!$E$5,"W","B")</x:f>
        <x:v>B</x:v>
      </x:c>
      <x:c r="D207" t="str">
        <x:f>IF(RAND()&lt;'Team_Info'!$E$5,"W","B")</x:f>
        <x:v>B</x:v>
      </x:c>
      <x:c r="E207" t="str">
        <x:f>IF(RAND()&lt;'Team_Info'!$E$5,"W","B")</x:f>
        <x:v>W</x:v>
      </x:c>
      <x:c r="F207" t="str">
        <x:f>IF(RAND()&lt;'Team_Info'!$E$5,"W","B")</x:f>
        <x:v>B</x:v>
      </x:c>
      <x:c r="G207" t="str">
        <x:f>IF(RAND()&lt;'Team_Info'!$E$5,"W","B")</x:f>
        <x:v>W</x:v>
      </x:c>
      <x:c r="H207" t="str">
        <x:f>IF(RAND()&lt;'Team_Info'!$E$5,"W","B")</x:f>
        <x:v>B</x:v>
      </x:c>
      <x:c r="I207" t="str">
        <x:f>IF(RAND()&lt;'Team_Info'!$E$5,"W","B")</x:f>
        <x:v>B</x:v>
      </x:c>
      <x:c r="J207" t="str">
        <x:f>IF(RAND()&lt;'Team_Info'!$E$5,"W","B")</x:f>
        <x:v>W</x:v>
      </x:c>
      <x:c r="K207" t="str">
        <x:f>IF(RAND()&lt;'Team_Info'!$E$5,"W","B")</x:f>
        <x:v>W</x:v>
      </x:c>
      <x:c r="L207" t="str">
        <x:f>IF(RAND()&lt;'Team_Info'!$E$5,"W","B")</x:f>
        <x:v>W</x:v>
      </x:c>
      <x:c r="M207" t="str">
        <x:f>IF(RAND()&lt;'Team_Info'!$E$5,"W","B")</x:f>
        <x:v>B</x:v>
      </x:c>
      <x:c r="N207" t="str">
        <x:f>IF(RAND()&lt;'Team_Info'!$E$5,"W","B")</x:f>
        <x:v>B</x:v>
      </x:c>
      <x:c r="O207" t="str">
        <x:f>IF(RAND()&lt;'Team_Info'!$E$5,"W","B")</x:f>
        <x:v>B</x:v>
      </x:c>
      <x:c r="P207" t="str">
        <x:f>IF(RAND()&lt;'Team_Info'!$E$5,"W","B")</x:f>
        <x:v>W</x:v>
      </x:c>
      <x:c r="Q207" t="str">
        <x:f>IF(RAND()&lt;'Team_Info'!$E$5,"W","B")</x:f>
        <x:v>B</x:v>
      </x:c>
      <x:c r="R207" t="str">
        <x:f>IF(RAND()&lt;'Team_Info'!$E$5,"W","B")</x:f>
        <x:v>W</x:v>
      </x:c>
      <x:c r="S207" t="str">
        <x:f>IF(RAND()&lt;'Team_Info'!$E$5,"W","B")</x:f>
        <x:v>B</x:v>
      </x:c>
      <x:c r="T207" t="str">
        <x:f>IF(RAND()&lt;'Team_Info'!$E$5,"W","B")</x:f>
        <x:v>B</x:v>
      </x:c>
      <x:c r="U207" t="str">
        <x:f>IF(RAND()&lt;'Team_Info'!$E$5,"W","B")</x:f>
        <x:v>B</x:v>
      </x:c>
    </x:row>
    <x:row r="208">
      <x:c r="A208" s="1">
        <x:v>207</x:v>
      </x:c>
      <x:c r="B208" t="str">
        <x:f>IF(RAND()&lt;'Team_Info'!$E$5,"W","B")</x:f>
        <x:v>W</x:v>
      </x:c>
      <x:c r="C208" t="str">
        <x:f>IF(RAND()&lt;'Team_Info'!$E$5,"W","B")</x:f>
        <x:v>B</x:v>
      </x:c>
      <x:c r="D208" t="str">
        <x:f>IF(RAND()&lt;'Team_Info'!$E$5,"W","B")</x:f>
        <x:v>W</x:v>
      </x:c>
      <x:c r="E208" t="str">
        <x:f>IF(RAND()&lt;'Team_Info'!$E$5,"W","B")</x:f>
        <x:v>W</x:v>
      </x:c>
      <x:c r="F208" t="str">
        <x:f>IF(RAND()&lt;'Team_Info'!$E$5,"W","B")</x:f>
        <x:v>B</x:v>
      </x:c>
      <x:c r="G208" t="str">
        <x:f>IF(RAND()&lt;'Team_Info'!$E$5,"W","B")</x:f>
        <x:v>W</x:v>
      </x:c>
      <x:c r="H208" t="str">
        <x:f>IF(RAND()&lt;'Team_Info'!$E$5,"W","B")</x:f>
        <x:v>W</x:v>
      </x:c>
      <x:c r="I208" t="str">
        <x:f>IF(RAND()&lt;'Team_Info'!$E$5,"W","B")</x:f>
        <x:v>B</x:v>
      </x:c>
      <x:c r="J208" t="str">
        <x:f>IF(RAND()&lt;'Team_Info'!$E$5,"W","B")</x:f>
        <x:v>B</x:v>
      </x:c>
      <x:c r="K208" t="str">
        <x:f>IF(RAND()&lt;'Team_Info'!$E$5,"W","B")</x:f>
        <x:v>W</x:v>
      </x:c>
      <x:c r="L208" t="str">
        <x:f>IF(RAND()&lt;'Team_Info'!$E$5,"W","B")</x:f>
        <x:v>W</x:v>
      </x:c>
      <x:c r="M208" t="str">
        <x:f>IF(RAND()&lt;'Team_Info'!$E$5,"W","B")</x:f>
        <x:v>B</x:v>
      </x:c>
      <x:c r="N208" t="str">
        <x:f>IF(RAND()&lt;'Team_Info'!$E$5,"W","B")</x:f>
        <x:v>B</x:v>
      </x:c>
      <x:c r="O208" t="str">
        <x:f>IF(RAND()&lt;'Team_Info'!$E$5,"W","B")</x:f>
        <x:v>B</x:v>
      </x:c>
      <x:c r="P208" t="str">
        <x:f>IF(RAND()&lt;'Team_Info'!$E$5,"W","B")</x:f>
        <x:v>W</x:v>
      </x:c>
      <x:c r="Q208" t="str">
        <x:f>IF(RAND()&lt;'Team_Info'!$E$5,"W","B")</x:f>
        <x:v>W</x:v>
      </x:c>
      <x:c r="R208" t="str">
        <x:f>IF(RAND()&lt;'Team_Info'!$E$5,"W","B")</x:f>
        <x:v>B</x:v>
      </x:c>
      <x:c r="S208" t="str">
        <x:f>IF(RAND()&lt;'Team_Info'!$E$5,"W","B")</x:f>
        <x:v>W</x:v>
      </x:c>
      <x:c r="T208" t="str">
        <x:f>IF(RAND()&lt;'Team_Info'!$E$5,"W","B")</x:f>
        <x:v>B</x:v>
      </x:c>
      <x:c r="U208" t="str">
        <x:f>IF(RAND()&lt;'Team_Info'!$E$5,"W","B")</x:f>
        <x:v>B</x:v>
      </x:c>
    </x:row>
    <x:row r="209">
      <x:c r="A209" s="1">
        <x:v>208</x:v>
      </x:c>
      <x:c r="B209" t="str">
        <x:f>IF(RAND()&lt;'Team_Info'!$E$5,"W","B")</x:f>
        <x:v>W</x:v>
      </x:c>
      <x:c r="C209" t="str">
        <x:f>IF(RAND()&lt;'Team_Info'!$E$5,"W","B")</x:f>
        <x:v>B</x:v>
      </x:c>
      <x:c r="D209" t="str">
        <x:f>IF(RAND()&lt;'Team_Info'!$E$5,"W","B")</x:f>
        <x:v>B</x:v>
      </x:c>
      <x:c r="E209" t="str">
        <x:f>IF(RAND()&lt;'Team_Info'!$E$5,"W","B")</x:f>
        <x:v>B</x:v>
      </x:c>
      <x:c r="F209" t="str">
        <x:f>IF(RAND()&lt;'Team_Info'!$E$5,"W","B")</x:f>
        <x:v>W</x:v>
      </x:c>
      <x:c r="G209" t="str">
        <x:f>IF(RAND()&lt;'Team_Info'!$E$5,"W","B")</x:f>
        <x:v>B</x:v>
      </x:c>
      <x:c r="H209" t="str">
        <x:f>IF(RAND()&lt;'Team_Info'!$E$5,"W","B")</x:f>
        <x:v>B</x:v>
      </x:c>
      <x:c r="I209" t="str">
        <x:f>IF(RAND()&lt;'Team_Info'!$E$5,"W","B")</x:f>
        <x:v>W</x:v>
      </x:c>
      <x:c r="J209" t="str">
        <x:f>IF(RAND()&lt;'Team_Info'!$E$5,"W","B")</x:f>
        <x:v>B</x:v>
      </x:c>
      <x:c r="K209" t="str">
        <x:f>IF(RAND()&lt;'Team_Info'!$E$5,"W","B")</x:f>
        <x:v>B</x:v>
      </x:c>
      <x:c r="L209" t="str">
        <x:f>IF(RAND()&lt;'Team_Info'!$E$5,"W","B")</x:f>
        <x:v>W</x:v>
      </x:c>
      <x:c r="M209" t="str">
        <x:f>IF(RAND()&lt;'Team_Info'!$E$5,"W","B")</x:f>
        <x:v>B</x:v>
      </x:c>
      <x:c r="N209" t="str">
        <x:f>IF(RAND()&lt;'Team_Info'!$E$5,"W","B")</x:f>
        <x:v>B</x:v>
      </x:c>
      <x:c r="O209" t="str">
        <x:f>IF(RAND()&lt;'Team_Info'!$E$5,"W","B")</x:f>
        <x:v>W</x:v>
      </x:c>
      <x:c r="P209" t="str">
        <x:f>IF(RAND()&lt;'Team_Info'!$E$5,"W","B")</x:f>
        <x:v>W</x:v>
      </x:c>
      <x:c r="Q209" t="str">
        <x:f>IF(RAND()&lt;'Team_Info'!$E$5,"W","B")</x:f>
        <x:v>B</x:v>
      </x:c>
      <x:c r="R209" t="str">
        <x:f>IF(RAND()&lt;'Team_Info'!$E$5,"W","B")</x:f>
        <x:v>W</x:v>
      </x:c>
      <x:c r="S209" t="str">
        <x:f>IF(RAND()&lt;'Team_Info'!$E$5,"W","B")</x:f>
        <x:v>W</x:v>
      </x:c>
      <x:c r="T209" t="str">
        <x:f>IF(RAND()&lt;'Team_Info'!$E$5,"W","B")</x:f>
        <x:v>B</x:v>
      </x:c>
      <x:c r="U209" t="str">
        <x:f>IF(RAND()&lt;'Team_Info'!$E$5,"W","B")</x:f>
        <x:v>B</x:v>
      </x:c>
    </x:row>
    <x:row r="210">
      <x:c r="A210" s="1">
        <x:v>209</x:v>
      </x:c>
      <x:c r="B210" t="str">
        <x:f>IF(RAND()&lt;'Team_Info'!$E$5,"W","B")</x:f>
        <x:v>B</x:v>
      </x:c>
      <x:c r="C210" t="str">
        <x:f>IF(RAND()&lt;'Team_Info'!$E$5,"W","B")</x:f>
        <x:v>B</x:v>
      </x:c>
      <x:c r="D210" t="str">
        <x:f>IF(RAND()&lt;'Team_Info'!$E$5,"W","B")</x:f>
        <x:v>B</x:v>
      </x:c>
      <x:c r="E210" t="str">
        <x:f>IF(RAND()&lt;'Team_Info'!$E$5,"W","B")</x:f>
        <x:v>B</x:v>
      </x:c>
      <x:c r="F210" t="str">
        <x:f>IF(RAND()&lt;'Team_Info'!$E$5,"W","B")</x:f>
        <x:v>W</x:v>
      </x:c>
      <x:c r="G210" t="str">
        <x:f>IF(RAND()&lt;'Team_Info'!$E$5,"W","B")</x:f>
        <x:v>W</x:v>
      </x:c>
      <x:c r="H210" t="str">
        <x:f>IF(RAND()&lt;'Team_Info'!$E$5,"W","B")</x:f>
        <x:v>B</x:v>
      </x:c>
      <x:c r="I210" t="str">
        <x:f>IF(RAND()&lt;'Team_Info'!$E$5,"W","B")</x:f>
        <x:v>B</x:v>
      </x:c>
      <x:c r="J210" t="str">
        <x:f>IF(RAND()&lt;'Team_Info'!$E$5,"W","B")</x:f>
        <x:v>B</x:v>
      </x:c>
      <x:c r="K210" t="str">
        <x:f>IF(RAND()&lt;'Team_Info'!$E$5,"W","B")</x:f>
        <x:v>W</x:v>
      </x:c>
      <x:c r="L210" t="str">
        <x:f>IF(RAND()&lt;'Team_Info'!$E$5,"W","B")</x:f>
        <x:v>B</x:v>
      </x:c>
      <x:c r="M210" t="str">
        <x:f>IF(RAND()&lt;'Team_Info'!$E$5,"W","B")</x:f>
        <x:v>W</x:v>
      </x:c>
      <x:c r="N210" t="str">
        <x:f>IF(RAND()&lt;'Team_Info'!$E$5,"W","B")</x:f>
        <x:v>W</x:v>
      </x:c>
      <x:c r="O210" t="str">
        <x:f>IF(RAND()&lt;'Team_Info'!$E$5,"W","B")</x:f>
        <x:v>B</x:v>
      </x:c>
      <x:c r="P210" t="str">
        <x:f>IF(RAND()&lt;'Team_Info'!$E$5,"W","B")</x:f>
        <x:v>B</x:v>
      </x:c>
      <x:c r="Q210" t="str">
        <x:f>IF(RAND()&lt;'Team_Info'!$E$5,"W","B")</x:f>
        <x:v>B</x:v>
      </x:c>
      <x:c r="R210" t="str">
        <x:f>IF(RAND()&lt;'Team_Info'!$E$5,"W","B")</x:f>
        <x:v>B</x:v>
      </x:c>
      <x:c r="S210" t="str">
        <x:f>IF(RAND()&lt;'Team_Info'!$E$5,"W","B")</x:f>
        <x:v>B</x:v>
      </x:c>
      <x:c r="T210" t="str">
        <x:f>IF(RAND()&lt;'Team_Info'!$E$5,"W","B")</x:f>
        <x:v>W</x:v>
      </x:c>
      <x:c r="U210" t="str">
        <x:f>IF(RAND()&lt;'Team_Info'!$E$5,"W","B")</x:f>
        <x:v>W</x:v>
      </x:c>
    </x:row>
    <x:row r="211">
      <x:c r="A211" s="1">
        <x:v>210</x:v>
      </x:c>
      <x:c r="B211" t="str">
        <x:f>IF(RAND()&lt;'Team_Info'!$E$5,"W","B")</x:f>
        <x:v>B</x:v>
      </x:c>
      <x:c r="C211" t="str">
        <x:f>IF(RAND()&lt;'Team_Info'!$E$5,"W","B")</x:f>
        <x:v>B</x:v>
      </x:c>
      <x:c r="D211" t="str">
        <x:f>IF(RAND()&lt;'Team_Info'!$E$5,"W","B")</x:f>
        <x:v>B</x:v>
      </x:c>
      <x:c r="E211" t="str">
        <x:f>IF(RAND()&lt;'Team_Info'!$E$5,"W","B")</x:f>
        <x:v>W</x:v>
      </x:c>
      <x:c r="F211" t="str">
        <x:f>IF(RAND()&lt;'Team_Info'!$E$5,"W","B")</x:f>
        <x:v>W</x:v>
      </x:c>
      <x:c r="G211" t="str">
        <x:f>IF(RAND()&lt;'Team_Info'!$E$5,"W","B")</x:f>
        <x:v>W</x:v>
      </x:c>
      <x:c r="H211" t="str">
        <x:f>IF(RAND()&lt;'Team_Info'!$E$5,"W","B")</x:f>
        <x:v>B</x:v>
      </x:c>
      <x:c r="I211" t="str">
        <x:f>IF(RAND()&lt;'Team_Info'!$E$5,"W","B")</x:f>
        <x:v>B</x:v>
      </x:c>
      <x:c r="J211" t="str">
        <x:f>IF(RAND()&lt;'Team_Info'!$E$5,"W","B")</x:f>
        <x:v>W</x:v>
      </x:c>
      <x:c r="K211" t="str">
        <x:f>IF(RAND()&lt;'Team_Info'!$E$5,"W","B")</x:f>
        <x:v>W</x:v>
      </x:c>
      <x:c r="L211" t="str">
        <x:f>IF(RAND()&lt;'Team_Info'!$E$5,"W","B")</x:f>
        <x:v>W</x:v>
      </x:c>
      <x:c r="M211" t="str">
        <x:f>IF(RAND()&lt;'Team_Info'!$E$5,"W","B")</x:f>
        <x:v>B</x:v>
      </x:c>
      <x:c r="N211" t="str">
        <x:f>IF(RAND()&lt;'Team_Info'!$E$5,"W","B")</x:f>
        <x:v>W</x:v>
      </x:c>
      <x:c r="O211" t="str">
        <x:f>IF(RAND()&lt;'Team_Info'!$E$5,"W","B")</x:f>
        <x:v>B</x:v>
      </x:c>
      <x:c r="P211" t="str">
        <x:f>IF(RAND()&lt;'Team_Info'!$E$5,"W","B")</x:f>
        <x:v>B</x:v>
      </x:c>
      <x:c r="Q211" t="str">
        <x:f>IF(RAND()&lt;'Team_Info'!$E$5,"W","B")</x:f>
        <x:v>B</x:v>
      </x:c>
      <x:c r="R211" t="str">
        <x:f>IF(RAND()&lt;'Team_Info'!$E$5,"W","B")</x:f>
        <x:v>W</x:v>
      </x:c>
      <x:c r="S211" t="str">
        <x:f>IF(RAND()&lt;'Team_Info'!$E$5,"W","B")</x:f>
        <x:v>B</x:v>
      </x:c>
      <x:c r="T211" t="str">
        <x:f>IF(RAND()&lt;'Team_Info'!$E$5,"W","B")</x:f>
        <x:v>B</x:v>
      </x:c>
      <x:c r="U211" t="str">
        <x:f>IF(RAND()&lt;'Team_Info'!$E$5,"W","B")</x:f>
        <x:v>B</x:v>
      </x:c>
    </x:row>
    <x:row r="212">
      <x:c r="A212" s="1">
        <x:v>211</x:v>
      </x:c>
      <x:c r="B212" t="str">
        <x:f>IF(RAND()&lt;'Team_Info'!$E$5,"W","B")</x:f>
        <x:v>B</x:v>
      </x:c>
      <x:c r="C212" t="str">
        <x:f>IF(RAND()&lt;'Team_Info'!$E$5,"W","B")</x:f>
        <x:v>B</x:v>
      </x:c>
      <x:c r="D212" t="str">
        <x:f>IF(RAND()&lt;'Team_Info'!$E$5,"W","B")</x:f>
        <x:v>W</x:v>
      </x:c>
      <x:c r="E212" t="str">
        <x:f>IF(RAND()&lt;'Team_Info'!$E$5,"W","B")</x:f>
        <x:v>W</x:v>
      </x:c>
      <x:c r="F212" t="str">
        <x:f>IF(RAND()&lt;'Team_Info'!$E$5,"W","B")</x:f>
        <x:v>B</x:v>
      </x:c>
      <x:c r="G212" t="str">
        <x:f>IF(RAND()&lt;'Team_Info'!$E$5,"W","B")</x:f>
        <x:v>B</x:v>
      </x:c>
      <x:c r="H212" t="str">
        <x:f>IF(RAND()&lt;'Team_Info'!$E$5,"W","B")</x:f>
        <x:v>B</x:v>
      </x:c>
      <x:c r="I212" t="str">
        <x:f>IF(RAND()&lt;'Team_Info'!$E$5,"W","B")</x:f>
        <x:v>B</x:v>
      </x:c>
      <x:c r="J212" t="str">
        <x:f>IF(RAND()&lt;'Team_Info'!$E$5,"W","B")</x:f>
        <x:v>B</x:v>
      </x:c>
      <x:c r="K212" t="str">
        <x:f>IF(RAND()&lt;'Team_Info'!$E$5,"W","B")</x:f>
        <x:v>W</x:v>
      </x:c>
      <x:c r="L212" t="str">
        <x:f>IF(RAND()&lt;'Team_Info'!$E$5,"W","B")</x:f>
        <x:v>B</x:v>
      </x:c>
      <x:c r="M212" t="str">
        <x:f>IF(RAND()&lt;'Team_Info'!$E$5,"W","B")</x:f>
        <x:v>W</x:v>
      </x:c>
      <x:c r="N212" t="str">
        <x:f>IF(RAND()&lt;'Team_Info'!$E$5,"W","B")</x:f>
        <x:v>W</x:v>
      </x:c>
      <x:c r="O212" t="str">
        <x:f>IF(RAND()&lt;'Team_Info'!$E$5,"W","B")</x:f>
        <x:v>B</x:v>
      </x:c>
      <x:c r="P212" t="str">
        <x:f>IF(RAND()&lt;'Team_Info'!$E$5,"W","B")</x:f>
        <x:v>B</x:v>
      </x:c>
      <x:c r="Q212" t="str">
        <x:f>IF(RAND()&lt;'Team_Info'!$E$5,"W","B")</x:f>
        <x:v>W</x:v>
      </x:c>
      <x:c r="R212" t="str">
        <x:f>IF(RAND()&lt;'Team_Info'!$E$5,"W","B")</x:f>
        <x:v>W</x:v>
      </x:c>
      <x:c r="S212" t="str">
        <x:f>IF(RAND()&lt;'Team_Info'!$E$5,"W","B")</x:f>
        <x:v>B</x:v>
      </x:c>
      <x:c r="T212" t="str">
        <x:f>IF(RAND()&lt;'Team_Info'!$E$5,"W","B")</x:f>
        <x:v>B</x:v>
      </x:c>
      <x:c r="U212" t="str">
        <x:f>IF(RAND()&lt;'Team_Info'!$E$5,"W","B")</x:f>
        <x:v>W</x:v>
      </x:c>
    </x:row>
    <x:row r="213">
      <x:c r="A213" s="1">
        <x:v>212</x:v>
      </x:c>
      <x:c r="B213" t="str">
        <x:f>IF(RAND()&lt;'Team_Info'!$E$5,"W","B")</x:f>
        <x:v>B</x:v>
      </x:c>
      <x:c r="C213" t="str">
        <x:f>IF(RAND()&lt;'Team_Info'!$E$5,"W","B")</x:f>
        <x:v>B</x:v>
      </x:c>
      <x:c r="D213" t="str">
        <x:f>IF(RAND()&lt;'Team_Info'!$E$5,"W","B")</x:f>
        <x:v>B</x:v>
      </x:c>
      <x:c r="E213" t="str">
        <x:f>IF(RAND()&lt;'Team_Info'!$E$5,"W","B")</x:f>
        <x:v>B</x:v>
      </x:c>
      <x:c r="F213" t="str">
        <x:f>IF(RAND()&lt;'Team_Info'!$E$5,"W","B")</x:f>
        <x:v>W</x:v>
      </x:c>
      <x:c r="G213" t="str">
        <x:f>IF(RAND()&lt;'Team_Info'!$E$5,"W","B")</x:f>
        <x:v>B</x:v>
      </x:c>
      <x:c r="H213" t="str">
        <x:f>IF(RAND()&lt;'Team_Info'!$E$5,"W","B")</x:f>
        <x:v>B</x:v>
      </x:c>
      <x:c r="I213" t="str">
        <x:f>IF(RAND()&lt;'Team_Info'!$E$5,"W","B")</x:f>
        <x:v>W</x:v>
      </x:c>
      <x:c r="J213" t="str">
        <x:f>IF(RAND()&lt;'Team_Info'!$E$5,"W","B")</x:f>
        <x:v>B</x:v>
      </x:c>
      <x:c r="K213" t="str">
        <x:f>IF(RAND()&lt;'Team_Info'!$E$5,"W","B")</x:f>
        <x:v>W</x:v>
      </x:c>
      <x:c r="L213" t="str">
        <x:f>IF(RAND()&lt;'Team_Info'!$E$5,"W","B")</x:f>
        <x:v>W</x:v>
      </x:c>
      <x:c r="M213" t="str">
        <x:f>IF(RAND()&lt;'Team_Info'!$E$5,"W","B")</x:f>
        <x:v>B</x:v>
      </x:c>
      <x:c r="N213" t="str">
        <x:f>IF(RAND()&lt;'Team_Info'!$E$5,"W","B")</x:f>
        <x:v>B</x:v>
      </x:c>
      <x:c r="O213" t="str">
        <x:f>IF(RAND()&lt;'Team_Info'!$E$5,"W","B")</x:f>
        <x:v>B</x:v>
      </x:c>
      <x:c r="P213" t="str">
        <x:f>IF(RAND()&lt;'Team_Info'!$E$5,"W","B")</x:f>
        <x:v>B</x:v>
      </x:c>
      <x:c r="Q213" t="str">
        <x:f>IF(RAND()&lt;'Team_Info'!$E$5,"W","B")</x:f>
        <x:v>W</x:v>
      </x:c>
      <x:c r="R213" t="str">
        <x:f>IF(RAND()&lt;'Team_Info'!$E$5,"W","B")</x:f>
        <x:v>B</x:v>
      </x:c>
      <x:c r="S213" t="str">
        <x:f>IF(RAND()&lt;'Team_Info'!$E$5,"W","B")</x:f>
        <x:v>W</x:v>
      </x:c>
      <x:c r="T213" t="str">
        <x:f>IF(RAND()&lt;'Team_Info'!$E$5,"W","B")</x:f>
        <x:v>B</x:v>
      </x:c>
      <x:c r="U213" t="str">
        <x:f>IF(RAND()&lt;'Team_Info'!$E$5,"W","B")</x:f>
        <x:v>B</x:v>
      </x:c>
    </x:row>
    <x:row r="214">
      <x:c r="A214" s="1">
        <x:v>213</x:v>
      </x:c>
      <x:c r="B214" t="str">
        <x:f>IF(RAND()&lt;'Team_Info'!$E$5,"W","B")</x:f>
        <x:v>B</x:v>
      </x:c>
      <x:c r="C214" t="str">
        <x:f>IF(RAND()&lt;'Team_Info'!$E$5,"W","B")</x:f>
        <x:v>B</x:v>
      </x:c>
      <x:c r="D214" t="str">
        <x:f>IF(RAND()&lt;'Team_Info'!$E$5,"W","B")</x:f>
        <x:v>B</x:v>
      </x:c>
      <x:c r="E214" t="str">
        <x:f>IF(RAND()&lt;'Team_Info'!$E$5,"W","B")</x:f>
        <x:v>W</x:v>
      </x:c>
      <x:c r="F214" t="str">
        <x:f>IF(RAND()&lt;'Team_Info'!$E$5,"W","B")</x:f>
        <x:v>W</x:v>
      </x:c>
      <x:c r="G214" t="str">
        <x:f>IF(RAND()&lt;'Team_Info'!$E$5,"W","B")</x:f>
        <x:v>W</x:v>
      </x:c>
      <x:c r="H214" t="str">
        <x:f>IF(RAND()&lt;'Team_Info'!$E$5,"W","B")</x:f>
        <x:v>B</x:v>
      </x:c>
      <x:c r="I214" t="str">
        <x:f>IF(RAND()&lt;'Team_Info'!$E$5,"W","B")</x:f>
        <x:v>B</x:v>
      </x:c>
      <x:c r="J214" t="str">
        <x:f>IF(RAND()&lt;'Team_Info'!$E$5,"W","B")</x:f>
        <x:v>W</x:v>
      </x:c>
      <x:c r="K214" t="str">
        <x:f>IF(RAND()&lt;'Team_Info'!$E$5,"W","B")</x:f>
        <x:v>W</x:v>
      </x:c>
      <x:c r="L214" t="str">
        <x:f>IF(RAND()&lt;'Team_Info'!$E$5,"W","B")</x:f>
        <x:v>W</x:v>
      </x:c>
      <x:c r="M214" t="str">
        <x:f>IF(RAND()&lt;'Team_Info'!$E$5,"W","B")</x:f>
        <x:v>B</x:v>
      </x:c>
      <x:c r="N214" t="str">
        <x:f>IF(RAND()&lt;'Team_Info'!$E$5,"W","B")</x:f>
        <x:v>B</x:v>
      </x:c>
      <x:c r="O214" t="str">
        <x:f>IF(RAND()&lt;'Team_Info'!$E$5,"W","B")</x:f>
        <x:v>W</x:v>
      </x:c>
      <x:c r="P214" t="str">
        <x:f>IF(RAND()&lt;'Team_Info'!$E$5,"W","B")</x:f>
        <x:v>W</x:v>
      </x:c>
      <x:c r="Q214" t="str">
        <x:f>IF(RAND()&lt;'Team_Info'!$E$5,"W","B")</x:f>
        <x:v>B</x:v>
      </x:c>
      <x:c r="R214" t="str">
        <x:f>IF(RAND()&lt;'Team_Info'!$E$5,"W","B")</x:f>
        <x:v>W</x:v>
      </x:c>
      <x:c r="S214" t="str">
        <x:f>IF(RAND()&lt;'Team_Info'!$E$5,"W","B")</x:f>
        <x:v>B</x:v>
      </x:c>
      <x:c r="T214" t="str">
        <x:f>IF(RAND()&lt;'Team_Info'!$E$5,"W","B")</x:f>
        <x:v>W</x:v>
      </x:c>
      <x:c r="U214" t="str">
        <x:f>IF(RAND()&lt;'Team_Info'!$E$5,"W","B")</x:f>
        <x:v>B</x:v>
      </x:c>
    </x:row>
    <x:row r="215">
      <x:c r="A215" s="1">
        <x:v>214</x:v>
      </x:c>
      <x:c r="B215" t="str">
        <x:f>IF(RAND()&lt;'Team_Info'!$E$5,"W","B")</x:f>
        <x:v>B</x:v>
      </x:c>
      <x:c r="C215" t="str">
        <x:f>IF(RAND()&lt;'Team_Info'!$E$5,"W","B")</x:f>
        <x:v>B</x:v>
      </x:c>
      <x:c r="D215" t="str">
        <x:f>IF(RAND()&lt;'Team_Info'!$E$5,"W","B")</x:f>
        <x:v>W</x:v>
      </x:c>
      <x:c r="E215" t="str">
        <x:f>IF(RAND()&lt;'Team_Info'!$E$5,"W","B")</x:f>
        <x:v>B</x:v>
      </x:c>
      <x:c r="F215" t="str">
        <x:f>IF(RAND()&lt;'Team_Info'!$E$5,"W","B")</x:f>
        <x:v>W</x:v>
      </x:c>
      <x:c r="G215" t="str">
        <x:f>IF(RAND()&lt;'Team_Info'!$E$5,"W","B")</x:f>
        <x:v>B</x:v>
      </x:c>
      <x:c r="H215" t="str">
        <x:f>IF(RAND()&lt;'Team_Info'!$E$5,"W","B")</x:f>
        <x:v>B</x:v>
      </x:c>
      <x:c r="I215" t="str">
        <x:f>IF(RAND()&lt;'Team_Info'!$E$5,"W","B")</x:f>
        <x:v>W</x:v>
      </x:c>
      <x:c r="J215" t="str">
        <x:f>IF(RAND()&lt;'Team_Info'!$E$5,"W","B")</x:f>
        <x:v>B</x:v>
      </x:c>
      <x:c r="K215" t="str">
        <x:f>IF(RAND()&lt;'Team_Info'!$E$5,"W","B")</x:f>
        <x:v>W</x:v>
      </x:c>
      <x:c r="L215" t="str">
        <x:f>IF(RAND()&lt;'Team_Info'!$E$5,"W","B")</x:f>
        <x:v>B</x:v>
      </x:c>
      <x:c r="M215" t="str">
        <x:f>IF(RAND()&lt;'Team_Info'!$E$5,"W","B")</x:f>
        <x:v>B</x:v>
      </x:c>
      <x:c r="N215" t="str">
        <x:f>IF(RAND()&lt;'Team_Info'!$E$5,"W","B")</x:f>
        <x:v>B</x:v>
      </x:c>
      <x:c r="O215" t="str">
        <x:f>IF(RAND()&lt;'Team_Info'!$E$5,"W","B")</x:f>
        <x:v>W</x:v>
      </x:c>
      <x:c r="P215" t="str">
        <x:f>IF(RAND()&lt;'Team_Info'!$E$5,"W","B")</x:f>
        <x:v>W</x:v>
      </x:c>
      <x:c r="Q215" t="str">
        <x:f>IF(RAND()&lt;'Team_Info'!$E$5,"W","B")</x:f>
        <x:v>B</x:v>
      </x:c>
      <x:c r="R215" t="str">
        <x:f>IF(RAND()&lt;'Team_Info'!$E$5,"W","B")</x:f>
        <x:v>B</x:v>
      </x:c>
      <x:c r="S215" t="str">
        <x:f>IF(RAND()&lt;'Team_Info'!$E$5,"W","B")</x:f>
        <x:v>W</x:v>
      </x:c>
      <x:c r="T215" t="str">
        <x:f>IF(RAND()&lt;'Team_Info'!$E$5,"W","B")</x:f>
        <x:v>B</x:v>
      </x:c>
      <x:c r="U215" t="str">
        <x:f>IF(RAND()&lt;'Team_Info'!$E$5,"W","B")</x:f>
        <x:v>B</x:v>
      </x:c>
    </x:row>
    <x:row r="216">
      <x:c r="A216" s="1">
        <x:v>215</x:v>
      </x:c>
      <x:c r="B216" t="str">
        <x:f>IF(RAND()&lt;'Team_Info'!$E$5,"W","B")</x:f>
        <x:v>B</x:v>
      </x:c>
      <x:c r="C216" t="str">
        <x:f>IF(RAND()&lt;'Team_Info'!$E$5,"W","B")</x:f>
        <x:v>W</x:v>
      </x:c>
      <x:c r="D216" t="str">
        <x:f>IF(RAND()&lt;'Team_Info'!$E$5,"W","B")</x:f>
        <x:v>B</x:v>
      </x:c>
      <x:c r="E216" t="str">
        <x:f>IF(RAND()&lt;'Team_Info'!$E$5,"W","B")</x:f>
        <x:v>B</x:v>
      </x:c>
      <x:c r="F216" t="str">
        <x:f>IF(RAND()&lt;'Team_Info'!$E$5,"W","B")</x:f>
        <x:v>W</x:v>
      </x:c>
      <x:c r="G216" t="str">
        <x:f>IF(RAND()&lt;'Team_Info'!$E$5,"W","B")</x:f>
        <x:v>W</x:v>
      </x:c>
      <x:c r="H216" t="str">
        <x:f>IF(RAND()&lt;'Team_Info'!$E$5,"W","B")</x:f>
        <x:v>B</x:v>
      </x:c>
      <x:c r="I216" t="str">
        <x:f>IF(RAND()&lt;'Team_Info'!$E$5,"W","B")</x:f>
        <x:v>W</x:v>
      </x:c>
      <x:c r="J216" t="str">
        <x:f>IF(RAND()&lt;'Team_Info'!$E$5,"W","B")</x:f>
        <x:v>B</x:v>
      </x:c>
      <x:c r="K216" t="str">
        <x:f>IF(RAND()&lt;'Team_Info'!$E$5,"W","B")</x:f>
        <x:v>W</x:v>
      </x:c>
      <x:c r="L216" t="str">
        <x:f>IF(RAND()&lt;'Team_Info'!$E$5,"W","B")</x:f>
        <x:v>B</x:v>
      </x:c>
      <x:c r="M216" t="str">
        <x:f>IF(RAND()&lt;'Team_Info'!$E$5,"W","B")</x:f>
        <x:v>B</x:v>
      </x:c>
      <x:c r="N216" t="str">
        <x:f>IF(RAND()&lt;'Team_Info'!$E$5,"W","B")</x:f>
        <x:v>W</x:v>
      </x:c>
      <x:c r="O216" t="str">
        <x:f>IF(RAND()&lt;'Team_Info'!$E$5,"W","B")</x:f>
        <x:v>B</x:v>
      </x:c>
      <x:c r="P216" t="str">
        <x:f>IF(RAND()&lt;'Team_Info'!$E$5,"W","B")</x:f>
        <x:v>W</x:v>
      </x:c>
      <x:c r="Q216" t="str">
        <x:f>IF(RAND()&lt;'Team_Info'!$E$5,"W","B")</x:f>
        <x:v>B</x:v>
      </x:c>
      <x:c r="R216" t="str">
        <x:f>IF(RAND()&lt;'Team_Info'!$E$5,"W","B")</x:f>
        <x:v>W</x:v>
      </x:c>
      <x:c r="S216" t="str">
        <x:f>IF(RAND()&lt;'Team_Info'!$E$5,"W","B")</x:f>
        <x:v>B</x:v>
      </x:c>
      <x:c r="T216" t="str">
        <x:f>IF(RAND()&lt;'Team_Info'!$E$5,"W","B")</x:f>
        <x:v>B</x:v>
      </x:c>
      <x:c r="U216" t="str">
        <x:f>IF(RAND()&lt;'Team_Info'!$E$5,"W","B")</x:f>
        <x:v>W</x:v>
      </x:c>
    </x:row>
    <x:row r="217">
      <x:c r="A217" s="1">
        <x:v>216</x:v>
      </x:c>
      <x:c r="B217" t="str">
        <x:f>IF(RAND()&lt;'Team_Info'!$E$5,"W","B")</x:f>
        <x:v>W</x:v>
      </x:c>
      <x:c r="C217" t="str">
        <x:f>IF(RAND()&lt;'Team_Info'!$E$5,"W","B")</x:f>
        <x:v>B</x:v>
      </x:c>
      <x:c r="D217" t="str">
        <x:f>IF(RAND()&lt;'Team_Info'!$E$5,"W","B")</x:f>
        <x:v>W</x:v>
      </x:c>
      <x:c r="E217" t="str">
        <x:f>IF(RAND()&lt;'Team_Info'!$E$5,"W","B")</x:f>
        <x:v>B</x:v>
      </x:c>
      <x:c r="F217" t="str">
        <x:f>IF(RAND()&lt;'Team_Info'!$E$5,"W","B")</x:f>
        <x:v>B</x:v>
      </x:c>
      <x:c r="G217" t="str">
        <x:f>IF(RAND()&lt;'Team_Info'!$E$5,"W","B")</x:f>
        <x:v>W</x:v>
      </x:c>
      <x:c r="H217" t="str">
        <x:f>IF(RAND()&lt;'Team_Info'!$E$5,"W","B")</x:f>
        <x:v>B</x:v>
      </x:c>
      <x:c r="I217" t="str">
        <x:f>IF(RAND()&lt;'Team_Info'!$E$5,"W","B")</x:f>
        <x:v>B</x:v>
      </x:c>
      <x:c r="J217" t="str">
        <x:f>IF(RAND()&lt;'Team_Info'!$E$5,"W","B")</x:f>
        <x:v>B</x:v>
      </x:c>
      <x:c r="K217" t="str">
        <x:f>IF(RAND()&lt;'Team_Info'!$E$5,"W","B")</x:f>
        <x:v>B</x:v>
      </x:c>
      <x:c r="L217" t="str">
        <x:f>IF(RAND()&lt;'Team_Info'!$E$5,"W","B")</x:f>
        <x:v>B</x:v>
      </x:c>
      <x:c r="M217" t="str">
        <x:f>IF(RAND()&lt;'Team_Info'!$E$5,"W","B")</x:f>
        <x:v>B</x:v>
      </x:c>
      <x:c r="N217" t="str">
        <x:f>IF(RAND()&lt;'Team_Info'!$E$5,"W","B")</x:f>
        <x:v>B</x:v>
      </x:c>
      <x:c r="O217" t="str">
        <x:f>IF(RAND()&lt;'Team_Info'!$E$5,"W","B")</x:f>
        <x:v>B</x:v>
      </x:c>
      <x:c r="P217" t="str">
        <x:f>IF(RAND()&lt;'Team_Info'!$E$5,"W","B")</x:f>
        <x:v>W</x:v>
      </x:c>
      <x:c r="Q217" t="str">
        <x:f>IF(RAND()&lt;'Team_Info'!$E$5,"W","B")</x:f>
        <x:v>B</x:v>
      </x:c>
      <x:c r="R217" t="str">
        <x:f>IF(RAND()&lt;'Team_Info'!$E$5,"W","B")</x:f>
        <x:v>W</x:v>
      </x:c>
      <x:c r="S217" t="str">
        <x:f>IF(RAND()&lt;'Team_Info'!$E$5,"W","B")</x:f>
        <x:v>W</x:v>
      </x:c>
      <x:c r="T217" t="str">
        <x:f>IF(RAND()&lt;'Team_Info'!$E$5,"W","B")</x:f>
        <x:v>W</x:v>
      </x:c>
      <x:c r="U217" t="str">
        <x:f>IF(RAND()&lt;'Team_Info'!$E$5,"W","B")</x:f>
        <x:v>B</x:v>
      </x:c>
    </x:row>
    <x:row r="218">
      <x:c r="A218" s="1">
        <x:v>217</x:v>
      </x:c>
      <x:c r="B218" t="str">
        <x:f>IF(RAND()&lt;'Team_Info'!$E$5,"W","B")</x:f>
        <x:v>B</x:v>
      </x:c>
      <x:c r="C218" t="str">
        <x:f>IF(RAND()&lt;'Team_Info'!$E$5,"W","B")</x:f>
        <x:v>W</x:v>
      </x:c>
      <x:c r="D218" t="str">
        <x:f>IF(RAND()&lt;'Team_Info'!$E$5,"W","B")</x:f>
        <x:v>B</x:v>
      </x:c>
      <x:c r="E218" t="str">
        <x:f>IF(RAND()&lt;'Team_Info'!$E$5,"W","B")</x:f>
        <x:v>W</x:v>
      </x:c>
      <x:c r="F218" t="str">
        <x:f>IF(RAND()&lt;'Team_Info'!$E$5,"W","B")</x:f>
        <x:v>B</x:v>
      </x:c>
      <x:c r="G218" t="str">
        <x:f>IF(RAND()&lt;'Team_Info'!$E$5,"W","B")</x:f>
        <x:v>W</x:v>
      </x:c>
      <x:c r="H218" t="str">
        <x:f>IF(RAND()&lt;'Team_Info'!$E$5,"W","B")</x:f>
        <x:v>B</x:v>
      </x:c>
      <x:c r="I218" t="str">
        <x:f>IF(RAND()&lt;'Team_Info'!$E$5,"W","B")</x:f>
        <x:v>B</x:v>
      </x:c>
      <x:c r="J218" t="str">
        <x:f>IF(RAND()&lt;'Team_Info'!$E$5,"W","B")</x:f>
        <x:v>B</x:v>
      </x:c>
      <x:c r="K218" t="str">
        <x:f>IF(RAND()&lt;'Team_Info'!$E$5,"W","B")</x:f>
        <x:v>W</x:v>
      </x:c>
      <x:c r="L218" t="str">
        <x:f>IF(RAND()&lt;'Team_Info'!$E$5,"W","B")</x:f>
        <x:v>B</x:v>
      </x:c>
      <x:c r="M218" t="str">
        <x:f>IF(RAND()&lt;'Team_Info'!$E$5,"W","B")</x:f>
        <x:v>W</x:v>
      </x:c>
      <x:c r="N218" t="str">
        <x:f>IF(RAND()&lt;'Team_Info'!$E$5,"W","B")</x:f>
        <x:v>B</x:v>
      </x:c>
      <x:c r="O218" t="str">
        <x:f>IF(RAND()&lt;'Team_Info'!$E$5,"W","B")</x:f>
        <x:v>B</x:v>
      </x:c>
      <x:c r="P218" t="str">
        <x:f>IF(RAND()&lt;'Team_Info'!$E$5,"W","B")</x:f>
        <x:v>B</x:v>
      </x:c>
      <x:c r="Q218" t="str">
        <x:f>IF(RAND()&lt;'Team_Info'!$E$5,"W","B")</x:f>
        <x:v>B</x:v>
      </x:c>
      <x:c r="R218" t="str">
        <x:f>IF(RAND()&lt;'Team_Info'!$E$5,"W","B")</x:f>
        <x:v>B</x:v>
      </x:c>
      <x:c r="S218" t="str">
        <x:f>IF(RAND()&lt;'Team_Info'!$E$5,"W","B")</x:f>
        <x:v>B</x:v>
      </x:c>
      <x:c r="T218" t="str">
        <x:f>IF(RAND()&lt;'Team_Info'!$E$5,"W","B")</x:f>
        <x:v>B</x:v>
      </x:c>
      <x:c r="U218" t="str">
        <x:f>IF(RAND()&lt;'Team_Info'!$E$5,"W","B")</x:f>
        <x:v>B</x:v>
      </x:c>
    </x:row>
    <x:row r="219">
      <x:c r="A219" s="1">
        <x:v>218</x:v>
      </x:c>
      <x:c r="B219" t="str">
        <x:f>IF(RAND()&lt;'Team_Info'!$E$5,"W","B")</x:f>
        <x:v>W</x:v>
      </x:c>
      <x:c r="C219" t="str">
        <x:f>IF(RAND()&lt;'Team_Info'!$E$5,"W","B")</x:f>
        <x:v>B</x:v>
      </x:c>
      <x:c r="D219" t="str">
        <x:f>IF(RAND()&lt;'Team_Info'!$E$5,"W","B")</x:f>
        <x:v>B</x:v>
      </x:c>
      <x:c r="E219" t="str">
        <x:f>IF(RAND()&lt;'Team_Info'!$E$5,"W","B")</x:f>
        <x:v>B</x:v>
      </x:c>
      <x:c r="F219" t="str">
        <x:f>IF(RAND()&lt;'Team_Info'!$E$5,"W","B")</x:f>
        <x:v>W</x:v>
      </x:c>
      <x:c r="G219" t="str">
        <x:f>IF(RAND()&lt;'Team_Info'!$E$5,"W","B")</x:f>
        <x:v>B</x:v>
      </x:c>
      <x:c r="H219" t="str">
        <x:f>IF(RAND()&lt;'Team_Info'!$E$5,"W","B")</x:f>
        <x:v>B</x:v>
      </x:c>
      <x:c r="I219" t="str">
        <x:f>IF(RAND()&lt;'Team_Info'!$E$5,"W","B")</x:f>
        <x:v>B</x:v>
      </x:c>
      <x:c r="J219" t="str">
        <x:f>IF(RAND()&lt;'Team_Info'!$E$5,"W","B")</x:f>
        <x:v>W</x:v>
      </x:c>
      <x:c r="K219" t="str">
        <x:f>IF(RAND()&lt;'Team_Info'!$E$5,"W","B")</x:f>
        <x:v>W</x:v>
      </x:c>
      <x:c r="L219" t="str">
        <x:f>IF(RAND()&lt;'Team_Info'!$E$5,"W","B")</x:f>
        <x:v>B</x:v>
      </x:c>
      <x:c r="M219" t="str">
        <x:f>IF(RAND()&lt;'Team_Info'!$E$5,"W","B")</x:f>
        <x:v>W</x:v>
      </x:c>
      <x:c r="N219" t="str">
        <x:f>IF(RAND()&lt;'Team_Info'!$E$5,"W","B")</x:f>
        <x:v>B</x:v>
      </x:c>
      <x:c r="O219" t="str">
        <x:f>IF(RAND()&lt;'Team_Info'!$E$5,"W","B")</x:f>
        <x:v>W</x:v>
      </x:c>
      <x:c r="P219" t="str">
        <x:f>IF(RAND()&lt;'Team_Info'!$E$5,"W","B")</x:f>
        <x:v>B</x:v>
      </x:c>
      <x:c r="Q219" t="str">
        <x:f>IF(RAND()&lt;'Team_Info'!$E$5,"W","B")</x:f>
        <x:v>B</x:v>
      </x:c>
      <x:c r="R219" t="str">
        <x:f>IF(RAND()&lt;'Team_Info'!$E$5,"W","B")</x:f>
        <x:v>B</x:v>
      </x:c>
      <x:c r="S219" t="str">
        <x:f>IF(RAND()&lt;'Team_Info'!$E$5,"W","B")</x:f>
        <x:v>W</x:v>
      </x:c>
      <x:c r="T219" t="str">
        <x:f>IF(RAND()&lt;'Team_Info'!$E$5,"W","B")</x:f>
        <x:v>B</x:v>
      </x:c>
      <x:c r="U219" t="str">
        <x:f>IF(RAND()&lt;'Team_Info'!$E$5,"W","B")</x:f>
        <x:v>B</x:v>
      </x:c>
    </x:row>
    <x:row r="220">
      <x:c r="A220" s="1">
        <x:v>219</x:v>
      </x:c>
      <x:c r="B220" t="str">
        <x:f>IF(RAND()&lt;'Team_Info'!$E$5,"W","B")</x:f>
        <x:v>B</x:v>
      </x:c>
      <x:c r="C220" t="str">
        <x:f>IF(RAND()&lt;'Team_Info'!$E$5,"W","B")</x:f>
        <x:v>W</x:v>
      </x:c>
      <x:c r="D220" t="str">
        <x:f>IF(RAND()&lt;'Team_Info'!$E$5,"W","B")</x:f>
        <x:v>W</x:v>
      </x:c>
      <x:c r="E220" t="str">
        <x:f>IF(RAND()&lt;'Team_Info'!$E$5,"W","B")</x:f>
        <x:v>W</x:v>
      </x:c>
      <x:c r="F220" t="str">
        <x:f>IF(RAND()&lt;'Team_Info'!$E$5,"W","B")</x:f>
        <x:v>W</x:v>
      </x:c>
      <x:c r="G220" t="str">
        <x:f>IF(RAND()&lt;'Team_Info'!$E$5,"W","B")</x:f>
        <x:v>B</x:v>
      </x:c>
      <x:c r="H220" t="str">
        <x:f>IF(RAND()&lt;'Team_Info'!$E$5,"W","B")</x:f>
        <x:v>B</x:v>
      </x:c>
      <x:c r="I220" t="str">
        <x:f>IF(RAND()&lt;'Team_Info'!$E$5,"W","B")</x:f>
        <x:v>B</x:v>
      </x:c>
      <x:c r="J220" t="str">
        <x:f>IF(RAND()&lt;'Team_Info'!$E$5,"W","B")</x:f>
        <x:v>B</x:v>
      </x:c>
      <x:c r="K220" t="str">
        <x:f>IF(RAND()&lt;'Team_Info'!$E$5,"W","B")</x:f>
        <x:v>B</x:v>
      </x:c>
      <x:c r="L220" t="str">
        <x:f>IF(RAND()&lt;'Team_Info'!$E$5,"W","B")</x:f>
        <x:v>B</x:v>
      </x:c>
      <x:c r="M220" t="str">
        <x:f>IF(RAND()&lt;'Team_Info'!$E$5,"W","B")</x:f>
        <x:v>B</x:v>
      </x:c>
      <x:c r="N220" t="str">
        <x:f>IF(RAND()&lt;'Team_Info'!$E$5,"W","B")</x:f>
        <x:v>B</x:v>
      </x:c>
      <x:c r="O220" t="str">
        <x:f>IF(RAND()&lt;'Team_Info'!$E$5,"W","B")</x:f>
        <x:v>B</x:v>
      </x:c>
      <x:c r="P220" t="str">
        <x:f>IF(RAND()&lt;'Team_Info'!$E$5,"W","B")</x:f>
        <x:v>B</x:v>
      </x:c>
      <x:c r="Q220" t="str">
        <x:f>IF(RAND()&lt;'Team_Info'!$E$5,"W","B")</x:f>
        <x:v>B</x:v>
      </x:c>
      <x:c r="R220" t="str">
        <x:f>IF(RAND()&lt;'Team_Info'!$E$5,"W","B")</x:f>
        <x:v>B</x:v>
      </x:c>
      <x:c r="S220" t="str">
        <x:f>IF(RAND()&lt;'Team_Info'!$E$5,"W","B")</x:f>
        <x:v>W</x:v>
      </x:c>
      <x:c r="T220" t="str">
        <x:f>IF(RAND()&lt;'Team_Info'!$E$5,"W","B")</x:f>
        <x:v>W</x:v>
      </x:c>
      <x:c r="U220" t="str">
        <x:f>IF(RAND()&lt;'Team_Info'!$E$5,"W","B")</x:f>
        <x:v>W</x:v>
      </x:c>
    </x:row>
    <x:row r="221">
      <x:c r="A221" s="1">
        <x:v>220</x:v>
      </x:c>
      <x:c r="B221" t="str">
        <x:f>IF(RAND()&lt;'Team_Info'!$E$5,"W","B")</x:f>
        <x:v>B</x:v>
      </x:c>
      <x:c r="C221" t="str">
        <x:f>IF(RAND()&lt;'Team_Info'!$E$5,"W","B")</x:f>
        <x:v>B</x:v>
      </x:c>
      <x:c r="D221" t="str">
        <x:f>IF(RAND()&lt;'Team_Info'!$E$5,"W","B")</x:f>
        <x:v>W</x:v>
      </x:c>
      <x:c r="E221" t="str">
        <x:f>IF(RAND()&lt;'Team_Info'!$E$5,"W","B")</x:f>
        <x:v>B</x:v>
      </x:c>
      <x:c r="F221" t="str">
        <x:f>IF(RAND()&lt;'Team_Info'!$E$5,"W","B")</x:f>
        <x:v>W</x:v>
      </x:c>
      <x:c r="G221" t="str">
        <x:f>IF(RAND()&lt;'Team_Info'!$E$5,"W","B")</x:f>
        <x:v>W</x:v>
      </x:c>
      <x:c r="H221" t="str">
        <x:f>IF(RAND()&lt;'Team_Info'!$E$5,"W","B")</x:f>
        <x:v>B</x:v>
      </x:c>
      <x:c r="I221" t="str">
        <x:f>IF(RAND()&lt;'Team_Info'!$E$5,"W","B")</x:f>
        <x:v>B</x:v>
      </x:c>
      <x:c r="J221" t="str">
        <x:f>IF(RAND()&lt;'Team_Info'!$E$5,"W","B")</x:f>
        <x:v>B</x:v>
      </x:c>
      <x:c r="K221" t="str">
        <x:f>IF(RAND()&lt;'Team_Info'!$E$5,"W","B")</x:f>
        <x:v>B</x:v>
      </x:c>
      <x:c r="L221" t="str">
        <x:f>IF(RAND()&lt;'Team_Info'!$E$5,"W","B")</x:f>
        <x:v>B</x:v>
      </x:c>
      <x:c r="M221" t="str">
        <x:f>IF(RAND()&lt;'Team_Info'!$E$5,"W","B")</x:f>
        <x:v>B</x:v>
      </x:c>
      <x:c r="N221" t="str">
        <x:f>IF(RAND()&lt;'Team_Info'!$E$5,"W","B")</x:f>
        <x:v>B</x:v>
      </x:c>
      <x:c r="O221" t="str">
        <x:f>IF(RAND()&lt;'Team_Info'!$E$5,"W","B")</x:f>
        <x:v>W</x:v>
      </x:c>
      <x:c r="P221" t="str">
        <x:f>IF(RAND()&lt;'Team_Info'!$E$5,"W","B")</x:f>
        <x:v>B</x:v>
      </x:c>
      <x:c r="Q221" t="str">
        <x:f>IF(RAND()&lt;'Team_Info'!$E$5,"W","B")</x:f>
        <x:v>W</x:v>
      </x:c>
      <x:c r="R221" t="str">
        <x:f>IF(RAND()&lt;'Team_Info'!$E$5,"W","B")</x:f>
        <x:v>B</x:v>
      </x:c>
      <x:c r="S221" t="str">
        <x:f>IF(RAND()&lt;'Team_Info'!$E$5,"W","B")</x:f>
        <x:v>W</x:v>
      </x:c>
      <x:c r="T221" t="str">
        <x:f>IF(RAND()&lt;'Team_Info'!$E$5,"W","B")</x:f>
        <x:v>B</x:v>
      </x:c>
      <x:c r="U221" t="str">
        <x:f>IF(RAND()&lt;'Team_Info'!$E$5,"W","B")</x:f>
        <x:v>W</x:v>
      </x:c>
    </x:row>
    <x:row r="222">
      <x:c r="A222" s="1">
        <x:v>221</x:v>
      </x:c>
      <x:c r="B222" t="str">
        <x:f>IF(RAND()&lt;'Team_Info'!$E$5,"W","B")</x:f>
        <x:v>W</x:v>
      </x:c>
      <x:c r="C222" t="str">
        <x:f>IF(RAND()&lt;'Team_Info'!$E$5,"W","B")</x:f>
        <x:v>W</x:v>
      </x:c>
      <x:c r="D222" t="str">
        <x:f>IF(RAND()&lt;'Team_Info'!$E$5,"W","B")</x:f>
        <x:v>W</x:v>
      </x:c>
      <x:c r="E222" t="str">
        <x:f>IF(RAND()&lt;'Team_Info'!$E$5,"W","B")</x:f>
        <x:v>B</x:v>
      </x:c>
      <x:c r="F222" t="str">
        <x:f>IF(RAND()&lt;'Team_Info'!$E$5,"W","B")</x:f>
        <x:v>B</x:v>
      </x:c>
      <x:c r="G222" t="str">
        <x:f>IF(RAND()&lt;'Team_Info'!$E$5,"W","B")</x:f>
        <x:v>B</x:v>
      </x:c>
      <x:c r="H222" t="str">
        <x:f>IF(RAND()&lt;'Team_Info'!$E$5,"W","B")</x:f>
        <x:v>B</x:v>
      </x:c>
      <x:c r="I222" t="str">
        <x:f>IF(RAND()&lt;'Team_Info'!$E$5,"W","B")</x:f>
        <x:v>W</x:v>
      </x:c>
      <x:c r="J222" t="str">
        <x:f>IF(RAND()&lt;'Team_Info'!$E$5,"W","B")</x:f>
        <x:v>W</x:v>
      </x:c>
      <x:c r="K222" t="str">
        <x:f>IF(RAND()&lt;'Team_Info'!$E$5,"W","B")</x:f>
        <x:v>W</x:v>
      </x:c>
      <x:c r="L222" t="str">
        <x:f>IF(RAND()&lt;'Team_Info'!$E$5,"W","B")</x:f>
        <x:v>B</x:v>
      </x:c>
      <x:c r="M222" t="str">
        <x:f>IF(RAND()&lt;'Team_Info'!$E$5,"W","B")</x:f>
        <x:v>W</x:v>
      </x:c>
      <x:c r="N222" t="str">
        <x:f>IF(RAND()&lt;'Team_Info'!$E$5,"W","B")</x:f>
        <x:v>B</x:v>
      </x:c>
      <x:c r="O222" t="str">
        <x:f>IF(RAND()&lt;'Team_Info'!$E$5,"W","B")</x:f>
        <x:v>B</x:v>
      </x:c>
      <x:c r="P222" t="str">
        <x:f>IF(RAND()&lt;'Team_Info'!$E$5,"W","B")</x:f>
        <x:v>B</x:v>
      </x:c>
      <x:c r="Q222" t="str">
        <x:f>IF(RAND()&lt;'Team_Info'!$E$5,"W","B")</x:f>
        <x:v>B</x:v>
      </x:c>
      <x:c r="R222" t="str">
        <x:f>IF(RAND()&lt;'Team_Info'!$E$5,"W","B")</x:f>
        <x:v>B</x:v>
      </x:c>
      <x:c r="S222" t="str">
        <x:f>IF(RAND()&lt;'Team_Info'!$E$5,"W","B")</x:f>
        <x:v>B</x:v>
      </x:c>
      <x:c r="T222" t="str">
        <x:f>IF(RAND()&lt;'Team_Info'!$E$5,"W","B")</x:f>
        <x:v>B</x:v>
      </x:c>
      <x:c r="U222" t="str">
        <x:f>IF(RAND()&lt;'Team_Info'!$E$5,"W","B")</x:f>
        <x:v>B</x:v>
      </x:c>
    </x:row>
    <x:row r="223">
      <x:c r="A223" s="1">
        <x:v>222</x:v>
      </x:c>
      <x:c r="B223" t="str">
        <x:f>IF(RAND()&lt;'Team_Info'!$E$5,"W","B")</x:f>
        <x:v>B</x:v>
      </x:c>
      <x:c r="C223" t="str">
        <x:f>IF(RAND()&lt;'Team_Info'!$E$5,"W","B")</x:f>
        <x:v>B</x:v>
      </x:c>
      <x:c r="D223" t="str">
        <x:f>IF(RAND()&lt;'Team_Info'!$E$5,"W","B")</x:f>
        <x:v>W</x:v>
      </x:c>
      <x:c r="E223" t="str">
        <x:f>IF(RAND()&lt;'Team_Info'!$E$5,"W","B")</x:f>
        <x:v>W</x:v>
      </x:c>
      <x:c r="F223" t="str">
        <x:f>IF(RAND()&lt;'Team_Info'!$E$5,"W","B")</x:f>
        <x:v>B</x:v>
      </x:c>
      <x:c r="G223" t="str">
        <x:f>IF(RAND()&lt;'Team_Info'!$E$5,"W","B")</x:f>
        <x:v>B</x:v>
      </x:c>
      <x:c r="H223" t="str">
        <x:f>IF(RAND()&lt;'Team_Info'!$E$5,"W","B")</x:f>
        <x:v>B</x:v>
      </x:c>
      <x:c r="I223" t="str">
        <x:f>IF(RAND()&lt;'Team_Info'!$E$5,"W","B")</x:f>
        <x:v>W</x:v>
      </x:c>
      <x:c r="J223" t="str">
        <x:f>IF(RAND()&lt;'Team_Info'!$E$5,"W","B")</x:f>
        <x:v>W</x:v>
      </x:c>
      <x:c r="K223" t="str">
        <x:f>IF(RAND()&lt;'Team_Info'!$E$5,"W","B")</x:f>
        <x:v>W</x:v>
      </x:c>
      <x:c r="L223" t="str">
        <x:f>IF(RAND()&lt;'Team_Info'!$E$5,"W","B")</x:f>
        <x:v>B</x:v>
      </x:c>
      <x:c r="M223" t="str">
        <x:f>IF(RAND()&lt;'Team_Info'!$E$5,"W","B")</x:f>
        <x:v>B</x:v>
      </x:c>
      <x:c r="N223" t="str">
        <x:f>IF(RAND()&lt;'Team_Info'!$E$5,"W","B")</x:f>
        <x:v>B</x:v>
      </x:c>
      <x:c r="O223" t="str">
        <x:f>IF(RAND()&lt;'Team_Info'!$E$5,"W","B")</x:f>
        <x:v>W</x:v>
      </x:c>
      <x:c r="P223" t="str">
        <x:f>IF(RAND()&lt;'Team_Info'!$E$5,"W","B")</x:f>
        <x:v>B</x:v>
      </x:c>
      <x:c r="Q223" t="str">
        <x:f>IF(RAND()&lt;'Team_Info'!$E$5,"W","B")</x:f>
        <x:v>B</x:v>
      </x:c>
      <x:c r="R223" t="str">
        <x:f>IF(RAND()&lt;'Team_Info'!$E$5,"W","B")</x:f>
        <x:v>W</x:v>
      </x:c>
      <x:c r="S223" t="str">
        <x:f>IF(RAND()&lt;'Team_Info'!$E$5,"W","B")</x:f>
        <x:v>B</x:v>
      </x:c>
      <x:c r="T223" t="str">
        <x:f>IF(RAND()&lt;'Team_Info'!$E$5,"W","B")</x:f>
        <x:v>B</x:v>
      </x:c>
      <x:c r="U223" t="str">
        <x:f>IF(RAND()&lt;'Team_Info'!$E$5,"W","B")</x:f>
        <x:v>B</x:v>
      </x:c>
    </x:row>
    <x:row r="224">
      <x:c r="A224" s="1">
        <x:v>223</x:v>
      </x:c>
      <x:c r="B224" t="str">
        <x:f>IF(RAND()&lt;'Team_Info'!$E$5,"W","B")</x:f>
        <x:v>B</x:v>
      </x:c>
      <x:c r="C224" t="str">
        <x:f>IF(RAND()&lt;'Team_Info'!$E$5,"W","B")</x:f>
        <x:v>W</x:v>
      </x:c>
      <x:c r="D224" t="str">
        <x:f>IF(RAND()&lt;'Team_Info'!$E$5,"W","B")</x:f>
        <x:v>B</x:v>
      </x:c>
      <x:c r="E224" t="str">
        <x:f>IF(RAND()&lt;'Team_Info'!$E$5,"W","B")</x:f>
        <x:v>B</x:v>
      </x:c>
      <x:c r="F224" t="str">
        <x:f>IF(RAND()&lt;'Team_Info'!$E$5,"W","B")</x:f>
        <x:v>B</x:v>
      </x:c>
      <x:c r="G224" t="str">
        <x:f>IF(RAND()&lt;'Team_Info'!$E$5,"W","B")</x:f>
        <x:v>W</x:v>
      </x:c>
      <x:c r="H224" t="str">
        <x:f>IF(RAND()&lt;'Team_Info'!$E$5,"W","B")</x:f>
        <x:v>B</x:v>
      </x:c>
      <x:c r="I224" t="str">
        <x:f>IF(RAND()&lt;'Team_Info'!$E$5,"W","B")</x:f>
        <x:v>B</x:v>
      </x:c>
      <x:c r="J224" t="str">
        <x:f>IF(RAND()&lt;'Team_Info'!$E$5,"W","B")</x:f>
        <x:v>B</x:v>
      </x:c>
      <x:c r="K224" t="str">
        <x:f>IF(RAND()&lt;'Team_Info'!$E$5,"W","B")</x:f>
        <x:v>W</x:v>
      </x:c>
      <x:c r="L224" t="str">
        <x:f>IF(RAND()&lt;'Team_Info'!$E$5,"W","B")</x:f>
        <x:v>W</x:v>
      </x:c>
      <x:c r="M224" t="str">
        <x:f>IF(RAND()&lt;'Team_Info'!$E$5,"W","B")</x:f>
        <x:v>W</x:v>
      </x:c>
      <x:c r="N224" t="str">
        <x:f>IF(RAND()&lt;'Team_Info'!$E$5,"W","B")</x:f>
        <x:v>B</x:v>
      </x:c>
      <x:c r="O224" t="str">
        <x:f>IF(RAND()&lt;'Team_Info'!$E$5,"W","B")</x:f>
        <x:v>B</x:v>
      </x:c>
      <x:c r="P224" t="str">
        <x:f>IF(RAND()&lt;'Team_Info'!$E$5,"W","B")</x:f>
        <x:v>B</x:v>
      </x:c>
      <x:c r="Q224" t="str">
        <x:f>IF(RAND()&lt;'Team_Info'!$E$5,"W","B")</x:f>
        <x:v>W</x:v>
      </x:c>
      <x:c r="R224" t="str">
        <x:f>IF(RAND()&lt;'Team_Info'!$E$5,"W","B")</x:f>
        <x:v>B</x:v>
      </x:c>
      <x:c r="S224" t="str">
        <x:f>IF(RAND()&lt;'Team_Info'!$E$5,"W","B")</x:f>
        <x:v>B</x:v>
      </x:c>
      <x:c r="T224" t="str">
        <x:f>IF(RAND()&lt;'Team_Info'!$E$5,"W","B")</x:f>
        <x:v>B</x:v>
      </x:c>
      <x:c r="U224" t="str">
        <x:f>IF(RAND()&lt;'Team_Info'!$E$5,"W","B")</x:f>
        <x:v>B</x:v>
      </x:c>
    </x:row>
    <x:row r="225">
      <x:c r="A225" s="1">
        <x:v>224</x:v>
      </x:c>
      <x:c r="B225" t="str">
        <x:f>IF(RAND()&lt;'Team_Info'!$E$5,"W","B")</x:f>
        <x:v>W</x:v>
      </x:c>
      <x:c r="C225" t="str">
        <x:f>IF(RAND()&lt;'Team_Info'!$E$5,"W","B")</x:f>
        <x:v>B</x:v>
      </x:c>
      <x:c r="D225" t="str">
        <x:f>IF(RAND()&lt;'Team_Info'!$E$5,"W","B")</x:f>
        <x:v>B</x:v>
      </x:c>
      <x:c r="E225" t="str">
        <x:f>IF(RAND()&lt;'Team_Info'!$E$5,"W","B")</x:f>
        <x:v>B</x:v>
      </x:c>
      <x:c r="F225" t="str">
        <x:f>IF(RAND()&lt;'Team_Info'!$E$5,"W","B")</x:f>
        <x:v>B</x:v>
      </x:c>
      <x:c r="G225" t="str">
        <x:f>IF(RAND()&lt;'Team_Info'!$E$5,"W","B")</x:f>
        <x:v>B</x:v>
      </x:c>
      <x:c r="H225" t="str">
        <x:f>IF(RAND()&lt;'Team_Info'!$E$5,"W","B")</x:f>
        <x:v>W</x:v>
      </x:c>
      <x:c r="I225" t="str">
        <x:f>IF(RAND()&lt;'Team_Info'!$E$5,"W","B")</x:f>
        <x:v>W</x:v>
      </x:c>
      <x:c r="J225" t="str">
        <x:f>IF(RAND()&lt;'Team_Info'!$E$5,"W","B")</x:f>
        <x:v>W</x:v>
      </x:c>
      <x:c r="K225" t="str">
        <x:f>IF(RAND()&lt;'Team_Info'!$E$5,"W","B")</x:f>
        <x:v>W</x:v>
      </x:c>
      <x:c r="L225" t="str">
        <x:f>IF(RAND()&lt;'Team_Info'!$E$5,"W","B")</x:f>
        <x:v>B</x:v>
      </x:c>
      <x:c r="M225" t="str">
        <x:f>IF(RAND()&lt;'Team_Info'!$E$5,"W","B")</x:f>
        <x:v>B</x:v>
      </x:c>
      <x:c r="N225" t="str">
        <x:f>IF(RAND()&lt;'Team_Info'!$E$5,"W","B")</x:f>
        <x:v>B</x:v>
      </x:c>
      <x:c r="O225" t="str">
        <x:f>IF(RAND()&lt;'Team_Info'!$E$5,"W","B")</x:f>
        <x:v>B</x:v>
      </x:c>
      <x:c r="P225" t="str">
        <x:f>IF(RAND()&lt;'Team_Info'!$E$5,"W","B")</x:f>
        <x:v>W</x:v>
      </x:c>
      <x:c r="Q225" t="str">
        <x:f>IF(RAND()&lt;'Team_Info'!$E$5,"W","B")</x:f>
        <x:v>B</x:v>
      </x:c>
      <x:c r="R225" t="str">
        <x:f>IF(RAND()&lt;'Team_Info'!$E$5,"W","B")</x:f>
        <x:v>B</x:v>
      </x:c>
      <x:c r="S225" t="str">
        <x:f>IF(RAND()&lt;'Team_Info'!$E$5,"W","B")</x:f>
        <x:v>B</x:v>
      </x:c>
      <x:c r="T225" t="str">
        <x:f>IF(RAND()&lt;'Team_Info'!$E$5,"W","B")</x:f>
        <x:v>B</x:v>
      </x:c>
      <x:c r="U225" t="str">
        <x:f>IF(RAND()&lt;'Team_Info'!$E$5,"W","B")</x:f>
        <x:v>W</x:v>
      </x:c>
    </x:row>
    <x:row r="226">
      <x:c r="A226" s="1">
        <x:v>225</x:v>
      </x:c>
      <x:c r="B226" t="str">
        <x:f>IF(RAND()&lt;'Team_Info'!$E$5,"W","B")</x:f>
        <x:v>B</x:v>
      </x:c>
      <x:c r="C226" t="str">
        <x:f>IF(RAND()&lt;'Team_Info'!$E$5,"W","B")</x:f>
        <x:v>B</x:v>
      </x:c>
      <x:c r="D226" t="str">
        <x:f>IF(RAND()&lt;'Team_Info'!$E$5,"W","B")</x:f>
        <x:v>B</x:v>
      </x:c>
      <x:c r="E226" t="str">
        <x:f>IF(RAND()&lt;'Team_Info'!$E$5,"W","B")</x:f>
        <x:v>W</x:v>
      </x:c>
      <x:c r="F226" t="str">
        <x:f>IF(RAND()&lt;'Team_Info'!$E$5,"W","B")</x:f>
        <x:v>B</x:v>
      </x:c>
      <x:c r="G226" t="str">
        <x:f>IF(RAND()&lt;'Team_Info'!$E$5,"W","B")</x:f>
        <x:v>B</x:v>
      </x:c>
      <x:c r="H226" t="str">
        <x:f>IF(RAND()&lt;'Team_Info'!$E$5,"W","B")</x:f>
        <x:v>B</x:v>
      </x:c>
      <x:c r="I226" t="str">
        <x:f>IF(RAND()&lt;'Team_Info'!$E$5,"W","B")</x:f>
        <x:v>B</x:v>
      </x:c>
      <x:c r="J226" t="str">
        <x:f>IF(RAND()&lt;'Team_Info'!$E$5,"W","B")</x:f>
        <x:v>W</x:v>
      </x:c>
      <x:c r="K226" t="str">
        <x:f>IF(RAND()&lt;'Team_Info'!$E$5,"W","B")</x:f>
        <x:v>B</x:v>
      </x:c>
      <x:c r="L226" t="str">
        <x:f>IF(RAND()&lt;'Team_Info'!$E$5,"W","B")</x:f>
        <x:v>B</x:v>
      </x:c>
      <x:c r="M226" t="str">
        <x:f>IF(RAND()&lt;'Team_Info'!$E$5,"W","B")</x:f>
        <x:v>W</x:v>
      </x:c>
      <x:c r="N226" t="str">
        <x:f>IF(RAND()&lt;'Team_Info'!$E$5,"W","B")</x:f>
        <x:v>B</x:v>
      </x:c>
      <x:c r="O226" t="str">
        <x:f>IF(RAND()&lt;'Team_Info'!$E$5,"W","B")</x:f>
        <x:v>B</x:v>
      </x:c>
      <x:c r="P226" t="str">
        <x:f>IF(RAND()&lt;'Team_Info'!$E$5,"W","B")</x:f>
        <x:v>B</x:v>
      </x:c>
      <x:c r="Q226" t="str">
        <x:f>IF(RAND()&lt;'Team_Info'!$E$5,"W","B")</x:f>
        <x:v>W</x:v>
      </x:c>
      <x:c r="R226" t="str">
        <x:f>IF(RAND()&lt;'Team_Info'!$E$5,"W","B")</x:f>
        <x:v>B</x:v>
      </x:c>
      <x:c r="S226" t="str">
        <x:f>IF(RAND()&lt;'Team_Info'!$E$5,"W","B")</x:f>
        <x:v>B</x:v>
      </x:c>
      <x:c r="T226" t="str">
        <x:f>IF(RAND()&lt;'Team_Info'!$E$5,"W","B")</x:f>
        <x:v>B</x:v>
      </x:c>
      <x:c r="U226" t="str">
        <x:f>IF(RAND()&lt;'Team_Info'!$E$5,"W","B")</x:f>
        <x:v>B</x:v>
      </x:c>
    </x:row>
    <x:row r="227">
      <x:c r="A227" s="1">
        <x:v>226</x:v>
      </x:c>
      <x:c r="B227" t="str">
        <x:f>IF(RAND()&lt;'Team_Info'!$E$5,"W","B")</x:f>
        <x:v>W</x:v>
      </x:c>
      <x:c r="C227" t="str">
        <x:f>IF(RAND()&lt;'Team_Info'!$E$5,"W","B")</x:f>
        <x:v>W</x:v>
      </x:c>
      <x:c r="D227" t="str">
        <x:f>IF(RAND()&lt;'Team_Info'!$E$5,"W","B")</x:f>
        <x:v>W</x:v>
      </x:c>
      <x:c r="E227" t="str">
        <x:f>IF(RAND()&lt;'Team_Info'!$E$5,"W","B")</x:f>
        <x:v>B</x:v>
      </x:c>
      <x:c r="F227" t="str">
        <x:f>IF(RAND()&lt;'Team_Info'!$E$5,"W","B")</x:f>
        <x:v>B</x:v>
      </x:c>
      <x:c r="G227" t="str">
        <x:f>IF(RAND()&lt;'Team_Info'!$E$5,"W","B")</x:f>
        <x:v>W</x:v>
      </x:c>
      <x:c r="H227" t="str">
        <x:f>IF(RAND()&lt;'Team_Info'!$E$5,"W","B")</x:f>
        <x:v>B</x:v>
      </x:c>
      <x:c r="I227" t="str">
        <x:f>IF(RAND()&lt;'Team_Info'!$E$5,"W","B")</x:f>
        <x:v>W</x:v>
      </x:c>
      <x:c r="J227" t="str">
        <x:f>IF(RAND()&lt;'Team_Info'!$E$5,"W","B")</x:f>
        <x:v>W</x:v>
      </x:c>
      <x:c r="K227" t="str">
        <x:f>IF(RAND()&lt;'Team_Info'!$E$5,"W","B")</x:f>
        <x:v>B</x:v>
      </x:c>
      <x:c r="L227" t="str">
        <x:f>IF(RAND()&lt;'Team_Info'!$E$5,"W","B")</x:f>
        <x:v>B</x:v>
      </x:c>
      <x:c r="M227" t="str">
        <x:f>IF(RAND()&lt;'Team_Info'!$E$5,"W","B")</x:f>
        <x:v>W</x:v>
      </x:c>
      <x:c r="N227" t="str">
        <x:f>IF(RAND()&lt;'Team_Info'!$E$5,"W","B")</x:f>
        <x:v>W</x:v>
      </x:c>
      <x:c r="O227" t="str">
        <x:f>IF(RAND()&lt;'Team_Info'!$E$5,"W","B")</x:f>
        <x:v>W</x:v>
      </x:c>
      <x:c r="P227" t="str">
        <x:f>IF(RAND()&lt;'Team_Info'!$E$5,"W","B")</x:f>
        <x:v>W</x:v>
      </x:c>
      <x:c r="Q227" t="str">
        <x:f>IF(RAND()&lt;'Team_Info'!$E$5,"W","B")</x:f>
        <x:v>B</x:v>
      </x:c>
      <x:c r="R227" t="str">
        <x:f>IF(RAND()&lt;'Team_Info'!$E$5,"W","B")</x:f>
        <x:v>B</x:v>
      </x:c>
      <x:c r="S227" t="str">
        <x:f>IF(RAND()&lt;'Team_Info'!$E$5,"W","B")</x:f>
        <x:v>B</x:v>
      </x:c>
      <x:c r="T227" t="str">
        <x:f>IF(RAND()&lt;'Team_Info'!$E$5,"W","B")</x:f>
        <x:v>W</x:v>
      </x:c>
      <x:c r="U227" t="str">
        <x:f>IF(RAND()&lt;'Team_Info'!$E$5,"W","B")</x:f>
        <x:v>B</x:v>
      </x:c>
    </x:row>
    <x:row r="228">
      <x:c r="A228" s="1">
        <x:v>227</x:v>
      </x:c>
      <x:c r="B228" t="str">
        <x:f>IF(RAND()&lt;'Team_Info'!$E$5,"W","B")</x:f>
        <x:v>B</x:v>
      </x:c>
      <x:c r="C228" t="str">
        <x:f>IF(RAND()&lt;'Team_Info'!$E$5,"W","B")</x:f>
        <x:v>B</x:v>
      </x:c>
      <x:c r="D228" t="str">
        <x:f>IF(RAND()&lt;'Team_Info'!$E$5,"W","B")</x:f>
        <x:v>B</x:v>
      </x:c>
      <x:c r="E228" t="str">
        <x:f>IF(RAND()&lt;'Team_Info'!$E$5,"W","B")</x:f>
        <x:v>W</x:v>
      </x:c>
      <x:c r="F228" t="str">
        <x:f>IF(RAND()&lt;'Team_Info'!$E$5,"W","B")</x:f>
        <x:v>B</x:v>
      </x:c>
      <x:c r="G228" t="str">
        <x:f>IF(RAND()&lt;'Team_Info'!$E$5,"W","B")</x:f>
        <x:v>W</x:v>
      </x:c>
      <x:c r="H228" t="str">
        <x:f>IF(RAND()&lt;'Team_Info'!$E$5,"W","B")</x:f>
        <x:v>B</x:v>
      </x:c>
      <x:c r="I228" t="str">
        <x:f>IF(RAND()&lt;'Team_Info'!$E$5,"W","B")</x:f>
        <x:v>B</x:v>
      </x:c>
      <x:c r="J228" t="str">
        <x:f>IF(RAND()&lt;'Team_Info'!$E$5,"W","B")</x:f>
        <x:v>B</x:v>
      </x:c>
      <x:c r="K228" t="str">
        <x:f>IF(RAND()&lt;'Team_Info'!$E$5,"W","B")</x:f>
        <x:v>B</x:v>
      </x:c>
      <x:c r="L228" t="str">
        <x:f>IF(RAND()&lt;'Team_Info'!$E$5,"W","B")</x:f>
        <x:v>B</x:v>
      </x:c>
      <x:c r="M228" t="str">
        <x:f>IF(RAND()&lt;'Team_Info'!$E$5,"W","B")</x:f>
        <x:v>W</x:v>
      </x:c>
      <x:c r="N228" t="str">
        <x:f>IF(RAND()&lt;'Team_Info'!$E$5,"W","B")</x:f>
        <x:v>W</x:v>
      </x:c>
      <x:c r="O228" t="str">
        <x:f>IF(RAND()&lt;'Team_Info'!$E$5,"W","B")</x:f>
        <x:v>B</x:v>
      </x:c>
      <x:c r="P228" t="str">
        <x:f>IF(RAND()&lt;'Team_Info'!$E$5,"W","B")</x:f>
        <x:v>W</x:v>
      </x:c>
      <x:c r="Q228" t="str">
        <x:f>IF(RAND()&lt;'Team_Info'!$E$5,"W","B")</x:f>
        <x:v>W</x:v>
      </x:c>
      <x:c r="R228" t="str">
        <x:f>IF(RAND()&lt;'Team_Info'!$E$5,"W","B")</x:f>
        <x:v>B</x:v>
      </x:c>
      <x:c r="S228" t="str">
        <x:f>IF(RAND()&lt;'Team_Info'!$E$5,"W","B")</x:f>
        <x:v>B</x:v>
      </x:c>
      <x:c r="T228" t="str">
        <x:f>IF(RAND()&lt;'Team_Info'!$E$5,"W","B")</x:f>
        <x:v>W</x:v>
      </x:c>
      <x:c r="U228" t="str">
        <x:f>IF(RAND()&lt;'Team_Info'!$E$5,"W","B")</x:f>
        <x:v>W</x:v>
      </x:c>
    </x:row>
    <x:row r="229">
      <x:c r="A229" s="1">
        <x:v>228</x:v>
      </x:c>
      <x:c r="B229" t="str">
        <x:f>IF(RAND()&lt;'Team_Info'!$E$5,"W","B")</x:f>
        <x:v>W</x:v>
      </x:c>
      <x:c r="C229" t="str">
        <x:f>IF(RAND()&lt;'Team_Info'!$E$5,"W","B")</x:f>
        <x:v>B</x:v>
      </x:c>
      <x:c r="D229" t="str">
        <x:f>IF(RAND()&lt;'Team_Info'!$E$5,"W","B")</x:f>
        <x:v>W</x:v>
      </x:c>
      <x:c r="E229" t="str">
        <x:f>IF(RAND()&lt;'Team_Info'!$E$5,"W","B")</x:f>
        <x:v>W</x:v>
      </x:c>
      <x:c r="F229" t="str">
        <x:f>IF(RAND()&lt;'Team_Info'!$E$5,"W","B")</x:f>
        <x:v>B</x:v>
      </x:c>
      <x:c r="G229" t="str">
        <x:f>IF(RAND()&lt;'Team_Info'!$E$5,"W","B")</x:f>
        <x:v>B</x:v>
      </x:c>
      <x:c r="H229" t="str">
        <x:f>IF(RAND()&lt;'Team_Info'!$E$5,"W","B")</x:f>
        <x:v>B</x:v>
      </x:c>
      <x:c r="I229" t="str">
        <x:f>IF(RAND()&lt;'Team_Info'!$E$5,"W","B")</x:f>
        <x:v>B</x:v>
      </x:c>
      <x:c r="J229" t="str">
        <x:f>IF(RAND()&lt;'Team_Info'!$E$5,"W","B")</x:f>
        <x:v>B</x:v>
      </x:c>
      <x:c r="K229" t="str">
        <x:f>IF(RAND()&lt;'Team_Info'!$E$5,"W","B")</x:f>
        <x:v>B</x:v>
      </x:c>
      <x:c r="L229" t="str">
        <x:f>IF(RAND()&lt;'Team_Info'!$E$5,"W","B")</x:f>
        <x:v>W</x:v>
      </x:c>
      <x:c r="M229" t="str">
        <x:f>IF(RAND()&lt;'Team_Info'!$E$5,"W","B")</x:f>
        <x:v>W</x:v>
      </x:c>
      <x:c r="N229" t="str">
        <x:f>IF(RAND()&lt;'Team_Info'!$E$5,"W","B")</x:f>
        <x:v>B</x:v>
      </x:c>
      <x:c r="O229" t="str">
        <x:f>IF(RAND()&lt;'Team_Info'!$E$5,"W","B")</x:f>
        <x:v>W</x:v>
      </x:c>
      <x:c r="P229" t="str">
        <x:f>IF(RAND()&lt;'Team_Info'!$E$5,"W","B")</x:f>
        <x:v>W</x:v>
      </x:c>
      <x:c r="Q229" t="str">
        <x:f>IF(RAND()&lt;'Team_Info'!$E$5,"W","B")</x:f>
        <x:v>W</x:v>
      </x:c>
      <x:c r="R229" t="str">
        <x:f>IF(RAND()&lt;'Team_Info'!$E$5,"W","B")</x:f>
        <x:v>B</x:v>
      </x:c>
      <x:c r="S229" t="str">
        <x:f>IF(RAND()&lt;'Team_Info'!$E$5,"W","B")</x:f>
        <x:v>W</x:v>
      </x:c>
      <x:c r="T229" t="str">
        <x:f>IF(RAND()&lt;'Team_Info'!$E$5,"W","B")</x:f>
        <x:v>B</x:v>
      </x:c>
      <x:c r="U229" t="str">
        <x:f>IF(RAND()&lt;'Team_Info'!$E$5,"W","B")</x:f>
        <x:v>W</x:v>
      </x:c>
    </x:row>
    <x:row r="230">
      <x:c r="A230" s="1">
        <x:v>229</x:v>
      </x:c>
      <x:c r="B230" t="str">
        <x:f>IF(RAND()&lt;'Team_Info'!$E$5,"W","B")</x:f>
        <x:v>W</x:v>
      </x:c>
      <x:c r="C230" t="str">
        <x:f>IF(RAND()&lt;'Team_Info'!$E$5,"W","B")</x:f>
        <x:v>W</x:v>
      </x:c>
      <x:c r="D230" t="str">
        <x:f>IF(RAND()&lt;'Team_Info'!$E$5,"W","B")</x:f>
        <x:v>W</x:v>
      </x:c>
      <x:c r="E230" t="str">
        <x:f>IF(RAND()&lt;'Team_Info'!$E$5,"W","B")</x:f>
        <x:v>W</x:v>
      </x:c>
      <x:c r="F230" t="str">
        <x:f>IF(RAND()&lt;'Team_Info'!$E$5,"W","B")</x:f>
        <x:v>B</x:v>
      </x:c>
      <x:c r="G230" t="str">
        <x:f>IF(RAND()&lt;'Team_Info'!$E$5,"W","B")</x:f>
        <x:v>B</x:v>
      </x:c>
      <x:c r="H230" t="str">
        <x:f>IF(RAND()&lt;'Team_Info'!$E$5,"W","B")</x:f>
        <x:v>W</x:v>
      </x:c>
      <x:c r="I230" t="str">
        <x:f>IF(RAND()&lt;'Team_Info'!$E$5,"W","B")</x:f>
        <x:v>B</x:v>
      </x:c>
      <x:c r="J230" t="str">
        <x:f>IF(RAND()&lt;'Team_Info'!$E$5,"W","B")</x:f>
        <x:v>B</x:v>
      </x:c>
      <x:c r="K230" t="str">
        <x:f>IF(RAND()&lt;'Team_Info'!$E$5,"W","B")</x:f>
        <x:v>B</x:v>
      </x:c>
      <x:c r="L230" t="str">
        <x:f>IF(RAND()&lt;'Team_Info'!$E$5,"W","B")</x:f>
        <x:v>W</x:v>
      </x:c>
      <x:c r="M230" t="str">
        <x:f>IF(RAND()&lt;'Team_Info'!$E$5,"W","B")</x:f>
        <x:v>B</x:v>
      </x:c>
      <x:c r="N230" t="str">
        <x:f>IF(RAND()&lt;'Team_Info'!$E$5,"W","B")</x:f>
        <x:v>B</x:v>
      </x:c>
      <x:c r="O230" t="str">
        <x:f>IF(RAND()&lt;'Team_Info'!$E$5,"W","B")</x:f>
        <x:v>B</x:v>
      </x:c>
      <x:c r="P230" t="str">
        <x:f>IF(RAND()&lt;'Team_Info'!$E$5,"W","B")</x:f>
        <x:v>W</x:v>
      </x:c>
      <x:c r="Q230" t="str">
        <x:f>IF(RAND()&lt;'Team_Info'!$E$5,"W","B")</x:f>
        <x:v>W</x:v>
      </x:c>
      <x:c r="R230" t="str">
        <x:f>IF(RAND()&lt;'Team_Info'!$E$5,"W","B")</x:f>
        <x:v>W</x:v>
      </x:c>
      <x:c r="S230" t="str">
        <x:f>IF(RAND()&lt;'Team_Info'!$E$5,"W","B")</x:f>
        <x:v>B</x:v>
      </x:c>
      <x:c r="T230" t="str">
        <x:f>IF(RAND()&lt;'Team_Info'!$E$5,"W","B")</x:f>
        <x:v>B</x:v>
      </x:c>
      <x:c r="U230" t="str">
        <x:f>IF(RAND()&lt;'Team_Info'!$E$5,"W","B")</x:f>
        <x:v>W</x:v>
      </x:c>
    </x:row>
    <x:row r="231">
      <x:c r="A231" s="1">
        <x:v>230</x:v>
      </x:c>
      <x:c r="B231" t="str">
        <x:f>IF(RAND()&lt;'Team_Info'!$E$5,"W","B")</x:f>
        <x:v>B</x:v>
      </x:c>
      <x:c r="C231" t="str">
        <x:f>IF(RAND()&lt;'Team_Info'!$E$5,"W","B")</x:f>
        <x:v>B</x:v>
      </x:c>
      <x:c r="D231" t="str">
        <x:f>IF(RAND()&lt;'Team_Info'!$E$5,"W","B")</x:f>
        <x:v>B</x:v>
      </x:c>
      <x:c r="E231" t="str">
        <x:f>IF(RAND()&lt;'Team_Info'!$E$5,"W","B")</x:f>
        <x:v>W</x:v>
      </x:c>
      <x:c r="F231" t="str">
        <x:f>IF(RAND()&lt;'Team_Info'!$E$5,"W","B")</x:f>
        <x:v>W</x:v>
      </x:c>
      <x:c r="G231" t="str">
        <x:f>IF(RAND()&lt;'Team_Info'!$E$5,"W","B")</x:f>
        <x:v>W</x:v>
      </x:c>
      <x:c r="H231" t="str">
        <x:f>IF(RAND()&lt;'Team_Info'!$E$5,"W","B")</x:f>
        <x:v>B</x:v>
      </x:c>
      <x:c r="I231" t="str">
        <x:f>IF(RAND()&lt;'Team_Info'!$E$5,"W","B")</x:f>
        <x:v>B</x:v>
      </x:c>
      <x:c r="J231" t="str">
        <x:f>IF(RAND()&lt;'Team_Info'!$E$5,"W","B")</x:f>
        <x:v>W</x:v>
      </x:c>
      <x:c r="K231" t="str">
        <x:f>IF(RAND()&lt;'Team_Info'!$E$5,"W","B")</x:f>
        <x:v>B</x:v>
      </x:c>
      <x:c r="L231" t="str">
        <x:f>IF(RAND()&lt;'Team_Info'!$E$5,"W","B")</x:f>
        <x:v>B</x:v>
      </x:c>
      <x:c r="M231" t="str">
        <x:f>IF(RAND()&lt;'Team_Info'!$E$5,"W","B")</x:f>
        <x:v>B</x:v>
      </x:c>
      <x:c r="N231" t="str">
        <x:f>IF(RAND()&lt;'Team_Info'!$E$5,"W","B")</x:f>
        <x:v>B</x:v>
      </x:c>
      <x:c r="O231" t="str">
        <x:f>IF(RAND()&lt;'Team_Info'!$E$5,"W","B")</x:f>
        <x:v>B</x:v>
      </x:c>
      <x:c r="P231" t="str">
        <x:f>IF(RAND()&lt;'Team_Info'!$E$5,"W","B")</x:f>
        <x:v>B</x:v>
      </x:c>
      <x:c r="Q231" t="str">
        <x:f>IF(RAND()&lt;'Team_Info'!$E$5,"W","B")</x:f>
        <x:v>W</x:v>
      </x:c>
      <x:c r="R231" t="str">
        <x:f>IF(RAND()&lt;'Team_Info'!$E$5,"W","B")</x:f>
        <x:v>W</x:v>
      </x:c>
      <x:c r="S231" t="str">
        <x:f>IF(RAND()&lt;'Team_Info'!$E$5,"W","B")</x:f>
        <x:v>W</x:v>
      </x:c>
      <x:c r="T231" t="str">
        <x:f>IF(RAND()&lt;'Team_Info'!$E$5,"W","B")</x:f>
        <x:v>B</x:v>
      </x:c>
      <x:c r="U231" t="str">
        <x:f>IF(RAND()&lt;'Team_Info'!$E$5,"W","B")</x:f>
        <x:v>B</x:v>
      </x:c>
    </x:row>
    <x:row r="232">
      <x:c r="A232" s="1">
        <x:v>231</x:v>
      </x:c>
      <x:c r="B232" t="str">
        <x:f>IF(RAND()&lt;'Team_Info'!$E$5,"W","B")</x:f>
        <x:v>B</x:v>
      </x:c>
      <x:c r="C232" t="str">
        <x:f>IF(RAND()&lt;'Team_Info'!$E$5,"W","B")</x:f>
        <x:v>W</x:v>
      </x:c>
      <x:c r="D232" t="str">
        <x:f>IF(RAND()&lt;'Team_Info'!$E$5,"W","B")</x:f>
        <x:v>B</x:v>
      </x:c>
      <x:c r="E232" t="str">
        <x:f>IF(RAND()&lt;'Team_Info'!$E$5,"W","B")</x:f>
        <x:v>W</x:v>
      </x:c>
      <x:c r="F232" t="str">
        <x:f>IF(RAND()&lt;'Team_Info'!$E$5,"W","B")</x:f>
        <x:v>B</x:v>
      </x:c>
      <x:c r="G232" t="str">
        <x:f>IF(RAND()&lt;'Team_Info'!$E$5,"W","B")</x:f>
        <x:v>W</x:v>
      </x:c>
      <x:c r="H232" t="str">
        <x:f>IF(RAND()&lt;'Team_Info'!$E$5,"W","B")</x:f>
        <x:v>B</x:v>
      </x:c>
      <x:c r="I232" t="str">
        <x:f>IF(RAND()&lt;'Team_Info'!$E$5,"W","B")</x:f>
        <x:v>B</x:v>
      </x:c>
      <x:c r="J232" t="str">
        <x:f>IF(RAND()&lt;'Team_Info'!$E$5,"W","B")</x:f>
        <x:v>B</x:v>
      </x:c>
      <x:c r="K232" t="str">
        <x:f>IF(RAND()&lt;'Team_Info'!$E$5,"W","B")</x:f>
        <x:v>W</x:v>
      </x:c>
      <x:c r="L232" t="str">
        <x:f>IF(RAND()&lt;'Team_Info'!$E$5,"W","B")</x:f>
        <x:v>B</x:v>
      </x:c>
      <x:c r="M232" t="str">
        <x:f>IF(RAND()&lt;'Team_Info'!$E$5,"W","B")</x:f>
        <x:v>W</x:v>
      </x:c>
      <x:c r="N232" t="str">
        <x:f>IF(RAND()&lt;'Team_Info'!$E$5,"W","B")</x:f>
        <x:v>B</x:v>
      </x:c>
      <x:c r="O232" t="str">
        <x:f>IF(RAND()&lt;'Team_Info'!$E$5,"W","B")</x:f>
        <x:v>W</x:v>
      </x:c>
      <x:c r="P232" t="str">
        <x:f>IF(RAND()&lt;'Team_Info'!$E$5,"W","B")</x:f>
        <x:v>B</x:v>
      </x:c>
      <x:c r="Q232" t="str">
        <x:f>IF(RAND()&lt;'Team_Info'!$E$5,"W","B")</x:f>
        <x:v>B</x:v>
      </x:c>
      <x:c r="R232" t="str">
        <x:f>IF(RAND()&lt;'Team_Info'!$E$5,"W","B")</x:f>
        <x:v>W</x:v>
      </x:c>
      <x:c r="S232" t="str">
        <x:f>IF(RAND()&lt;'Team_Info'!$E$5,"W","B")</x:f>
        <x:v>B</x:v>
      </x:c>
      <x:c r="T232" t="str">
        <x:f>IF(RAND()&lt;'Team_Info'!$E$5,"W","B")</x:f>
        <x:v>B</x:v>
      </x:c>
      <x:c r="U232" t="str">
        <x:f>IF(RAND()&lt;'Team_Info'!$E$5,"W","B")</x:f>
        <x:v>B</x:v>
      </x:c>
    </x:row>
    <x:row r="233">
      <x:c r="A233" s="1">
        <x:v>232</x:v>
      </x:c>
      <x:c r="B233" t="str">
        <x:f>IF(RAND()&lt;'Team_Info'!$E$5,"W","B")</x:f>
        <x:v>B</x:v>
      </x:c>
      <x:c r="C233" t="str">
        <x:f>IF(RAND()&lt;'Team_Info'!$E$5,"W","B")</x:f>
        <x:v>B</x:v>
      </x:c>
      <x:c r="D233" t="str">
        <x:f>IF(RAND()&lt;'Team_Info'!$E$5,"W","B")</x:f>
        <x:v>B</x:v>
      </x:c>
      <x:c r="E233" t="str">
        <x:f>IF(RAND()&lt;'Team_Info'!$E$5,"W","B")</x:f>
        <x:v>W</x:v>
      </x:c>
      <x:c r="F233" t="str">
        <x:f>IF(RAND()&lt;'Team_Info'!$E$5,"W","B")</x:f>
        <x:v>W</x:v>
      </x:c>
      <x:c r="G233" t="str">
        <x:f>IF(RAND()&lt;'Team_Info'!$E$5,"W","B")</x:f>
        <x:v>B</x:v>
      </x:c>
      <x:c r="H233" t="str">
        <x:f>IF(RAND()&lt;'Team_Info'!$E$5,"W","B")</x:f>
        <x:v>B</x:v>
      </x:c>
      <x:c r="I233" t="str">
        <x:f>IF(RAND()&lt;'Team_Info'!$E$5,"W","B")</x:f>
        <x:v>W</x:v>
      </x:c>
      <x:c r="J233" t="str">
        <x:f>IF(RAND()&lt;'Team_Info'!$E$5,"W","B")</x:f>
        <x:v>B</x:v>
      </x:c>
      <x:c r="K233" t="str">
        <x:f>IF(RAND()&lt;'Team_Info'!$E$5,"W","B")</x:f>
        <x:v>B</x:v>
      </x:c>
      <x:c r="L233" t="str">
        <x:f>IF(RAND()&lt;'Team_Info'!$E$5,"W","B")</x:f>
        <x:v>B</x:v>
      </x:c>
      <x:c r="M233" t="str">
        <x:f>IF(RAND()&lt;'Team_Info'!$E$5,"W","B")</x:f>
        <x:v>W</x:v>
      </x:c>
      <x:c r="N233" t="str">
        <x:f>IF(RAND()&lt;'Team_Info'!$E$5,"W","B")</x:f>
        <x:v>B</x:v>
      </x:c>
      <x:c r="O233" t="str">
        <x:f>IF(RAND()&lt;'Team_Info'!$E$5,"W","B")</x:f>
        <x:v>B</x:v>
      </x:c>
      <x:c r="P233" t="str">
        <x:f>IF(RAND()&lt;'Team_Info'!$E$5,"W","B")</x:f>
        <x:v>W</x:v>
      </x:c>
      <x:c r="Q233" t="str">
        <x:f>IF(RAND()&lt;'Team_Info'!$E$5,"W","B")</x:f>
        <x:v>B</x:v>
      </x:c>
      <x:c r="R233" t="str">
        <x:f>IF(RAND()&lt;'Team_Info'!$E$5,"W","B")</x:f>
        <x:v>W</x:v>
      </x:c>
      <x:c r="S233" t="str">
        <x:f>IF(RAND()&lt;'Team_Info'!$E$5,"W","B")</x:f>
        <x:v>B</x:v>
      </x:c>
      <x:c r="T233" t="str">
        <x:f>IF(RAND()&lt;'Team_Info'!$E$5,"W","B")</x:f>
        <x:v>B</x:v>
      </x:c>
      <x:c r="U233" t="str">
        <x:f>IF(RAND()&lt;'Team_Info'!$E$5,"W","B")</x:f>
        <x:v>W</x:v>
      </x:c>
    </x:row>
    <x:row r="234">
      <x:c r="A234" s="1">
        <x:v>233</x:v>
      </x:c>
      <x:c r="B234" t="str">
        <x:f>IF(RAND()&lt;'Team_Info'!$E$5,"W","B")</x:f>
        <x:v>W</x:v>
      </x:c>
      <x:c r="C234" t="str">
        <x:f>IF(RAND()&lt;'Team_Info'!$E$5,"W","B")</x:f>
        <x:v>W</x:v>
      </x:c>
      <x:c r="D234" t="str">
        <x:f>IF(RAND()&lt;'Team_Info'!$E$5,"W","B")</x:f>
        <x:v>B</x:v>
      </x:c>
      <x:c r="E234" t="str">
        <x:f>IF(RAND()&lt;'Team_Info'!$E$5,"W","B")</x:f>
        <x:v>W</x:v>
      </x:c>
      <x:c r="F234" t="str">
        <x:f>IF(RAND()&lt;'Team_Info'!$E$5,"W","B")</x:f>
        <x:v>B</x:v>
      </x:c>
      <x:c r="G234" t="str">
        <x:f>IF(RAND()&lt;'Team_Info'!$E$5,"W","B")</x:f>
        <x:v>W</x:v>
      </x:c>
      <x:c r="H234" t="str">
        <x:f>IF(RAND()&lt;'Team_Info'!$E$5,"W","B")</x:f>
        <x:v>W</x:v>
      </x:c>
      <x:c r="I234" t="str">
        <x:f>IF(RAND()&lt;'Team_Info'!$E$5,"W","B")</x:f>
        <x:v>B</x:v>
      </x:c>
      <x:c r="J234" t="str">
        <x:f>IF(RAND()&lt;'Team_Info'!$E$5,"W","B")</x:f>
        <x:v>B</x:v>
      </x:c>
      <x:c r="K234" t="str">
        <x:f>IF(RAND()&lt;'Team_Info'!$E$5,"W","B")</x:f>
        <x:v>B</x:v>
      </x:c>
      <x:c r="L234" t="str">
        <x:f>IF(RAND()&lt;'Team_Info'!$E$5,"W","B")</x:f>
        <x:v>W</x:v>
      </x:c>
      <x:c r="M234" t="str">
        <x:f>IF(RAND()&lt;'Team_Info'!$E$5,"W","B")</x:f>
        <x:v>B</x:v>
      </x:c>
      <x:c r="N234" t="str">
        <x:f>IF(RAND()&lt;'Team_Info'!$E$5,"W","B")</x:f>
        <x:v>W</x:v>
      </x:c>
      <x:c r="O234" t="str">
        <x:f>IF(RAND()&lt;'Team_Info'!$E$5,"W","B")</x:f>
        <x:v>B</x:v>
      </x:c>
      <x:c r="P234" t="str">
        <x:f>IF(RAND()&lt;'Team_Info'!$E$5,"W","B")</x:f>
        <x:v>W</x:v>
      </x:c>
      <x:c r="Q234" t="str">
        <x:f>IF(RAND()&lt;'Team_Info'!$E$5,"W","B")</x:f>
        <x:v>B</x:v>
      </x:c>
      <x:c r="R234" t="str">
        <x:f>IF(RAND()&lt;'Team_Info'!$E$5,"W","B")</x:f>
        <x:v>B</x:v>
      </x:c>
      <x:c r="S234" t="str">
        <x:f>IF(RAND()&lt;'Team_Info'!$E$5,"W","B")</x:f>
        <x:v>B</x:v>
      </x:c>
      <x:c r="T234" t="str">
        <x:f>IF(RAND()&lt;'Team_Info'!$E$5,"W","B")</x:f>
        <x:v>W</x:v>
      </x:c>
      <x:c r="U234" t="str">
        <x:f>IF(RAND()&lt;'Team_Info'!$E$5,"W","B")</x:f>
        <x:v>B</x:v>
      </x:c>
    </x:row>
    <x:row r="235">
      <x:c r="A235" s="1">
        <x:v>234</x:v>
      </x:c>
      <x:c r="B235" t="str">
        <x:f>IF(RAND()&lt;'Team_Info'!$E$5,"W","B")</x:f>
        <x:v>B</x:v>
      </x:c>
      <x:c r="C235" t="str">
        <x:f>IF(RAND()&lt;'Team_Info'!$E$5,"W","B")</x:f>
        <x:v>W</x:v>
      </x:c>
      <x:c r="D235" t="str">
        <x:f>IF(RAND()&lt;'Team_Info'!$E$5,"W","B")</x:f>
        <x:v>B</x:v>
      </x:c>
      <x:c r="E235" t="str">
        <x:f>IF(RAND()&lt;'Team_Info'!$E$5,"W","B")</x:f>
        <x:v>B</x:v>
      </x:c>
      <x:c r="F235" t="str">
        <x:f>IF(RAND()&lt;'Team_Info'!$E$5,"W","B")</x:f>
        <x:v>B</x:v>
      </x:c>
      <x:c r="G235" t="str">
        <x:f>IF(RAND()&lt;'Team_Info'!$E$5,"W","B")</x:f>
        <x:v>W</x:v>
      </x:c>
      <x:c r="H235" t="str">
        <x:f>IF(RAND()&lt;'Team_Info'!$E$5,"W","B")</x:f>
        <x:v>W</x:v>
      </x:c>
      <x:c r="I235" t="str">
        <x:f>IF(RAND()&lt;'Team_Info'!$E$5,"W","B")</x:f>
        <x:v>B</x:v>
      </x:c>
      <x:c r="J235" t="str">
        <x:f>IF(RAND()&lt;'Team_Info'!$E$5,"W","B")</x:f>
        <x:v>B</x:v>
      </x:c>
      <x:c r="K235" t="str">
        <x:f>IF(RAND()&lt;'Team_Info'!$E$5,"W","B")</x:f>
        <x:v>B</x:v>
      </x:c>
      <x:c r="L235" t="str">
        <x:f>IF(RAND()&lt;'Team_Info'!$E$5,"W","B")</x:f>
        <x:v>B</x:v>
      </x:c>
      <x:c r="M235" t="str">
        <x:f>IF(RAND()&lt;'Team_Info'!$E$5,"W","B")</x:f>
        <x:v>B</x:v>
      </x:c>
      <x:c r="N235" t="str">
        <x:f>IF(RAND()&lt;'Team_Info'!$E$5,"W","B")</x:f>
        <x:v>W</x:v>
      </x:c>
      <x:c r="O235" t="str">
        <x:f>IF(RAND()&lt;'Team_Info'!$E$5,"W","B")</x:f>
        <x:v>B</x:v>
      </x:c>
      <x:c r="P235" t="str">
        <x:f>IF(RAND()&lt;'Team_Info'!$E$5,"W","B")</x:f>
        <x:v>B</x:v>
      </x:c>
      <x:c r="Q235" t="str">
        <x:f>IF(RAND()&lt;'Team_Info'!$E$5,"W","B")</x:f>
        <x:v>W</x:v>
      </x:c>
      <x:c r="R235" t="str">
        <x:f>IF(RAND()&lt;'Team_Info'!$E$5,"W","B")</x:f>
        <x:v>W</x:v>
      </x:c>
      <x:c r="S235" t="str">
        <x:f>IF(RAND()&lt;'Team_Info'!$E$5,"W","B")</x:f>
        <x:v>B</x:v>
      </x:c>
      <x:c r="T235" t="str">
        <x:f>IF(RAND()&lt;'Team_Info'!$E$5,"W","B")</x:f>
        <x:v>B</x:v>
      </x:c>
      <x:c r="U235" t="str">
        <x:f>IF(RAND()&lt;'Team_Info'!$E$5,"W","B")</x:f>
        <x:v>B</x:v>
      </x:c>
    </x:row>
    <x:row r="236">
      <x:c r="A236" s="1">
        <x:v>235</x:v>
      </x:c>
      <x:c r="B236" t="str">
        <x:f>IF(RAND()&lt;'Team_Info'!$E$5,"W","B")</x:f>
        <x:v>B</x:v>
      </x:c>
      <x:c r="C236" t="str">
        <x:f>IF(RAND()&lt;'Team_Info'!$E$5,"W","B")</x:f>
        <x:v>B</x:v>
      </x:c>
      <x:c r="D236" t="str">
        <x:f>IF(RAND()&lt;'Team_Info'!$E$5,"W","B")</x:f>
        <x:v>B</x:v>
      </x:c>
      <x:c r="E236" t="str">
        <x:f>IF(RAND()&lt;'Team_Info'!$E$5,"W","B")</x:f>
        <x:v>W</x:v>
      </x:c>
      <x:c r="F236" t="str">
        <x:f>IF(RAND()&lt;'Team_Info'!$E$5,"W","B")</x:f>
        <x:v>B</x:v>
      </x:c>
      <x:c r="G236" t="str">
        <x:f>IF(RAND()&lt;'Team_Info'!$E$5,"W","B")</x:f>
        <x:v>B</x:v>
      </x:c>
      <x:c r="H236" t="str">
        <x:f>IF(RAND()&lt;'Team_Info'!$E$5,"W","B")</x:f>
        <x:v>W</x:v>
      </x:c>
      <x:c r="I236" t="str">
        <x:f>IF(RAND()&lt;'Team_Info'!$E$5,"W","B")</x:f>
        <x:v>B</x:v>
      </x:c>
      <x:c r="J236" t="str">
        <x:f>IF(RAND()&lt;'Team_Info'!$E$5,"W","B")</x:f>
        <x:v>B</x:v>
      </x:c>
      <x:c r="K236" t="str">
        <x:f>IF(RAND()&lt;'Team_Info'!$E$5,"W","B")</x:f>
        <x:v>B</x:v>
      </x:c>
      <x:c r="L236" t="str">
        <x:f>IF(RAND()&lt;'Team_Info'!$E$5,"W","B")</x:f>
        <x:v>W</x:v>
      </x:c>
      <x:c r="M236" t="str">
        <x:f>IF(RAND()&lt;'Team_Info'!$E$5,"W","B")</x:f>
        <x:v>W</x:v>
      </x:c>
      <x:c r="N236" t="str">
        <x:f>IF(RAND()&lt;'Team_Info'!$E$5,"W","B")</x:f>
        <x:v>B</x:v>
      </x:c>
      <x:c r="O236" t="str">
        <x:f>IF(RAND()&lt;'Team_Info'!$E$5,"W","B")</x:f>
        <x:v>W</x:v>
      </x:c>
      <x:c r="P236" t="str">
        <x:f>IF(RAND()&lt;'Team_Info'!$E$5,"W","B")</x:f>
        <x:v>B</x:v>
      </x:c>
      <x:c r="Q236" t="str">
        <x:f>IF(RAND()&lt;'Team_Info'!$E$5,"W","B")</x:f>
        <x:v>W</x:v>
      </x:c>
      <x:c r="R236" t="str">
        <x:f>IF(RAND()&lt;'Team_Info'!$E$5,"W","B")</x:f>
        <x:v>B</x:v>
      </x:c>
      <x:c r="S236" t="str">
        <x:f>IF(RAND()&lt;'Team_Info'!$E$5,"W","B")</x:f>
        <x:v>W</x:v>
      </x:c>
      <x:c r="T236" t="str">
        <x:f>IF(RAND()&lt;'Team_Info'!$E$5,"W","B")</x:f>
        <x:v>W</x:v>
      </x:c>
      <x:c r="U236" t="str">
        <x:f>IF(RAND()&lt;'Team_Info'!$E$5,"W","B")</x:f>
        <x:v>B</x:v>
      </x:c>
    </x:row>
    <x:row r="237">
      <x:c r="A237" s="1">
        <x:v>236</x:v>
      </x:c>
      <x:c r="B237" t="str">
        <x:f>IF(RAND()&lt;'Team_Info'!$E$5,"W","B")</x:f>
        <x:v>B</x:v>
      </x:c>
      <x:c r="C237" t="str">
        <x:f>IF(RAND()&lt;'Team_Info'!$E$5,"W","B")</x:f>
        <x:v>B</x:v>
      </x:c>
      <x:c r="D237" t="str">
        <x:f>IF(RAND()&lt;'Team_Info'!$E$5,"W","B")</x:f>
        <x:v>W</x:v>
      </x:c>
      <x:c r="E237" t="str">
        <x:f>IF(RAND()&lt;'Team_Info'!$E$5,"W","B")</x:f>
        <x:v>B</x:v>
      </x:c>
      <x:c r="F237" t="str">
        <x:f>IF(RAND()&lt;'Team_Info'!$E$5,"W","B")</x:f>
        <x:v>B</x:v>
      </x:c>
      <x:c r="G237" t="str">
        <x:f>IF(RAND()&lt;'Team_Info'!$E$5,"W","B")</x:f>
        <x:v>B</x:v>
      </x:c>
      <x:c r="H237" t="str">
        <x:f>IF(RAND()&lt;'Team_Info'!$E$5,"W","B")</x:f>
        <x:v>B</x:v>
      </x:c>
      <x:c r="I237" t="str">
        <x:f>IF(RAND()&lt;'Team_Info'!$E$5,"W","B")</x:f>
        <x:v>B</x:v>
      </x:c>
      <x:c r="J237" t="str">
        <x:f>IF(RAND()&lt;'Team_Info'!$E$5,"W","B")</x:f>
        <x:v>B</x:v>
      </x:c>
      <x:c r="K237" t="str">
        <x:f>IF(RAND()&lt;'Team_Info'!$E$5,"W","B")</x:f>
        <x:v>B</x:v>
      </x:c>
      <x:c r="L237" t="str">
        <x:f>IF(RAND()&lt;'Team_Info'!$E$5,"W","B")</x:f>
        <x:v>B</x:v>
      </x:c>
      <x:c r="M237" t="str">
        <x:f>IF(RAND()&lt;'Team_Info'!$E$5,"W","B")</x:f>
        <x:v>W</x:v>
      </x:c>
      <x:c r="N237" t="str">
        <x:f>IF(RAND()&lt;'Team_Info'!$E$5,"W","B")</x:f>
        <x:v>B</x:v>
      </x:c>
      <x:c r="O237" t="str">
        <x:f>IF(RAND()&lt;'Team_Info'!$E$5,"W","B")</x:f>
        <x:v>B</x:v>
      </x:c>
      <x:c r="P237" t="str">
        <x:f>IF(RAND()&lt;'Team_Info'!$E$5,"W","B")</x:f>
        <x:v>W</x:v>
      </x:c>
      <x:c r="Q237" t="str">
        <x:f>IF(RAND()&lt;'Team_Info'!$E$5,"W","B")</x:f>
        <x:v>W</x:v>
      </x:c>
      <x:c r="R237" t="str">
        <x:f>IF(RAND()&lt;'Team_Info'!$E$5,"W","B")</x:f>
        <x:v>W</x:v>
      </x:c>
      <x:c r="S237" t="str">
        <x:f>IF(RAND()&lt;'Team_Info'!$E$5,"W","B")</x:f>
        <x:v>W</x:v>
      </x:c>
      <x:c r="T237" t="str">
        <x:f>IF(RAND()&lt;'Team_Info'!$E$5,"W","B")</x:f>
        <x:v>B</x:v>
      </x:c>
      <x:c r="U237" t="str">
        <x:f>IF(RAND()&lt;'Team_Info'!$E$5,"W","B")</x:f>
        <x:v>B</x:v>
      </x:c>
    </x:row>
    <x:row r="238">
      <x:c r="A238" s="1">
        <x:v>237</x:v>
      </x:c>
      <x:c r="B238" t="str">
        <x:f>IF(RAND()&lt;'Team_Info'!$E$5,"W","B")</x:f>
        <x:v>W</x:v>
      </x:c>
      <x:c r="C238" t="str">
        <x:f>IF(RAND()&lt;'Team_Info'!$E$5,"W","B")</x:f>
        <x:v>B</x:v>
      </x:c>
      <x:c r="D238" t="str">
        <x:f>IF(RAND()&lt;'Team_Info'!$E$5,"W","B")</x:f>
        <x:v>W</x:v>
      </x:c>
      <x:c r="E238" t="str">
        <x:f>IF(RAND()&lt;'Team_Info'!$E$5,"W","B")</x:f>
        <x:v>W</x:v>
      </x:c>
      <x:c r="F238" t="str">
        <x:f>IF(RAND()&lt;'Team_Info'!$E$5,"W","B")</x:f>
        <x:v>W</x:v>
      </x:c>
      <x:c r="G238" t="str">
        <x:f>IF(RAND()&lt;'Team_Info'!$E$5,"W","B")</x:f>
        <x:v>B</x:v>
      </x:c>
      <x:c r="H238" t="str">
        <x:f>IF(RAND()&lt;'Team_Info'!$E$5,"W","B")</x:f>
        <x:v>W</x:v>
      </x:c>
      <x:c r="I238" t="str">
        <x:f>IF(RAND()&lt;'Team_Info'!$E$5,"W","B")</x:f>
        <x:v>W</x:v>
      </x:c>
      <x:c r="J238" t="str">
        <x:f>IF(RAND()&lt;'Team_Info'!$E$5,"W","B")</x:f>
        <x:v>B</x:v>
      </x:c>
      <x:c r="K238" t="str">
        <x:f>IF(RAND()&lt;'Team_Info'!$E$5,"W","B")</x:f>
        <x:v>B</x:v>
      </x:c>
      <x:c r="L238" t="str">
        <x:f>IF(RAND()&lt;'Team_Info'!$E$5,"W","B")</x:f>
        <x:v>W</x:v>
      </x:c>
      <x:c r="M238" t="str">
        <x:f>IF(RAND()&lt;'Team_Info'!$E$5,"W","B")</x:f>
        <x:v>B</x:v>
      </x:c>
      <x:c r="N238" t="str">
        <x:f>IF(RAND()&lt;'Team_Info'!$E$5,"W","B")</x:f>
        <x:v>B</x:v>
      </x:c>
      <x:c r="O238" t="str">
        <x:f>IF(RAND()&lt;'Team_Info'!$E$5,"W","B")</x:f>
        <x:v>B</x:v>
      </x:c>
      <x:c r="P238" t="str">
        <x:f>IF(RAND()&lt;'Team_Info'!$E$5,"W","B")</x:f>
        <x:v>B</x:v>
      </x:c>
      <x:c r="Q238" t="str">
        <x:f>IF(RAND()&lt;'Team_Info'!$E$5,"W","B")</x:f>
        <x:v>B</x:v>
      </x:c>
      <x:c r="R238" t="str">
        <x:f>IF(RAND()&lt;'Team_Info'!$E$5,"W","B")</x:f>
        <x:v>B</x:v>
      </x:c>
      <x:c r="S238" t="str">
        <x:f>IF(RAND()&lt;'Team_Info'!$E$5,"W","B")</x:f>
        <x:v>W</x:v>
      </x:c>
      <x:c r="T238" t="str">
        <x:f>IF(RAND()&lt;'Team_Info'!$E$5,"W","B")</x:f>
        <x:v>W</x:v>
      </x:c>
      <x:c r="U238" t="str">
        <x:f>IF(RAND()&lt;'Team_Info'!$E$5,"W","B")</x:f>
        <x:v>B</x:v>
      </x:c>
    </x:row>
    <x:row r="239">
      <x:c r="A239" s="1">
        <x:v>238</x:v>
      </x:c>
      <x:c r="B239" t="str">
        <x:f>IF(RAND()&lt;'Team_Info'!$E$5,"W","B")</x:f>
        <x:v>B</x:v>
      </x:c>
      <x:c r="C239" t="str">
        <x:f>IF(RAND()&lt;'Team_Info'!$E$5,"W","B")</x:f>
        <x:v>B</x:v>
      </x:c>
      <x:c r="D239" t="str">
        <x:f>IF(RAND()&lt;'Team_Info'!$E$5,"W","B")</x:f>
        <x:v>W</x:v>
      </x:c>
      <x:c r="E239" t="str">
        <x:f>IF(RAND()&lt;'Team_Info'!$E$5,"W","B")</x:f>
        <x:v>B</x:v>
      </x:c>
      <x:c r="F239" t="str">
        <x:f>IF(RAND()&lt;'Team_Info'!$E$5,"W","B")</x:f>
        <x:v>W</x:v>
      </x:c>
      <x:c r="G239" t="str">
        <x:f>IF(RAND()&lt;'Team_Info'!$E$5,"W","B")</x:f>
        <x:v>B</x:v>
      </x:c>
      <x:c r="H239" t="str">
        <x:f>IF(RAND()&lt;'Team_Info'!$E$5,"W","B")</x:f>
        <x:v>W</x:v>
      </x:c>
      <x:c r="I239" t="str">
        <x:f>IF(RAND()&lt;'Team_Info'!$E$5,"W","B")</x:f>
        <x:v>B</x:v>
      </x:c>
      <x:c r="J239" t="str">
        <x:f>IF(RAND()&lt;'Team_Info'!$E$5,"W","B")</x:f>
        <x:v>B</x:v>
      </x:c>
      <x:c r="K239" t="str">
        <x:f>IF(RAND()&lt;'Team_Info'!$E$5,"W","B")</x:f>
        <x:v>B</x:v>
      </x:c>
      <x:c r="L239" t="str">
        <x:f>IF(RAND()&lt;'Team_Info'!$E$5,"W","B")</x:f>
        <x:v>W</x:v>
      </x:c>
      <x:c r="M239" t="str">
        <x:f>IF(RAND()&lt;'Team_Info'!$E$5,"W","B")</x:f>
        <x:v>B</x:v>
      </x:c>
      <x:c r="N239" t="str">
        <x:f>IF(RAND()&lt;'Team_Info'!$E$5,"W","B")</x:f>
        <x:v>B</x:v>
      </x:c>
      <x:c r="O239" t="str">
        <x:f>IF(RAND()&lt;'Team_Info'!$E$5,"W","B")</x:f>
        <x:v>B</x:v>
      </x:c>
      <x:c r="P239" t="str">
        <x:f>IF(RAND()&lt;'Team_Info'!$E$5,"W","B")</x:f>
        <x:v>B</x:v>
      </x:c>
      <x:c r="Q239" t="str">
        <x:f>IF(RAND()&lt;'Team_Info'!$E$5,"W","B")</x:f>
        <x:v>W</x:v>
      </x:c>
      <x:c r="R239" t="str">
        <x:f>IF(RAND()&lt;'Team_Info'!$E$5,"W","B")</x:f>
        <x:v>W</x:v>
      </x:c>
      <x:c r="S239" t="str">
        <x:f>IF(RAND()&lt;'Team_Info'!$E$5,"W","B")</x:f>
        <x:v>B</x:v>
      </x:c>
      <x:c r="T239" t="str">
        <x:f>IF(RAND()&lt;'Team_Info'!$E$5,"W","B")</x:f>
        <x:v>B</x:v>
      </x:c>
      <x:c r="U239" t="str">
        <x:f>IF(RAND()&lt;'Team_Info'!$E$5,"W","B")</x:f>
        <x:v>W</x:v>
      </x:c>
    </x:row>
    <x:row r="240">
      <x:c r="A240" s="1">
        <x:v>239</x:v>
      </x:c>
      <x:c r="B240" t="str">
        <x:f>IF(RAND()&lt;'Team_Info'!$E$5,"W","B")</x:f>
        <x:v>W</x:v>
      </x:c>
      <x:c r="C240" t="str">
        <x:f>IF(RAND()&lt;'Team_Info'!$E$5,"W","B")</x:f>
        <x:v>W</x:v>
      </x:c>
      <x:c r="D240" t="str">
        <x:f>IF(RAND()&lt;'Team_Info'!$E$5,"W","B")</x:f>
        <x:v>B</x:v>
      </x:c>
      <x:c r="E240" t="str">
        <x:f>IF(RAND()&lt;'Team_Info'!$E$5,"W","B")</x:f>
        <x:v>W</x:v>
      </x:c>
      <x:c r="F240" t="str">
        <x:f>IF(RAND()&lt;'Team_Info'!$E$5,"W","B")</x:f>
        <x:v>B</x:v>
      </x:c>
      <x:c r="G240" t="str">
        <x:f>IF(RAND()&lt;'Team_Info'!$E$5,"W","B")</x:f>
        <x:v>W</x:v>
      </x:c>
      <x:c r="H240" t="str">
        <x:f>IF(RAND()&lt;'Team_Info'!$E$5,"W","B")</x:f>
        <x:v>W</x:v>
      </x:c>
      <x:c r="I240" t="str">
        <x:f>IF(RAND()&lt;'Team_Info'!$E$5,"W","B")</x:f>
        <x:v>B</x:v>
      </x:c>
      <x:c r="J240" t="str">
        <x:f>IF(RAND()&lt;'Team_Info'!$E$5,"W","B")</x:f>
        <x:v>B</x:v>
      </x:c>
      <x:c r="K240" t="str">
        <x:f>IF(RAND()&lt;'Team_Info'!$E$5,"W","B")</x:f>
        <x:v>B</x:v>
      </x:c>
      <x:c r="L240" t="str">
        <x:f>IF(RAND()&lt;'Team_Info'!$E$5,"W","B")</x:f>
        <x:v>W</x:v>
      </x:c>
      <x:c r="M240" t="str">
        <x:f>IF(RAND()&lt;'Team_Info'!$E$5,"W","B")</x:f>
        <x:v>B</x:v>
      </x:c>
      <x:c r="N240" t="str">
        <x:f>IF(RAND()&lt;'Team_Info'!$E$5,"W","B")</x:f>
        <x:v>W</x:v>
      </x:c>
      <x:c r="O240" t="str">
        <x:f>IF(RAND()&lt;'Team_Info'!$E$5,"W","B")</x:f>
        <x:v>W</x:v>
      </x:c>
      <x:c r="P240" t="str">
        <x:f>IF(RAND()&lt;'Team_Info'!$E$5,"W","B")</x:f>
        <x:v>W</x:v>
      </x:c>
      <x:c r="Q240" t="str">
        <x:f>IF(RAND()&lt;'Team_Info'!$E$5,"W","B")</x:f>
        <x:v>W</x:v>
      </x:c>
      <x:c r="R240" t="str">
        <x:f>IF(RAND()&lt;'Team_Info'!$E$5,"W","B")</x:f>
        <x:v>W</x:v>
      </x:c>
      <x:c r="S240" t="str">
        <x:f>IF(RAND()&lt;'Team_Info'!$E$5,"W","B")</x:f>
        <x:v>B</x:v>
      </x:c>
      <x:c r="T240" t="str">
        <x:f>IF(RAND()&lt;'Team_Info'!$E$5,"W","B")</x:f>
        <x:v>B</x:v>
      </x:c>
      <x:c r="U240" t="str">
        <x:f>IF(RAND()&lt;'Team_Info'!$E$5,"W","B")</x:f>
        <x:v>B</x:v>
      </x:c>
    </x:row>
    <x:row r="241">
      <x:c r="A241" s="1">
        <x:v>240</x:v>
      </x:c>
      <x:c r="B241" t="str">
        <x:f>IF(RAND()&lt;'Team_Info'!$E$5,"W","B")</x:f>
        <x:v>W</x:v>
      </x:c>
      <x:c r="C241" t="str">
        <x:f>IF(RAND()&lt;'Team_Info'!$E$5,"W","B")</x:f>
        <x:v>W</x:v>
      </x:c>
      <x:c r="D241" t="str">
        <x:f>IF(RAND()&lt;'Team_Info'!$E$5,"W","B")</x:f>
        <x:v>B</x:v>
      </x:c>
      <x:c r="E241" t="str">
        <x:f>IF(RAND()&lt;'Team_Info'!$E$5,"W","B")</x:f>
        <x:v>B</x:v>
      </x:c>
      <x:c r="F241" t="str">
        <x:f>IF(RAND()&lt;'Team_Info'!$E$5,"W","B")</x:f>
        <x:v>B</x:v>
      </x:c>
      <x:c r="G241" t="str">
        <x:f>IF(RAND()&lt;'Team_Info'!$E$5,"W","B")</x:f>
        <x:v>B</x:v>
      </x:c>
      <x:c r="H241" t="str">
        <x:f>IF(RAND()&lt;'Team_Info'!$E$5,"W","B")</x:f>
        <x:v>B</x:v>
      </x:c>
      <x:c r="I241" t="str">
        <x:f>IF(RAND()&lt;'Team_Info'!$E$5,"W","B")</x:f>
        <x:v>W</x:v>
      </x:c>
      <x:c r="J241" t="str">
        <x:f>IF(RAND()&lt;'Team_Info'!$E$5,"W","B")</x:f>
        <x:v>W</x:v>
      </x:c>
      <x:c r="K241" t="str">
        <x:f>IF(RAND()&lt;'Team_Info'!$E$5,"W","B")</x:f>
        <x:v>B</x:v>
      </x:c>
      <x:c r="L241" t="str">
        <x:f>IF(RAND()&lt;'Team_Info'!$E$5,"W","B")</x:f>
        <x:v>B</x:v>
      </x:c>
      <x:c r="M241" t="str">
        <x:f>IF(RAND()&lt;'Team_Info'!$E$5,"W","B")</x:f>
        <x:v>B</x:v>
      </x:c>
      <x:c r="N241" t="str">
        <x:f>IF(RAND()&lt;'Team_Info'!$E$5,"W","B")</x:f>
        <x:v>B</x:v>
      </x:c>
      <x:c r="O241" t="str">
        <x:f>IF(RAND()&lt;'Team_Info'!$E$5,"W","B")</x:f>
        <x:v>W</x:v>
      </x:c>
      <x:c r="P241" t="str">
        <x:f>IF(RAND()&lt;'Team_Info'!$E$5,"W","B")</x:f>
        <x:v>B</x:v>
      </x:c>
      <x:c r="Q241" t="str">
        <x:f>IF(RAND()&lt;'Team_Info'!$E$5,"W","B")</x:f>
        <x:v>W</x:v>
      </x:c>
      <x:c r="R241" t="str">
        <x:f>IF(RAND()&lt;'Team_Info'!$E$5,"W","B")</x:f>
        <x:v>B</x:v>
      </x:c>
      <x:c r="S241" t="str">
        <x:f>IF(RAND()&lt;'Team_Info'!$E$5,"W","B")</x:f>
        <x:v>W</x:v>
      </x:c>
      <x:c r="T241" t="str">
        <x:f>IF(RAND()&lt;'Team_Info'!$E$5,"W","B")</x:f>
        <x:v>W</x:v>
      </x:c>
      <x:c r="U241" t="str">
        <x:f>IF(RAND()&lt;'Team_Info'!$E$5,"W","B")</x:f>
        <x:v>W</x:v>
      </x:c>
    </x:row>
    <x:row r="242">
      <x:c r="A242" s="1">
        <x:v>241</x:v>
      </x:c>
      <x:c r="B242" t="str">
        <x:f>IF(RAND()&lt;'Team_Info'!$E$5,"W","B")</x:f>
        <x:v>B</x:v>
      </x:c>
      <x:c r="C242" t="str">
        <x:f>IF(RAND()&lt;'Team_Info'!$E$5,"W","B")</x:f>
        <x:v>W</x:v>
      </x:c>
      <x:c r="D242" t="str">
        <x:f>IF(RAND()&lt;'Team_Info'!$E$5,"W","B")</x:f>
        <x:v>B</x:v>
      </x:c>
      <x:c r="E242" t="str">
        <x:f>IF(RAND()&lt;'Team_Info'!$E$5,"W","B")</x:f>
        <x:v>B</x:v>
      </x:c>
      <x:c r="F242" t="str">
        <x:f>IF(RAND()&lt;'Team_Info'!$E$5,"W","B")</x:f>
        <x:v>B</x:v>
      </x:c>
      <x:c r="G242" t="str">
        <x:f>IF(RAND()&lt;'Team_Info'!$E$5,"W","B")</x:f>
        <x:v>W</x:v>
      </x:c>
      <x:c r="H242" t="str">
        <x:f>IF(RAND()&lt;'Team_Info'!$E$5,"W","B")</x:f>
        <x:v>B</x:v>
      </x:c>
      <x:c r="I242" t="str">
        <x:f>IF(RAND()&lt;'Team_Info'!$E$5,"W","B")</x:f>
        <x:v>B</x:v>
      </x:c>
      <x:c r="J242" t="str">
        <x:f>IF(RAND()&lt;'Team_Info'!$E$5,"W","B")</x:f>
        <x:v>B</x:v>
      </x:c>
      <x:c r="K242" t="str">
        <x:f>IF(RAND()&lt;'Team_Info'!$E$5,"W","B")</x:f>
        <x:v>B</x:v>
      </x:c>
      <x:c r="L242" t="str">
        <x:f>IF(RAND()&lt;'Team_Info'!$E$5,"W","B")</x:f>
        <x:v>W</x:v>
      </x:c>
      <x:c r="M242" t="str">
        <x:f>IF(RAND()&lt;'Team_Info'!$E$5,"W","B")</x:f>
        <x:v>B</x:v>
      </x:c>
      <x:c r="N242" t="str">
        <x:f>IF(RAND()&lt;'Team_Info'!$E$5,"W","B")</x:f>
        <x:v>W</x:v>
      </x:c>
      <x:c r="O242" t="str">
        <x:f>IF(RAND()&lt;'Team_Info'!$E$5,"W","B")</x:f>
        <x:v>B</x:v>
      </x:c>
      <x:c r="P242" t="str">
        <x:f>IF(RAND()&lt;'Team_Info'!$E$5,"W","B")</x:f>
        <x:v>B</x:v>
      </x:c>
      <x:c r="Q242" t="str">
        <x:f>IF(RAND()&lt;'Team_Info'!$E$5,"W","B")</x:f>
        <x:v>W</x:v>
      </x:c>
      <x:c r="R242" t="str">
        <x:f>IF(RAND()&lt;'Team_Info'!$E$5,"W","B")</x:f>
        <x:v>W</x:v>
      </x:c>
      <x:c r="S242" t="str">
        <x:f>IF(RAND()&lt;'Team_Info'!$E$5,"W","B")</x:f>
        <x:v>B</x:v>
      </x:c>
      <x:c r="T242" t="str">
        <x:f>IF(RAND()&lt;'Team_Info'!$E$5,"W","B")</x:f>
        <x:v>W</x:v>
      </x:c>
      <x:c r="U242" t="str">
        <x:f>IF(RAND()&lt;'Team_Info'!$E$5,"W","B")</x:f>
        <x:v>B</x:v>
      </x:c>
    </x:row>
    <x:row r="243">
      <x:c r="A243" s="1">
        <x:v>242</x:v>
      </x:c>
      <x:c r="B243" t="str">
        <x:f>IF(RAND()&lt;'Team_Info'!$E$5,"W","B")</x:f>
        <x:v>W</x:v>
      </x:c>
      <x:c r="C243" t="str">
        <x:f>IF(RAND()&lt;'Team_Info'!$E$5,"W","B")</x:f>
        <x:v>B</x:v>
      </x:c>
      <x:c r="D243" t="str">
        <x:f>IF(RAND()&lt;'Team_Info'!$E$5,"W","B")</x:f>
        <x:v>W</x:v>
      </x:c>
      <x:c r="E243" t="str">
        <x:f>IF(RAND()&lt;'Team_Info'!$E$5,"W","B")</x:f>
        <x:v>B</x:v>
      </x:c>
      <x:c r="F243" t="str">
        <x:f>IF(RAND()&lt;'Team_Info'!$E$5,"W","B")</x:f>
        <x:v>W</x:v>
      </x:c>
      <x:c r="G243" t="str">
        <x:f>IF(RAND()&lt;'Team_Info'!$E$5,"W","B")</x:f>
        <x:v>B</x:v>
      </x:c>
      <x:c r="H243" t="str">
        <x:f>IF(RAND()&lt;'Team_Info'!$E$5,"W","B")</x:f>
        <x:v>W</x:v>
      </x:c>
      <x:c r="I243" t="str">
        <x:f>IF(RAND()&lt;'Team_Info'!$E$5,"W","B")</x:f>
        <x:v>B</x:v>
      </x:c>
      <x:c r="J243" t="str">
        <x:f>IF(RAND()&lt;'Team_Info'!$E$5,"W","B")</x:f>
        <x:v>W</x:v>
      </x:c>
      <x:c r="K243" t="str">
        <x:f>IF(RAND()&lt;'Team_Info'!$E$5,"W","B")</x:f>
        <x:v>W</x:v>
      </x:c>
      <x:c r="L243" t="str">
        <x:f>IF(RAND()&lt;'Team_Info'!$E$5,"W","B")</x:f>
        <x:v>W</x:v>
      </x:c>
      <x:c r="M243" t="str">
        <x:f>IF(RAND()&lt;'Team_Info'!$E$5,"W","B")</x:f>
        <x:v>B</x:v>
      </x:c>
      <x:c r="N243" t="str">
        <x:f>IF(RAND()&lt;'Team_Info'!$E$5,"W","B")</x:f>
        <x:v>B</x:v>
      </x:c>
      <x:c r="O243" t="str">
        <x:f>IF(RAND()&lt;'Team_Info'!$E$5,"W","B")</x:f>
        <x:v>B</x:v>
      </x:c>
      <x:c r="P243" t="str">
        <x:f>IF(RAND()&lt;'Team_Info'!$E$5,"W","B")</x:f>
        <x:v>B</x:v>
      </x:c>
      <x:c r="Q243" t="str">
        <x:f>IF(RAND()&lt;'Team_Info'!$E$5,"W","B")</x:f>
        <x:v>W</x:v>
      </x:c>
      <x:c r="R243" t="str">
        <x:f>IF(RAND()&lt;'Team_Info'!$E$5,"W","B")</x:f>
        <x:v>W</x:v>
      </x:c>
      <x:c r="S243" t="str">
        <x:f>IF(RAND()&lt;'Team_Info'!$E$5,"W","B")</x:f>
        <x:v>B</x:v>
      </x:c>
      <x:c r="T243" t="str">
        <x:f>IF(RAND()&lt;'Team_Info'!$E$5,"W","B")</x:f>
        <x:v>B</x:v>
      </x:c>
      <x:c r="U243" t="str">
        <x:f>IF(RAND()&lt;'Team_Info'!$E$5,"W","B")</x:f>
        <x:v>B</x:v>
      </x:c>
    </x:row>
    <x:row r="244">
      <x:c r="A244" s="1">
        <x:v>243</x:v>
      </x:c>
      <x:c r="B244" t="str">
        <x:f>IF(RAND()&lt;'Team_Info'!$E$5,"W","B")</x:f>
        <x:v>B</x:v>
      </x:c>
      <x:c r="C244" t="str">
        <x:f>IF(RAND()&lt;'Team_Info'!$E$5,"W","B")</x:f>
        <x:v>W</x:v>
      </x:c>
      <x:c r="D244" t="str">
        <x:f>IF(RAND()&lt;'Team_Info'!$E$5,"W","B")</x:f>
        <x:v>B</x:v>
      </x:c>
      <x:c r="E244" t="str">
        <x:f>IF(RAND()&lt;'Team_Info'!$E$5,"W","B")</x:f>
        <x:v>B</x:v>
      </x:c>
      <x:c r="F244" t="str">
        <x:f>IF(RAND()&lt;'Team_Info'!$E$5,"W","B")</x:f>
        <x:v>B</x:v>
      </x:c>
      <x:c r="G244" t="str">
        <x:f>IF(RAND()&lt;'Team_Info'!$E$5,"W","B")</x:f>
        <x:v>B</x:v>
      </x:c>
      <x:c r="H244" t="str">
        <x:f>IF(RAND()&lt;'Team_Info'!$E$5,"W","B")</x:f>
        <x:v>W</x:v>
      </x:c>
      <x:c r="I244" t="str">
        <x:f>IF(RAND()&lt;'Team_Info'!$E$5,"W","B")</x:f>
        <x:v>B</x:v>
      </x:c>
      <x:c r="J244" t="str">
        <x:f>IF(RAND()&lt;'Team_Info'!$E$5,"W","B")</x:f>
        <x:v>W</x:v>
      </x:c>
      <x:c r="K244" t="str">
        <x:f>IF(RAND()&lt;'Team_Info'!$E$5,"W","B")</x:f>
        <x:v>B</x:v>
      </x:c>
      <x:c r="L244" t="str">
        <x:f>IF(RAND()&lt;'Team_Info'!$E$5,"W","B")</x:f>
        <x:v>W</x:v>
      </x:c>
      <x:c r="M244" t="str">
        <x:f>IF(RAND()&lt;'Team_Info'!$E$5,"W","B")</x:f>
        <x:v>W</x:v>
      </x:c>
      <x:c r="N244" t="str">
        <x:f>IF(RAND()&lt;'Team_Info'!$E$5,"W","B")</x:f>
        <x:v>B</x:v>
      </x:c>
      <x:c r="O244" t="str">
        <x:f>IF(RAND()&lt;'Team_Info'!$E$5,"W","B")</x:f>
        <x:v>W</x:v>
      </x:c>
      <x:c r="P244" t="str">
        <x:f>IF(RAND()&lt;'Team_Info'!$E$5,"W","B")</x:f>
        <x:v>B</x:v>
      </x:c>
      <x:c r="Q244" t="str">
        <x:f>IF(RAND()&lt;'Team_Info'!$E$5,"W","B")</x:f>
        <x:v>W</x:v>
      </x:c>
      <x:c r="R244" t="str">
        <x:f>IF(RAND()&lt;'Team_Info'!$E$5,"W","B")</x:f>
        <x:v>B</x:v>
      </x:c>
      <x:c r="S244" t="str">
        <x:f>IF(RAND()&lt;'Team_Info'!$E$5,"W","B")</x:f>
        <x:v>B</x:v>
      </x:c>
      <x:c r="T244" t="str">
        <x:f>IF(RAND()&lt;'Team_Info'!$E$5,"W","B")</x:f>
        <x:v>B</x:v>
      </x:c>
      <x:c r="U244" t="str">
        <x:f>IF(RAND()&lt;'Team_Info'!$E$5,"W","B")</x:f>
        <x:v>B</x:v>
      </x:c>
    </x:row>
    <x:row r="245">
      <x:c r="A245" s="1">
        <x:v>244</x:v>
      </x:c>
      <x:c r="B245" t="str">
        <x:f>IF(RAND()&lt;'Team_Info'!$E$5,"W","B")</x:f>
        <x:v>W</x:v>
      </x:c>
      <x:c r="C245" t="str">
        <x:f>IF(RAND()&lt;'Team_Info'!$E$5,"W","B")</x:f>
        <x:v>W</x:v>
      </x:c>
      <x:c r="D245" t="str">
        <x:f>IF(RAND()&lt;'Team_Info'!$E$5,"W","B")</x:f>
        <x:v>B</x:v>
      </x:c>
      <x:c r="E245" t="str">
        <x:f>IF(RAND()&lt;'Team_Info'!$E$5,"W","B")</x:f>
        <x:v>W</x:v>
      </x:c>
      <x:c r="F245" t="str">
        <x:f>IF(RAND()&lt;'Team_Info'!$E$5,"W","B")</x:f>
        <x:v>B</x:v>
      </x:c>
      <x:c r="G245" t="str">
        <x:f>IF(RAND()&lt;'Team_Info'!$E$5,"W","B")</x:f>
        <x:v>W</x:v>
      </x:c>
      <x:c r="H245" t="str">
        <x:f>IF(RAND()&lt;'Team_Info'!$E$5,"W","B")</x:f>
        <x:v>B</x:v>
      </x:c>
      <x:c r="I245" t="str">
        <x:f>IF(RAND()&lt;'Team_Info'!$E$5,"W","B")</x:f>
        <x:v>W</x:v>
      </x:c>
      <x:c r="J245" t="str">
        <x:f>IF(RAND()&lt;'Team_Info'!$E$5,"W","B")</x:f>
        <x:v>B</x:v>
      </x:c>
      <x:c r="K245" t="str">
        <x:f>IF(RAND()&lt;'Team_Info'!$E$5,"W","B")</x:f>
        <x:v>B</x:v>
      </x:c>
      <x:c r="L245" t="str">
        <x:f>IF(RAND()&lt;'Team_Info'!$E$5,"W","B")</x:f>
        <x:v>B</x:v>
      </x:c>
      <x:c r="M245" t="str">
        <x:f>IF(RAND()&lt;'Team_Info'!$E$5,"W","B")</x:f>
        <x:v>W</x:v>
      </x:c>
      <x:c r="N245" t="str">
        <x:f>IF(RAND()&lt;'Team_Info'!$E$5,"W","B")</x:f>
        <x:v>B</x:v>
      </x:c>
      <x:c r="O245" t="str">
        <x:f>IF(RAND()&lt;'Team_Info'!$E$5,"W","B")</x:f>
        <x:v>B</x:v>
      </x:c>
      <x:c r="P245" t="str">
        <x:f>IF(RAND()&lt;'Team_Info'!$E$5,"W","B")</x:f>
        <x:v>B</x:v>
      </x:c>
      <x:c r="Q245" t="str">
        <x:f>IF(RAND()&lt;'Team_Info'!$E$5,"W","B")</x:f>
        <x:v>W</x:v>
      </x:c>
      <x:c r="R245" t="str">
        <x:f>IF(RAND()&lt;'Team_Info'!$E$5,"W","B")</x:f>
        <x:v>B</x:v>
      </x:c>
      <x:c r="S245" t="str">
        <x:f>IF(RAND()&lt;'Team_Info'!$E$5,"W","B")</x:f>
        <x:v>B</x:v>
      </x:c>
      <x:c r="T245" t="str">
        <x:f>IF(RAND()&lt;'Team_Info'!$E$5,"W","B")</x:f>
        <x:v>B</x:v>
      </x:c>
      <x:c r="U245" t="str">
        <x:f>IF(RAND()&lt;'Team_Info'!$E$5,"W","B")</x:f>
        <x:v>B</x:v>
      </x:c>
    </x:row>
    <x:row r="246">
      <x:c r="A246" s="1">
        <x:v>245</x:v>
      </x:c>
      <x:c r="B246" t="str">
        <x:f>IF(RAND()&lt;'Team_Info'!$E$5,"W","B")</x:f>
        <x:v>B</x:v>
      </x:c>
      <x:c r="C246" t="str">
        <x:f>IF(RAND()&lt;'Team_Info'!$E$5,"W","B")</x:f>
        <x:v>B</x:v>
      </x:c>
      <x:c r="D246" t="str">
        <x:f>IF(RAND()&lt;'Team_Info'!$E$5,"W","B")</x:f>
        <x:v>W</x:v>
      </x:c>
      <x:c r="E246" t="str">
        <x:f>IF(RAND()&lt;'Team_Info'!$E$5,"W","B")</x:f>
        <x:v>B</x:v>
      </x:c>
      <x:c r="F246" t="str">
        <x:f>IF(RAND()&lt;'Team_Info'!$E$5,"W","B")</x:f>
        <x:v>B</x:v>
      </x:c>
      <x:c r="G246" t="str">
        <x:f>IF(RAND()&lt;'Team_Info'!$E$5,"W","B")</x:f>
        <x:v>B</x:v>
      </x:c>
      <x:c r="H246" t="str">
        <x:f>IF(RAND()&lt;'Team_Info'!$E$5,"W","B")</x:f>
        <x:v>B</x:v>
      </x:c>
      <x:c r="I246" t="str">
        <x:f>IF(RAND()&lt;'Team_Info'!$E$5,"W","B")</x:f>
        <x:v>B</x:v>
      </x:c>
      <x:c r="J246" t="str">
        <x:f>IF(RAND()&lt;'Team_Info'!$E$5,"W","B")</x:f>
        <x:v>W</x:v>
      </x:c>
      <x:c r="K246" t="str">
        <x:f>IF(RAND()&lt;'Team_Info'!$E$5,"W","B")</x:f>
        <x:v>B</x:v>
      </x:c>
      <x:c r="L246" t="str">
        <x:f>IF(RAND()&lt;'Team_Info'!$E$5,"W","B")</x:f>
        <x:v>B</x:v>
      </x:c>
      <x:c r="M246" t="str">
        <x:f>IF(RAND()&lt;'Team_Info'!$E$5,"W","B")</x:f>
        <x:v>B</x:v>
      </x:c>
      <x:c r="N246" t="str">
        <x:f>IF(RAND()&lt;'Team_Info'!$E$5,"W","B")</x:f>
        <x:v>B</x:v>
      </x:c>
      <x:c r="O246" t="str">
        <x:f>IF(RAND()&lt;'Team_Info'!$E$5,"W","B")</x:f>
        <x:v>W</x:v>
      </x:c>
      <x:c r="P246" t="str">
        <x:f>IF(RAND()&lt;'Team_Info'!$E$5,"W","B")</x:f>
        <x:v>B</x:v>
      </x:c>
      <x:c r="Q246" t="str">
        <x:f>IF(RAND()&lt;'Team_Info'!$E$5,"W","B")</x:f>
        <x:v>B</x:v>
      </x:c>
      <x:c r="R246" t="str">
        <x:f>IF(RAND()&lt;'Team_Info'!$E$5,"W","B")</x:f>
        <x:v>W</x:v>
      </x:c>
      <x:c r="S246" t="str">
        <x:f>IF(RAND()&lt;'Team_Info'!$E$5,"W","B")</x:f>
        <x:v>W</x:v>
      </x:c>
      <x:c r="T246" t="str">
        <x:f>IF(RAND()&lt;'Team_Info'!$E$5,"W","B")</x:f>
        <x:v>W</x:v>
      </x:c>
      <x:c r="U246" t="str">
        <x:f>IF(RAND()&lt;'Team_Info'!$E$5,"W","B")</x:f>
        <x:v>B</x:v>
      </x:c>
    </x:row>
    <x:row r="247">
      <x:c r="A247" s="1">
        <x:v>246</x:v>
      </x:c>
      <x:c r="B247" t="str">
        <x:f>IF(RAND()&lt;'Team_Info'!$E$5,"W","B")</x:f>
        <x:v>W</x:v>
      </x:c>
      <x:c r="C247" t="str">
        <x:f>IF(RAND()&lt;'Team_Info'!$E$5,"W","B")</x:f>
        <x:v>B</x:v>
      </x:c>
      <x:c r="D247" t="str">
        <x:f>IF(RAND()&lt;'Team_Info'!$E$5,"W","B")</x:f>
        <x:v>B</x:v>
      </x:c>
      <x:c r="E247" t="str">
        <x:f>IF(RAND()&lt;'Team_Info'!$E$5,"W","B")</x:f>
        <x:v>B</x:v>
      </x:c>
      <x:c r="F247" t="str">
        <x:f>IF(RAND()&lt;'Team_Info'!$E$5,"W","B")</x:f>
        <x:v>B</x:v>
      </x:c>
      <x:c r="G247" t="str">
        <x:f>IF(RAND()&lt;'Team_Info'!$E$5,"W","B")</x:f>
        <x:v>B</x:v>
      </x:c>
      <x:c r="H247" t="str">
        <x:f>IF(RAND()&lt;'Team_Info'!$E$5,"W","B")</x:f>
        <x:v>W</x:v>
      </x:c>
      <x:c r="I247" t="str">
        <x:f>IF(RAND()&lt;'Team_Info'!$E$5,"W","B")</x:f>
        <x:v>B</x:v>
      </x:c>
      <x:c r="J247" t="str">
        <x:f>IF(RAND()&lt;'Team_Info'!$E$5,"W","B")</x:f>
        <x:v>B</x:v>
      </x:c>
      <x:c r="K247" t="str">
        <x:f>IF(RAND()&lt;'Team_Info'!$E$5,"W","B")</x:f>
        <x:v>W</x:v>
      </x:c>
      <x:c r="L247" t="str">
        <x:f>IF(RAND()&lt;'Team_Info'!$E$5,"W","B")</x:f>
        <x:v>B</x:v>
      </x:c>
      <x:c r="M247" t="str">
        <x:f>IF(RAND()&lt;'Team_Info'!$E$5,"W","B")</x:f>
        <x:v>W</x:v>
      </x:c>
      <x:c r="N247" t="str">
        <x:f>IF(RAND()&lt;'Team_Info'!$E$5,"W","B")</x:f>
        <x:v>W</x:v>
      </x:c>
      <x:c r="O247" t="str">
        <x:f>IF(RAND()&lt;'Team_Info'!$E$5,"W","B")</x:f>
        <x:v>W</x:v>
      </x:c>
      <x:c r="P247" t="str">
        <x:f>IF(RAND()&lt;'Team_Info'!$E$5,"W","B")</x:f>
        <x:v>W</x:v>
      </x:c>
      <x:c r="Q247" t="str">
        <x:f>IF(RAND()&lt;'Team_Info'!$E$5,"W","B")</x:f>
        <x:v>W</x:v>
      </x:c>
      <x:c r="R247" t="str">
        <x:f>IF(RAND()&lt;'Team_Info'!$E$5,"W","B")</x:f>
        <x:v>B</x:v>
      </x:c>
      <x:c r="S247" t="str">
        <x:f>IF(RAND()&lt;'Team_Info'!$E$5,"W","B")</x:f>
        <x:v>B</x:v>
      </x:c>
      <x:c r="T247" t="str">
        <x:f>IF(RAND()&lt;'Team_Info'!$E$5,"W","B")</x:f>
        <x:v>W</x:v>
      </x:c>
      <x:c r="U247" t="str">
        <x:f>IF(RAND()&lt;'Team_Info'!$E$5,"W","B")</x:f>
        <x:v>B</x:v>
      </x:c>
    </x:row>
    <x:row r="248">
      <x:c r="A248" s="1">
        <x:v>247</x:v>
      </x:c>
      <x:c r="B248" t="str">
        <x:f>IF(RAND()&lt;'Team_Info'!$E$5,"W","B")</x:f>
        <x:v>W</x:v>
      </x:c>
      <x:c r="C248" t="str">
        <x:f>IF(RAND()&lt;'Team_Info'!$E$5,"W","B")</x:f>
        <x:v>W</x:v>
      </x:c>
      <x:c r="D248" t="str">
        <x:f>IF(RAND()&lt;'Team_Info'!$E$5,"W","B")</x:f>
        <x:v>B</x:v>
      </x:c>
      <x:c r="E248" t="str">
        <x:f>IF(RAND()&lt;'Team_Info'!$E$5,"W","B")</x:f>
        <x:v>B</x:v>
      </x:c>
      <x:c r="F248" t="str">
        <x:f>IF(RAND()&lt;'Team_Info'!$E$5,"W","B")</x:f>
        <x:v>W</x:v>
      </x:c>
      <x:c r="G248" t="str">
        <x:f>IF(RAND()&lt;'Team_Info'!$E$5,"W","B")</x:f>
        <x:v>B</x:v>
      </x:c>
      <x:c r="H248" t="str">
        <x:f>IF(RAND()&lt;'Team_Info'!$E$5,"W","B")</x:f>
        <x:v>B</x:v>
      </x:c>
      <x:c r="I248" t="str">
        <x:f>IF(RAND()&lt;'Team_Info'!$E$5,"W","B")</x:f>
        <x:v>B</x:v>
      </x:c>
      <x:c r="J248" t="str">
        <x:f>IF(RAND()&lt;'Team_Info'!$E$5,"W","B")</x:f>
        <x:v>B</x:v>
      </x:c>
      <x:c r="K248" t="str">
        <x:f>IF(RAND()&lt;'Team_Info'!$E$5,"W","B")</x:f>
        <x:v>B</x:v>
      </x:c>
      <x:c r="L248" t="str">
        <x:f>IF(RAND()&lt;'Team_Info'!$E$5,"W","B")</x:f>
        <x:v>B</x:v>
      </x:c>
      <x:c r="M248" t="str">
        <x:f>IF(RAND()&lt;'Team_Info'!$E$5,"W","B")</x:f>
        <x:v>B</x:v>
      </x:c>
      <x:c r="N248" t="str">
        <x:f>IF(RAND()&lt;'Team_Info'!$E$5,"W","B")</x:f>
        <x:v>W</x:v>
      </x:c>
      <x:c r="O248" t="str">
        <x:f>IF(RAND()&lt;'Team_Info'!$E$5,"W","B")</x:f>
        <x:v>B</x:v>
      </x:c>
      <x:c r="P248" t="str">
        <x:f>IF(RAND()&lt;'Team_Info'!$E$5,"W","B")</x:f>
        <x:v>W</x:v>
      </x:c>
      <x:c r="Q248" t="str">
        <x:f>IF(RAND()&lt;'Team_Info'!$E$5,"W","B")</x:f>
        <x:v>B</x:v>
      </x:c>
      <x:c r="R248" t="str">
        <x:f>IF(RAND()&lt;'Team_Info'!$E$5,"W","B")</x:f>
        <x:v>B</x:v>
      </x:c>
      <x:c r="S248" t="str">
        <x:f>IF(RAND()&lt;'Team_Info'!$E$5,"W","B")</x:f>
        <x:v>W</x:v>
      </x:c>
      <x:c r="T248" t="str">
        <x:f>IF(RAND()&lt;'Team_Info'!$E$5,"W","B")</x:f>
        <x:v>W</x:v>
      </x:c>
      <x:c r="U248" t="str">
        <x:f>IF(RAND()&lt;'Team_Info'!$E$5,"W","B")</x:f>
        <x:v>W</x:v>
      </x:c>
    </x:row>
    <x:row r="249">
      <x:c r="A249" s="1">
        <x:v>248</x:v>
      </x:c>
      <x:c r="B249" t="str">
        <x:f>IF(RAND()&lt;'Team_Info'!$E$5,"W","B")</x:f>
        <x:v>B</x:v>
      </x:c>
      <x:c r="C249" t="str">
        <x:f>IF(RAND()&lt;'Team_Info'!$E$5,"W","B")</x:f>
        <x:v>B</x:v>
      </x:c>
      <x:c r="D249" t="str">
        <x:f>IF(RAND()&lt;'Team_Info'!$E$5,"W","B")</x:f>
        <x:v>B</x:v>
      </x:c>
      <x:c r="E249" t="str">
        <x:f>IF(RAND()&lt;'Team_Info'!$E$5,"W","B")</x:f>
        <x:v>B</x:v>
      </x:c>
      <x:c r="F249" t="str">
        <x:f>IF(RAND()&lt;'Team_Info'!$E$5,"W","B")</x:f>
        <x:v>B</x:v>
      </x:c>
      <x:c r="G249" t="str">
        <x:f>IF(RAND()&lt;'Team_Info'!$E$5,"W","B")</x:f>
        <x:v>W</x:v>
      </x:c>
      <x:c r="H249" t="str">
        <x:f>IF(RAND()&lt;'Team_Info'!$E$5,"W","B")</x:f>
        <x:v>B</x:v>
      </x:c>
      <x:c r="I249" t="str">
        <x:f>IF(RAND()&lt;'Team_Info'!$E$5,"W","B")</x:f>
        <x:v>W</x:v>
      </x:c>
      <x:c r="J249" t="str">
        <x:f>IF(RAND()&lt;'Team_Info'!$E$5,"W","B")</x:f>
        <x:v>W</x:v>
      </x:c>
      <x:c r="K249" t="str">
        <x:f>IF(RAND()&lt;'Team_Info'!$E$5,"W","B")</x:f>
        <x:v>B</x:v>
      </x:c>
      <x:c r="L249" t="str">
        <x:f>IF(RAND()&lt;'Team_Info'!$E$5,"W","B")</x:f>
        <x:v>B</x:v>
      </x:c>
      <x:c r="M249" t="str">
        <x:f>IF(RAND()&lt;'Team_Info'!$E$5,"W","B")</x:f>
        <x:v>B</x:v>
      </x:c>
      <x:c r="N249" t="str">
        <x:f>IF(RAND()&lt;'Team_Info'!$E$5,"W","B")</x:f>
        <x:v>B</x:v>
      </x:c>
      <x:c r="O249" t="str">
        <x:f>IF(RAND()&lt;'Team_Info'!$E$5,"W","B")</x:f>
        <x:v>B</x:v>
      </x:c>
      <x:c r="P249" t="str">
        <x:f>IF(RAND()&lt;'Team_Info'!$E$5,"W","B")</x:f>
        <x:v>B</x:v>
      </x:c>
      <x:c r="Q249" t="str">
        <x:f>IF(RAND()&lt;'Team_Info'!$E$5,"W","B")</x:f>
        <x:v>B</x:v>
      </x:c>
      <x:c r="R249" t="str">
        <x:f>IF(RAND()&lt;'Team_Info'!$E$5,"W","B")</x:f>
        <x:v>B</x:v>
      </x:c>
      <x:c r="S249" t="str">
        <x:f>IF(RAND()&lt;'Team_Info'!$E$5,"W","B")</x:f>
        <x:v>B</x:v>
      </x:c>
      <x:c r="T249" t="str">
        <x:f>IF(RAND()&lt;'Team_Info'!$E$5,"W","B")</x:f>
        <x:v>B</x:v>
      </x:c>
      <x:c r="U249" t="str">
        <x:f>IF(RAND()&lt;'Team_Info'!$E$5,"W","B")</x:f>
        <x:v>B</x:v>
      </x:c>
    </x:row>
    <x:row r="250">
      <x:c r="A250" s="1">
        <x:v>249</x:v>
      </x:c>
      <x:c r="B250" t="str">
        <x:f>IF(RAND()&lt;'Team_Info'!$E$5,"W","B")</x:f>
        <x:v>W</x:v>
      </x:c>
      <x:c r="C250" t="str">
        <x:f>IF(RAND()&lt;'Team_Info'!$E$5,"W","B")</x:f>
        <x:v>B</x:v>
      </x:c>
      <x:c r="D250" t="str">
        <x:f>IF(RAND()&lt;'Team_Info'!$E$5,"W","B")</x:f>
        <x:v>B</x:v>
      </x:c>
      <x:c r="E250" t="str">
        <x:f>IF(RAND()&lt;'Team_Info'!$E$5,"W","B")</x:f>
        <x:v>B</x:v>
      </x:c>
      <x:c r="F250" t="str">
        <x:f>IF(RAND()&lt;'Team_Info'!$E$5,"W","B")</x:f>
        <x:v>B</x:v>
      </x:c>
      <x:c r="G250" t="str">
        <x:f>IF(RAND()&lt;'Team_Info'!$E$5,"W","B")</x:f>
        <x:v>B</x:v>
      </x:c>
      <x:c r="H250" t="str">
        <x:f>IF(RAND()&lt;'Team_Info'!$E$5,"W","B")</x:f>
        <x:v>W</x:v>
      </x:c>
      <x:c r="I250" t="str">
        <x:f>IF(RAND()&lt;'Team_Info'!$E$5,"W","B")</x:f>
        <x:v>W</x:v>
      </x:c>
      <x:c r="J250" t="str">
        <x:f>IF(RAND()&lt;'Team_Info'!$E$5,"W","B")</x:f>
        <x:v>W</x:v>
      </x:c>
      <x:c r="K250" t="str">
        <x:f>IF(RAND()&lt;'Team_Info'!$E$5,"W","B")</x:f>
        <x:v>B</x:v>
      </x:c>
      <x:c r="L250" t="str">
        <x:f>IF(RAND()&lt;'Team_Info'!$E$5,"W","B")</x:f>
        <x:v>B</x:v>
      </x:c>
      <x:c r="M250" t="str">
        <x:f>IF(RAND()&lt;'Team_Info'!$E$5,"W","B")</x:f>
        <x:v>B</x:v>
      </x:c>
      <x:c r="N250" t="str">
        <x:f>IF(RAND()&lt;'Team_Info'!$E$5,"W","B")</x:f>
        <x:v>B</x:v>
      </x:c>
      <x:c r="O250" t="str">
        <x:f>IF(RAND()&lt;'Team_Info'!$E$5,"W","B")</x:f>
        <x:v>B</x:v>
      </x:c>
      <x:c r="P250" t="str">
        <x:f>IF(RAND()&lt;'Team_Info'!$E$5,"W","B")</x:f>
        <x:v>B</x:v>
      </x:c>
      <x:c r="Q250" t="str">
        <x:f>IF(RAND()&lt;'Team_Info'!$E$5,"W","B")</x:f>
        <x:v>B</x:v>
      </x:c>
      <x:c r="R250" t="str">
        <x:f>IF(RAND()&lt;'Team_Info'!$E$5,"W","B")</x:f>
        <x:v>B</x:v>
      </x:c>
      <x:c r="S250" t="str">
        <x:f>IF(RAND()&lt;'Team_Info'!$E$5,"W","B")</x:f>
        <x:v>W</x:v>
      </x:c>
      <x:c r="T250" t="str">
        <x:f>IF(RAND()&lt;'Team_Info'!$E$5,"W","B")</x:f>
        <x:v>B</x:v>
      </x:c>
      <x:c r="U250" t="str">
        <x:f>IF(RAND()&lt;'Team_Info'!$E$5,"W","B")</x:f>
        <x:v>B</x:v>
      </x:c>
    </x:row>
    <x:row r="251">
      <x:c r="A251" s="1">
        <x:v>250</x:v>
      </x:c>
      <x:c r="B251" t="str">
        <x:f>IF(RAND()&lt;'Team_Info'!$E$5,"W","B")</x:f>
        <x:v>B</x:v>
      </x:c>
      <x:c r="C251" t="str">
        <x:f>IF(RAND()&lt;'Team_Info'!$E$5,"W","B")</x:f>
        <x:v>B</x:v>
      </x:c>
      <x:c r="D251" t="str">
        <x:f>IF(RAND()&lt;'Team_Info'!$E$5,"W","B")</x:f>
        <x:v>W</x:v>
      </x:c>
      <x:c r="E251" t="str">
        <x:f>IF(RAND()&lt;'Team_Info'!$E$5,"W","B")</x:f>
        <x:v>W</x:v>
      </x:c>
      <x:c r="F251" t="str">
        <x:f>IF(RAND()&lt;'Team_Info'!$E$5,"W","B")</x:f>
        <x:v>B</x:v>
      </x:c>
      <x:c r="G251" t="str">
        <x:f>IF(RAND()&lt;'Team_Info'!$E$5,"W","B")</x:f>
        <x:v>W</x:v>
      </x:c>
      <x:c r="H251" t="str">
        <x:f>IF(RAND()&lt;'Team_Info'!$E$5,"W","B")</x:f>
        <x:v>B</x:v>
      </x:c>
      <x:c r="I251" t="str">
        <x:f>IF(RAND()&lt;'Team_Info'!$E$5,"W","B")</x:f>
        <x:v>W</x:v>
      </x:c>
      <x:c r="J251" t="str">
        <x:f>IF(RAND()&lt;'Team_Info'!$E$5,"W","B")</x:f>
        <x:v>W</x:v>
      </x:c>
      <x:c r="K251" t="str">
        <x:f>IF(RAND()&lt;'Team_Info'!$E$5,"W","B")</x:f>
        <x:v>W</x:v>
      </x:c>
      <x:c r="L251" t="str">
        <x:f>IF(RAND()&lt;'Team_Info'!$E$5,"W","B")</x:f>
        <x:v>B</x:v>
      </x:c>
      <x:c r="M251" t="str">
        <x:f>IF(RAND()&lt;'Team_Info'!$E$5,"W","B")</x:f>
        <x:v>W</x:v>
      </x:c>
      <x:c r="N251" t="str">
        <x:f>IF(RAND()&lt;'Team_Info'!$E$5,"W","B")</x:f>
        <x:v>W</x:v>
      </x:c>
      <x:c r="O251" t="str">
        <x:f>IF(RAND()&lt;'Team_Info'!$E$5,"W","B")</x:f>
        <x:v>B</x:v>
      </x:c>
      <x:c r="P251" t="str">
        <x:f>IF(RAND()&lt;'Team_Info'!$E$5,"W","B")</x:f>
        <x:v>B</x:v>
      </x:c>
      <x:c r="Q251" t="str">
        <x:f>IF(RAND()&lt;'Team_Info'!$E$5,"W","B")</x:f>
        <x:v>W</x:v>
      </x:c>
      <x:c r="R251" t="str">
        <x:f>IF(RAND()&lt;'Team_Info'!$E$5,"W","B")</x:f>
        <x:v>W</x:v>
      </x:c>
      <x:c r="S251" t="str">
        <x:f>IF(RAND()&lt;'Team_Info'!$E$5,"W","B")</x:f>
        <x:v>B</x:v>
      </x:c>
      <x:c r="T251" t="str">
        <x:f>IF(RAND()&lt;'Team_Info'!$E$5,"W","B")</x:f>
        <x:v>W</x:v>
      </x:c>
      <x:c r="U251" t="str">
        <x:f>IF(RAND()&lt;'Team_Info'!$E$5,"W","B")</x:f>
        <x:v>W</x:v>
      </x:c>
    </x:row>
    <x:row r="252">
      <x:c r="A252" s="1">
        <x:v>251</x:v>
      </x:c>
      <x:c r="B252" t="str">
        <x:f>IF(RAND()&lt;'Team_Info'!$E$5,"W","B")</x:f>
        <x:v>B</x:v>
      </x:c>
      <x:c r="C252" t="str">
        <x:f>IF(RAND()&lt;'Team_Info'!$E$5,"W","B")</x:f>
        <x:v>B</x:v>
      </x:c>
      <x:c r="D252" t="str">
        <x:f>IF(RAND()&lt;'Team_Info'!$E$5,"W","B")</x:f>
        <x:v>B</x:v>
      </x:c>
      <x:c r="E252" t="str">
        <x:f>IF(RAND()&lt;'Team_Info'!$E$5,"W","B")</x:f>
        <x:v>B</x:v>
      </x:c>
      <x:c r="F252" t="str">
        <x:f>IF(RAND()&lt;'Team_Info'!$E$5,"W","B")</x:f>
        <x:v>B</x:v>
      </x:c>
      <x:c r="G252" t="str">
        <x:f>IF(RAND()&lt;'Team_Info'!$E$5,"W","B")</x:f>
        <x:v>B</x:v>
      </x:c>
      <x:c r="H252" t="str">
        <x:f>IF(RAND()&lt;'Team_Info'!$E$5,"W","B")</x:f>
        <x:v>W</x:v>
      </x:c>
      <x:c r="I252" t="str">
        <x:f>IF(RAND()&lt;'Team_Info'!$E$5,"W","B")</x:f>
        <x:v>B</x:v>
      </x:c>
      <x:c r="J252" t="str">
        <x:f>IF(RAND()&lt;'Team_Info'!$E$5,"W","B")</x:f>
        <x:v>B</x:v>
      </x:c>
      <x:c r="K252" t="str">
        <x:f>IF(RAND()&lt;'Team_Info'!$E$5,"W","B")</x:f>
        <x:v>B</x:v>
      </x:c>
      <x:c r="L252" t="str">
        <x:f>IF(RAND()&lt;'Team_Info'!$E$5,"W","B")</x:f>
        <x:v>W</x:v>
      </x:c>
      <x:c r="M252" t="str">
        <x:f>IF(RAND()&lt;'Team_Info'!$E$5,"W","B")</x:f>
        <x:v>W</x:v>
      </x:c>
      <x:c r="N252" t="str">
        <x:f>IF(RAND()&lt;'Team_Info'!$E$5,"W","B")</x:f>
        <x:v>W</x:v>
      </x:c>
      <x:c r="O252" t="str">
        <x:f>IF(RAND()&lt;'Team_Info'!$E$5,"W","B")</x:f>
        <x:v>B</x:v>
      </x:c>
      <x:c r="P252" t="str">
        <x:f>IF(RAND()&lt;'Team_Info'!$E$5,"W","B")</x:f>
        <x:v>W</x:v>
      </x:c>
      <x:c r="Q252" t="str">
        <x:f>IF(RAND()&lt;'Team_Info'!$E$5,"W","B")</x:f>
        <x:v>B</x:v>
      </x:c>
      <x:c r="R252" t="str">
        <x:f>IF(RAND()&lt;'Team_Info'!$E$5,"W","B")</x:f>
        <x:v>W</x:v>
      </x:c>
      <x:c r="S252" t="str">
        <x:f>IF(RAND()&lt;'Team_Info'!$E$5,"W","B")</x:f>
        <x:v>B</x:v>
      </x:c>
      <x:c r="T252" t="str">
        <x:f>IF(RAND()&lt;'Team_Info'!$E$5,"W","B")</x:f>
        <x:v>W</x:v>
      </x:c>
      <x:c r="U252" t="str">
        <x:f>IF(RAND()&lt;'Team_Info'!$E$5,"W","B")</x:f>
        <x:v>W</x:v>
      </x:c>
    </x:row>
    <x:row r="253">
      <x:c r="A253" s="1">
        <x:v>252</x:v>
      </x:c>
      <x:c r="B253" t="str">
        <x:f>IF(RAND()&lt;'Team_Info'!$E$5,"W","B")</x:f>
        <x:v>B</x:v>
      </x:c>
      <x:c r="C253" t="str">
        <x:f>IF(RAND()&lt;'Team_Info'!$E$5,"W","B")</x:f>
        <x:v>B</x:v>
      </x:c>
      <x:c r="D253" t="str">
        <x:f>IF(RAND()&lt;'Team_Info'!$E$5,"W","B")</x:f>
        <x:v>B</x:v>
      </x:c>
      <x:c r="E253" t="str">
        <x:f>IF(RAND()&lt;'Team_Info'!$E$5,"W","B")</x:f>
        <x:v>B</x:v>
      </x:c>
      <x:c r="F253" t="str">
        <x:f>IF(RAND()&lt;'Team_Info'!$E$5,"W","B")</x:f>
        <x:v>B</x:v>
      </x:c>
      <x:c r="G253" t="str">
        <x:f>IF(RAND()&lt;'Team_Info'!$E$5,"W","B")</x:f>
        <x:v>B</x:v>
      </x:c>
      <x:c r="H253" t="str">
        <x:f>IF(RAND()&lt;'Team_Info'!$E$5,"W","B")</x:f>
        <x:v>W</x:v>
      </x:c>
      <x:c r="I253" t="str">
        <x:f>IF(RAND()&lt;'Team_Info'!$E$5,"W","B")</x:f>
        <x:v>B</x:v>
      </x:c>
      <x:c r="J253" t="str">
        <x:f>IF(RAND()&lt;'Team_Info'!$E$5,"W","B")</x:f>
        <x:v>B</x:v>
      </x:c>
      <x:c r="K253" t="str">
        <x:f>IF(RAND()&lt;'Team_Info'!$E$5,"W","B")</x:f>
        <x:v>W</x:v>
      </x:c>
      <x:c r="L253" t="str">
        <x:f>IF(RAND()&lt;'Team_Info'!$E$5,"W","B")</x:f>
        <x:v>B</x:v>
      </x:c>
      <x:c r="M253" t="str">
        <x:f>IF(RAND()&lt;'Team_Info'!$E$5,"W","B")</x:f>
        <x:v>B</x:v>
      </x:c>
      <x:c r="N253" t="str">
        <x:f>IF(RAND()&lt;'Team_Info'!$E$5,"W","B")</x:f>
        <x:v>B</x:v>
      </x:c>
      <x:c r="O253" t="str">
        <x:f>IF(RAND()&lt;'Team_Info'!$E$5,"W","B")</x:f>
        <x:v>W</x:v>
      </x:c>
      <x:c r="P253" t="str">
        <x:f>IF(RAND()&lt;'Team_Info'!$E$5,"W","B")</x:f>
        <x:v>B</x:v>
      </x:c>
      <x:c r="Q253" t="str">
        <x:f>IF(RAND()&lt;'Team_Info'!$E$5,"W","B")</x:f>
        <x:v>W</x:v>
      </x:c>
      <x:c r="R253" t="str">
        <x:f>IF(RAND()&lt;'Team_Info'!$E$5,"W","B")</x:f>
        <x:v>B</x:v>
      </x:c>
      <x:c r="S253" t="str">
        <x:f>IF(RAND()&lt;'Team_Info'!$E$5,"W","B")</x:f>
        <x:v>B</x:v>
      </x:c>
      <x:c r="T253" t="str">
        <x:f>IF(RAND()&lt;'Team_Info'!$E$5,"W","B")</x:f>
        <x:v>B</x:v>
      </x:c>
      <x:c r="U253" t="str">
        <x:f>IF(RAND()&lt;'Team_Info'!$E$5,"W","B")</x:f>
        <x:v>B</x:v>
      </x:c>
    </x:row>
    <x:row r="254">
      <x:c r="A254" s="1">
        <x:v>253</x:v>
      </x:c>
      <x:c r="B254" t="str">
        <x:f>IF(RAND()&lt;'Team_Info'!$E$5,"W","B")</x:f>
        <x:v>B</x:v>
      </x:c>
      <x:c r="C254" t="str">
        <x:f>IF(RAND()&lt;'Team_Info'!$E$5,"W","B")</x:f>
        <x:v>B</x:v>
      </x:c>
      <x:c r="D254" t="str">
        <x:f>IF(RAND()&lt;'Team_Info'!$E$5,"W","B")</x:f>
        <x:v>W</x:v>
      </x:c>
      <x:c r="E254" t="str">
        <x:f>IF(RAND()&lt;'Team_Info'!$E$5,"W","B")</x:f>
        <x:v>B</x:v>
      </x:c>
      <x:c r="F254" t="str">
        <x:f>IF(RAND()&lt;'Team_Info'!$E$5,"W","B")</x:f>
        <x:v>B</x:v>
      </x:c>
      <x:c r="G254" t="str">
        <x:f>IF(RAND()&lt;'Team_Info'!$E$5,"W","B")</x:f>
        <x:v>W</x:v>
      </x:c>
      <x:c r="H254" t="str">
        <x:f>IF(RAND()&lt;'Team_Info'!$E$5,"W","B")</x:f>
        <x:v>W</x:v>
      </x:c>
      <x:c r="I254" t="str">
        <x:f>IF(RAND()&lt;'Team_Info'!$E$5,"W","B")</x:f>
        <x:v>B</x:v>
      </x:c>
      <x:c r="J254" t="str">
        <x:f>IF(RAND()&lt;'Team_Info'!$E$5,"W","B")</x:f>
        <x:v>B</x:v>
      </x:c>
      <x:c r="K254" t="str">
        <x:f>IF(RAND()&lt;'Team_Info'!$E$5,"W","B")</x:f>
        <x:v>W</x:v>
      </x:c>
      <x:c r="L254" t="str">
        <x:f>IF(RAND()&lt;'Team_Info'!$E$5,"W","B")</x:f>
        <x:v>B</x:v>
      </x:c>
      <x:c r="M254" t="str">
        <x:f>IF(RAND()&lt;'Team_Info'!$E$5,"W","B")</x:f>
        <x:v>W</x:v>
      </x:c>
      <x:c r="N254" t="str">
        <x:f>IF(RAND()&lt;'Team_Info'!$E$5,"W","B")</x:f>
        <x:v>W</x:v>
      </x:c>
      <x:c r="O254" t="str">
        <x:f>IF(RAND()&lt;'Team_Info'!$E$5,"W","B")</x:f>
        <x:v>B</x:v>
      </x:c>
      <x:c r="P254" t="str">
        <x:f>IF(RAND()&lt;'Team_Info'!$E$5,"W","B")</x:f>
        <x:v>B</x:v>
      </x:c>
      <x:c r="Q254" t="str">
        <x:f>IF(RAND()&lt;'Team_Info'!$E$5,"W","B")</x:f>
        <x:v>W</x:v>
      </x:c>
      <x:c r="R254" t="str">
        <x:f>IF(RAND()&lt;'Team_Info'!$E$5,"W","B")</x:f>
        <x:v>B</x:v>
      </x:c>
      <x:c r="S254" t="str">
        <x:f>IF(RAND()&lt;'Team_Info'!$E$5,"W","B")</x:f>
        <x:v>W</x:v>
      </x:c>
      <x:c r="T254" t="str">
        <x:f>IF(RAND()&lt;'Team_Info'!$E$5,"W","B")</x:f>
        <x:v>W</x:v>
      </x:c>
      <x:c r="U254" t="str">
        <x:f>IF(RAND()&lt;'Team_Info'!$E$5,"W","B")</x:f>
        <x:v>B</x:v>
      </x:c>
    </x:row>
    <x:row r="255">
      <x:c r="A255" s="1">
        <x:v>254</x:v>
      </x:c>
      <x:c r="B255" t="str">
        <x:f>IF(RAND()&lt;'Team_Info'!$E$5,"W","B")</x:f>
        <x:v>B</x:v>
      </x:c>
      <x:c r="C255" t="str">
        <x:f>IF(RAND()&lt;'Team_Info'!$E$5,"W","B")</x:f>
        <x:v>W</x:v>
      </x:c>
      <x:c r="D255" t="str">
        <x:f>IF(RAND()&lt;'Team_Info'!$E$5,"W","B")</x:f>
        <x:v>W</x:v>
      </x:c>
      <x:c r="E255" t="str">
        <x:f>IF(RAND()&lt;'Team_Info'!$E$5,"W","B")</x:f>
        <x:v>B</x:v>
      </x:c>
      <x:c r="F255" t="str">
        <x:f>IF(RAND()&lt;'Team_Info'!$E$5,"W","B")</x:f>
        <x:v>B</x:v>
      </x:c>
      <x:c r="G255" t="str">
        <x:f>IF(RAND()&lt;'Team_Info'!$E$5,"W","B")</x:f>
        <x:v>W</x:v>
      </x:c>
      <x:c r="H255" t="str">
        <x:f>IF(RAND()&lt;'Team_Info'!$E$5,"W","B")</x:f>
        <x:v>B</x:v>
      </x:c>
      <x:c r="I255" t="str">
        <x:f>IF(RAND()&lt;'Team_Info'!$E$5,"W","B")</x:f>
        <x:v>W</x:v>
      </x:c>
      <x:c r="J255" t="str">
        <x:f>IF(RAND()&lt;'Team_Info'!$E$5,"W","B")</x:f>
        <x:v>B</x:v>
      </x:c>
      <x:c r="K255" t="str">
        <x:f>IF(RAND()&lt;'Team_Info'!$E$5,"W","B")</x:f>
        <x:v>W</x:v>
      </x:c>
      <x:c r="L255" t="str">
        <x:f>IF(RAND()&lt;'Team_Info'!$E$5,"W","B")</x:f>
        <x:v>W</x:v>
      </x:c>
      <x:c r="M255" t="str">
        <x:f>IF(RAND()&lt;'Team_Info'!$E$5,"W","B")</x:f>
        <x:v>W</x:v>
      </x:c>
      <x:c r="N255" t="str">
        <x:f>IF(RAND()&lt;'Team_Info'!$E$5,"W","B")</x:f>
        <x:v>B</x:v>
      </x:c>
      <x:c r="O255" t="str">
        <x:f>IF(RAND()&lt;'Team_Info'!$E$5,"W","B")</x:f>
        <x:v>W</x:v>
      </x:c>
      <x:c r="P255" t="str">
        <x:f>IF(RAND()&lt;'Team_Info'!$E$5,"W","B")</x:f>
        <x:v>B</x:v>
      </x:c>
      <x:c r="Q255" t="str">
        <x:f>IF(RAND()&lt;'Team_Info'!$E$5,"W","B")</x:f>
        <x:v>W</x:v>
      </x:c>
      <x:c r="R255" t="str">
        <x:f>IF(RAND()&lt;'Team_Info'!$E$5,"W","B")</x:f>
        <x:v>B</x:v>
      </x:c>
      <x:c r="S255" t="str">
        <x:f>IF(RAND()&lt;'Team_Info'!$E$5,"W","B")</x:f>
        <x:v>B</x:v>
      </x:c>
      <x:c r="T255" t="str">
        <x:f>IF(RAND()&lt;'Team_Info'!$E$5,"W","B")</x:f>
        <x:v>B</x:v>
      </x:c>
      <x:c r="U255" t="str">
        <x:f>IF(RAND()&lt;'Team_Info'!$E$5,"W","B")</x:f>
        <x:v>B</x:v>
      </x:c>
    </x:row>
    <x:row r="256">
      <x:c r="A256" s="1">
        <x:v>255</x:v>
      </x:c>
      <x:c r="B256" t="str">
        <x:f>IF(RAND()&lt;'Team_Info'!$E$5,"W","B")</x:f>
        <x:v>B</x:v>
      </x:c>
      <x:c r="C256" t="str">
        <x:f>IF(RAND()&lt;'Team_Info'!$E$5,"W","B")</x:f>
        <x:v>W</x:v>
      </x:c>
      <x:c r="D256" t="str">
        <x:f>IF(RAND()&lt;'Team_Info'!$E$5,"W","B")</x:f>
        <x:v>W</x:v>
      </x:c>
      <x:c r="E256" t="str">
        <x:f>IF(RAND()&lt;'Team_Info'!$E$5,"W","B")</x:f>
        <x:v>W</x:v>
      </x:c>
      <x:c r="F256" t="str">
        <x:f>IF(RAND()&lt;'Team_Info'!$E$5,"W","B")</x:f>
        <x:v>B</x:v>
      </x:c>
      <x:c r="G256" t="str">
        <x:f>IF(RAND()&lt;'Team_Info'!$E$5,"W","B")</x:f>
        <x:v>W</x:v>
      </x:c>
      <x:c r="H256" t="str">
        <x:f>IF(RAND()&lt;'Team_Info'!$E$5,"W","B")</x:f>
        <x:v>B</x:v>
      </x:c>
      <x:c r="I256" t="str">
        <x:f>IF(RAND()&lt;'Team_Info'!$E$5,"W","B")</x:f>
        <x:v>W</x:v>
      </x:c>
      <x:c r="J256" t="str">
        <x:f>IF(RAND()&lt;'Team_Info'!$E$5,"W","B")</x:f>
        <x:v>W</x:v>
      </x:c>
      <x:c r="K256" t="str">
        <x:f>IF(RAND()&lt;'Team_Info'!$E$5,"W","B")</x:f>
        <x:v>B</x:v>
      </x:c>
      <x:c r="L256" t="str">
        <x:f>IF(RAND()&lt;'Team_Info'!$E$5,"W","B")</x:f>
        <x:v>W</x:v>
      </x:c>
      <x:c r="M256" t="str">
        <x:f>IF(RAND()&lt;'Team_Info'!$E$5,"W","B")</x:f>
        <x:v>B</x:v>
      </x:c>
      <x:c r="N256" t="str">
        <x:f>IF(RAND()&lt;'Team_Info'!$E$5,"W","B")</x:f>
        <x:v>B</x:v>
      </x:c>
      <x:c r="O256" t="str">
        <x:f>IF(RAND()&lt;'Team_Info'!$E$5,"W","B")</x:f>
        <x:v>B</x:v>
      </x:c>
      <x:c r="P256" t="str">
        <x:f>IF(RAND()&lt;'Team_Info'!$E$5,"W","B")</x:f>
        <x:v>W</x:v>
      </x:c>
      <x:c r="Q256" t="str">
        <x:f>IF(RAND()&lt;'Team_Info'!$E$5,"W","B")</x:f>
        <x:v>W</x:v>
      </x:c>
      <x:c r="R256" t="str">
        <x:f>IF(RAND()&lt;'Team_Info'!$E$5,"W","B")</x:f>
        <x:v>W</x:v>
      </x:c>
      <x:c r="S256" t="str">
        <x:f>IF(RAND()&lt;'Team_Info'!$E$5,"W","B")</x:f>
        <x:v>B</x:v>
      </x:c>
      <x:c r="T256" t="str">
        <x:f>IF(RAND()&lt;'Team_Info'!$E$5,"W","B")</x:f>
        <x:v>W</x:v>
      </x:c>
      <x:c r="U256" t="str">
        <x:f>IF(RAND()&lt;'Team_Info'!$E$5,"W","B")</x:f>
        <x:v>W</x:v>
      </x:c>
    </x:row>
    <x:row r="257">
      <x:c r="A257" s="1">
        <x:v>256</x:v>
      </x:c>
      <x:c r="B257" t="str">
        <x:f>IF(RAND()&lt;'Team_Info'!$E$5,"W","B")</x:f>
        <x:v>B</x:v>
      </x:c>
      <x:c r="C257" t="str">
        <x:f>IF(RAND()&lt;'Team_Info'!$E$5,"W","B")</x:f>
        <x:v>B</x:v>
      </x:c>
      <x:c r="D257" t="str">
        <x:f>IF(RAND()&lt;'Team_Info'!$E$5,"W","B")</x:f>
        <x:v>B</x:v>
      </x:c>
      <x:c r="E257" t="str">
        <x:f>IF(RAND()&lt;'Team_Info'!$E$5,"W","B")</x:f>
        <x:v>W</x:v>
      </x:c>
      <x:c r="F257" t="str">
        <x:f>IF(RAND()&lt;'Team_Info'!$E$5,"W","B")</x:f>
        <x:v>B</x:v>
      </x:c>
      <x:c r="G257" t="str">
        <x:f>IF(RAND()&lt;'Team_Info'!$E$5,"W","B")</x:f>
        <x:v>B</x:v>
      </x:c>
      <x:c r="H257" t="str">
        <x:f>IF(RAND()&lt;'Team_Info'!$E$5,"W","B")</x:f>
        <x:v>B</x:v>
      </x:c>
      <x:c r="I257" t="str">
        <x:f>IF(RAND()&lt;'Team_Info'!$E$5,"W","B")</x:f>
        <x:v>W</x:v>
      </x:c>
      <x:c r="J257" t="str">
        <x:f>IF(RAND()&lt;'Team_Info'!$E$5,"W","B")</x:f>
        <x:v>B</x:v>
      </x:c>
      <x:c r="K257" t="str">
        <x:f>IF(RAND()&lt;'Team_Info'!$E$5,"W","B")</x:f>
        <x:v>B</x:v>
      </x:c>
      <x:c r="L257" t="str">
        <x:f>IF(RAND()&lt;'Team_Info'!$E$5,"W","B")</x:f>
        <x:v>B</x:v>
      </x:c>
      <x:c r="M257" t="str">
        <x:f>IF(RAND()&lt;'Team_Info'!$E$5,"W","B")</x:f>
        <x:v>W</x:v>
      </x:c>
      <x:c r="N257" t="str">
        <x:f>IF(RAND()&lt;'Team_Info'!$E$5,"W","B")</x:f>
        <x:v>W</x:v>
      </x:c>
      <x:c r="O257" t="str">
        <x:f>IF(RAND()&lt;'Team_Info'!$E$5,"W","B")</x:f>
        <x:v>B</x:v>
      </x:c>
      <x:c r="P257" t="str">
        <x:f>IF(RAND()&lt;'Team_Info'!$E$5,"W","B")</x:f>
        <x:v>B</x:v>
      </x:c>
      <x:c r="Q257" t="str">
        <x:f>IF(RAND()&lt;'Team_Info'!$E$5,"W","B")</x:f>
        <x:v>B</x:v>
      </x:c>
      <x:c r="R257" t="str">
        <x:f>IF(RAND()&lt;'Team_Info'!$E$5,"W","B")</x:f>
        <x:v>B</x:v>
      </x:c>
      <x:c r="S257" t="str">
        <x:f>IF(RAND()&lt;'Team_Info'!$E$5,"W","B")</x:f>
        <x:v>B</x:v>
      </x:c>
      <x:c r="T257" t="str">
        <x:f>IF(RAND()&lt;'Team_Info'!$E$5,"W","B")</x:f>
        <x:v>W</x:v>
      </x:c>
      <x:c r="U257" t="str">
        <x:f>IF(RAND()&lt;'Team_Info'!$E$5,"W","B")</x:f>
        <x:v>B</x:v>
      </x:c>
    </x:row>
    <x:row r="258">
      <x:c r="A258" s="1">
        <x:v>257</x:v>
      </x:c>
      <x:c r="B258" t="str">
        <x:f>IF(RAND()&lt;'Team_Info'!$E$5,"W","B")</x:f>
        <x:v>B</x:v>
      </x:c>
      <x:c r="C258" t="str">
        <x:f>IF(RAND()&lt;'Team_Info'!$E$5,"W","B")</x:f>
        <x:v>B</x:v>
      </x:c>
      <x:c r="D258" t="str">
        <x:f>IF(RAND()&lt;'Team_Info'!$E$5,"W","B")</x:f>
        <x:v>B</x:v>
      </x:c>
      <x:c r="E258" t="str">
        <x:f>IF(RAND()&lt;'Team_Info'!$E$5,"W","B")</x:f>
        <x:v>B</x:v>
      </x:c>
      <x:c r="F258" t="str">
        <x:f>IF(RAND()&lt;'Team_Info'!$E$5,"W","B")</x:f>
        <x:v>W</x:v>
      </x:c>
      <x:c r="G258" t="str">
        <x:f>IF(RAND()&lt;'Team_Info'!$E$5,"W","B")</x:f>
        <x:v>B</x:v>
      </x:c>
      <x:c r="H258" t="str">
        <x:f>IF(RAND()&lt;'Team_Info'!$E$5,"W","B")</x:f>
        <x:v>B</x:v>
      </x:c>
      <x:c r="I258" t="str">
        <x:f>IF(RAND()&lt;'Team_Info'!$E$5,"W","B")</x:f>
        <x:v>W</x:v>
      </x:c>
      <x:c r="J258" t="str">
        <x:f>IF(RAND()&lt;'Team_Info'!$E$5,"W","B")</x:f>
        <x:v>W</x:v>
      </x:c>
      <x:c r="K258" t="str">
        <x:f>IF(RAND()&lt;'Team_Info'!$E$5,"W","B")</x:f>
        <x:v>B</x:v>
      </x:c>
      <x:c r="L258" t="str">
        <x:f>IF(RAND()&lt;'Team_Info'!$E$5,"W","B")</x:f>
        <x:v>B</x:v>
      </x:c>
      <x:c r="M258" t="str">
        <x:f>IF(RAND()&lt;'Team_Info'!$E$5,"W","B")</x:f>
        <x:v>W</x:v>
      </x:c>
      <x:c r="N258" t="str">
        <x:f>IF(RAND()&lt;'Team_Info'!$E$5,"W","B")</x:f>
        <x:v>B</x:v>
      </x:c>
      <x:c r="O258" t="str">
        <x:f>IF(RAND()&lt;'Team_Info'!$E$5,"W","B")</x:f>
        <x:v>B</x:v>
      </x:c>
      <x:c r="P258" t="str">
        <x:f>IF(RAND()&lt;'Team_Info'!$E$5,"W","B")</x:f>
        <x:v>B</x:v>
      </x:c>
      <x:c r="Q258" t="str">
        <x:f>IF(RAND()&lt;'Team_Info'!$E$5,"W","B")</x:f>
        <x:v>B</x:v>
      </x:c>
      <x:c r="R258" t="str">
        <x:f>IF(RAND()&lt;'Team_Info'!$E$5,"W","B")</x:f>
        <x:v>B</x:v>
      </x:c>
      <x:c r="S258" t="str">
        <x:f>IF(RAND()&lt;'Team_Info'!$E$5,"W","B")</x:f>
        <x:v>B</x:v>
      </x:c>
      <x:c r="T258" t="str">
        <x:f>IF(RAND()&lt;'Team_Info'!$E$5,"W","B")</x:f>
        <x:v>B</x:v>
      </x:c>
      <x:c r="U258" t="str">
        <x:f>IF(RAND()&lt;'Team_Info'!$E$5,"W","B")</x:f>
        <x:v>B</x:v>
      </x:c>
    </x:row>
    <x:row r="259">
      <x:c r="A259" s="1">
        <x:v>258</x:v>
      </x:c>
      <x:c r="B259" t="str">
        <x:f>IF(RAND()&lt;'Team_Info'!$E$5,"W","B")</x:f>
        <x:v>B</x:v>
      </x:c>
      <x:c r="C259" t="str">
        <x:f>IF(RAND()&lt;'Team_Info'!$E$5,"W","B")</x:f>
        <x:v>B</x:v>
      </x:c>
      <x:c r="D259" t="str">
        <x:f>IF(RAND()&lt;'Team_Info'!$E$5,"W","B")</x:f>
        <x:v>B</x:v>
      </x:c>
      <x:c r="E259" t="str">
        <x:f>IF(RAND()&lt;'Team_Info'!$E$5,"W","B")</x:f>
        <x:v>B</x:v>
      </x:c>
      <x:c r="F259" t="str">
        <x:f>IF(RAND()&lt;'Team_Info'!$E$5,"W","B")</x:f>
        <x:v>B</x:v>
      </x:c>
      <x:c r="G259" t="str">
        <x:f>IF(RAND()&lt;'Team_Info'!$E$5,"W","B")</x:f>
        <x:v>B</x:v>
      </x:c>
      <x:c r="H259" t="str">
        <x:f>IF(RAND()&lt;'Team_Info'!$E$5,"W","B")</x:f>
        <x:v>W</x:v>
      </x:c>
      <x:c r="I259" t="str">
        <x:f>IF(RAND()&lt;'Team_Info'!$E$5,"W","B")</x:f>
        <x:v>W</x:v>
      </x:c>
      <x:c r="J259" t="str">
        <x:f>IF(RAND()&lt;'Team_Info'!$E$5,"W","B")</x:f>
        <x:v>W</x:v>
      </x:c>
      <x:c r="K259" t="str">
        <x:f>IF(RAND()&lt;'Team_Info'!$E$5,"W","B")</x:f>
        <x:v>W</x:v>
      </x:c>
      <x:c r="L259" t="str">
        <x:f>IF(RAND()&lt;'Team_Info'!$E$5,"W","B")</x:f>
        <x:v>B</x:v>
      </x:c>
      <x:c r="M259" t="str">
        <x:f>IF(RAND()&lt;'Team_Info'!$E$5,"W","B")</x:f>
        <x:v>W</x:v>
      </x:c>
      <x:c r="N259" t="str">
        <x:f>IF(RAND()&lt;'Team_Info'!$E$5,"W","B")</x:f>
        <x:v>W</x:v>
      </x:c>
      <x:c r="O259" t="str">
        <x:f>IF(RAND()&lt;'Team_Info'!$E$5,"W","B")</x:f>
        <x:v>B</x:v>
      </x:c>
      <x:c r="P259" t="str">
        <x:f>IF(RAND()&lt;'Team_Info'!$E$5,"W","B")</x:f>
        <x:v>B</x:v>
      </x:c>
      <x:c r="Q259" t="str">
        <x:f>IF(RAND()&lt;'Team_Info'!$E$5,"W","B")</x:f>
        <x:v>B</x:v>
      </x:c>
      <x:c r="R259" t="str">
        <x:f>IF(RAND()&lt;'Team_Info'!$E$5,"W","B")</x:f>
        <x:v>B</x:v>
      </x:c>
      <x:c r="S259" t="str">
        <x:f>IF(RAND()&lt;'Team_Info'!$E$5,"W","B")</x:f>
        <x:v>B</x:v>
      </x:c>
      <x:c r="T259" t="str">
        <x:f>IF(RAND()&lt;'Team_Info'!$E$5,"W","B")</x:f>
        <x:v>B</x:v>
      </x:c>
      <x:c r="U259" t="str">
        <x:f>IF(RAND()&lt;'Team_Info'!$E$5,"W","B")</x:f>
        <x:v>W</x:v>
      </x:c>
    </x:row>
    <x:row r="260">
      <x:c r="A260" s="1">
        <x:v>259</x:v>
      </x:c>
      <x:c r="B260" t="str">
        <x:f>IF(RAND()&lt;'Team_Info'!$E$5,"W","B")</x:f>
        <x:v>B</x:v>
      </x:c>
      <x:c r="C260" t="str">
        <x:f>IF(RAND()&lt;'Team_Info'!$E$5,"W","B")</x:f>
        <x:v>W</x:v>
      </x:c>
      <x:c r="D260" t="str">
        <x:f>IF(RAND()&lt;'Team_Info'!$E$5,"W","B")</x:f>
        <x:v>B</x:v>
      </x:c>
      <x:c r="E260" t="str">
        <x:f>IF(RAND()&lt;'Team_Info'!$E$5,"W","B")</x:f>
        <x:v>B</x:v>
      </x:c>
      <x:c r="F260" t="str">
        <x:f>IF(RAND()&lt;'Team_Info'!$E$5,"W","B")</x:f>
        <x:v>B</x:v>
      </x:c>
      <x:c r="G260" t="str">
        <x:f>IF(RAND()&lt;'Team_Info'!$E$5,"W","B")</x:f>
        <x:v>B</x:v>
      </x:c>
      <x:c r="H260" t="str">
        <x:f>IF(RAND()&lt;'Team_Info'!$E$5,"W","B")</x:f>
        <x:v>W</x:v>
      </x:c>
      <x:c r="I260" t="str">
        <x:f>IF(RAND()&lt;'Team_Info'!$E$5,"W","B")</x:f>
        <x:v>W</x:v>
      </x:c>
      <x:c r="J260" t="str">
        <x:f>IF(RAND()&lt;'Team_Info'!$E$5,"W","B")</x:f>
        <x:v>W</x:v>
      </x:c>
      <x:c r="K260" t="str">
        <x:f>IF(RAND()&lt;'Team_Info'!$E$5,"W","B")</x:f>
        <x:v>B</x:v>
      </x:c>
      <x:c r="L260" t="str">
        <x:f>IF(RAND()&lt;'Team_Info'!$E$5,"W","B")</x:f>
        <x:v>W</x:v>
      </x:c>
      <x:c r="M260" t="str">
        <x:f>IF(RAND()&lt;'Team_Info'!$E$5,"W","B")</x:f>
        <x:v>B</x:v>
      </x:c>
      <x:c r="N260" t="str">
        <x:f>IF(RAND()&lt;'Team_Info'!$E$5,"W","B")</x:f>
        <x:v>B</x:v>
      </x:c>
      <x:c r="O260" t="str">
        <x:f>IF(RAND()&lt;'Team_Info'!$E$5,"W","B")</x:f>
        <x:v>B</x:v>
      </x:c>
      <x:c r="P260" t="str">
        <x:f>IF(RAND()&lt;'Team_Info'!$E$5,"W","B")</x:f>
        <x:v>B</x:v>
      </x:c>
      <x:c r="Q260" t="str">
        <x:f>IF(RAND()&lt;'Team_Info'!$E$5,"W","B")</x:f>
        <x:v>B</x:v>
      </x:c>
      <x:c r="R260" t="str">
        <x:f>IF(RAND()&lt;'Team_Info'!$E$5,"W","B")</x:f>
        <x:v>W</x:v>
      </x:c>
      <x:c r="S260" t="str">
        <x:f>IF(RAND()&lt;'Team_Info'!$E$5,"W","B")</x:f>
        <x:v>B</x:v>
      </x:c>
      <x:c r="T260" t="str">
        <x:f>IF(RAND()&lt;'Team_Info'!$E$5,"W","B")</x:f>
        <x:v>B</x:v>
      </x:c>
      <x:c r="U260" t="str">
        <x:f>IF(RAND()&lt;'Team_Info'!$E$5,"W","B")</x:f>
        <x:v>W</x:v>
      </x:c>
    </x:row>
    <x:row r="261">
      <x:c r="A261" s="1">
        <x:v>260</x:v>
      </x:c>
      <x:c r="B261" t="str">
        <x:f>IF(RAND()&lt;'Team_Info'!$E$5,"W","B")</x:f>
        <x:v>W</x:v>
      </x:c>
      <x:c r="C261" t="str">
        <x:f>IF(RAND()&lt;'Team_Info'!$E$5,"W","B")</x:f>
        <x:v>B</x:v>
      </x:c>
      <x:c r="D261" t="str">
        <x:f>IF(RAND()&lt;'Team_Info'!$E$5,"W","B")</x:f>
        <x:v>B</x:v>
      </x:c>
      <x:c r="E261" t="str">
        <x:f>IF(RAND()&lt;'Team_Info'!$E$5,"W","B")</x:f>
        <x:v>W</x:v>
      </x:c>
      <x:c r="F261" t="str">
        <x:f>IF(RAND()&lt;'Team_Info'!$E$5,"W","B")</x:f>
        <x:v>B</x:v>
      </x:c>
      <x:c r="G261" t="str">
        <x:f>IF(RAND()&lt;'Team_Info'!$E$5,"W","B")</x:f>
        <x:v>W</x:v>
      </x:c>
      <x:c r="H261" t="str">
        <x:f>IF(RAND()&lt;'Team_Info'!$E$5,"W","B")</x:f>
        <x:v>B</x:v>
      </x:c>
      <x:c r="I261" t="str">
        <x:f>IF(RAND()&lt;'Team_Info'!$E$5,"W","B")</x:f>
        <x:v>B</x:v>
      </x:c>
      <x:c r="J261" t="str">
        <x:f>IF(RAND()&lt;'Team_Info'!$E$5,"W","B")</x:f>
        <x:v>W</x:v>
      </x:c>
      <x:c r="K261" t="str">
        <x:f>IF(RAND()&lt;'Team_Info'!$E$5,"W","B")</x:f>
        <x:v>B</x:v>
      </x:c>
      <x:c r="L261" t="str">
        <x:f>IF(RAND()&lt;'Team_Info'!$E$5,"W","B")</x:f>
        <x:v>W</x:v>
      </x:c>
      <x:c r="M261" t="str">
        <x:f>IF(RAND()&lt;'Team_Info'!$E$5,"W","B")</x:f>
        <x:v>W</x:v>
      </x:c>
      <x:c r="N261" t="str">
        <x:f>IF(RAND()&lt;'Team_Info'!$E$5,"W","B")</x:f>
        <x:v>W</x:v>
      </x:c>
      <x:c r="O261" t="str">
        <x:f>IF(RAND()&lt;'Team_Info'!$E$5,"W","B")</x:f>
        <x:v>W</x:v>
      </x:c>
      <x:c r="P261" t="str">
        <x:f>IF(RAND()&lt;'Team_Info'!$E$5,"W","B")</x:f>
        <x:v>B</x:v>
      </x:c>
      <x:c r="Q261" t="str">
        <x:f>IF(RAND()&lt;'Team_Info'!$E$5,"W","B")</x:f>
        <x:v>B</x:v>
      </x:c>
      <x:c r="R261" t="str">
        <x:f>IF(RAND()&lt;'Team_Info'!$E$5,"W","B")</x:f>
        <x:v>B</x:v>
      </x:c>
      <x:c r="S261" t="str">
        <x:f>IF(RAND()&lt;'Team_Info'!$E$5,"W","B")</x:f>
        <x:v>W</x:v>
      </x:c>
      <x:c r="T261" t="str">
        <x:f>IF(RAND()&lt;'Team_Info'!$E$5,"W","B")</x:f>
        <x:v>W</x:v>
      </x:c>
      <x:c r="U261" t="str">
        <x:f>IF(RAND()&lt;'Team_Info'!$E$5,"W","B")</x:f>
        <x:v>B</x:v>
      </x:c>
    </x:row>
    <x:row r="262">
      <x:c r="A262" s="1">
        <x:v>261</x:v>
      </x:c>
      <x:c r="B262" t="str">
        <x:f>IF(RAND()&lt;'Team_Info'!$E$5,"W","B")</x:f>
        <x:v>B</x:v>
      </x:c>
      <x:c r="C262" t="str">
        <x:f>IF(RAND()&lt;'Team_Info'!$E$5,"W","B")</x:f>
        <x:v>W</x:v>
      </x:c>
      <x:c r="D262" t="str">
        <x:f>IF(RAND()&lt;'Team_Info'!$E$5,"W","B")</x:f>
        <x:v>B</x:v>
      </x:c>
      <x:c r="E262" t="str">
        <x:f>IF(RAND()&lt;'Team_Info'!$E$5,"W","B")</x:f>
        <x:v>B</x:v>
      </x:c>
      <x:c r="F262" t="str">
        <x:f>IF(RAND()&lt;'Team_Info'!$E$5,"W","B")</x:f>
        <x:v>W</x:v>
      </x:c>
      <x:c r="G262" t="str">
        <x:f>IF(RAND()&lt;'Team_Info'!$E$5,"W","B")</x:f>
        <x:v>B</x:v>
      </x:c>
      <x:c r="H262" t="str">
        <x:f>IF(RAND()&lt;'Team_Info'!$E$5,"W","B")</x:f>
        <x:v>W</x:v>
      </x:c>
      <x:c r="I262" t="str">
        <x:f>IF(RAND()&lt;'Team_Info'!$E$5,"W","B")</x:f>
        <x:v>W</x:v>
      </x:c>
      <x:c r="J262" t="str">
        <x:f>IF(RAND()&lt;'Team_Info'!$E$5,"W","B")</x:f>
        <x:v>W</x:v>
      </x:c>
      <x:c r="K262" t="str">
        <x:f>IF(RAND()&lt;'Team_Info'!$E$5,"W","B")</x:f>
        <x:v>B</x:v>
      </x:c>
      <x:c r="L262" t="str">
        <x:f>IF(RAND()&lt;'Team_Info'!$E$5,"W","B")</x:f>
        <x:v>B</x:v>
      </x:c>
      <x:c r="M262" t="str">
        <x:f>IF(RAND()&lt;'Team_Info'!$E$5,"W","B")</x:f>
        <x:v>W</x:v>
      </x:c>
      <x:c r="N262" t="str">
        <x:f>IF(RAND()&lt;'Team_Info'!$E$5,"W","B")</x:f>
        <x:v>B</x:v>
      </x:c>
      <x:c r="O262" t="str">
        <x:f>IF(RAND()&lt;'Team_Info'!$E$5,"W","B")</x:f>
        <x:v>B</x:v>
      </x:c>
      <x:c r="P262" t="str">
        <x:f>IF(RAND()&lt;'Team_Info'!$E$5,"W","B")</x:f>
        <x:v>B</x:v>
      </x:c>
      <x:c r="Q262" t="str">
        <x:f>IF(RAND()&lt;'Team_Info'!$E$5,"W","B")</x:f>
        <x:v>B</x:v>
      </x:c>
      <x:c r="R262" t="str">
        <x:f>IF(RAND()&lt;'Team_Info'!$E$5,"W","B")</x:f>
        <x:v>B</x:v>
      </x:c>
      <x:c r="S262" t="str">
        <x:f>IF(RAND()&lt;'Team_Info'!$E$5,"W","B")</x:f>
        <x:v>B</x:v>
      </x:c>
      <x:c r="T262" t="str">
        <x:f>IF(RAND()&lt;'Team_Info'!$E$5,"W","B")</x:f>
        <x:v>W</x:v>
      </x:c>
      <x:c r="U262" t="str">
        <x:f>IF(RAND()&lt;'Team_Info'!$E$5,"W","B")</x:f>
        <x:v>B</x:v>
      </x:c>
    </x:row>
    <x:row r="263">
      <x:c r="A263" s="1">
        <x:v>262</x:v>
      </x:c>
      <x:c r="B263" t="str">
        <x:f>IF(RAND()&lt;'Team_Info'!$E$5,"W","B")</x:f>
        <x:v>W</x:v>
      </x:c>
      <x:c r="C263" t="str">
        <x:f>IF(RAND()&lt;'Team_Info'!$E$5,"W","B")</x:f>
        <x:v>B</x:v>
      </x:c>
      <x:c r="D263" t="str">
        <x:f>IF(RAND()&lt;'Team_Info'!$E$5,"W","B")</x:f>
        <x:v>B</x:v>
      </x:c>
      <x:c r="E263" t="str">
        <x:f>IF(RAND()&lt;'Team_Info'!$E$5,"W","B")</x:f>
        <x:v>B</x:v>
      </x:c>
      <x:c r="F263" t="str">
        <x:f>IF(RAND()&lt;'Team_Info'!$E$5,"W","B")</x:f>
        <x:v>W</x:v>
      </x:c>
      <x:c r="G263" t="str">
        <x:f>IF(RAND()&lt;'Team_Info'!$E$5,"W","B")</x:f>
        <x:v>B</x:v>
      </x:c>
      <x:c r="H263" t="str">
        <x:f>IF(RAND()&lt;'Team_Info'!$E$5,"W","B")</x:f>
        <x:v>W</x:v>
      </x:c>
      <x:c r="I263" t="str">
        <x:f>IF(RAND()&lt;'Team_Info'!$E$5,"W","B")</x:f>
        <x:v>W</x:v>
      </x:c>
      <x:c r="J263" t="str">
        <x:f>IF(RAND()&lt;'Team_Info'!$E$5,"W","B")</x:f>
        <x:v>W</x:v>
      </x:c>
      <x:c r="K263" t="str">
        <x:f>IF(RAND()&lt;'Team_Info'!$E$5,"W","B")</x:f>
        <x:v>W</x:v>
      </x:c>
      <x:c r="L263" t="str">
        <x:f>IF(RAND()&lt;'Team_Info'!$E$5,"W","B")</x:f>
        <x:v>W</x:v>
      </x:c>
      <x:c r="M263" t="str">
        <x:f>IF(RAND()&lt;'Team_Info'!$E$5,"W","B")</x:f>
        <x:v>W</x:v>
      </x:c>
      <x:c r="N263" t="str">
        <x:f>IF(RAND()&lt;'Team_Info'!$E$5,"W","B")</x:f>
        <x:v>B</x:v>
      </x:c>
      <x:c r="O263" t="str">
        <x:f>IF(RAND()&lt;'Team_Info'!$E$5,"W","B")</x:f>
        <x:v>B</x:v>
      </x:c>
      <x:c r="P263" t="str">
        <x:f>IF(RAND()&lt;'Team_Info'!$E$5,"W","B")</x:f>
        <x:v>B</x:v>
      </x:c>
      <x:c r="Q263" t="str">
        <x:f>IF(RAND()&lt;'Team_Info'!$E$5,"W","B")</x:f>
        <x:v>W</x:v>
      </x:c>
      <x:c r="R263" t="str">
        <x:f>IF(RAND()&lt;'Team_Info'!$E$5,"W","B")</x:f>
        <x:v>B</x:v>
      </x:c>
      <x:c r="S263" t="str">
        <x:f>IF(RAND()&lt;'Team_Info'!$E$5,"W","B")</x:f>
        <x:v>B</x:v>
      </x:c>
      <x:c r="T263" t="str">
        <x:f>IF(RAND()&lt;'Team_Info'!$E$5,"W","B")</x:f>
        <x:v>B</x:v>
      </x:c>
      <x:c r="U263" t="str">
        <x:f>IF(RAND()&lt;'Team_Info'!$E$5,"W","B")</x:f>
        <x:v>W</x:v>
      </x:c>
    </x:row>
    <x:row r="264">
      <x:c r="A264" s="1">
        <x:v>263</x:v>
      </x:c>
      <x:c r="B264" t="str">
        <x:f>IF(RAND()&lt;'Team_Info'!$E$5,"W","B")</x:f>
        <x:v>B</x:v>
      </x:c>
      <x:c r="C264" t="str">
        <x:f>IF(RAND()&lt;'Team_Info'!$E$5,"W","B")</x:f>
        <x:v>B</x:v>
      </x:c>
      <x:c r="D264" t="str">
        <x:f>IF(RAND()&lt;'Team_Info'!$E$5,"W","B")</x:f>
        <x:v>W</x:v>
      </x:c>
      <x:c r="E264" t="str">
        <x:f>IF(RAND()&lt;'Team_Info'!$E$5,"W","B")</x:f>
        <x:v>B</x:v>
      </x:c>
      <x:c r="F264" t="str">
        <x:f>IF(RAND()&lt;'Team_Info'!$E$5,"W","B")</x:f>
        <x:v>B</x:v>
      </x:c>
      <x:c r="G264" t="str">
        <x:f>IF(RAND()&lt;'Team_Info'!$E$5,"W","B")</x:f>
        <x:v>B</x:v>
      </x:c>
      <x:c r="H264" t="str">
        <x:f>IF(RAND()&lt;'Team_Info'!$E$5,"W","B")</x:f>
        <x:v>W</x:v>
      </x:c>
      <x:c r="I264" t="str">
        <x:f>IF(RAND()&lt;'Team_Info'!$E$5,"W","B")</x:f>
        <x:v>B</x:v>
      </x:c>
      <x:c r="J264" t="str">
        <x:f>IF(RAND()&lt;'Team_Info'!$E$5,"W","B")</x:f>
        <x:v>W</x:v>
      </x:c>
      <x:c r="K264" t="str">
        <x:f>IF(RAND()&lt;'Team_Info'!$E$5,"W","B")</x:f>
        <x:v>B</x:v>
      </x:c>
      <x:c r="L264" t="str">
        <x:f>IF(RAND()&lt;'Team_Info'!$E$5,"W","B")</x:f>
        <x:v>W</x:v>
      </x:c>
      <x:c r="M264" t="str">
        <x:f>IF(RAND()&lt;'Team_Info'!$E$5,"W","B")</x:f>
        <x:v>W</x:v>
      </x:c>
      <x:c r="N264" t="str">
        <x:f>IF(RAND()&lt;'Team_Info'!$E$5,"W","B")</x:f>
        <x:v>B</x:v>
      </x:c>
      <x:c r="O264" t="str">
        <x:f>IF(RAND()&lt;'Team_Info'!$E$5,"W","B")</x:f>
        <x:v>B</x:v>
      </x:c>
      <x:c r="P264" t="str">
        <x:f>IF(RAND()&lt;'Team_Info'!$E$5,"W","B")</x:f>
        <x:v>W</x:v>
      </x:c>
      <x:c r="Q264" t="str">
        <x:f>IF(RAND()&lt;'Team_Info'!$E$5,"W","B")</x:f>
        <x:v>W</x:v>
      </x:c>
      <x:c r="R264" t="str">
        <x:f>IF(RAND()&lt;'Team_Info'!$E$5,"W","B")</x:f>
        <x:v>W</x:v>
      </x:c>
      <x:c r="S264" t="str">
        <x:f>IF(RAND()&lt;'Team_Info'!$E$5,"W","B")</x:f>
        <x:v>W</x:v>
      </x:c>
      <x:c r="T264" t="str">
        <x:f>IF(RAND()&lt;'Team_Info'!$E$5,"W","B")</x:f>
        <x:v>W</x:v>
      </x:c>
      <x:c r="U264" t="str">
        <x:f>IF(RAND()&lt;'Team_Info'!$E$5,"W","B")</x:f>
        <x:v>W</x:v>
      </x:c>
    </x:row>
    <x:row r="265">
      <x:c r="A265" s="1">
        <x:v>264</x:v>
      </x:c>
      <x:c r="B265" t="str">
        <x:f>IF(RAND()&lt;'Team_Info'!$E$5,"W","B")</x:f>
        <x:v>B</x:v>
      </x:c>
      <x:c r="C265" t="str">
        <x:f>IF(RAND()&lt;'Team_Info'!$E$5,"W","B")</x:f>
        <x:v>W</x:v>
      </x:c>
      <x:c r="D265" t="str">
        <x:f>IF(RAND()&lt;'Team_Info'!$E$5,"W","B")</x:f>
        <x:v>W</x:v>
      </x:c>
      <x:c r="E265" t="str">
        <x:f>IF(RAND()&lt;'Team_Info'!$E$5,"W","B")</x:f>
        <x:v>B</x:v>
      </x:c>
      <x:c r="F265" t="str">
        <x:f>IF(RAND()&lt;'Team_Info'!$E$5,"W","B")</x:f>
        <x:v>B</x:v>
      </x:c>
      <x:c r="G265" t="str">
        <x:f>IF(RAND()&lt;'Team_Info'!$E$5,"W","B")</x:f>
        <x:v>W</x:v>
      </x:c>
      <x:c r="H265" t="str">
        <x:f>IF(RAND()&lt;'Team_Info'!$E$5,"W","B")</x:f>
        <x:v>W</x:v>
      </x:c>
      <x:c r="I265" t="str">
        <x:f>IF(RAND()&lt;'Team_Info'!$E$5,"W","B")</x:f>
        <x:v>W</x:v>
      </x:c>
      <x:c r="J265" t="str">
        <x:f>IF(RAND()&lt;'Team_Info'!$E$5,"W","B")</x:f>
        <x:v>B</x:v>
      </x:c>
      <x:c r="K265" t="str">
        <x:f>IF(RAND()&lt;'Team_Info'!$E$5,"W","B")</x:f>
        <x:v>W</x:v>
      </x:c>
      <x:c r="L265" t="str">
        <x:f>IF(RAND()&lt;'Team_Info'!$E$5,"W","B")</x:f>
        <x:v>W</x:v>
      </x:c>
      <x:c r="M265" t="str">
        <x:f>IF(RAND()&lt;'Team_Info'!$E$5,"W","B")</x:f>
        <x:v>B</x:v>
      </x:c>
      <x:c r="N265" t="str">
        <x:f>IF(RAND()&lt;'Team_Info'!$E$5,"W","B")</x:f>
        <x:v>W</x:v>
      </x:c>
      <x:c r="O265" t="str">
        <x:f>IF(RAND()&lt;'Team_Info'!$E$5,"W","B")</x:f>
        <x:v>W</x:v>
      </x:c>
      <x:c r="P265" t="str">
        <x:f>IF(RAND()&lt;'Team_Info'!$E$5,"W","B")</x:f>
        <x:v>W</x:v>
      </x:c>
      <x:c r="Q265" t="str">
        <x:f>IF(RAND()&lt;'Team_Info'!$E$5,"W","B")</x:f>
        <x:v>B</x:v>
      </x:c>
      <x:c r="R265" t="str">
        <x:f>IF(RAND()&lt;'Team_Info'!$E$5,"W","B")</x:f>
        <x:v>B</x:v>
      </x:c>
      <x:c r="S265" t="str">
        <x:f>IF(RAND()&lt;'Team_Info'!$E$5,"W","B")</x:f>
        <x:v>B</x:v>
      </x:c>
      <x:c r="T265" t="str">
        <x:f>IF(RAND()&lt;'Team_Info'!$E$5,"W","B")</x:f>
        <x:v>B</x:v>
      </x:c>
      <x:c r="U265" t="str">
        <x:f>IF(RAND()&lt;'Team_Info'!$E$5,"W","B")</x:f>
        <x:v>B</x:v>
      </x:c>
    </x:row>
    <x:row r="266">
      <x:c r="A266" s="1">
        <x:v>265</x:v>
      </x:c>
      <x:c r="B266" t="str">
        <x:f>IF(RAND()&lt;'Team_Info'!$E$5,"W","B")</x:f>
        <x:v>W</x:v>
      </x:c>
      <x:c r="C266" t="str">
        <x:f>IF(RAND()&lt;'Team_Info'!$E$5,"W","B")</x:f>
        <x:v>B</x:v>
      </x:c>
      <x:c r="D266" t="str">
        <x:f>IF(RAND()&lt;'Team_Info'!$E$5,"W","B")</x:f>
        <x:v>B</x:v>
      </x:c>
      <x:c r="E266" t="str">
        <x:f>IF(RAND()&lt;'Team_Info'!$E$5,"W","B")</x:f>
        <x:v>W</x:v>
      </x:c>
      <x:c r="F266" t="str">
        <x:f>IF(RAND()&lt;'Team_Info'!$E$5,"W","B")</x:f>
        <x:v>B</x:v>
      </x:c>
      <x:c r="G266" t="str">
        <x:f>IF(RAND()&lt;'Team_Info'!$E$5,"W","B")</x:f>
        <x:v>B</x:v>
      </x:c>
      <x:c r="H266" t="str">
        <x:f>IF(RAND()&lt;'Team_Info'!$E$5,"W","B")</x:f>
        <x:v>W</x:v>
      </x:c>
      <x:c r="I266" t="str">
        <x:f>IF(RAND()&lt;'Team_Info'!$E$5,"W","B")</x:f>
        <x:v>W</x:v>
      </x:c>
      <x:c r="J266" t="str">
        <x:f>IF(RAND()&lt;'Team_Info'!$E$5,"W","B")</x:f>
        <x:v>B</x:v>
      </x:c>
      <x:c r="K266" t="str">
        <x:f>IF(RAND()&lt;'Team_Info'!$E$5,"W","B")</x:f>
        <x:v>B</x:v>
      </x:c>
      <x:c r="L266" t="str">
        <x:f>IF(RAND()&lt;'Team_Info'!$E$5,"W","B")</x:f>
        <x:v>B</x:v>
      </x:c>
      <x:c r="M266" t="str">
        <x:f>IF(RAND()&lt;'Team_Info'!$E$5,"W","B")</x:f>
        <x:v>B</x:v>
      </x:c>
      <x:c r="N266" t="str">
        <x:f>IF(RAND()&lt;'Team_Info'!$E$5,"W","B")</x:f>
        <x:v>B</x:v>
      </x:c>
      <x:c r="O266" t="str">
        <x:f>IF(RAND()&lt;'Team_Info'!$E$5,"W","B")</x:f>
        <x:v>B</x:v>
      </x:c>
      <x:c r="P266" t="str">
        <x:f>IF(RAND()&lt;'Team_Info'!$E$5,"W","B")</x:f>
        <x:v>W</x:v>
      </x:c>
      <x:c r="Q266" t="str">
        <x:f>IF(RAND()&lt;'Team_Info'!$E$5,"W","B")</x:f>
        <x:v>W</x:v>
      </x:c>
      <x:c r="R266" t="str">
        <x:f>IF(RAND()&lt;'Team_Info'!$E$5,"W","B")</x:f>
        <x:v>W</x:v>
      </x:c>
      <x:c r="S266" t="str">
        <x:f>IF(RAND()&lt;'Team_Info'!$E$5,"W","B")</x:f>
        <x:v>B</x:v>
      </x:c>
      <x:c r="T266" t="str">
        <x:f>IF(RAND()&lt;'Team_Info'!$E$5,"W","B")</x:f>
        <x:v>B</x:v>
      </x:c>
      <x:c r="U266" t="str">
        <x:f>IF(RAND()&lt;'Team_Info'!$E$5,"W","B")</x:f>
        <x:v>B</x:v>
      </x:c>
    </x:row>
    <x:row r="267">
      <x:c r="A267" s="1">
        <x:v>266</x:v>
      </x:c>
      <x:c r="B267" t="str">
        <x:f>IF(RAND()&lt;'Team_Info'!$E$5,"W","B")</x:f>
        <x:v>B</x:v>
      </x:c>
      <x:c r="C267" t="str">
        <x:f>IF(RAND()&lt;'Team_Info'!$E$5,"W","B")</x:f>
        <x:v>W</x:v>
      </x:c>
      <x:c r="D267" t="str">
        <x:f>IF(RAND()&lt;'Team_Info'!$E$5,"W","B")</x:f>
        <x:v>B</x:v>
      </x:c>
      <x:c r="E267" t="str">
        <x:f>IF(RAND()&lt;'Team_Info'!$E$5,"W","B")</x:f>
        <x:v>W</x:v>
      </x:c>
      <x:c r="F267" t="str">
        <x:f>IF(RAND()&lt;'Team_Info'!$E$5,"W","B")</x:f>
        <x:v>W</x:v>
      </x:c>
      <x:c r="G267" t="str">
        <x:f>IF(RAND()&lt;'Team_Info'!$E$5,"W","B")</x:f>
        <x:v>B</x:v>
      </x:c>
      <x:c r="H267" t="str">
        <x:f>IF(RAND()&lt;'Team_Info'!$E$5,"W","B")</x:f>
        <x:v>W</x:v>
      </x:c>
      <x:c r="I267" t="str">
        <x:f>IF(RAND()&lt;'Team_Info'!$E$5,"W","B")</x:f>
        <x:v>W</x:v>
      </x:c>
      <x:c r="J267" t="str">
        <x:f>IF(RAND()&lt;'Team_Info'!$E$5,"W","B")</x:f>
        <x:v>W</x:v>
      </x:c>
      <x:c r="K267" t="str">
        <x:f>IF(RAND()&lt;'Team_Info'!$E$5,"W","B")</x:f>
        <x:v>B</x:v>
      </x:c>
      <x:c r="L267" t="str">
        <x:f>IF(RAND()&lt;'Team_Info'!$E$5,"W","B")</x:f>
        <x:v>B</x:v>
      </x:c>
      <x:c r="M267" t="str">
        <x:f>IF(RAND()&lt;'Team_Info'!$E$5,"W","B")</x:f>
        <x:v>W</x:v>
      </x:c>
      <x:c r="N267" t="str">
        <x:f>IF(RAND()&lt;'Team_Info'!$E$5,"W","B")</x:f>
        <x:v>W</x:v>
      </x:c>
      <x:c r="O267" t="str">
        <x:f>IF(RAND()&lt;'Team_Info'!$E$5,"W","B")</x:f>
        <x:v>W</x:v>
      </x:c>
      <x:c r="P267" t="str">
        <x:f>IF(RAND()&lt;'Team_Info'!$E$5,"W","B")</x:f>
        <x:v>B</x:v>
      </x:c>
      <x:c r="Q267" t="str">
        <x:f>IF(RAND()&lt;'Team_Info'!$E$5,"W","B")</x:f>
        <x:v>B</x:v>
      </x:c>
      <x:c r="R267" t="str">
        <x:f>IF(RAND()&lt;'Team_Info'!$E$5,"W","B")</x:f>
        <x:v>W</x:v>
      </x:c>
      <x:c r="S267" t="str">
        <x:f>IF(RAND()&lt;'Team_Info'!$E$5,"W","B")</x:f>
        <x:v>B</x:v>
      </x:c>
      <x:c r="T267" t="str">
        <x:f>IF(RAND()&lt;'Team_Info'!$E$5,"W","B")</x:f>
        <x:v>B</x:v>
      </x:c>
      <x:c r="U267" t="str">
        <x:f>IF(RAND()&lt;'Team_Info'!$E$5,"W","B")</x:f>
        <x:v>W</x:v>
      </x:c>
    </x:row>
    <x:row r="268">
      <x:c r="A268" s="1">
        <x:v>267</x:v>
      </x:c>
      <x:c r="B268" t="str">
        <x:f>IF(RAND()&lt;'Team_Info'!$E$5,"W","B")</x:f>
        <x:v>B</x:v>
      </x:c>
      <x:c r="C268" t="str">
        <x:f>IF(RAND()&lt;'Team_Info'!$E$5,"W","B")</x:f>
        <x:v>W</x:v>
      </x:c>
      <x:c r="D268" t="str">
        <x:f>IF(RAND()&lt;'Team_Info'!$E$5,"W","B")</x:f>
        <x:v>B</x:v>
      </x:c>
      <x:c r="E268" t="str">
        <x:f>IF(RAND()&lt;'Team_Info'!$E$5,"W","B")</x:f>
        <x:v>B</x:v>
      </x:c>
      <x:c r="F268" t="str">
        <x:f>IF(RAND()&lt;'Team_Info'!$E$5,"W","B")</x:f>
        <x:v>B</x:v>
      </x:c>
      <x:c r="G268" t="str">
        <x:f>IF(RAND()&lt;'Team_Info'!$E$5,"W","B")</x:f>
        <x:v>W</x:v>
      </x:c>
      <x:c r="H268" t="str">
        <x:f>IF(RAND()&lt;'Team_Info'!$E$5,"W","B")</x:f>
        <x:v>B</x:v>
      </x:c>
      <x:c r="I268" t="str">
        <x:f>IF(RAND()&lt;'Team_Info'!$E$5,"W","B")</x:f>
        <x:v>W</x:v>
      </x:c>
      <x:c r="J268" t="str">
        <x:f>IF(RAND()&lt;'Team_Info'!$E$5,"W","B")</x:f>
        <x:v>B</x:v>
      </x:c>
      <x:c r="K268" t="str">
        <x:f>IF(RAND()&lt;'Team_Info'!$E$5,"W","B")</x:f>
        <x:v>B</x:v>
      </x:c>
      <x:c r="L268" t="str">
        <x:f>IF(RAND()&lt;'Team_Info'!$E$5,"W","B")</x:f>
        <x:v>W</x:v>
      </x:c>
      <x:c r="M268" t="str">
        <x:f>IF(RAND()&lt;'Team_Info'!$E$5,"W","B")</x:f>
        <x:v>B</x:v>
      </x:c>
      <x:c r="N268" t="str">
        <x:f>IF(RAND()&lt;'Team_Info'!$E$5,"W","B")</x:f>
        <x:v>W</x:v>
      </x:c>
      <x:c r="O268" t="str">
        <x:f>IF(RAND()&lt;'Team_Info'!$E$5,"W","B")</x:f>
        <x:v>B</x:v>
      </x:c>
      <x:c r="P268" t="str">
        <x:f>IF(RAND()&lt;'Team_Info'!$E$5,"W","B")</x:f>
        <x:v>W</x:v>
      </x:c>
      <x:c r="Q268" t="str">
        <x:f>IF(RAND()&lt;'Team_Info'!$E$5,"W","B")</x:f>
        <x:v>B</x:v>
      </x:c>
      <x:c r="R268" t="str">
        <x:f>IF(RAND()&lt;'Team_Info'!$E$5,"W","B")</x:f>
        <x:v>W</x:v>
      </x:c>
      <x:c r="S268" t="str">
        <x:f>IF(RAND()&lt;'Team_Info'!$E$5,"W","B")</x:f>
        <x:v>W</x:v>
      </x:c>
      <x:c r="T268" t="str">
        <x:f>IF(RAND()&lt;'Team_Info'!$E$5,"W","B")</x:f>
        <x:v>B</x:v>
      </x:c>
      <x:c r="U268" t="str">
        <x:f>IF(RAND()&lt;'Team_Info'!$E$5,"W","B")</x:f>
        <x:v>B</x:v>
      </x:c>
    </x:row>
    <x:row r="269">
      <x:c r="A269" s="1">
        <x:v>268</x:v>
      </x:c>
      <x:c r="B269" t="str">
        <x:f>IF(RAND()&lt;'Team_Info'!$E$5,"W","B")</x:f>
        <x:v>B</x:v>
      </x:c>
      <x:c r="C269" t="str">
        <x:f>IF(RAND()&lt;'Team_Info'!$E$5,"W","B")</x:f>
        <x:v>B</x:v>
      </x:c>
      <x:c r="D269" t="str">
        <x:f>IF(RAND()&lt;'Team_Info'!$E$5,"W","B")</x:f>
        <x:v>B</x:v>
      </x:c>
      <x:c r="E269" t="str">
        <x:f>IF(RAND()&lt;'Team_Info'!$E$5,"W","B")</x:f>
        <x:v>B</x:v>
      </x:c>
      <x:c r="F269" t="str">
        <x:f>IF(RAND()&lt;'Team_Info'!$E$5,"W","B")</x:f>
        <x:v>B</x:v>
      </x:c>
      <x:c r="G269" t="str">
        <x:f>IF(RAND()&lt;'Team_Info'!$E$5,"W","B")</x:f>
        <x:v>B</x:v>
      </x:c>
      <x:c r="H269" t="str">
        <x:f>IF(RAND()&lt;'Team_Info'!$E$5,"W","B")</x:f>
        <x:v>B</x:v>
      </x:c>
      <x:c r="I269" t="str">
        <x:f>IF(RAND()&lt;'Team_Info'!$E$5,"W","B")</x:f>
        <x:v>W</x:v>
      </x:c>
      <x:c r="J269" t="str">
        <x:f>IF(RAND()&lt;'Team_Info'!$E$5,"W","B")</x:f>
        <x:v>B</x:v>
      </x:c>
      <x:c r="K269" t="str">
        <x:f>IF(RAND()&lt;'Team_Info'!$E$5,"W","B")</x:f>
        <x:v>W</x:v>
      </x:c>
      <x:c r="L269" t="str">
        <x:f>IF(RAND()&lt;'Team_Info'!$E$5,"W","B")</x:f>
        <x:v>W</x:v>
      </x:c>
      <x:c r="M269" t="str">
        <x:f>IF(RAND()&lt;'Team_Info'!$E$5,"W","B")</x:f>
        <x:v>B</x:v>
      </x:c>
      <x:c r="N269" t="str">
        <x:f>IF(RAND()&lt;'Team_Info'!$E$5,"W","B")</x:f>
        <x:v>B</x:v>
      </x:c>
      <x:c r="O269" t="str">
        <x:f>IF(RAND()&lt;'Team_Info'!$E$5,"W","B")</x:f>
        <x:v>W</x:v>
      </x:c>
      <x:c r="P269" t="str">
        <x:f>IF(RAND()&lt;'Team_Info'!$E$5,"W","B")</x:f>
        <x:v>W</x:v>
      </x:c>
      <x:c r="Q269" t="str">
        <x:f>IF(RAND()&lt;'Team_Info'!$E$5,"W","B")</x:f>
        <x:v>W</x:v>
      </x:c>
      <x:c r="R269" t="str">
        <x:f>IF(RAND()&lt;'Team_Info'!$E$5,"W","B")</x:f>
        <x:v>W</x:v>
      </x:c>
      <x:c r="S269" t="str">
        <x:f>IF(RAND()&lt;'Team_Info'!$E$5,"W","B")</x:f>
        <x:v>W</x:v>
      </x:c>
      <x:c r="T269" t="str">
        <x:f>IF(RAND()&lt;'Team_Info'!$E$5,"W","B")</x:f>
        <x:v>B</x:v>
      </x:c>
      <x:c r="U269" t="str">
        <x:f>IF(RAND()&lt;'Team_Info'!$E$5,"W","B")</x:f>
        <x:v>B</x:v>
      </x:c>
    </x:row>
    <x:row r="270">
      <x:c r="A270" s="1">
        <x:v>269</x:v>
      </x:c>
      <x:c r="B270" t="str">
        <x:f>IF(RAND()&lt;'Team_Info'!$E$5,"W","B")</x:f>
        <x:v>B</x:v>
      </x:c>
      <x:c r="C270" t="str">
        <x:f>IF(RAND()&lt;'Team_Info'!$E$5,"W","B")</x:f>
        <x:v>B</x:v>
      </x:c>
      <x:c r="D270" t="str">
        <x:f>IF(RAND()&lt;'Team_Info'!$E$5,"W","B")</x:f>
        <x:v>B</x:v>
      </x:c>
      <x:c r="E270" t="str">
        <x:f>IF(RAND()&lt;'Team_Info'!$E$5,"W","B")</x:f>
        <x:v>B</x:v>
      </x:c>
      <x:c r="F270" t="str">
        <x:f>IF(RAND()&lt;'Team_Info'!$E$5,"W","B")</x:f>
        <x:v>B</x:v>
      </x:c>
      <x:c r="G270" t="str">
        <x:f>IF(RAND()&lt;'Team_Info'!$E$5,"W","B")</x:f>
        <x:v>B</x:v>
      </x:c>
      <x:c r="H270" t="str">
        <x:f>IF(RAND()&lt;'Team_Info'!$E$5,"W","B")</x:f>
        <x:v>B</x:v>
      </x:c>
      <x:c r="I270" t="str">
        <x:f>IF(RAND()&lt;'Team_Info'!$E$5,"W","B")</x:f>
        <x:v>W</x:v>
      </x:c>
      <x:c r="J270" t="str">
        <x:f>IF(RAND()&lt;'Team_Info'!$E$5,"W","B")</x:f>
        <x:v>W</x:v>
      </x:c>
      <x:c r="K270" t="str">
        <x:f>IF(RAND()&lt;'Team_Info'!$E$5,"W","B")</x:f>
        <x:v>B</x:v>
      </x:c>
      <x:c r="L270" t="str">
        <x:f>IF(RAND()&lt;'Team_Info'!$E$5,"W","B")</x:f>
        <x:v>B</x:v>
      </x:c>
      <x:c r="M270" t="str">
        <x:f>IF(RAND()&lt;'Team_Info'!$E$5,"W","B")</x:f>
        <x:v>B</x:v>
      </x:c>
      <x:c r="N270" t="str">
        <x:f>IF(RAND()&lt;'Team_Info'!$E$5,"W","B")</x:f>
        <x:v>W</x:v>
      </x:c>
      <x:c r="O270" t="str">
        <x:f>IF(RAND()&lt;'Team_Info'!$E$5,"W","B")</x:f>
        <x:v>B</x:v>
      </x:c>
      <x:c r="P270" t="str">
        <x:f>IF(RAND()&lt;'Team_Info'!$E$5,"W","B")</x:f>
        <x:v>W</x:v>
      </x:c>
      <x:c r="Q270" t="str">
        <x:f>IF(RAND()&lt;'Team_Info'!$E$5,"W","B")</x:f>
        <x:v>W</x:v>
      </x:c>
      <x:c r="R270" t="str">
        <x:f>IF(RAND()&lt;'Team_Info'!$E$5,"W","B")</x:f>
        <x:v>B</x:v>
      </x:c>
      <x:c r="S270" t="str">
        <x:f>IF(RAND()&lt;'Team_Info'!$E$5,"W","B")</x:f>
        <x:v>B</x:v>
      </x:c>
      <x:c r="T270" t="str">
        <x:f>IF(RAND()&lt;'Team_Info'!$E$5,"W","B")</x:f>
        <x:v>W</x:v>
      </x:c>
      <x:c r="U270" t="str">
        <x:f>IF(RAND()&lt;'Team_Info'!$E$5,"W","B")</x:f>
        <x:v>W</x:v>
      </x:c>
    </x:row>
    <x:row r="271">
      <x:c r="A271" s="1">
        <x:v>270</x:v>
      </x:c>
      <x:c r="B271" t="str">
        <x:f>IF(RAND()&lt;'Team_Info'!$E$5,"W","B")</x:f>
        <x:v>W</x:v>
      </x:c>
      <x:c r="C271" t="str">
        <x:f>IF(RAND()&lt;'Team_Info'!$E$5,"W","B")</x:f>
        <x:v>B</x:v>
      </x:c>
      <x:c r="D271" t="str">
        <x:f>IF(RAND()&lt;'Team_Info'!$E$5,"W","B")</x:f>
        <x:v>W</x:v>
      </x:c>
      <x:c r="E271" t="str">
        <x:f>IF(RAND()&lt;'Team_Info'!$E$5,"W","B")</x:f>
        <x:v>B</x:v>
      </x:c>
      <x:c r="F271" t="str">
        <x:f>IF(RAND()&lt;'Team_Info'!$E$5,"W","B")</x:f>
        <x:v>B</x:v>
      </x:c>
      <x:c r="G271" t="str">
        <x:f>IF(RAND()&lt;'Team_Info'!$E$5,"W","B")</x:f>
        <x:v>W</x:v>
      </x:c>
      <x:c r="H271" t="str">
        <x:f>IF(RAND()&lt;'Team_Info'!$E$5,"W","B")</x:f>
        <x:v>B</x:v>
      </x:c>
      <x:c r="I271" t="str">
        <x:f>IF(RAND()&lt;'Team_Info'!$E$5,"W","B")</x:f>
        <x:v>B</x:v>
      </x:c>
      <x:c r="J271" t="str">
        <x:f>IF(RAND()&lt;'Team_Info'!$E$5,"W","B")</x:f>
        <x:v>B</x:v>
      </x:c>
      <x:c r="K271" t="str">
        <x:f>IF(RAND()&lt;'Team_Info'!$E$5,"W","B")</x:f>
        <x:v>W</x:v>
      </x:c>
      <x:c r="L271" t="str">
        <x:f>IF(RAND()&lt;'Team_Info'!$E$5,"W","B")</x:f>
        <x:v>B</x:v>
      </x:c>
      <x:c r="M271" t="str">
        <x:f>IF(RAND()&lt;'Team_Info'!$E$5,"W","B")</x:f>
        <x:v>W</x:v>
      </x:c>
      <x:c r="N271" t="str">
        <x:f>IF(RAND()&lt;'Team_Info'!$E$5,"W","B")</x:f>
        <x:v>B</x:v>
      </x:c>
      <x:c r="O271" t="str">
        <x:f>IF(RAND()&lt;'Team_Info'!$E$5,"W","B")</x:f>
        <x:v>B</x:v>
      </x:c>
      <x:c r="P271" t="str">
        <x:f>IF(RAND()&lt;'Team_Info'!$E$5,"W","B")</x:f>
        <x:v>B</x:v>
      </x:c>
      <x:c r="Q271" t="str">
        <x:f>IF(RAND()&lt;'Team_Info'!$E$5,"W","B")</x:f>
        <x:v>W</x:v>
      </x:c>
      <x:c r="R271" t="str">
        <x:f>IF(RAND()&lt;'Team_Info'!$E$5,"W","B")</x:f>
        <x:v>B</x:v>
      </x:c>
      <x:c r="S271" t="str">
        <x:f>IF(RAND()&lt;'Team_Info'!$E$5,"W","B")</x:f>
        <x:v>B</x:v>
      </x:c>
      <x:c r="T271" t="str">
        <x:f>IF(RAND()&lt;'Team_Info'!$E$5,"W","B")</x:f>
        <x:v>W</x:v>
      </x:c>
      <x:c r="U271" t="str">
        <x:f>IF(RAND()&lt;'Team_Info'!$E$5,"W","B")</x:f>
        <x:v>W</x:v>
      </x:c>
    </x:row>
    <x:row r="272">
      <x:c r="A272" s="1">
        <x:v>271</x:v>
      </x:c>
      <x:c r="B272" t="str">
        <x:f>IF(RAND()&lt;'Team_Info'!$E$5,"W","B")</x:f>
        <x:v>W</x:v>
      </x:c>
      <x:c r="C272" t="str">
        <x:f>IF(RAND()&lt;'Team_Info'!$E$5,"W","B")</x:f>
        <x:v>W</x:v>
      </x:c>
      <x:c r="D272" t="str">
        <x:f>IF(RAND()&lt;'Team_Info'!$E$5,"W","B")</x:f>
        <x:v>B</x:v>
      </x:c>
      <x:c r="E272" t="str">
        <x:f>IF(RAND()&lt;'Team_Info'!$E$5,"W","B")</x:f>
        <x:v>B</x:v>
      </x:c>
      <x:c r="F272" t="str">
        <x:f>IF(RAND()&lt;'Team_Info'!$E$5,"W","B")</x:f>
        <x:v>B</x:v>
      </x:c>
      <x:c r="G272" t="str">
        <x:f>IF(RAND()&lt;'Team_Info'!$E$5,"W","B")</x:f>
        <x:v>B</x:v>
      </x:c>
      <x:c r="H272" t="str">
        <x:f>IF(RAND()&lt;'Team_Info'!$E$5,"W","B")</x:f>
        <x:v>B</x:v>
      </x:c>
      <x:c r="I272" t="str">
        <x:f>IF(RAND()&lt;'Team_Info'!$E$5,"W","B")</x:f>
        <x:v>B</x:v>
      </x:c>
      <x:c r="J272" t="str">
        <x:f>IF(RAND()&lt;'Team_Info'!$E$5,"W","B")</x:f>
        <x:v>B</x:v>
      </x:c>
      <x:c r="K272" t="str">
        <x:f>IF(RAND()&lt;'Team_Info'!$E$5,"W","B")</x:f>
        <x:v>B</x:v>
      </x:c>
      <x:c r="L272" t="str">
        <x:f>IF(RAND()&lt;'Team_Info'!$E$5,"W","B")</x:f>
        <x:v>W</x:v>
      </x:c>
      <x:c r="M272" t="str">
        <x:f>IF(RAND()&lt;'Team_Info'!$E$5,"W","B")</x:f>
        <x:v>B</x:v>
      </x:c>
      <x:c r="N272" t="str">
        <x:f>IF(RAND()&lt;'Team_Info'!$E$5,"W","B")</x:f>
        <x:v>B</x:v>
      </x:c>
      <x:c r="O272" t="str">
        <x:f>IF(RAND()&lt;'Team_Info'!$E$5,"W","B")</x:f>
        <x:v>B</x:v>
      </x:c>
      <x:c r="P272" t="str">
        <x:f>IF(RAND()&lt;'Team_Info'!$E$5,"W","B")</x:f>
        <x:v>W</x:v>
      </x:c>
      <x:c r="Q272" t="str">
        <x:f>IF(RAND()&lt;'Team_Info'!$E$5,"W","B")</x:f>
        <x:v>B</x:v>
      </x:c>
      <x:c r="R272" t="str">
        <x:f>IF(RAND()&lt;'Team_Info'!$E$5,"W","B")</x:f>
        <x:v>B</x:v>
      </x:c>
      <x:c r="S272" t="str">
        <x:f>IF(RAND()&lt;'Team_Info'!$E$5,"W","B")</x:f>
        <x:v>W</x:v>
      </x:c>
      <x:c r="T272" t="str">
        <x:f>IF(RAND()&lt;'Team_Info'!$E$5,"W","B")</x:f>
        <x:v>W</x:v>
      </x:c>
      <x:c r="U272" t="str">
        <x:f>IF(RAND()&lt;'Team_Info'!$E$5,"W","B")</x:f>
        <x:v>B</x:v>
      </x:c>
    </x:row>
    <x:row r="273">
      <x:c r="A273" s="1">
        <x:v>272</x:v>
      </x:c>
      <x:c r="B273" t="str">
        <x:f>IF(RAND()&lt;'Team_Info'!$E$5,"W","B")</x:f>
        <x:v>W</x:v>
      </x:c>
      <x:c r="C273" t="str">
        <x:f>IF(RAND()&lt;'Team_Info'!$E$5,"W","B")</x:f>
        <x:v>B</x:v>
      </x:c>
      <x:c r="D273" t="str">
        <x:f>IF(RAND()&lt;'Team_Info'!$E$5,"W","B")</x:f>
        <x:v>B</x:v>
      </x:c>
      <x:c r="E273" t="str">
        <x:f>IF(RAND()&lt;'Team_Info'!$E$5,"W","B")</x:f>
        <x:v>B</x:v>
      </x:c>
      <x:c r="F273" t="str">
        <x:f>IF(RAND()&lt;'Team_Info'!$E$5,"W","B")</x:f>
        <x:v>W</x:v>
      </x:c>
      <x:c r="G273" t="str">
        <x:f>IF(RAND()&lt;'Team_Info'!$E$5,"W","B")</x:f>
        <x:v>B</x:v>
      </x:c>
      <x:c r="H273" t="str">
        <x:f>IF(RAND()&lt;'Team_Info'!$E$5,"W","B")</x:f>
        <x:v>B</x:v>
      </x:c>
      <x:c r="I273" t="str">
        <x:f>IF(RAND()&lt;'Team_Info'!$E$5,"W","B")</x:f>
        <x:v>B</x:v>
      </x:c>
      <x:c r="J273" t="str">
        <x:f>IF(RAND()&lt;'Team_Info'!$E$5,"W","B")</x:f>
        <x:v>W</x:v>
      </x:c>
      <x:c r="K273" t="str">
        <x:f>IF(RAND()&lt;'Team_Info'!$E$5,"W","B")</x:f>
        <x:v>W</x:v>
      </x:c>
      <x:c r="L273" t="str">
        <x:f>IF(RAND()&lt;'Team_Info'!$E$5,"W","B")</x:f>
        <x:v>W</x:v>
      </x:c>
      <x:c r="M273" t="str">
        <x:f>IF(RAND()&lt;'Team_Info'!$E$5,"W","B")</x:f>
        <x:v>W</x:v>
      </x:c>
      <x:c r="N273" t="str">
        <x:f>IF(RAND()&lt;'Team_Info'!$E$5,"W","B")</x:f>
        <x:v>B</x:v>
      </x:c>
      <x:c r="O273" t="str">
        <x:f>IF(RAND()&lt;'Team_Info'!$E$5,"W","B")</x:f>
        <x:v>B</x:v>
      </x:c>
      <x:c r="P273" t="str">
        <x:f>IF(RAND()&lt;'Team_Info'!$E$5,"W","B")</x:f>
        <x:v>W</x:v>
      </x:c>
      <x:c r="Q273" t="str">
        <x:f>IF(RAND()&lt;'Team_Info'!$E$5,"W","B")</x:f>
        <x:v>B</x:v>
      </x:c>
      <x:c r="R273" t="str">
        <x:f>IF(RAND()&lt;'Team_Info'!$E$5,"W","B")</x:f>
        <x:v>W</x:v>
      </x:c>
      <x:c r="S273" t="str">
        <x:f>IF(RAND()&lt;'Team_Info'!$E$5,"W","B")</x:f>
        <x:v>B</x:v>
      </x:c>
      <x:c r="T273" t="str">
        <x:f>IF(RAND()&lt;'Team_Info'!$E$5,"W","B")</x:f>
        <x:v>B</x:v>
      </x:c>
      <x:c r="U273" t="str">
        <x:f>IF(RAND()&lt;'Team_Info'!$E$5,"W","B")</x:f>
        <x:v>B</x:v>
      </x:c>
    </x:row>
    <x:row r="274">
      <x:c r="A274" s="1">
        <x:v>273</x:v>
      </x:c>
      <x:c r="B274" t="str">
        <x:f>IF(RAND()&lt;'Team_Info'!$E$5,"W","B")</x:f>
        <x:v>B</x:v>
      </x:c>
      <x:c r="C274" t="str">
        <x:f>IF(RAND()&lt;'Team_Info'!$E$5,"W","B")</x:f>
        <x:v>W</x:v>
      </x:c>
      <x:c r="D274" t="str">
        <x:f>IF(RAND()&lt;'Team_Info'!$E$5,"W","B")</x:f>
        <x:v>B</x:v>
      </x:c>
      <x:c r="E274" t="str">
        <x:f>IF(RAND()&lt;'Team_Info'!$E$5,"W","B")</x:f>
        <x:v>B</x:v>
      </x:c>
      <x:c r="F274" t="str">
        <x:f>IF(RAND()&lt;'Team_Info'!$E$5,"W","B")</x:f>
        <x:v>B</x:v>
      </x:c>
      <x:c r="G274" t="str">
        <x:f>IF(RAND()&lt;'Team_Info'!$E$5,"W","B")</x:f>
        <x:v>B</x:v>
      </x:c>
      <x:c r="H274" t="str">
        <x:f>IF(RAND()&lt;'Team_Info'!$E$5,"W","B")</x:f>
        <x:v>B</x:v>
      </x:c>
      <x:c r="I274" t="str">
        <x:f>IF(RAND()&lt;'Team_Info'!$E$5,"W","B")</x:f>
        <x:v>B</x:v>
      </x:c>
      <x:c r="J274" t="str">
        <x:f>IF(RAND()&lt;'Team_Info'!$E$5,"W","B")</x:f>
        <x:v>B</x:v>
      </x:c>
      <x:c r="K274" t="str">
        <x:f>IF(RAND()&lt;'Team_Info'!$E$5,"W","B")</x:f>
        <x:v>B</x:v>
      </x:c>
      <x:c r="L274" t="str">
        <x:f>IF(RAND()&lt;'Team_Info'!$E$5,"W","B")</x:f>
        <x:v>W</x:v>
      </x:c>
      <x:c r="M274" t="str">
        <x:f>IF(RAND()&lt;'Team_Info'!$E$5,"W","B")</x:f>
        <x:v>B</x:v>
      </x:c>
      <x:c r="N274" t="str">
        <x:f>IF(RAND()&lt;'Team_Info'!$E$5,"W","B")</x:f>
        <x:v>B</x:v>
      </x:c>
      <x:c r="O274" t="str">
        <x:f>IF(RAND()&lt;'Team_Info'!$E$5,"W","B")</x:f>
        <x:v>B</x:v>
      </x:c>
      <x:c r="P274" t="str">
        <x:f>IF(RAND()&lt;'Team_Info'!$E$5,"W","B")</x:f>
        <x:v>W</x:v>
      </x:c>
      <x:c r="Q274" t="str">
        <x:f>IF(RAND()&lt;'Team_Info'!$E$5,"W","B")</x:f>
        <x:v>W</x:v>
      </x:c>
      <x:c r="R274" t="str">
        <x:f>IF(RAND()&lt;'Team_Info'!$E$5,"W","B")</x:f>
        <x:v>W</x:v>
      </x:c>
      <x:c r="S274" t="str">
        <x:f>IF(RAND()&lt;'Team_Info'!$E$5,"W","B")</x:f>
        <x:v>B</x:v>
      </x:c>
      <x:c r="T274" t="str">
        <x:f>IF(RAND()&lt;'Team_Info'!$E$5,"W","B")</x:f>
        <x:v>W</x:v>
      </x:c>
      <x:c r="U274" t="str">
        <x:f>IF(RAND()&lt;'Team_Info'!$E$5,"W","B")</x:f>
        <x:v>B</x:v>
      </x:c>
    </x:row>
    <x:row r="275">
      <x:c r="A275" s="1">
        <x:v>274</x:v>
      </x:c>
      <x:c r="B275" t="str">
        <x:f>IF(RAND()&lt;'Team_Info'!$E$5,"W","B")</x:f>
        <x:v>W</x:v>
      </x:c>
      <x:c r="C275" t="str">
        <x:f>IF(RAND()&lt;'Team_Info'!$E$5,"W","B")</x:f>
        <x:v>W</x:v>
      </x:c>
      <x:c r="D275" t="str">
        <x:f>IF(RAND()&lt;'Team_Info'!$E$5,"W","B")</x:f>
        <x:v>W</x:v>
      </x:c>
      <x:c r="E275" t="str">
        <x:f>IF(RAND()&lt;'Team_Info'!$E$5,"W","B")</x:f>
        <x:v>B</x:v>
      </x:c>
      <x:c r="F275" t="str">
        <x:f>IF(RAND()&lt;'Team_Info'!$E$5,"W","B")</x:f>
        <x:v>B</x:v>
      </x:c>
      <x:c r="G275" t="str">
        <x:f>IF(RAND()&lt;'Team_Info'!$E$5,"W","B")</x:f>
        <x:v>W</x:v>
      </x:c>
      <x:c r="H275" t="str">
        <x:f>IF(RAND()&lt;'Team_Info'!$E$5,"W","B")</x:f>
        <x:v>B</x:v>
      </x:c>
      <x:c r="I275" t="str">
        <x:f>IF(RAND()&lt;'Team_Info'!$E$5,"W","B")</x:f>
        <x:v>W</x:v>
      </x:c>
      <x:c r="J275" t="str">
        <x:f>IF(RAND()&lt;'Team_Info'!$E$5,"W","B")</x:f>
        <x:v>B</x:v>
      </x:c>
      <x:c r="K275" t="str">
        <x:f>IF(RAND()&lt;'Team_Info'!$E$5,"W","B")</x:f>
        <x:v>B</x:v>
      </x:c>
      <x:c r="L275" t="str">
        <x:f>IF(RAND()&lt;'Team_Info'!$E$5,"W","B")</x:f>
        <x:v>B</x:v>
      </x:c>
      <x:c r="M275" t="str">
        <x:f>IF(RAND()&lt;'Team_Info'!$E$5,"W","B")</x:f>
        <x:v>W</x:v>
      </x:c>
      <x:c r="N275" t="str">
        <x:f>IF(RAND()&lt;'Team_Info'!$E$5,"W","B")</x:f>
        <x:v>B</x:v>
      </x:c>
      <x:c r="O275" t="str">
        <x:f>IF(RAND()&lt;'Team_Info'!$E$5,"W","B")</x:f>
        <x:v>B</x:v>
      </x:c>
      <x:c r="P275" t="str">
        <x:f>IF(RAND()&lt;'Team_Info'!$E$5,"W","B")</x:f>
        <x:v>W</x:v>
      </x:c>
      <x:c r="Q275" t="str">
        <x:f>IF(RAND()&lt;'Team_Info'!$E$5,"W","B")</x:f>
        <x:v>B</x:v>
      </x:c>
      <x:c r="R275" t="str">
        <x:f>IF(RAND()&lt;'Team_Info'!$E$5,"W","B")</x:f>
        <x:v>W</x:v>
      </x:c>
      <x:c r="S275" t="str">
        <x:f>IF(RAND()&lt;'Team_Info'!$E$5,"W","B")</x:f>
        <x:v>B</x:v>
      </x:c>
      <x:c r="T275" t="str">
        <x:f>IF(RAND()&lt;'Team_Info'!$E$5,"W","B")</x:f>
        <x:v>W</x:v>
      </x:c>
      <x:c r="U275" t="str">
        <x:f>IF(RAND()&lt;'Team_Info'!$E$5,"W","B")</x:f>
        <x:v>W</x:v>
      </x:c>
    </x:row>
    <x:row r="276">
      <x:c r="A276" s="1">
        <x:v>275</x:v>
      </x:c>
      <x:c r="B276" t="str">
        <x:f>IF(RAND()&lt;'Team_Info'!$E$5,"W","B")</x:f>
        <x:v>B</x:v>
      </x:c>
      <x:c r="C276" t="str">
        <x:f>IF(RAND()&lt;'Team_Info'!$E$5,"W","B")</x:f>
        <x:v>B</x:v>
      </x:c>
      <x:c r="D276" t="str">
        <x:f>IF(RAND()&lt;'Team_Info'!$E$5,"W","B")</x:f>
        <x:v>B</x:v>
      </x:c>
      <x:c r="E276" t="str">
        <x:f>IF(RAND()&lt;'Team_Info'!$E$5,"W","B")</x:f>
        <x:v>W</x:v>
      </x:c>
      <x:c r="F276" t="str">
        <x:f>IF(RAND()&lt;'Team_Info'!$E$5,"W","B")</x:f>
        <x:v>W</x:v>
      </x:c>
      <x:c r="G276" t="str">
        <x:f>IF(RAND()&lt;'Team_Info'!$E$5,"W","B")</x:f>
        <x:v>W</x:v>
      </x:c>
      <x:c r="H276" t="str">
        <x:f>IF(RAND()&lt;'Team_Info'!$E$5,"W","B")</x:f>
        <x:v>B</x:v>
      </x:c>
      <x:c r="I276" t="str">
        <x:f>IF(RAND()&lt;'Team_Info'!$E$5,"W","B")</x:f>
        <x:v>W</x:v>
      </x:c>
      <x:c r="J276" t="str">
        <x:f>IF(RAND()&lt;'Team_Info'!$E$5,"W","B")</x:f>
        <x:v>B</x:v>
      </x:c>
      <x:c r="K276" t="str">
        <x:f>IF(RAND()&lt;'Team_Info'!$E$5,"W","B")</x:f>
        <x:v>B</x:v>
      </x:c>
      <x:c r="L276" t="str">
        <x:f>IF(RAND()&lt;'Team_Info'!$E$5,"W","B")</x:f>
        <x:v>B</x:v>
      </x:c>
      <x:c r="M276" t="str">
        <x:f>IF(RAND()&lt;'Team_Info'!$E$5,"W","B")</x:f>
        <x:v>B</x:v>
      </x:c>
      <x:c r="N276" t="str">
        <x:f>IF(RAND()&lt;'Team_Info'!$E$5,"W","B")</x:f>
        <x:v>W</x:v>
      </x:c>
      <x:c r="O276" t="str">
        <x:f>IF(RAND()&lt;'Team_Info'!$E$5,"W","B")</x:f>
        <x:v>W</x:v>
      </x:c>
      <x:c r="P276" t="str">
        <x:f>IF(RAND()&lt;'Team_Info'!$E$5,"W","B")</x:f>
        <x:v>W</x:v>
      </x:c>
      <x:c r="Q276" t="str">
        <x:f>IF(RAND()&lt;'Team_Info'!$E$5,"W","B")</x:f>
        <x:v>B</x:v>
      </x:c>
      <x:c r="R276" t="str">
        <x:f>IF(RAND()&lt;'Team_Info'!$E$5,"W","B")</x:f>
        <x:v>B</x:v>
      </x:c>
      <x:c r="S276" t="str">
        <x:f>IF(RAND()&lt;'Team_Info'!$E$5,"W","B")</x:f>
        <x:v>B</x:v>
      </x:c>
      <x:c r="T276" t="str">
        <x:f>IF(RAND()&lt;'Team_Info'!$E$5,"W","B")</x:f>
        <x:v>B</x:v>
      </x:c>
      <x:c r="U276" t="str">
        <x:f>IF(RAND()&lt;'Team_Info'!$E$5,"W","B")</x:f>
        <x:v>W</x:v>
      </x:c>
    </x:row>
    <x:row r="277">
      <x:c r="A277" s="1">
        <x:v>276</x:v>
      </x:c>
      <x:c r="B277" t="str">
        <x:f>IF(RAND()&lt;'Team_Info'!$E$5,"W","B")</x:f>
        <x:v>W</x:v>
      </x:c>
      <x:c r="C277" t="str">
        <x:f>IF(RAND()&lt;'Team_Info'!$E$5,"W","B")</x:f>
        <x:v>B</x:v>
      </x:c>
      <x:c r="D277" t="str">
        <x:f>IF(RAND()&lt;'Team_Info'!$E$5,"W","B")</x:f>
        <x:v>B</x:v>
      </x:c>
      <x:c r="E277" t="str">
        <x:f>IF(RAND()&lt;'Team_Info'!$E$5,"W","B")</x:f>
        <x:v>W</x:v>
      </x:c>
      <x:c r="F277" t="str">
        <x:f>IF(RAND()&lt;'Team_Info'!$E$5,"W","B")</x:f>
        <x:v>W</x:v>
      </x:c>
      <x:c r="G277" t="str">
        <x:f>IF(RAND()&lt;'Team_Info'!$E$5,"W","B")</x:f>
        <x:v>B</x:v>
      </x:c>
      <x:c r="H277" t="str">
        <x:f>IF(RAND()&lt;'Team_Info'!$E$5,"W","B")</x:f>
        <x:v>B</x:v>
      </x:c>
      <x:c r="I277" t="str">
        <x:f>IF(RAND()&lt;'Team_Info'!$E$5,"W","B")</x:f>
        <x:v>W</x:v>
      </x:c>
      <x:c r="J277" t="str">
        <x:f>IF(RAND()&lt;'Team_Info'!$E$5,"W","B")</x:f>
        <x:v>W</x:v>
      </x:c>
      <x:c r="K277" t="str">
        <x:f>IF(RAND()&lt;'Team_Info'!$E$5,"W","B")</x:f>
        <x:v>B</x:v>
      </x:c>
      <x:c r="L277" t="str">
        <x:f>IF(RAND()&lt;'Team_Info'!$E$5,"W","B")</x:f>
        <x:v>W</x:v>
      </x:c>
      <x:c r="M277" t="str">
        <x:f>IF(RAND()&lt;'Team_Info'!$E$5,"W","B")</x:f>
        <x:v>W</x:v>
      </x:c>
      <x:c r="N277" t="str">
        <x:f>IF(RAND()&lt;'Team_Info'!$E$5,"W","B")</x:f>
        <x:v>W</x:v>
      </x:c>
      <x:c r="O277" t="str">
        <x:f>IF(RAND()&lt;'Team_Info'!$E$5,"W","B")</x:f>
        <x:v>B</x:v>
      </x:c>
      <x:c r="P277" t="str">
        <x:f>IF(RAND()&lt;'Team_Info'!$E$5,"W","B")</x:f>
        <x:v>W</x:v>
      </x:c>
      <x:c r="Q277" t="str">
        <x:f>IF(RAND()&lt;'Team_Info'!$E$5,"W","B")</x:f>
        <x:v>B</x:v>
      </x:c>
      <x:c r="R277" t="str">
        <x:f>IF(RAND()&lt;'Team_Info'!$E$5,"W","B")</x:f>
        <x:v>W</x:v>
      </x:c>
      <x:c r="S277" t="str">
        <x:f>IF(RAND()&lt;'Team_Info'!$E$5,"W","B")</x:f>
        <x:v>W</x:v>
      </x:c>
      <x:c r="T277" t="str">
        <x:f>IF(RAND()&lt;'Team_Info'!$E$5,"W","B")</x:f>
        <x:v>B</x:v>
      </x:c>
      <x:c r="U277" t="str">
        <x:f>IF(RAND()&lt;'Team_Info'!$E$5,"W","B")</x:f>
        <x:v>B</x:v>
      </x:c>
    </x:row>
    <x:row r="278">
      <x:c r="A278" s="1">
        <x:v>277</x:v>
      </x:c>
      <x:c r="B278" t="str">
        <x:f>IF(RAND()&lt;'Team_Info'!$E$5,"W","B")</x:f>
        <x:v>W</x:v>
      </x:c>
      <x:c r="C278" t="str">
        <x:f>IF(RAND()&lt;'Team_Info'!$E$5,"W","B")</x:f>
        <x:v>W</x:v>
      </x:c>
      <x:c r="D278" t="str">
        <x:f>IF(RAND()&lt;'Team_Info'!$E$5,"W","B")</x:f>
        <x:v>B</x:v>
      </x:c>
      <x:c r="E278" t="str">
        <x:f>IF(RAND()&lt;'Team_Info'!$E$5,"W","B")</x:f>
        <x:v>W</x:v>
      </x:c>
      <x:c r="F278" t="str">
        <x:f>IF(RAND()&lt;'Team_Info'!$E$5,"W","B")</x:f>
        <x:v>W</x:v>
      </x:c>
      <x:c r="G278" t="str">
        <x:f>IF(RAND()&lt;'Team_Info'!$E$5,"W","B")</x:f>
        <x:v>B</x:v>
      </x:c>
      <x:c r="H278" t="str">
        <x:f>IF(RAND()&lt;'Team_Info'!$E$5,"W","B")</x:f>
        <x:v>B</x:v>
      </x:c>
      <x:c r="I278" t="str">
        <x:f>IF(RAND()&lt;'Team_Info'!$E$5,"W","B")</x:f>
        <x:v>B</x:v>
      </x:c>
      <x:c r="J278" t="str">
        <x:f>IF(RAND()&lt;'Team_Info'!$E$5,"W","B")</x:f>
        <x:v>B</x:v>
      </x:c>
      <x:c r="K278" t="str">
        <x:f>IF(RAND()&lt;'Team_Info'!$E$5,"W","B")</x:f>
        <x:v>B</x:v>
      </x:c>
      <x:c r="L278" t="str">
        <x:f>IF(RAND()&lt;'Team_Info'!$E$5,"W","B")</x:f>
        <x:v>B</x:v>
      </x:c>
      <x:c r="M278" t="str">
        <x:f>IF(RAND()&lt;'Team_Info'!$E$5,"W","B")</x:f>
        <x:v>W</x:v>
      </x:c>
      <x:c r="N278" t="str">
        <x:f>IF(RAND()&lt;'Team_Info'!$E$5,"W","B")</x:f>
        <x:v>B</x:v>
      </x:c>
      <x:c r="O278" t="str">
        <x:f>IF(RAND()&lt;'Team_Info'!$E$5,"W","B")</x:f>
        <x:v>W</x:v>
      </x:c>
      <x:c r="P278" t="str">
        <x:f>IF(RAND()&lt;'Team_Info'!$E$5,"W","B")</x:f>
        <x:v>B</x:v>
      </x:c>
      <x:c r="Q278" t="str">
        <x:f>IF(RAND()&lt;'Team_Info'!$E$5,"W","B")</x:f>
        <x:v>W</x:v>
      </x:c>
      <x:c r="R278" t="str">
        <x:f>IF(RAND()&lt;'Team_Info'!$E$5,"W","B")</x:f>
        <x:v>B</x:v>
      </x:c>
      <x:c r="S278" t="str">
        <x:f>IF(RAND()&lt;'Team_Info'!$E$5,"W","B")</x:f>
        <x:v>B</x:v>
      </x:c>
      <x:c r="T278" t="str">
        <x:f>IF(RAND()&lt;'Team_Info'!$E$5,"W","B")</x:f>
        <x:v>B</x:v>
      </x:c>
      <x:c r="U278" t="str">
        <x:f>IF(RAND()&lt;'Team_Info'!$E$5,"W","B")</x:f>
        <x:v>B</x:v>
      </x:c>
    </x:row>
    <x:row r="279">
      <x:c r="A279" s="1">
        <x:v>278</x:v>
      </x:c>
      <x:c r="B279" t="str">
        <x:f>IF(RAND()&lt;'Team_Info'!$E$5,"W","B")</x:f>
        <x:v>W</x:v>
      </x:c>
      <x:c r="C279" t="str">
        <x:f>IF(RAND()&lt;'Team_Info'!$E$5,"W","B")</x:f>
        <x:v>W</x:v>
      </x:c>
      <x:c r="D279" t="str">
        <x:f>IF(RAND()&lt;'Team_Info'!$E$5,"W","B")</x:f>
        <x:v>W</x:v>
      </x:c>
      <x:c r="E279" t="str">
        <x:f>IF(RAND()&lt;'Team_Info'!$E$5,"W","B")</x:f>
        <x:v>B</x:v>
      </x:c>
      <x:c r="F279" t="str">
        <x:f>IF(RAND()&lt;'Team_Info'!$E$5,"W","B")</x:f>
        <x:v>W</x:v>
      </x:c>
      <x:c r="G279" t="str">
        <x:f>IF(RAND()&lt;'Team_Info'!$E$5,"W","B")</x:f>
        <x:v>W</x:v>
      </x:c>
      <x:c r="H279" t="str">
        <x:f>IF(RAND()&lt;'Team_Info'!$E$5,"W","B")</x:f>
        <x:v>B</x:v>
      </x:c>
      <x:c r="I279" t="str">
        <x:f>IF(RAND()&lt;'Team_Info'!$E$5,"W","B")</x:f>
        <x:v>W</x:v>
      </x:c>
      <x:c r="J279" t="str">
        <x:f>IF(RAND()&lt;'Team_Info'!$E$5,"W","B")</x:f>
        <x:v>W</x:v>
      </x:c>
      <x:c r="K279" t="str">
        <x:f>IF(RAND()&lt;'Team_Info'!$E$5,"W","B")</x:f>
        <x:v>B</x:v>
      </x:c>
      <x:c r="L279" t="str">
        <x:f>IF(RAND()&lt;'Team_Info'!$E$5,"W","B")</x:f>
        <x:v>W</x:v>
      </x:c>
      <x:c r="M279" t="str">
        <x:f>IF(RAND()&lt;'Team_Info'!$E$5,"W","B")</x:f>
        <x:v>B</x:v>
      </x:c>
      <x:c r="N279" t="str">
        <x:f>IF(RAND()&lt;'Team_Info'!$E$5,"W","B")</x:f>
        <x:v>W</x:v>
      </x:c>
      <x:c r="O279" t="str">
        <x:f>IF(RAND()&lt;'Team_Info'!$E$5,"W","B")</x:f>
        <x:v>W</x:v>
      </x:c>
      <x:c r="P279" t="str">
        <x:f>IF(RAND()&lt;'Team_Info'!$E$5,"W","B")</x:f>
        <x:v>B</x:v>
      </x:c>
      <x:c r="Q279" t="str">
        <x:f>IF(RAND()&lt;'Team_Info'!$E$5,"W","B")</x:f>
        <x:v>B</x:v>
      </x:c>
      <x:c r="R279" t="str">
        <x:f>IF(RAND()&lt;'Team_Info'!$E$5,"W","B")</x:f>
        <x:v>B</x:v>
      </x:c>
      <x:c r="S279" t="str">
        <x:f>IF(RAND()&lt;'Team_Info'!$E$5,"W","B")</x:f>
        <x:v>B</x:v>
      </x:c>
      <x:c r="T279" t="str">
        <x:f>IF(RAND()&lt;'Team_Info'!$E$5,"W","B")</x:f>
        <x:v>W</x:v>
      </x:c>
      <x:c r="U279" t="str">
        <x:f>IF(RAND()&lt;'Team_Info'!$E$5,"W","B")</x:f>
        <x:v>B</x:v>
      </x:c>
    </x:row>
    <x:row r="280">
      <x:c r="A280" s="1">
        <x:v>279</x:v>
      </x:c>
      <x:c r="B280" t="str">
        <x:f>IF(RAND()&lt;'Team_Info'!$E$5,"W","B")</x:f>
        <x:v>B</x:v>
      </x:c>
      <x:c r="C280" t="str">
        <x:f>IF(RAND()&lt;'Team_Info'!$E$5,"W","B")</x:f>
        <x:v>B</x:v>
      </x:c>
      <x:c r="D280" t="str">
        <x:f>IF(RAND()&lt;'Team_Info'!$E$5,"W","B")</x:f>
        <x:v>B</x:v>
      </x:c>
      <x:c r="E280" t="str">
        <x:f>IF(RAND()&lt;'Team_Info'!$E$5,"W","B")</x:f>
        <x:v>B</x:v>
      </x:c>
      <x:c r="F280" t="str">
        <x:f>IF(RAND()&lt;'Team_Info'!$E$5,"W","B")</x:f>
        <x:v>B</x:v>
      </x:c>
      <x:c r="G280" t="str">
        <x:f>IF(RAND()&lt;'Team_Info'!$E$5,"W","B")</x:f>
        <x:v>W</x:v>
      </x:c>
      <x:c r="H280" t="str">
        <x:f>IF(RAND()&lt;'Team_Info'!$E$5,"W","B")</x:f>
        <x:v>W</x:v>
      </x:c>
      <x:c r="I280" t="str">
        <x:f>IF(RAND()&lt;'Team_Info'!$E$5,"W","B")</x:f>
        <x:v>B</x:v>
      </x:c>
      <x:c r="J280" t="str">
        <x:f>IF(RAND()&lt;'Team_Info'!$E$5,"W","B")</x:f>
        <x:v>W</x:v>
      </x:c>
      <x:c r="K280" t="str">
        <x:f>IF(RAND()&lt;'Team_Info'!$E$5,"W","B")</x:f>
        <x:v>B</x:v>
      </x:c>
      <x:c r="L280" t="str">
        <x:f>IF(RAND()&lt;'Team_Info'!$E$5,"W","B")</x:f>
        <x:v>B</x:v>
      </x:c>
      <x:c r="M280" t="str">
        <x:f>IF(RAND()&lt;'Team_Info'!$E$5,"W","B")</x:f>
        <x:v>B</x:v>
      </x:c>
      <x:c r="N280" t="str">
        <x:f>IF(RAND()&lt;'Team_Info'!$E$5,"W","B")</x:f>
        <x:v>B</x:v>
      </x:c>
      <x:c r="O280" t="str">
        <x:f>IF(RAND()&lt;'Team_Info'!$E$5,"W","B")</x:f>
        <x:v>B</x:v>
      </x:c>
      <x:c r="P280" t="str">
        <x:f>IF(RAND()&lt;'Team_Info'!$E$5,"W","B")</x:f>
        <x:v>W</x:v>
      </x:c>
      <x:c r="Q280" t="str">
        <x:f>IF(RAND()&lt;'Team_Info'!$E$5,"W","B")</x:f>
        <x:v>B</x:v>
      </x:c>
      <x:c r="R280" t="str">
        <x:f>IF(RAND()&lt;'Team_Info'!$E$5,"W","B")</x:f>
        <x:v>W</x:v>
      </x:c>
      <x:c r="S280" t="str">
        <x:f>IF(RAND()&lt;'Team_Info'!$E$5,"W","B")</x:f>
        <x:v>B</x:v>
      </x:c>
      <x:c r="T280" t="str">
        <x:f>IF(RAND()&lt;'Team_Info'!$E$5,"W","B")</x:f>
        <x:v>B</x:v>
      </x:c>
      <x:c r="U280" t="str">
        <x:f>IF(RAND()&lt;'Team_Info'!$E$5,"W","B")</x:f>
        <x:v>B</x:v>
      </x:c>
    </x:row>
    <x:row r="281">
      <x:c r="A281" s="1">
        <x:v>280</x:v>
      </x:c>
      <x:c r="B281" t="str">
        <x:f>IF(RAND()&lt;'Team_Info'!$E$5,"W","B")</x:f>
        <x:v>B</x:v>
      </x:c>
      <x:c r="C281" t="str">
        <x:f>IF(RAND()&lt;'Team_Info'!$E$5,"W","B")</x:f>
        <x:v>W</x:v>
      </x:c>
      <x:c r="D281" t="str">
        <x:f>IF(RAND()&lt;'Team_Info'!$E$5,"W","B")</x:f>
        <x:v>W</x:v>
      </x:c>
      <x:c r="E281" t="str">
        <x:f>IF(RAND()&lt;'Team_Info'!$E$5,"W","B")</x:f>
        <x:v>B</x:v>
      </x:c>
      <x:c r="F281" t="str">
        <x:f>IF(RAND()&lt;'Team_Info'!$E$5,"W","B")</x:f>
        <x:v>W</x:v>
      </x:c>
      <x:c r="G281" t="str">
        <x:f>IF(RAND()&lt;'Team_Info'!$E$5,"W","B")</x:f>
        <x:v>B</x:v>
      </x:c>
      <x:c r="H281" t="str">
        <x:f>IF(RAND()&lt;'Team_Info'!$E$5,"W","B")</x:f>
        <x:v>B</x:v>
      </x:c>
      <x:c r="I281" t="str">
        <x:f>IF(RAND()&lt;'Team_Info'!$E$5,"W","B")</x:f>
        <x:v>B</x:v>
      </x:c>
      <x:c r="J281" t="str">
        <x:f>IF(RAND()&lt;'Team_Info'!$E$5,"W","B")</x:f>
        <x:v>B</x:v>
      </x:c>
      <x:c r="K281" t="str">
        <x:f>IF(RAND()&lt;'Team_Info'!$E$5,"W","B")</x:f>
        <x:v>B</x:v>
      </x:c>
      <x:c r="L281" t="str">
        <x:f>IF(RAND()&lt;'Team_Info'!$E$5,"W","B")</x:f>
        <x:v>W</x:v>
      </x:c>
      <x:c r="M281" t="str">
        <x:f>IF(RAND()&lt;'Team_Info'!$E$5,"W","B")</x:f>
        <x:v>B</x:v>
      </x:c>
      <x:c r="N281" t="str">
        <x:f>IF(RAND()&lt;'Team_Info'!$E$5,"W","B")</x:f>
        <x:v>B</x:v>
      </x:c>
      <x:c r="O281" t="str">
        <x:f>IF(RAND()&lt;'Team_Info'!$E$5,"W","B")</x:f>
        <x:v>B</x:v>
      </x:c>
      <x:c r="P281" t="str">
        <x:f>IF(RAND()&lt;'Team_Info'!$E$5,"W","B")</x:f>
        <x:v>B</x:v>
      </x:c>
      <x:c r="Q281" t="str">
        <x:f>IF(RAND()&lt;'Team_Info'!$E$5,"W","B")</x:f>
        <x:v>B</x:v>
      </x:c>
      <x:c r="R281" t="str">
        <x:f>IF(RAND()&lt;'Team_Info'!$E$5,"W","B")</x:f>
        <x:v>B</x:v>
      </x:c>
      <x:c r="S281" t="str">
        <x:f>IF(RAND()&lt;'Team_Info'!$E$5,"W","B")</x:f>
        <x:v>W</x:v>
      </x:c>
      <x:c r="T281" t="str">
        <x:f>IF(RAND()&lt;'Team_Info'!$E$5,"W","B")</x:f>
        <x:v>B</x:v>
      </x:c>
      <x:c r="U281" t="str">
        <x:f>IF(RAND()&lt;'Team_Info'!$E$5,"W","B")</x:f>
        <x:v>B</x:v>
      </x:c>
    </x:row>
    <x:row r="282">
      <x:c r="A282" s="1">
        <x:v>281</x:v>
      </x:c>
      <x:c r="B282" t="str">
        <x:f>IF(RAND()&lt;'Team_Info'!$E$5,"W","B")</x:f>
        <x:v>B</x:v>
      </x:c>
      <x:c r="C282" t="str">
        <x:f>IF(RAND()&lt;'Team_Info'!$E$5,"W","B")</x:f>
        <x:v>W</x:v>
      </x:c>
      <x:c r="D282" t="str">
        <x:f>IF(RAND()&lt;'Team_Info'!$E$5,"W","B")</x:f>
        <x:v>W</x:v>
      </x:c>
      <x:c r="E282" t="str">
        <x:f>IF(RAND()&lt;'Team_Info'!$E$5,"W","B")</x:f>
        <x:v>W</x:v>
      </x:c>
      <x:c r="F282" t="str">
        <x:f>IF(RAND()&lt;'Team_Info'!$E$5,"W","B")</x:f>
        <x:v>B</x:v>
      </x:c>
      <x:c r="G282" t="str">
        <x:f>IF(RAND()&lt;'Team_Info'!$E$5,"W","B")</x:f>
        <x:v>B</x:v>
      </x:c>
      <x:c r="H282" t="str">
        <x:f>IF(RAND()&lt;'Team_Info'!$E$5,"W","B")</x:f>
        <x:v>B</x:v>
      </x:c>
      <x:c r="I282" t="str">
        <x:f>IF(RAND()&lt;'Team_Info'!$E$5,"W","B")</x:f>
        <x:v>B</x:v>
      </x:c>
      <x:c r="J282" t="str">
        <x:f>IF(RAND()&lt;'Team_Info'!$E$5,"W","B")</x:f>
        <x:v>B</x:v>
      </x:c>
      <x:c r="K282" t="str">
        <x:f>IF(RAND()&lt;'Team_Info'!$E$5,"W","B")</x:f>
        <x:v>W</x:v>
      </x:c>
      <x:c r="L282" t="str">
        <x:f>IF(RAND()&lt;'Team_Info'!$E$5,"W","B")</x:f>
        <x:v>B</x:v>
      </x:c>
      <x:c r="M282" t="str">
        <x:f>IF(RAND()&lt;'Team_Info'!$E$5,"W","B")</x:f>
        <x:v>B</x:v>
      </x:c>
      <x:c r="N282" t="str">
        <x:f>IF(RAND()&lt;'Team_Info'!$E$5,"W","B")</x:f>
        <x:v>B</x:v>
      </x:c>
      <x:c r="O282" t="str">
        <x:f>IF(RAND()&lt;'Team_Info'!$E$5,"W","B")</x:f>
        <x:v>B</x:v>
      </x:c>
      <x:c r="P282" t="str">
        <x:f>IF(RAND()&lt;'Team_Info'!$E$5,"W","B")</x:f>
        <x:v>W</x:v>
      </x:c>
      <x:c r="Q282" t="str">
        <x:f>IF(RAND()&lt;'Team_Info'!$E$5,"W","B")</x:f>
        <x:v>B</x:v>
      </x:c>
      <x:c r="R282" t="str">
        <x:f>IF(RAND()&lt;'Team_Info'!$E$5,"W","B")</x:f>
        <x:v>B</x:v>
      </x:c>
      <x:c r="S282" t="str">
        <x:f>IF(RAND()&lt;'Team_Info'!$E$5,"W","B")</x:f>
        <x:v>B</x:v>
      </x:c>
      <x:c r="T282" t="str">
        <x:f>IF(RAND()&lt;'Team_Info'!$E$5,"W","B")</x:f>
        <x:v>W</x:v>
      </x:c>
      <x:c r="U282" t="str">
        <x:f>IF(RAND()&lt;'Team_Info'!$E$5,"W","B")</x:f>
        <x:v>B</x:v>
      </x:c>
    </x:row>
    <x:row r="283">
      <x:c r="A283" s="1">
        <x:v>282</x:v>
      </x:c>
      <x:c r="B283" t="str">
        <x:f>IF(RAND()&lt;'Team_Info'!$E$5,"W","B")</x:f>
        <x:v>B</x:v>
      </x:c>
      <x:c r="C283" t="str">
        <x:f>IF(RAND()&lt;'Team_Info'!$E$5,"W","B")</x:f>
        <x:v>B</x:v>
      </x:c>
      <x:c r="D283" t="str">
        <x:f>IF(RAND()&lt;'Team_Info'!$E$5,"W","B")</x:f>
        <x:v>B</x:v>
      </x:c>
      <x:c r="E283" t="str">
        <x:f>IF(RAND()&lt;'Team_Info'!$E$5,"W","B")</x:f>
        <x:v>B</x:v>
      </x:c>
      <x:c r="F283" t="str">
        <x:f>IF(RAND()&lt;'Team_Info'!$E$5,"W","B")</x:f>
        <x:v>W</x:v>
      </x:c>
      <x:c r="G283" t="str">
        <x:f>IF(RAND()&lt;'Team_Info'!$E$5,"W","B")</x:f>
        <x:v>W</x:v>
      </x:c>
      <x:c r="H283" t="str">
        <x:f>IF(RAND()&lt;'Team_Info'!$E$5,"W","B")</x:f>
        <x:v>B</x:v>
      </x:c>
      <x:c r="I283" t="str">
        <x:f>IF(RAND()&lt;'Team_Info'!$E$5,"W","B")</x:f>
        <x:v>W</x:v>
      </x:c>
      <x:c r="J283" t="str">
        <x:f>IF(RAND()&lt;'Team_Info'!$E$5,"W","B")</x:f>
        <x:v>W</x:v>
      </x:c>
      <x:c r="K283" t="str">
        <x:f>IF(RAND()&lt;'Team_Info'!$E$5,"W","B")</x:f>
        <x:v>W</x:v>
      </x:c>
      <x:c r="L283" t="str">
        <x:f>IF(RAND()&lt;'Team_Info'!$E$5,"W","B")</x:f>
        <x:v>B</x:v>
      </x:c>
      <x:c r="M283" t="str">
        <x:f>IF(RAND()&lt;'Team_Info'!$E$5,"W","B")</x:f>
        <x:v>W</x:v>
      </x:c>
      <x:c r="N283" t="str">
        <x:f>IF(RAND()&lt;'Team_Info'!$E$5,"W","B")</x:f>
        <x:v>W</x:v>
      </x:c>
      <x:c r="O283" t="str">
        <x:f>IF(RAND()&lt;'Team_Info'!$E$5,"W","B")</x:f>
        <x:v>B</x:v>
      </x:c>
      <x:c r="P283" t="str">
        <x:f>IF(RAND()&lt;'Team_Info'!$E$5,"W","B")</x:f>
        <x:v>B</x:v>
      </x:c>
      <x:c r="Q283" t="str">
        <x:f>IF(RAND()&lt;'Team_Info'!$E$5,"W","B")</x:f>
        <x:v>B</x:v>
      </x:c>
      <x:c r="R283" t="str">
        <x:f>IF(RAND()&lt;'Team_Info'!$E$5,"W","B")</x:f>
        <x:v>W</x:v>
      </x:c>
      <x:c r="S283" t="str">
        <x:f>IF(RAND()&lt;'Team_Info'!$E$5,"W","B")</x:f>
        <x:v>B</x:v>
      </x:c>
      <x:c r="T283" t="str">
        <x:f>IF(RAND()&lt;'Team_Info'!$E$5,"W","B")</x:f>
        <x:v>B</x:v>
      </x:c>
      <x:c r="U283" t="str">
        <x:f>IF(RAND()&lt;'Team_Info'!$E$5,"W","B")</x:f>
        <x:v>W</x:v>
      </x:c>
    </x:row>
    <x:row r="284">
      <x:c r="A284" s="1">
        <x:v>283</x:v>
      </x:c>
      <x:c r="B284" t="str">
        <x:f>IF(RAND()&lt;'Team_Info'!$E$5,"W","B")</x:f>
        <x:v>B</x:v>
      </x:c>
      <x:c r="C284" t="str">
        <x:f>IF(RAND()&lt;'Team_Info'!$E$5,"W","B")</x:f>
        <x:v>B</x:v>
      </x:c>
      <x:c r="D284" t="str">
        <x:f>IF(RAND()&lt;'Team_Info'!$E$5,"W","B")</x:f>
        <x:v>B</x:v>
      </x:c>
      <x:c r="E284" t="str">
        <x:f>IF(RAND()&lt;'Team_Info'!$E$5,"W","B")</x:f>
        <x:v>W</x:v>
      </x:c>
      <x:c r="F284" t="str">
        <x:f>IF(RAND()&lt;'Team_Info'!$E$5,"W","B")</x:f>
        <x:v>B</x:v>
      </x:c>
      <x:c r="G284" t="str">
        <x:f>IF(RAND()&lt;'Team_Info'!$E$5,"W","B")</x:f>
        <x:v>W</x:v>
      </x:c>
      <x:c r="H284" t="str">
        <x:f>IF(RAND()&lt;'Team_Info'!$E$5,"W","B")</x:f>
        <x:v>B</x:v>
      </x:c>
      <x:c r="I284" t="str">
        <x:f>IF(RAND()&lt;'Team_Info'!$E$5,"W","B")</x:f>
        <x:v>W</x:v>
      </x:c>
      <x:c r="J284" t="str">
        <x:f>IF(RAND()&lt;'Team_Info'!$E$5,"W","B")</x:f>
        <x:v>B</x:v>
      </x:c>
      <x:c r="K284" t="str">
        <x:f>IF(RAND()&lt;'Team_Info'!$E$5,"W","B")</x:f>
        <x:v>B</x:v>
      </x:c>
      <x:c r="L284" t="str">
        <x:f>IF(RAND()&lt;'Team_Info'!$E$5,"W","B")</x:f>
        <x:v>B</x:v>
      </x:c>
      <x:c r="M284" t="str">
        <x:f>IF(RAND()&lt;'Team_Info'!$E$5,"W","B")</x:f>
        <x:v>B</x:v>
      </x:c>
      <x:c r="N284" t="str">
        <x:f>IF(RAND()&lt;'Team_Info'!$E$5,"W","B")</x:f>
        <x:v>W</x:v>
      </x:c>
      <x:c r="O284" t="str">
        <x:f>IF(RAND()&lt;'Team_Info'!$E$5,"W","B")</x:f>
        <x:v>B</x:v>
      </x:c>
      <x:c r="P284" t="str">
        <x:f>IF(RAND()&lt;'Team_Info'!$E$5,"W","B")</x:f>
        <x:v>W</x:v>
      </x:c>
      <x:c r="Q284" t="str">
        <x:f>IF(RAND()&lt;'Team_Info'!$E$5,"W","B")</x:f>
        <x:v>W</x:v>
      </x:c>
      <x:c r="R284" t="str">
        <x:f>IF(RAND()&lt;'Team_Info'!$E$5,"W","B")</x:f>
        <x:v>B</x:v>
      </x:c>
      <x:c r="S284" t="str">
        <x:f>IF(RAND()&lt;'Team_Info'!$E$5,"W","B")</x:f>
        <x:v>W</x:v>
      </x:c>
      <x:c r="T284" t="str">
        <x:f>IF(RAND()&lt;'Team_Info'!$E$5,"W","B")</x:f>
        <x:v>W</x:v>
      </x:c>
      <x:c r="U284" t="str">
        <x:f>IF(RAND()&lt;'Team_Info'!$E$5,"W","B")</x:f>
        <x:v>B</x:v>
      </x:c>
    </x:row>
    <x:row r="285">
      <x:c r="A285" s="1">
        <x:v>284</x:v>
      </x:c>
      <x:c r="B285" t="str">
        <x:f>IF(RAND()&lt;'Team_Info'!$E$5,"W","B")</x:f>
        <x:v>W</x:v>
      </x:c>
      <x:c r="C285" t="str">
        <x:f>IF(RAND()&lt;'Team_Info'!$E$5,"W","B")</x:f>
        <x:v>B</x:v>
      </x:c>
      <x:c r="D285" t="str">
        <x:f>IF(RAND()&lt;'Team_Info'!$E$5,"W","B")</x:f>
        <x:v>W</x:v>
      </x:c>
      <x:c r="E285" t="str">
        <x:f>IF(RAND()&lt;'Team_Info'!$E$5,"W","B")</x:f>
        <x:v>B</x:v>
      </x:c>
      <x:c r="F285" t="str">
        <x:f>IF(RAND()&lt;'Team_Info'!$E$5,"W","B")</x:f>
        <x:v>B</x:v>
      </x:c>
      <x:c r="G285" t="str">
        <x:f>IF(RAND()&lt;'Team_Info'!$E$5,"W","B")</x:f>
        <x:v>W</x:v>
      </x:c>
      <x:c r="H285" t="str">
        <x:f>IF(RAND()&lt;'Team_Info'!$E$5,"W","B")</x:f>
        <x:v>B</x:v>
      </x:c>
      <x:c r="I285" t="str">
        <x:f>IF(RAND()&lt;'Team_Info'!$E$5,"W","B")</x:f>
        <x:v>W</x:v>
      </x:c>
      <x:c r="J285" t="str">
        <x:f>IF(RAND()&lt;'Team_Info'!$E$5,"W","B")</x:f>
        <x:v>B</x:v>
      </x:c>
      <x:c r="K285" t="str">
        <x:f>IF(RAND()&lt;'Team_Info'!$E$5,"W","B")</x:f>
        <x:v>B</x:v>
      </x:c>
      <x:c r="L285" t="str">
        <x:f>IF(RAND()&lt;'Team_Info'!$E$5,"W","B")</x:f>
        <x:v>B</x:v>
      </x:c>
      <x:c r="M285" t="str">
        <x:f>IF(RAND()&lt;'Team_Info'!$E$5,"W","B")</x:f>
        <x:v>W</x:v>
      </x:c>
      <x:c r="N285" t="str">
        <x:f>IF(RAND()&lt;'Team_Info'!$E$5,"W","B")</x:f>
        <x:v>B</x:v>
      </x:c>
      <x:c r="O285" t="str">
        <x:f>IF(RAND()&lt;'Team_Info'!$E$5,"W","B")</x:f>
        <x:v>B</x:v>
      </x:c>
      <x:c r="P285" t="str">
        <x:f>IF(RAND()&lt;'Team_Info'!$E$5,"W","B")</x:f>
        <x:v>B</x:v>
      </x:c>
      <x:c r="Q285" t="str">
        <x:f>IF(RAND()&lt;'Team_Info'!$E$5,"W","B")</x:f>
        <x:v>B</x:v>
      </x:c>
      <x:c r="R285" t="str">
        <x:f>IF(RAND()&lt;'Team_Info'!$E$5,"W","B")</x:f>
        <x:v>W</x:v>
      </x:c>
      <x:c r="S285" t="str">
        <x:f>IF(RAND()&lt;'Team_Info'!$E$5,"W","B")</x:f>
        <x:v>B</x:v>
      </x:c>
      <x:c r="T285" t="str">
        <x:f>IF(RAND()&lt;'Team_Info'!$E$5,"W","B")</x:f>
        <x:v>W</x:v>
      </x:c>
      <x:c r="U285" t="str">
        <x:f>IF(RAND()&lt;'Team_Info'!$E$5,"W","B")</x:f>
        <x:v>B</x:v>
      </x:c>
    </x:row>
    <x:row r="286">
      <x:c r="A286" s="1">
        <x:v>285</x:v>
      </x:c>
      <x:c r="B286" t="str">
        <x:f>IF(RAND()&lt;'Team_Info'!$E$5,"W","B")</x:f>
        <x:v>W</x:v>
      </x:c>
      <x:c r="C286" t="str">
        <x:f>IF(RAND()&lt;'Team_Info'!$E$5,"W","B")</x:f>
        <x:v>W</x:v>
      </x:c>
      <x:c r="D286" t="str">
        <x:f>IF(RAND()&lt;'Team_Info'!$E$5,"W","B")</x:f>
        <x:v>W</x:v>
      </x:c>
      <x:c r="E286" t="str">
        <x:f>IF(RAND()&lt;'Team_Info'!$E$5,"W","B")</x:f>
        <x:v>B</x:v>
      </x:c>
      <x:c r="F286" t="str">
        <x:f>IF(RAND()&lt;'Team_Info'!$E$5,"W","B")</x:f>
        <x:v>B</x:v>
      </x:c>
      <x:c r="G286" t="str">
        <x:f>IF(RAND()&lt;'Team_Info'!$E$5,"W","B")</x:f>
        <x:v>B</x:v>
      </x:c>
      <x:c r="H286" t="str">
        <x:f>IF(RAND()&lt;'Team_Info'!$E$5,"W","B")</x:f>
        <x:v>B</x:v>
      </x:c>
      <x:c r="I286" t="str">
        <x:f>IF(RAND()&lt;'Team_Info'!$E$5,"W","B")</x:f>
        <x:v>W</x:v>
      </x:c>
      <x:c r="J286" t="str">
        <x:f>IF(RAND()&lt;'Team_Info'!$E$5,"W","B")</x:f>
        <x:v>B</x:v>
      </x:c>
      <x:c r="K286" t="str">
        <x:f>IF(RAND()&lt;'Team_Info'!$E$5,"W","B")</x:f>
        <x:v>B</x:v>
      </x:c>
      <x:c r="L286" t="str">
        <x:f>IF(RAND()&lt;'Team_Info'!$E$5,"W","B")</x:f>
        <x:v>B</x:v>
      </x:c>
      <x:c r="M286" t="str">
        <x:f>IF(RAND()&lt;'Team_Info'!$E$5,"W","B")</x:f>
        <x:v>W</x:v>
      </x:c>
      <x:c r="N286" t="str">
        <x:f>IF(RAND()&lt;'Team_Info'!$E$5,"W","B")</x:f>
        <x:v>W</x:v>
      </x:c>
      <x:c r="O286" t="str">
        <x:f>IF(RAND()&lt;'Team_Info'!$E$5,"W","B")</x:f>
        <x:v>B</x:v>
      </x:c>
      <x:c r="P286" t="str">
        <x:f>IF(RAND()&lt;'Team_Info'!$E$5,"W","B")</x:f>
        <x:v>W</x:v>
      </x:c>
      <x:c r="Q286" t="str">
        <x:f>IF(RAND()&lt;'Team_Info'!$E$5,"W","B")</x:f>
        <x:v>B</x:v>
      </x:c>
      <x:c r="R286" t="str">
        <x:f>IF(RAND()&lt;'Team_Info'!$E$5,"W","B")</x:f>
        <x:v>B</x:v>
      </x:c>
      <x:c r="S286" t="str">
        <x:f>IF(RAND()&lt;'Team_Info'!$E$5,"W","B")</x:f>
        <x:v>B</x:v>
      </x:c>
      <x:c r="T286" t="str">
        <x:f>IF(RAND()&lt;'Team_Info'!$E$5,"W","B")</x:f>
        <x:v>B</x:v>
      </x:c>
      <x:c r="U286" t="str">
        <x:f>IF(RAND()&lt;'Team_Info'!$E$5,"W","B")</x:f>
        <x:v>B</x:v>
      </x:c>
    </x:row>
    <x:row r="287">
      <x:c r="A287" s="1">
        <x:v>286</x:v>
      </x:c>
      <x:c r="B287" t="str">
        <x:f>IF(RAND()&lt;'Team_Info'!$E$5,"W","B")</x:f>
        <x:v>W</x:v>
      </x:c>
      <x:c r="C287" t="str">
        <x:f>IF(RAND()&lt;'Team_Info'!$E$5,"W","B")</x:f>
        <x:v>B</x:v>
      </x:c>
      <x:c r="D287" t="str">
        <x:f>IF(RAND()&lt;'Team_Info'!$E$5,"W","B")</x:f>
        <x:v>W</x:v>
      </x:c>
      <x:c r="E287" t="str">
        <x:f>IF(RAND()&lt;'Team_Info'!$E$5,"W","B")</x:f>
        <x:v>B</x:v>
      </x:c>
      <x:c r="F287" t="str">
        <x:f>IF(RAND()&lt;'Team_Info'!$E$5,"W","B")</x:f>
        <x:v>B</x:v>
      </x:c>
      <x:c r="G287" t="str">
        <x:f>IF(RAND()&lt;'Team_Info'!$E$5,"W","B")</x:f>
        <x:v>W</x:v>
      </x:c>
      <x:c r="H287" t="str">
        <x:f>IF(RAND()&lt;'Team_Info'!$E$5,"W","B")</x:f>
        <x:v>B</x:v>
      </x:c>
      <x:c r="I287" t="str">
        <x:f>IF(RAND()&lt;'Team_Info'!$E$5,"W","B")</x:f>
        <x:v>B</x:v>
      </x:c>
      <x:c r="J287" t="str">
        <x:f>IF(RAND()&lt;'Team_Info'!$E$5,"W","B")</x:f>
        <x:v>W</x:v>
      </x:c>
      <x:c r="K287" t="str">
        <x:f>IF(RAND()&lt;'Team_Info'!$E$5,"W","B")</x:f>
        <x:v>B</x:v>
      </x:c>
      <x:c r="L287" t="str">
        <x:f>IF(RAND()&lt;'Team_Info'!$E$5,"W","B")</x:f>
        <x:v>B</x:v>
      </x:c>
      <x:c r="M287" t="str">
        <x:f>IF(RAND()&lt;'Team_Info'!$E$5,"W","B")</x:f>
        <x:v>W</x:v>
      </x:c>
      <x:c r="N287" t="str">
        <x:f>IF(RAND()&lt;'Team_Info'!$E$5,"W","B")</x:f>
        <x:v>B</x:v>
      </x:c>
      <x:c r="O287" t="str">
        <x:f>IF(RAND()&lt;'Team_Info'!$E$5,"W","B")</x:f>
        <x:v>W</x:v>
      </x:c>
      <x:c r="P287" t="str">
        <x:f>IF(RAND()&lt;'Team_Info'!$E$5,"W","B")</x:f>
        <x:v>W</x:v>
      </x:c>
      <x:c r="Q287" t="str">
        <x:f>IF(RAND()&lt;'Team_Info'!$E$5,"W","B")</x:f>
        <x:v>B</x:v>
      </x:c>
      <x:c r="R287" t="str">
        <x:f>IF(RAND()&lt;'Team_Info'!$E$5,"W","B")</x:f>
        <x:v>W</x:v>
      </x:c>
      <x:c r="S287" t="str">
        <x:f>IF(RAND()&lt;'Team_Info'!$E$5,"W","B")</x:f>
        <x:v>B</x:v>
      </x:c>
      <x:c r="T287" t="str">
        <x:f>IF(RAND()&lt;'Team_Info'!$E$5,"W","B")</x:f>
        <x:v>B</x:v>
      </x:c>
      <x:c r="U287" t="str">
        <x:f>IF(RAND()&lt;'Team_Info'!$E$5,"W","B")</x:f>
        <x:v>B</x:v>
      </x:c>
    </x:row>
    <x:row r="288">
      <x:c r="A288" s="1">
        <x:v>287</x:v>
      </x:c>
      <x:c r="B288" t="str">
        <x:f>IF(RAND()&lt;'Team_Info'!$E$5,"W","B")</x:f>
        <x:v>B</x:v>
      </x:c>
      <x:c r="C288" t="str">
        <x:f>IF(RAND()&lt;'Team_Info'!$E$5,"W","B")</x:f>
        <x:v>B</x:v>
      </x:c>
      <x:c r="D288" t="str">
        <x:f>IF(RAND()&lt;'Team_Info'!$E$5,"W","B")</x:f>
        <x:v>B</x:v>
      </x:c>
      <x:c r="E288" t="str">
        <x:f>IF(RAND()&lt;'Team_Info'!$E$5,"W","B")</x:f>
        <x:v>W</x:v>
      </x:c>
      <x:c r="F288" t="str">
        <x:f>IF(RAND()&lt;'Team_Info'!$E$5,"W","B")</x:f>
        <x:v>W</x:v>
      </x:c>
      <x:c r="G288" t="str">
        <x:f>IF(RAND()&lt;'Team_Info'!$E$5,"W","B")</x:f>
        <x:v>W</x:v>
      </x:c>
      <x:c r="H288" t="str">
        <x:f>IF(RAND()&lt;'Team_Info'!$E$5,"W","B")</x:f>
        <x:v>B</x:v>
      </x:c>
      <x:c r="I288" t="str">
        <x:f>IF(RAND()&lt;'Team_Info'!$E$5,"W","B")</x:f>
        <x:v>W</x:v>
      </x:c>
      <x:c r="J288" t="str">
        <x:f>IF(RAND()&lt;'Team_Info'!$E$5,"W","B")</x:f>
        <x:v>B</x:v>
      </x:c>
      <x:c r="K288" t="str">
        <x:f>IF(RAND()&lt;'Team_Info'!$E$5,"W","B")</x:f>
        <x:v>B</x:v>
      </x:c>
      <x:c r="L288" t="str">
        <x:f>IF(RAND()&lt;'Team_Info'!$E$5,"W","B")</x:f>
        <x:v>B</x:v>
      </x:c>
      <x:c r="M288" t="str">
        <x:f>IF(RAND()&lt;'Team_Info'!$E$5,"W","B")</x:f>
        <x:v>W</x:v>
      </x:c>
      <x:c r="N288" t="str">
        <x:f>IF(RAND()&lt;'Team_Info'!$E$5,"W","B")</x:f>
        <x:v>B</x:v>
      </x:c>
      <x:c r="O288" t="str">
        <x:f>IF(RAND()&lt;'Team_Info'!$E$5,"W","B")</x:f>
        <x:v>B</x:v>
      </x:c>
      <x:c r="P288" t="str">
        <x:f>IF(RAND()&lt;'Team_Info'!$E$5,"W","B")</x:f>
        <x:v>B</x:v>
      </x:c>
      <x:c r="Q288" t="str">
        <x:f>IF(RAND()&lt;'Team_Info'!$E$5,"W","B")</x:f>
        <x:v>W</x:v>
      </x:c>
      <x:c r="R288" t="str">
        <x:f>IF(RAND()&lt;'Team_Info'!$E$5,"W","B")</x:f>
        <x:v>W</x:v>
      </x:c>
      <x:c r="S288" t="str">
        <x:f>IF(RAND()&lt;'Team_Info'!$E$5,"W","B")</x:f>
        <x:v>B</x:v>
      </x:c>
      <x:c r="T288" t="str">
        <x:f>IF(RAND()&lt;'Team_Info'!$E$5,"W","B")</x:f>
        <x:v>B</x:v>
      </x:c>
      <x:c r="U288" t="str">
        <x:f>IF(RAND()&lt;'Team_Info'!$E$5,"W","B")</x:f>
        <x:v>W</x:v>
      </x:c>
    </x:row>
    <x:row r="289">
      <x:c r="A289" s="1">
        <x:v>288</x:v>
      </x:c>
      <x:c r="B289" t="str">
        <x:f>IF(RAND()&lt;'Team_Info'!$E$5,"W","B")</x:f>
        <x:v>B</x:v>
      </x:c>
      <x:c r="C289" t="str">
        <x:f>IF(RAND()&lt;'Team_Info'!$E$5,"W","B")</x:f>
        <x:v>B</x:v>
      </x:c>
      <x:c r="D289" t="str">
        <x:f>IF(RAND()&lt;'Team_Info'!$E$5,"W","B")</x:f>
        <x:v>B</x:v>
      </x:c>
      <x:c r="E289" t="str">
        <x:f>IF(RAND()&lt;'Team_Info'!$E$5,"W","B")</x:f>
        <x:v>B</x:v>
      </x:c>
      <x:c r="F289" t="str">
        <x:f>IF(RAND()&lt;'Team_Info'!$E$5,"W","B")</x:f>
        <x:v>B</x:v>
      </x:c>
      <x:c r="G289" t="str">
        <x:f>IF(RAND()&lt;'Team_Info'!$E$5,"W","B")</x:f>
        <x:v>B</x:v>
      </x:c>
      <x:c r="H289" t="str">
        <x:f>IF(RAND()&lt;'Team_Info'!$E$5,"W","B")</x:f>
        <x:v>W</x:v>
      </x:c>
      <x:c r="I289" t="str">
        <x:f>IF(RAND()&lt;'Team_Info'!$E$5,"W","B")</x:f>
        <x:v>B</x:v>
      </x:c>
      <x:c r="J289" t="str">
        <x:f>IF(RAND()&lt;'Team_Info'!$E$5,"W","B")</x:f>
        <x:v>W</x:v>
      </x:c>
      <x:c r="K289" t="str">
        <x:f>IF(RAND()&lt;'Team_Info'!$E$5,"W","B")</x:f>
        <x:v>W</x:v>
      </x:c>
      <x:c r="L289" t="str">
        <x:f>IF(RAND()&lt;'Team_Info'!$E$5,"W","B")</x:f>
        <x:v>B</x:v>
      </x:c>
      <x:c r="M289" t="str">
        <x:f>IF(RAND()&lt;'Team_Info'!$E$5,"W","B")</x:f>
        <x:v>W</x:v>
      </x:c>
      <x:c r="N289" t="str">
        <x:f>IF(RAND()&lt;'Team_Info'!$E$5,"W","B")</x:f>
        <x:v>W</x:v>
      </x:c>
      <x:c r="O289" t="str">
        <x:f>IF(RAND()&lt;'Team_Info'!$E$5,"W","B")</x:f>
        <x:v>B</x:v>
      </x:c>
      <x:c r="P289" t="str">
        <x:f>IF(RAND()&lt;'Team_Info'!$E$5,"W","B")</x:f>
        <x:v>W</x:v>
      </x:c>
      <x:c r="Q289" t="str">
        <x:f>IF(RAND()&lt;'Team_Info'!$E$5,"W","B")</x:f>
        <x:v>W</x:v>
      </x:c>
      <x:c r="R289" t="str">
        <x:f>IF(RAND()&lt;'Team_Info'!$E$5,"W","B")</x:f>
        <x:v>W</x:v>
      </x:c>
      <x:c r="S289" t="str">
        <x:f>IF(RAND()&lt;'Team_Info'!$E$5,"W","B")</x:f>
        <x:v>B</x:v>
      </x:c>
      <x:c r="T289" t="str">
        <x:f>IF(RAND()&lt;'Team_Info'!$E$5,"W","B")</x:f>
        <x:v>W</x:v>
      </x:c>
      <x:c r="U289" t="str">
        <x:f>IF(RAND()&lt;'Team_Info'!$E$5,"W","B")</x:f>
        <x:v>B</x:v>
      </x:c>
    </x:row>
    <x:row r="290">
      <x:c r="A290" s="1">
        <x:v>289</x:v>
      </x:c>
      <x:c r="B290" t="str">
        <x:f>IF(RAND()&lt;'Team_Info'!$E$5,"W","B")</x:f>
        <x:v>W</x:v>
      </x:c>
      <x:c r="C290" t="str">
        <x:f>IF(RAND()&lt;'Team_Info'!$E$5,"W","B")</x:f>
        <x:v>B</x:v>
      </x:c>
      <x:c r="D290" t="str">
        <x:f>IF(RAND()&lt;'Team_Info'!$E$5,"W","B")</x:f>
        <x:v>W</x:v>
      </x:c>
      <x:c r="E290" t="str">
        <x:f>IF(RAND()&lt;'Team_Info'!$E$5,"W","B")</x:f>
        <x:v>B</x:v>
      </x:c>
      <x:c r="F290" t="str">
        <x:f>IF(RAND()&lt;'Team_Info'!$E$5,"W","B")</x:f>
        <x:v>B</x:v>
      </x:c>
      <x:c r="G290" t="str">
        <x:f>IF(RAND()&lt;'Team_Info'!$E$5,"W","B")</x:f>
        <x:v>B</x:v>
      </x:c>
      <x:c r="H290" t="str">
        <x:f>IF(RAND()&lt;'Team_Info'!$E$5,"W","B")</x:f>
        <x:v>W</x:v>
      </x:c>
      <x:c r="I290" t="str">
        <x:f>IF(RAND()&lt;'Team_Info'!$E$5,"W","B")</x:f>
        <x:v>B</x:v>
      </x:c>
      <x:c r="J290" t="str">
        <x:f>IF(RAND()&lt;'Team_Info'!$E$5,"W","B")</x:f>
        <x:v>B</x:v>
      </x:c>
      <x:c r="K290" t="str">
        <x:f>IF(RAND()&lt;'Team_Info'!$E$5,"W","B")</x:f>
        <x:v>B</x:v>
      </x:c>
      <x:c r="L290" t="str">
        <x:f>IF(RAND()&lt;'Team_Info'!$E$5,"W","B")</x:f>
        <x:v>B</x:v>
      </x:c>
      <x:c r="M290" t="str">
        <x:f>IF(RAND()&lt;'Team_Info'!$E$5,"W","B")</x:f>
        <x:v>W</x:v>
      </x:c>
      <x:c r="N290" t="str">
        <x:f>IF(RAND()&lt;'Team_Info'!$E$5,"W","B")</x:f>
        <x:v>W</x:v>
      </x:c>
      <x:c r="O290" t="str">
        <x:f>IF(RAND()&lt;'Team_Info'!$E$5,"W","B")</x:f>
        <x:v>W</x:v>
      </x:c>
      <x:c r="P290" t="str">
        <x:f>IF(RAND()&lt;'Team_Info'!$E$5,"W","B")</x:f>
        <x:v>W</x:v>
      </x:c>
      <x:c r="Q290" t="str">
        <x:f>IF(RAND()&lt;'Team_Info'!$E$5,"W","B")</x:f>
        <x:v>W</x:v>
      </x:c>
      <x:c r="R290" t="str">
        <x:f>IF(RAND()&lt;'Team_Info'!$E$5,"W","B")</x:f>
        <x:v>W</x:v>
      </x:c>
      <x:c r="S290" t="str">
        <x:f>IF(RAND()&lt;'Team_Info'!$E$5,"W","B")</x:f>
        <x:v>B</x:v>
      </x:c>
      <x:c r="T290" t="str">
        <x:f>IF(RAND()&lt;'Team_Info'!$E$5,"W","B")</x:f>
        <x:v>W</x:v>
      </x:c>
      <x:c r="U290" t="str">
        <x:f>IF(RAND()&lt;'Team_Info'!$E$5,"W","B")</x:f>
        <x:v>W</x:v>
      </x:c>
    </x:row>
    <x:row r="291">
      <x:c r="A291" s="1">
        <x:v>290</x:v>
      </x:c>
      <x:c r="B291" t="str">
        <x:f>IF(RAND()&lt;'Team_Info'!$E$5,"W","B")</x:f>
        <x:v>B</x:v>
      </x:c>
      <x:c r="C291" t="str">
        <x:f>IF(RAND()&lt;'Team_Info'!$E$5,"W","B")</x:f>
        <x:v>B</x:v>
      </x:c>
      <x:c r="D291" t="str">
        <x:f>IF(RAND()&lt;'Team_Info'!$E$5,"W","B")</x:f>
        <x:v>W</x:v>
      </x:c>
      <x:c r="E291" t="str">
        <x:f>IF(RAND()&lt;'Team_Info'!$E$5,"W","B")</x:f>
        <x:v>B</x:v>
      </x:c>
      <x:c r="F291" t="str">
        <x:f>IF(RAND()&lt;'Team_Info'!$E$5,"W","B")</x:f>
        <x:v>B</x:v>
      </x:c>
      <x:c r="G291" t="str">
        <x:f>IF(RAND()&lt;'Team_Info'!$E$5,"W","B")</x:f>
        <x:v>W</x:v>
      </x:c>
      <x:c r="H291" t="str">
        <x:f>IF(RAND()&lt;'Team_Info'!$E$5,"W","B")</x:f>
        <x:v>W</x:v>
      </x:c>
      <x:c r="I291" t="str">
        <x:f>IF(RAND()&lt;'Team_Info'!$E$5,"W","B")</x:f>
        <x:v>B</x:v>
      </x:c>
      <x:c r="J291" t="str">
        <x:f>IF(RAND()&lt;'Team_Info'!$E$5,"W","B")</x:f>
        <x:v>W</x:v>
      </x:c>
      <x:c r="K291" t="str">
        <x:f>IF(RAND()&lt;'Team_Info'!$E$5,"W","B")</x:f>
        <x:v>B</x:v>
      </x:c>
      <x:c r="L291" t="str">
        <x:f>IF(RAND()&lt;'Team_Info'!$E$5,"W","B")</x:f>
        <x:v>W</x:v>
      </x:c>
      <x:c r="M291" t="str">
        <x:f>IF(RAND()&lt;'Team_Info'!$E$5,"W","B")</x:f>
        <x:v>W</x:v>
      </x:c>
      <x:c r="N291" t="str">
        <x:f>IF(RAND()&lt;'Team_Info'!$E$5,"W","B")</x:f>
        <x:v>B</x:v>
      </x:c>
      <x:c r="O291" t="str">
        <x:f>IF(RAND()&lt;'Team_Info'!$E$5,"W","B")</x:f>
        <x:v>B</x:v>
      </x:c>
      <x:c r="P291" t="str">
        <x:f>IF(RAND()&lt;'Team_Info'!$E$5,"W","B")</x:f>
        <x:v>B</x:v>
      </x:c>
      <x:c r="Q291" t="str">
        <x:f>IF(RAND()&lt;'Team_Info'!$E$5,"W","B")</x:f>
        <x:v>B</x:v>
      </x:c>
      <x:c r="R291" t="str">
        <x:f>IF(RAND()&lt;'Team_Info'!$E$5,"W","B")</x:f>
        <x:v>W</x:v>
      </x:c>
      <x:c r="S291" t="str">
        <x:f>IF(RAND()&lt;'Team_Info'!$E$5,"W","B")</x:f>
        <x:v>B</x:v>
      </x:c>
      <x:c r="T291" t="str">
        <x:f>IF(RAND()&lt;'Team_Info'!$E$5,"W","B")</x:f>
        <x:v>B</x:v>
      </x:c>
      <x:c r="U291" t="str">
        <x:f>IF(RAND()&lt;'Team_Info'!$E$5,"W","B")</x:f>
        <x:v>B</x:v>
      </x:c>
    </x:row>
    <x:row r="292">
      <x:c r="A292" s="1">
        <x:v>291</x:v>
      </x:c>
      <x:c r="B292" t="str">
        <x:f>IF(RAND()&lt;'Team_Info'!$E$5,"W","B")</x:f>
        <x:v>B</x:v>
      </x:c>
      <x:c r="C292" t="str">
        <x:f>IF(RAND()&lt;'Team_Info'!$E$5,"W","B")</x:f>
        <x:v>B</x:v>
      </x:c>
      <x:c r="D292" t="str">
        <x:f>IF(RAND()&lt;'Team_Info'!$E$5,"W","B")</x:f>
        <x:v>B</x:v>
      </x:c>
      <x:c r="E292" t="str">
        <x:f>IF(RAND()&lt;'Team_Info'!$E$5,"W","B")</x:f>
        <x:v>W</x:v>
      </x:c>
      <x:c r="F292" t="str">
        <x:f>IF(RAND()&lt;'Team_Info'!$E$5,"W","B")</x:f>
        <x:v>B</x:v>
      </x:c>
      <x:c r="G292" t="str">
        <x:f>IF(RAND()&lt;'Team_Info'!$E$5,"W","B")</x:f>
        <x:v>W</x:v>
      </x:c>
      <x:c r="H292" t="str">
        <x:f>IF(RAND()&lt;'Team_Info'!$E$5,"W","B")</x:f>
        <x:v>B</x:v>
      </x:c>
      <x:c r="I292" t="str">
        <x:f>IF(RAND()&lt;'Team_Info'!$E$5,"W","B")</x:f>
        <x:v>W</x:v>
      </x:c>
      <x:c r="J292" t="str">
        <x:f>IF(RAND()&lt;'Team_Info'!$E$5,"W","B")</x:f>
        <x:v>B</x:v>
      </x:c>
      <x:c r="K292" t="str">
        <x:f>IF(RAND()&lt;'Team_Info'!$E$5,"W","B")</x:f>
        <x:v>B</x:v>
      </x:c>
      <x:c r="L292" t="str">
        <x:f>IF(RAND()&lt;'Team_Info'!$E$5,"W","B")</x:f>
        <x:v>W</x:v>
      </x:c>
      <x:c r="M292" t="str">
        <x:f>IF(RAND()&lt;'Team_Info'!$E$5,"W","B")</x:f>
        <x:v>W</x:v>
      </x:c>
      <x:c r="N292" t="str">
        <x:f>IF(RAND()&lt;'Team_Info'!$E$5,"W","B")</x:f>
        <x:v>B</x:v>
      </x:c>
      <x:c r="O292" t="str">
        <x:f>IF(RAND()&lt;'Team_Info'!$E$5,"W","B")</x:f>
        <x:v>B</x:v>
      </x:c>
      <x:c r="P292" t="str">
        <x:f>IF(RAND()&lt;'Team_Info'!$E$5,"W","B")</x:f>
        <x:v>B</x:v>
      </x:c>
      <x:c r="Q292" t="str">
        <x:f>IF(RAND()&lt;'Team_Info'!$E$5,"W","B")</x:f>
        <x:v>B</x:v>
      </x:c>
      <x:c r="R292" t="str">
        <x:f>IF(RAND()&lt;'Team_Info'!$E$5,"W","B")</x:f>
        <x:v>B</x:v>
      </x:c>
      <x:c r="S292" t="str">
        <x:f>IF(RAND()&lt;'Team_Info'!$E$5,"W","B")</x:f>
        <x:v>W</x:v>
      </x:c>
      <x:c r="T292" t="str">
        <x:f>IF(RAND()&lt;'Team_Info'!$E$5,"W","B")</x:f>
        <x:v>B</x:v>
      </x:c>
      <x:c r="U292" t="str">
        <x:f>IF(RAND()&lt;'Team_Info'!$E$5,"W","B")</x:f>
        <x:v>B</x:v>
      </x:c>
    </x:row>
    <x:row r="293">
      <x:c r="A293" s="1">
        <x:v>292</x:v>
      </x:c>
      <x:c r="B293" t="str">
        <x:f>IF(RAND()&lt;'Team_Info'!$E$5,"W","B")</x:f>
        <x:v>B</x:v>
      </x:c>
      <x:c r="C293" t="str">
        <x:f>IF(RAND()&lt;'Team_Info'!$E$5,"W","B")</x:f>
        <x:v>B</x:v>
      </x:c>
      <x:c r="D293" t="str">
        <x:f>IF(RAND()&lt;'Team_Info'!$E$5,"W","B")</x:f>
        <x:v>W</x:v>
      </x:c>
      <x:c r="E293" t="str">
        <x:f>IF(RAND()&lt;'Team_Info'!$E$5,"W","B")</x:f>
        <x:v>W</x:v>
      </x:c>
      <x:c r="F293" t="str">
        <x:f>IF(RAND()&lt;'Team_Info'!$E$5,"W","B")</x:f>
        <x:v>B</x:v>
      </x:c>
      <x:c r="G293" t="str">
        <x:f>IF(RAND()&lt;'Team_Info'!$E$5,"W","B")</x:f>
        <x:v>B</x:v>
      </x:c>
      <x:c r="H293" t="str">
        <x:f>IF(RAND()&lt;'Team_Info'!$E$5,"W","B")</x:f>
        <x:v>W</x:v>
      </x:c>
      <x:c r="I293" t="str">
        <x:f>IF(RAND()&lt;'Team_Info'!$E$5,"W","B")</x:f>
        <x:v>B</x:v>
      </x:c>
      <x:c r="J293" t="str">
        <x:f>IF(RAND()&lt;'Team_Info'!$E$5,"W","B")</x:f>
        <x:v>B</x:v>
      </x:c>
      <x:c r="K293" t="str">
        <x:f>IF(RAND()&lt;'Team_Info'!$E$5,"W","B")</x:f>
        <x:v>W</x:v>
      </x:c>
      <x:c r="L293" t="str">
        <x:f>IF(RAND()&lt;'Team_Info'!$E$5,"W","B")</x:f>
        <x:v>W</x:v>
      </x:c>
      <x:c r="M293" t="str">
        <x:f>IF(RAND()&lt;'Team_Info'!$E$5,"W","B")</x:f>
        <x:v>W</x:v>
      </x:c>
      <x:c r="N293" t="str">
        <x:f>IF(RAND()&lt;'Team_Info'!$E$5,"W","B")</x:f>
        <x:v>B</x:v>
      </x:c>
      <x:c r="O293" t="str">
        <x:f>IF(RAND()&lt;'Team_Info'!$E$5,"W","B")</x:f>
        <x:v>B</x:v>
      </x:c>
      <x:c r="P293" t="str">
        <x:f>IF(RAND()&lt;'Team_Info'!$E$5,"W","B")</x:f>
        <x:v>W</x:v>
      </x:c>
      <x:c r="Q293" t="str">
        <x:f>IF(RAND()&lt;'Team_Info'!$E$5,"W","B")</x:f>
        <x:v>W</x:v>
      </x:c>
      <x:c r="R293" t="str">
        <x:f>IF(RAND()&lt;'Team_Info'!$E$5,"W","B")</x:f>
        <x:v>B</x:v>
      </x:c>
      <x:c r="S293" t="str">
        <x:f>IF(RAND()&lt;'Team_Info'!$E$5,"W","B")</x:f>
        <x:v>B</x:v>
      </x:c>
      <x:c r="T293" t="str">
        <x:f>IF(RAND()&lt;'Team_Info'!$E$5,"W","B")</x:f>
        <x:v>B</x:v>
      </x:c>
      <x:c r="U293" t="str">
        <x:f>IF(RAND()&lt;'Team_Info'!$E$5,"W","B")</x:f>
        <x:v>B</x:v>
      </x:c>
    </x:row>
    <x:row r="294">
      <x:c r="A294" s="1">
        <x:v>293</x:v>
      </x:c>
      <x:c r="B294" t="str">
        <x:f>IF(RAND()&lt;'Team_Info'!$E$5,"W","B")</x:f>
        <x:v>B</x:v>
      </x:c>
      <x:c r="C294" t="str">
        <x:f>IF(RAND()&lt;'Team_Info'!$E$5,"W","B")</x:f>
        <x:v>B</x:v>
      </x:c>
      <x:c r="D294" t="str">
        <x:f>IF(RAND()&lt;'Team_Info'!$E$5,"W","B")</x:f>
        <x:v>B</x:v>
      </x:c>
      <x:c r="E294" t="str">
        <x:f>IF(RAND()&lt;'Team_Info'!$E$5,"W","B")</x:f>
        <x:v>B</x:v>
      </x:c>
      <x:c r="F294" t="str">
        <x:f>IF(RAND()&lt;'Team_Info'!$E$5,"W","B")</x:f>
        <x:v>B</x:v>
      </x:c>
      <x:c r="G294" t="str">
        <x:f>IF(RAND()&lt;'Team_Info'!$E$5,"W","B")</x:f>
        <x:v>W</x:v>
      </x:c>
      <x:c r="H294" t="str">
        <x:f>IF(RAND()&lt;'Team_Info'!$E$5,"W","B")</x:f>
        <x:v>B</x:v>
      </x:c>
      <x:c r="I294" t="str">
        <x:f>IF(RAND()&lt;'Team_Info'!$E$5,"W","B")</x:f>
        <x:v>B</x:v>
      </x:c>
      <x:c r="J294" t="str">
        <x:f>IF(RAND()&lt;'Team_Info'!$E$5,"W","B")</x:f>
        <x:v>B</x:v>
      </x:c>
      <x:c r="K294" t="str">
        <x:f>IF(RAND()&lt;'Team_Info'!$E$5,"W","B")</x:f>
        <x:v>B</x:v>
      </x:c>
      <x:c r="L294" t="str">
        <x:f>IF(RAND()&lt;'Team_Info'!$E$5,"W","B")</x:f>
        <x:v>B</x:v>
      </x:c>
      <x:c r="M294" t="str">
        <x:f>IF(RAND()&lt;'Team_Info'!$E$5,"W","B")</x:f>
        <x:v>W</x:v>
      </x:c>
      <x:c r="N294" t="str">
        <x:f>IF(RAND()&lt;'Team_Info'!$E$5,"W","B")</x:f>
        <x:v>W</x:v>
      </x:c>
      <x:c r="O294" t="str">
        <x:f>IF(RAND()&lt;'Team_Info'!$E$5,"W","B")</x:f>
        <x:v>B</x:v>
      </x:c>
      <x:c r="P294" t="str">
        <x:f>IF(RAND()&lt;'Team_Info'!$E$5,"W","B")</x:f>
        <x:v>W</x:v>
      </x:c>
      <x:c r="Q294" t="str">
        <x:f>IF(RAND()&lt;'Team_Info'!$E$5,"W","B")</x:f>
        <x:v>W</x:v>
      </x:c>
      <x:c r="R294" t="str">
        <x:f>IF(RAND()&lt;'Team_Info'!$E$5,"W","B")</x:f>
        <x:v>B</x:v>
      </x:c>
      <x:c r="S294" t="str">
        <x:f>IF(RAND()&lt;'Team_Info'!$E$5,"W","B")</x:f>
        <x:v>W</x:v>
      </x:c>
      <x:c r="T294" t="str">
        <x:f>IF(RAND()&lt;'Team_Info'!$E$5,"W","B")</x:f>
        <x:v>B</x:v>
      </x:c>
      <x:c r="U294" t="str">
        <x:f>IF(RAND()&lt;'Team_Info'!$E$5,"W","B")</x:f>
        <x:v>B</x:v>
      </x:c>
    </x:row>
    <x:row r="295">
      <x:c r="A295" s="1">
        <x:v>294</x:v>
      </x:c>
      <x:c r="B295" t="str">
        <x:f>IF(RAND()&lt;'Team_Info'!$E$5,"W","B")</x:f>
        <x:v>B</x:v>
      </x:c>
      <x:c r="C295" t="str">
        <x:f>IF(RAND()&lt;'Team_Info'!$E$5,"W","B")</x:f>
        <x:v>W</x:v>
      </x:c>
      <x:c r="D295" t="str">
        <x:f>IF(RAND()&lt;'Team_Info'!$E$5,"W","B")</x:f>
        <x:v>W</x:v>
      </x:c>
      <x:c r="E295" t="str">
        <x:f>IF(RAND()&lt;'Team_Info'!$E$5,"W","B")</x:f>
        <x:v>B</x:v>
      </x:c>
      <x:c r="F295" t="str">
        <x:f>IF(RAND()&lt;'Team_Info'!$E$5,"W","B")</x:f>
        <x:v>B</x:v>
      </x:c>
      <x:c r="G295" t="str">
        <x:f>IF(RAND()&lt;'Team_Info'!$E$5,"W","B")</x:f>
        <x:v>W</x:v>
      </x:c>
      <x:c r="H295" t="str">
        <x:f>IF(RAND()&lt;'Team_Info'!$E$5,"W","B")</x:f>
        <x:v>W</x:v>
      </x:c>
      <x:c r="I295" t="str">
        <x:f>IF(RAND()&lt;'Team_Info'!$E$5,"W","B")</x:f>
        <x:v>B</x:v>
      </x:c>
      <x:c r="J295" t="str">
        <x:f>IF(RAND()&lt;'Team_Info'!$E$5,"W","B")</x:f>
        <x:v>B</x:v>
      </x:c>
      <x:c r="K295" t="str">
        <x:f>IF(RAND()&lt;'Team_Info'!$E$5,"W","B")</x:f>
        <x:v>B</x:v>
      </x:c>
      <x:c r="L295" t="str">
        <x:f>IF(RAND()&lt;'Team_Info'!$E$5,"W","B")</x:f>
        <x:v>B</x:v>
      </x:c>
      <x:c r="M295" t="str">
        <x:f>IF(RAND()&lt;'Team_Info'!$E$5,"W","B")</x:f>
        <x:v>W</x:v>
      </x:c>
      <x:c r="N295" t="str">
        <x:f>IF(RAND()&lt;'Team_Info'!$E$5,"W","B")</x:f>
        <x:v>W</x:v>
      </x:c>
      <x:c r="O295" t="str">
        <x:f>IF(RAND()&lt;'Team_Info'!$E$5,"W","B")</x:f>
        <x:v>B</x:v>
      </x:c>
      <x:c r="P295" t="str">
        <x:f>IF(RAND()&lt;'Team_Info'!$E$5,"W","B")</x:f>
        <x:v>B</x:v>
      </x:c>
      <x:c r="Q295" t="str">
        <x:f>IF(RAND()&lt;'Team_Info'!$E$5,"W","B")</x:f>
        <x:v>B</x:v>
      </x:c>
      <x:c r="R295" t="str">
        <x:f>IF(RAND()&lt;'Team_Info'!$E$5,"W","B")</x:f>
        <x:v>B</x:v>
      </x:c>
      <x:c r="S295" t="str">
        <x:f>IF(RAND()&lt;'Team_Info'!$E$5,"W","B")</x:f>
        <x:v>W</x:v>
      </x:c>
      <x:c r="T295" t="str">
        <x:f>IF(RAND()&lt;'Team_Info'!$E$5,"W","B")</x:f>
        <x:v>B</x:v>
      </x:c>
      <x:c r="U295" t="str">
        <x:f>IF(RAND()&lt;'Team_Info'!$E$5,"W","B")</x:f>
        <x:v>B</x:v>
      </x:c>
    </x:row>
    <x:row r="296">
      <x:c r="A296" s="1">
        <x:v>295</x:v>
      </x:c>
      <x:c r="B296" t="str">
        <x:f>IF(RAND()&lt;'Team_Info'!$E$5,"W","B")</x:f>
        <x:v>W</x:v>
      </x:c>
      <x:c r="C296" t="str">
        <x:f>IF(RAND()&lt;'Team_Info'!$E$5,"W","B")</x:f>
        <x:v>W</x:v>
      </x:c>
      <x:c r="D296" t="str">
        <x:f>IF(RAND()&lt;'Team_Info'!$E$5,"W","B")</x:f>
        <x:v>B</x:v>
      </x:c>
      <x:c r="E296" t="str">
        <x:f>IF(RAND()&lt;'Team_Info'!$E$5,"W","B")</x:f>
        <x:v>B</x:v>
      </x:c>
      <x:c r="F296" t="str">
        <x:f>IF(RAND()&lt;'Team_Info'!$E$5,"W","B")</x:f>
        <x:v>B</x:v>
      </x:c>
      <x:c r="G296" t="str">
        <x:f>IF(RAND()&lt;'Team_Info'!$E$5,"W","B")</x:f>
        <x:v>B</x:v>
      </x:c>
      <x:c r="H296" t="str">
        <x:f>IF(RAND()&lt;'Team_Info'!$E$5,"W","B")</x:f>
        <x:v>B</x:v>
      </x:c>
      <x:c r="I296" t="str">
        <x:f>IF(RAND()&lt;'Team_Info'!$E$5,"W","B")</x:f>
        <x:v>B</x:v>
      </x:c>
      <x:c r="J296" t="str">
        <x:f>IF(RAND()&lt;'Team_Info'!$E$5,"W","B")</x:f>
        <x:v>B</x:v>
      </x:c>
      <x:c r="K296" t="str">
        <x:f>IF(RAND()&lt;'Team_Info'!$E$5,"W","B")</x:f>
        <x:v>W</x:v>
      </x:c>
      <x:c r="L296" t="str">
        <x:f>IF(RAND()&lt;'Team_Info'!$E$5,"W","B")</x:f>
        <x:v>B</x:v>
      </x:c>
      <x:c r="M296" t="str">
        <x:f>IF(RAND()&lt;'Team_Info'!$E$5,"W","B")</x:f>
        <x:v>W</x:v>
      </x:c>
      <x:c r="N296" t="str">
        <x:f>IF(RAND()&lt;'Team_Info'!$E$5,"W","B")</x:f>
        <x:v>B</x:v>
      </x:c>
      <x:c r="O296" t="str">
        <x:f>IF(RAND()&lt;'Team_Info'!$E$5,"W","B")</x:f>
        <x:v>W</x:v>
      </x:c>
      <x:c r="P296" t="str">
        <x:f>IF(RAND()&lt;'Team_Info'!$E$5,"W","B")</x:f>
        <x:v>W</x:v>
      </x:c>
      <x:c r="Q296" t="str">
        <x:f>IF(RAND()&lt;'Team_Info'!$E$5,"W","B")</x:f>
        <x:v>B</x:v>
      </x:c>
      <x:c r="R296" t="str">
        <x:f>IF(RAND()&lt;'Team_Info'!$E$5,"W","B")</x:f>
        <x:v>W</x:v>
      </x:c>
      <x:c r="S296" t="str">
        <x:f>IF(RAND()&lt;'Team_Info'!$E$5,"W","B")</x:f>
        <x:v>B</x:v>
      </x:c>
      <x:c r="T296" t="str">
        <x:f>IF(RAND()&lt;'Team_Info'!$E$5,"W","B")</x:f>
        <x:v>W</x:v>
      </x:c>
      <x:c r="U296" t="str">
        <x:f>IF(RAND()&lt;'Team_Info'!$E$5,"W","B")</x:f>
        <x:v>B</x:v>
      </x:c>
    </x:row>
    <x:row r="297">
      <x:c r="A297" s="1">
        <x:v>296</x:v>
      </x:c>
      <x:c r="B297" t="str">
        <x:f>IF(RAND()&lt;'Team_Info'!$E$5,"W","B")</x:f>
        <x:v>W</x:v>
      </x:c>
      <x:c r="C297" t="str">
        <x:f>IF(RAND()&lt;'Team_Info'!$E$5,"W","B")</x:f>
        <x:v>B</x:v>
      </x:c>
      <x:c r="D297" t="str">
        <x:f>IF(RAND()&lt;'Team_Info'!$E$5,"W","B")</x:f>
        <x:v>B</x:v>
      </x:c>
      <x:c r="E297" t="str">
        <x:f>IF(RAND()&lt;'Team_Info'!$E$5,"W","B")</x:f>
        <x:v>W</x:v>
      </x:c>
      <x:c r="F297" t="str">
        <x:f>IF(RAND()&lt;'Team_Info'!$E$5,"W","B")</x:f>
        <x:v>B</x:v>
      </x:c>
      <x:c r="G297" t="str">
        <x:f>IF(RAND()&lt;'Team_Info'!$E$5,"W","B")</x:f>
        <x:v>W</x:v>
      </x:c>
      <x:c r="H297" t="str">
        <x:f>IF(RAND()&lt;'Team_Info'!$E$5,"W","B")</x:f>
        <x:v>B</x:v>
      </x:c>
      <x:c r="I297" t="str">
        <x:f>IF(RAND()&lt;'Team_Info'!$E$5,"W","B")</x:f>
        <x:v>B</x:v>
      </x:c>
      <x:c r="J297" t="str">
        <x:f>IF(RAND()&lt;'Team_Info'!$E$5,"W","B")</x:f>
        <x:v>W</x:v>
      </x:c>
      <x:c r="K297" t="str">
        <x:f>IF(RAND()&lt;'Team_Info'!$E$5,"W","B")</x:f>
        <x:v>B</x:v>
      </x:c>
      <x:c r="L297" t="str">
        <x:f>IF(RAND()&lt;'Team_Info'!$E$5,"W","B")</x:f>
        <x:v>W</x:v>
      </x:c>
      <x:c r="M297" t="str">
        <x:f>IF(RAND()&lt;'Team_Info'!$E$5,"W","B")</x:f>
        <x:v>W</x:v>
      </x:c>
      <x:c r="N297" t="str">
        <x:f>IF(RAND()&lt;'Team_Info'!$E$5,"W","B")</x:f>
        <x:v>B</x:v>
      </x:c>
      <x:c r="O297" t="str">
        <x:f>IF(RAND()&lt;'Team_Info'!$E$5,"W","B")</x:f>
        <x:v>B</x:v>
      </x:c>
      <x:c r="P297" t="str">
        <x:f>IF(RAND()&lt;'Team_Info'!$E$5,"W","B")</x:f>
        <x:v>B</x:v>
      </x:c>
      <x:c r="Q297" t="str">
        <x:f>IF(RAND()&lt;'Team_Info'!$E$5,"W","B")</x:f>
        <x:v>B</x:v>
      </x:c>
      <x:c r="R297" t="str">
        <x:f>IF(RAND()&lt;'Team_Info'!$E$5,"W","B")</x:f>
        <x:v>B</x:v>
      </x:c>
      <x:c r="S297" t="str">
        <x:f>IF(RAND()&lt;'Team_Info'!$E$5,"W","B")</x:f>
        <x:v>B</x:v>
      </x:c>
      <x:c r="T297" t="str">
        <x:f>IF(RAND()&lt;'Team_Info'!$E$5,"W","B")</x:f>
        <x:v>W</x:v>
      </x:c>
      <x:c r="U297" t="str">
        <x:f>IF(RAND()&lt;'Team_Info'!$E$5,"W","B")</x:f>
        <x:v>B</x:v>
      </x:c>
    </x:row>
    <x:row r="298">
      <x:c r="A298" s="1">
        <x:v>297</x:v>
      </x:c>
      <x:c r="B298" t="str">
        <x:f>IF(RAND()&lt;'Team_Info'!$E$5,"W","B")</x:f>
        <x:v>B</x:v>
      </x:c>
      <x:c r="C298" t="str">
        <x:f>IF(RAND()&lt;'Team_Info'!$E$5,"W","B")</x:f>
        <x:v>B</x:v>
      </x:c>
      <x:c r="D298" t="str">
        <x:f>IF(RAND()&lt;'Team_Info'!$E$5,"W","B")</x:f>
        <x:v>W</x:v>
      </x:c>
      <x:c r="E298" t="str">
        <x:f>IF(RAND()&lt;'Team_Info'!$E$5,"W","B")</x:f>
        <x:v>W</x:v>
      </x:c>
      <x:c r="F298" t="str">
        <x:f>IF(RAND()&lt;'Team_Info'!$E$5,"W","B")</x:f>
        <x:v>B</x:v>
      </x:c>
      <x:c r="G298" t="str">
        <x:f>IF(RAND()&lt;'Team_Info'!$E$5,"W","B")</x:f>
        <x:v>B</x:v>
      </x:c>
      <x:c r="H298" t="str">
        <x:f>IF(RAND()&lt;'Team_Info'!$E$5,"W","B")</x:f>
        <x:v>W</x:v>
      </x:c>
      <x:c r="I298" t="str">
        <x:f>IF(RAND()&lt;'Team_Info'!$E$5,"W","B")</x:f>
        <x:v>B</x:v>
      </x:c>
      <x:c r="J298" t="str">
        <x:f>IF(RAND()&lt;'Team_Info'!$E$5,"W","B")</x:f>
        <x:v>W</x:v>
      </x:c>
      <x:c r="K298" t="str">
        <x:f>IF(RAND()&lt;'Team_Info'!$E$5,"W","B")</x:f>
        <x:v>W</x:v>
      </x:c>
      <x:c r="L298" t="str">
        <x:f>IF(RAND()&lt;'Team_Info'!$E$5,"W","B")</x:f>
        <x:v>W</x:v>
      </x:c>
      <x:c r="M298" t="str">
        <x:f>IF(RAND()&lt;'Team_Info'!$E$5,"W","B")</x:f>
        <x:v>W</x:v>
      </x:c>
      <x:c r="N298" t="str">
        <x:f>IF(RAND()&lt;'Team_Info'!$E$5,"W","B")</x:f>
        <x:v>B</x:v>
      </x:c>
      <x:c r="O298" t="str">
        <x:f>IF(RAND()&lt;'Team_Info'!$E$5,"W","B")</x:f>
        <x:v>W</x:v>
      </x:c>
      <x:c r="P298" t="str">
        <x:f>IF(RAND()&lt;'Team_Info'!$E$5,"W","B")</x:f>
        <x:v>W</x:v>
      </x:c>
      <x:c r="Q298" t="str">
        <x:f>IF(RAND()&lt;'Team_Info'!$E$5,"W","B")</x:f>
        <x:v>B</x:v>
      </x:c>
      <x:c r="R298" t="str">
        <x:f>IF(RAND()&lt;'Team_Info'!$E$5,"W","B")</x:f>
        <x:v>W</x:v>
      </x:c>
      <x:c r="S298" t="str">
        <x:f>IF(RAND()&lt;'Team_Info'!$E$5,"W","B")</x:f>
        <x:v>W</x:v>
      </x:c>
      <x:c r="T298" t="str">
        <x:f>IF(RAND()&lt;'Team_Info'!$E$5,"W","B")</x:f>
        <x:v>W</x:v>
      </x:c>
      <x:c r="U298" t="str">
        <x:f>IF(RAND()&lt;'Team_Info'!$E$5,"W","B")</x:f>
        <x:v>B</x:v>
      </x:c>
    </x:row>
    <x:row r="299">
      <x:c r="A299" s="1">
        <x:v>298</x:v>
      </x:c>
      <x:c r="B299" t="str">
        <x:f>IF(RAND()&lt;'Team_Info'!$E$5,"W","B")</x:f>
        <x:v>W</x:v>
      </x:c>
      <x:c r="C299" t="str">
        <x:f>IF(RAND()&lt;'Team_Info'!$E$5,"W","B")</x:f>
        <x:v>W</x:v>
      </x:c>
      <x:c r="D299" t="str">
        <x:f>IF(RAND()&lt;'Team_Info'!$E$5,"W","B")</x:f>
        <x:v>W</x:v>
      </x:c>
      <x:c r="E299" t="str">
        <x:f>IF(RAND()&lt;'Team_Info'!$E$5,"W","B")</x:f>
        <x:v>W</x:v>
      </x:c>
      <x:c r="F299" t="str">
        <x:f>IF(RAND()&lt;'Team_Info'!$E$5,"W","B")</x:f>
        <x:v>B</x:v>
      </x:c>
      <x:c r="G299" t="str">
        <x:f>IF(RAND()&lt;'Team_Info'!$E$5,"W","B")</x:f>
        <x:v>W</x:v>
      </x:c>
      <x:c r="H299" t="str">
        <x:f>IF(RAND()&lt;'Team_Info'!$E$5,"W","B")</x:f>
        <x:v>B</x:v>
      </x:c>
      <x:c r="I299" t="str">
        <x:f>IF(RAND()&lt;'Team_Info'!$E$5,"W","B")</x:f>
        <x:v>B</x:v>
      </x:c>
      <x:c r="J299" t="str">
        <x:f>IF(RAND()&lt;'Team_Info'!$E$5,"W","B")</x:f>
        <x:v>W</x:v>
      </x:c>
      <x:c r="K299" t="str">
        <x:f>IF(RAND()&lt;'Team_Info'!$E$5,"W","B")</x:f>
        <x:v>B</x:v>
      </x:c>
      <x:c r="L299" t="str">
        <x:f>IF(RAND()&lt;'Team_Info'!$E$5,"W","B")</x:f>
        <x:v>B</x:v>
      </x:c>
      <x:c r="M299" t="str">
        <x:f>IF(RAND()&lt;'Team_Info'!$E$5,"W","B")</x:f>
        <x:v>B</x:v>
      </x:c>
      <x:c r="N299" t="str">
        <x:f>IF(RAND()&lt;'Team_Info'!$E$5,"W","B")</x:f>
        <x:v>B</x:v>
      </x:c>
      <x:c r="O299" t="str">
        <x:f>IF(RAND()&lt;'Team_Info'!$E$5,"W","B")</x:f>
        <x:v>W</x:v>
      </x:c>
      <x:c r="P299" t="str">
        <x:f>IF(RAND()&lt;'Team_Info'!$E$5,"W","B")</x:f>
        <x:v>B</x:v>
      </x:c>
      <x:c r="Q299" t="str">
        <x:f>IF(RAND()&lt;'Team_Info'!$E$5,"W","B")</x:f>
        <x:v>W</x:v>
      </x:c>
      <x:c r="R299" t="str">
        <x:f>IF(RAND()&lt;'Team_Info'!$E$5,"W","B")</x:f>
        <x:v>B</x:v>
      </x:c>
      <x:c r="S299" t="str">
        <x:f>IF(RAND()&lt;'Team_Info'!$E$5,"W","B")</x:f>
        <x:v>B</x:v>
      </x:c>
      <x:c r="T299" t="str">
        <x:f>IF(RAND()&lt;'Team_Info'!$E$5,"W","B")</x:f>
        <x:v>B</x:v>
      </x:c>
      <x:c r="U299" t="str">
        <x:f>IF(RAND()&lt;'Team_Info'!$E$5,"W","B")</x:f>
        <x:v>B</x:v>
      </x:c>
    </x:row>
    <x:row r="300">
      <x:c r="A300" s="1">
        <x:v>299</x:v>
      </x:c>
      <x:c r="B300" t="str">
        <x:f>IF(RAND()&lt;'Team_Info'!$E$5,"W","B")</x:f>
        <x:v>B</x:v>
      </x:c>
      <x:c r="C300" t="str">
        <x:f>IF(RAND()&lt;'Team_Info'!$E$5,"W","B")</x:f>
        <x:v>B</x:v>
      </x:c>
      <x:c r="D300" t="str">
        <x:f>IF(RAND()&lt;'Team_Info'!$E$5,"W","B")</x:f>
        <x:v>B</x:v>
      </x:c>
      <x:c r="E300" t="str">
        <x:f>IF(RAND()&lt;'Team_Info'!$E$5,"W","B")</x:f>
        <x:v>W</x:v>
      </x:c>
      <x:c r="F300" t="str">
        <x:f>IF(RAND()&lt;'Team_Info'!$E$5,"W","B")</x:f>
        <x:v>B</x:v>
      </x:c>
      <x:c r="G300" t="str">
        <x:f>IF(RAND()&lt;'Team_Info'!$E$5,"W","B")</x:f>
        <x:v>B</x:v>
      </x:c>
      <x:c r="H300" t="str">
        <x:f>IF(RAND()&lt;'Team_Info'!$E$5,"W","B")</x:f>
        <x:v>B</x:v>
      </x:c>
      <x:c r="I300" t="str">
        <x:f>IF(RAND()&lt;'Team_Info'!$E$5,"W","B")</x:f>
        <x:v>W</x:v>
      </x:c>
      <x:c r="J300" t="str">
        <x:f>IF(RAND()&lt;'Team_Info'!$E$5,"W","B")</x:f>
        <x:v>B</x:v>
      </x:c>
      <x:c r="K300" t="str">
        <x:f>IF(RAND()&lt;'Team_Info'!$E$5,"W","B")</x:f>
        <x:v>B</x:v>
      </x:c>
      <x:c r="L300" t="str">
        <x:f>IF(RAND()&lt;'Team_Info'!$E$5,"W","B")</x:f>
        <x:v>B</x:v>
      </x:c>
      <x:c r="M300" t="str">
        <x:f>IF(RAND()&lt;'Team_Info'!$E$5,"W","B")</x:f>
        <x:v>W</x:v>
      </x:c>
      <x:c r="N300" t="str">
        <x:f>IF(RAND()&lt;'Team_Info'!$E$5,"W","B")</x:f>
        <x:v>B</x:v>
      </x:c>
      <x:c r="O300" t="str">
        <x:f>IF(RAND()&lt;'Team_Info'!$E$5,"W","B")</x:f>
        <x:v>B</x:v>
      </x:c>
      <x:c r="P300" t="str">
        <x:f>IF(RAND()&lt;'Team_Info'!$E$5,"W","B")</x:f>
        <x:v>W</x:v>
      </x:c>
      <x:c r="Q300" t="str">
        <x:f>IF(RAND()&lt;'Team_Info'!$E$5,"W","B")</x:f>
        <x:v>B</x:v>
      </x:c>
      <x:c r="R300" t="str">
        <x:f>IF(RAND()&lt;'Team_Info'!$E$5,"W","B")</x:f>
        <x:v>W</x:v>
      </x:c>
      <x:c r="S300" t="str">
        <x:f>IF(RAND()&lt;'Team_Info'!$E$5,"W","B")</x:f>
        <x:v>B</x:v>
      </x:c>
      <x:c r="T300" t="str">
        <x:f>IF(RAND()&lt;'Team_Info'!$E$5,"W","B")</x:f>
        <x:v>B</x:v>
      </x:c>
      <x:c r="U300" t="str">
        <x:f>IF(RAND()&lt;'Team_Info'!$E$5,"W","B")</x:f>
        <x:v>B</x:v>
      </x:c>
    </x:row>
    <x:row r="301">
      <x:c r="A301" s="1">
        <x:v>300</x:v>
      </x:c>
      <x:c r="B301" t="str">
        <x:f>IF(RAND()&lt;'Team_Info'!$E$5,"W","B")</x:f>
        <x:v>B</x:v>
      </x:c>
      <x:c r="C301" t="str">
        <x:f>IF(RAND()&lt;'Team_Info'!$E$5,"W","B")</x:f>
        <x:v>B</x:v>
      </x:c>
      <x:c r="D301" t="str">
        <x:f>IF(RAND()&lt;'Team_Info'!$E$5,"W","B")</x:f>
        <x:v>W</x:v>
      </x:c>
      <x:c r="E301" t="str">
        <x:f>IF(RAND()&lt;'Team_Info'!$E$5,"W","B")</x:f>
        <x:v>W</x:v>
      </x:c>
      <x:c r="F301" t="str">
        <x:f>IF(RAND()&lt;'Team_Info'!$E$5,"W","B")</x:f>
        <x:v>B</x:v>
      </x:c>
      <x:c r="G301" t="str">
        <x:f>IF(RAND()&lt;'Team_Info'!$E$5,"W","B")</x:f>
        <x:v>W</x:v>
      </x:c>
      <x:c r="H301" t="str">
        <x:f>IF(RAND()&lt;'Team_Info'!$E$5,"W","B")</x:f>
        <x:v>W</x:v>
      </x:c>
      <x:c r="I301" t="str">
        <x:f>IF(RAND()&lt;'Team_Info'!$E$5,"W","B")</x:f>
        <x:v>B</x:v>
      </x:c>
      <x:c r="J301" t="str">
        <x:f>IF(RAND()&lt;'Team_Info'!$E$5,"W","B")</x:f>
        <x:v>W</x:v>
      </x:c>
      <x:c r="K301" t="str">
        <x:f>IF(RAND()&lt;'Team_Info'!$E$5,"W","B")</x:f>
        <x:v>B</x:v>
      </x:c>
      <x:c r="L301" t="str">
        <x:f>IF(RAND()&lt;'Team_Info'!$E$5,"W","B")</x:f>
        <x:v>B</x:v>
      </x:c>
      <x:c r="M301" t="str">
        <x:f>IF(RAND()&lt;'Team_Info'!$E$5,"W","B")</x:f>
        <x:v>B</x:v>
      </x:c>
      <x:c r="N301" t="str">
        <x:f>IF(RAND()&lt;'Team_Info'!$E$5,"W","B")</x:f>
        <x:v>B</x:v>
      </x:c>
      <x:c r="O301" t="str">
        <x:f>IF(RAND()&lt;'Team_Info'!$E$5,"W","B")</x:f>
        <x:v>W</x:v>
      </x:c>
      <x:c r="P301" t="str">
        <x:f>IF(RAND()&lt;'Team_Info'!$E$5,"W","B")</x:f>
        <x:v>W</x:v>
      </x:c>
      <x:c r="Q301" t="str">
        <x:f>IF(RAND()&lt;'Team_Info'!$E$5,"W","B")</x:f>
        <x:v>B</x:v>
      </x:c>
      <x:c r="R301" t="str">
        <x:f>IF(RAND()&lt;'Team_Info'!$E$5,"W","B")</x:f>
        <x:v>B</x:v>
      </x:c>
      <x:c r="S301" t="str">
        <x:f>IF(RAND()&lt;'Team_Info'!$E$5,"W","B")</x:f>
        <x:v>B</x:v>
      </x:c>
      <x:c r="T301" t="str">
        <x:f>IF(RAND()&lt;'Team_Info'!$E$5,"W","B")</x:f>
        <x:v>B</x:v>
      </x:c>
      <x:c r="U301" t="str">
        <x:f>IF(RAND()&lt;'Team_Info'!$E$5,"W","B")</x:f>
        <x:v>W</x:v>
      </x:c>
    </x:row>
    <x:row r="302">
      <x:c r="A302" s="1">
        <x:v>301</x:v>
      </x:c>
      <x:c r="B302" t="str">
        <x:f>IF(RAND()&lt;'Team_Info'!$E$5,"W","B")</x:f>
        <x:v>B</x:v>
      </x:c>
      <x:c r="C302" t="str">
        <x:f>IF(RAND()&lt;'Team_Info'!$E$5,"W","B")</x:f>
        <x:v>B</x:v>
      </x:c>
      <x:c r="D302" t="str">
        <x:f>IF(RAND()&lt;'Team_Info'!$E$5,"W","B")</x:f>
        <x:v>B</x:v>
      </x:c>
      <x:c r="E302" t="str">
        <x:f>IF(RAND()&lt;'Team_Info'!$E$5,"W","B")</x:f>
        <x:v>B</x:v>
      </x:c>
      <x:c r="F302" t="str">
        <x:f>IF(RAND()&lt;'Team_Info'!$E$5,"W","B")</x:f>
        <x:v>B</x:v>
      </x:c>
      <x:c r="G302" t="str">
        <x:f>IF(RAND()&lt;'Team_Info'!$E$5,"W","B")</x:f>
        <x:v>B</x:v>
      </x:c>
      <x:c r="H302" t="str">
        <x:f>IF(RAND()&lt;'Team_Info'!$E$5,"W","B")</x:f>
        <x:v>B</x:v>
      </x:c>
      <x:c r="I302" t="str">
        <x:f>IF(RAND()&lt;'Team_Info'!$E$5,"W","B")</x:f>
        <x:v>W</x:v>
      </x:c>
      <x:c r="J302" t="str">
        <x:f>IF(RAND()&lt;'Team_Info'!$E$5,"W","B")</x:f>
        <x:v>B</x:v>
      </x:c>
      <x:c r="K302" t="str">
        <x:f>IF(RAND()&lt;'Team_Info'!$E$5,"W","B")</x:f>
        <x:v>W</x:v>
      </x:c>
      <x:c r="L302" t="str">
        <x:f>IF(RAND()&lt;'Team_Info'!$E$5,"W","B")</x:f>
        <x:v>B</x:v>
      </x:c>
      <x:c r="M302" t="str">
        <x:f>IF(RAND()&lt;'Team_Info'!$E$5,"W","B")</x:f>
        <x:v>B</x:v>
      </x:c>
      <x:c r="N302" t="str">
        <x:f>IF(RAND()&lt;'Team_Info'!$E$5,"W","B")</x:f>
        <x:v>B</x:v>
      </x:c>
      <x:c r="O302" t="str">
        <x:f>IF(RAND()&lt;'Team_Info'!$E$5,"W","B")</x:f>
        <x:v>W</x:v>
      </x:c>
      <x:c r="P302" t="str">
        <x:f>IF(RAND()&lt;'Team_Info'!$E$5,"W","B")</x:f>
        <x:v>W</x:v>
      </x:c>
      <x:c r="Q302" t="str">
        <x:f>IF(RAND()&lt;'Team_Info'!$E$5,"W","B")</x:f>
        <x:v>B</x:v>
      </x:c>
      <x:c r="R302" t="str">
        <x:f>IF(RAND()&lt;'Team_Info'!$E$5,"W","B")</x:f>
        <x:v>B</x:v>
      </x:c>
      <x:c r="S302" t="str">
        <x:f>IF(RAND()&lt;'Team_Info'!$E$5,"W","B")</x:f>
        <x:v>W</x:v>
      </x:c>
      <x:c r="T302" t="str">
        <x:f>IF(RAND()&lt;'Team_Info'!$E$5,"W","B")</x:f>
        <x:v>B</x:v>
      </x:c>
      <x:c r="U302" t="str">
        <x:f>IF(RAND()&lt;'Team_Info'!$E$5,"W","B")</x:f>
        <x:v>B</x:v>
      </x:c>
    </x:row>
    <x:row r="303">
      <x:c r="A303" s="1">
        <x:v>302</x:v>
      </x:c>
      <x:c r="B303" t="str">
        <x:f>IF(RAND()&lt;'Team_Info'!$E$5,"W","B")</x:f>
        <x:v>B</x:v>
      </x:c>
      <x:c r="C303" t="str">
        <x:f>IF(RAND()&lt;'Team_Info'!$E$5,"W","B")</x:f>
        <x:v>W</x:v>
      </x:c>
      <x:c r="D303" t="str">
        <x:f>IF(RAND()&lt;'Team_Info'!$E$5,"W","B")</x:f>
        <x:v>W</x:v>
      </x:c>
      <x:c r="E303" t="str">
        <x:f>IF(RAND()&lt;'Team_Info'!$E$5,"W","B")</x:f>
        <x:v>W</x:v>
      </x:c>
      <x:c r="F303" t="str">
        <x:f>IF(RAND()&lt;'Team_Info'!$E$5,"W","B")</x:f>
        <x:v>B</x:v>
      </x:c>
      <x:c r="G303" t="str">
        <x:f>IF(RAND()&lt;'Team_Info'!$E$5,"W","B")</x:f>
        <x:v>B</x:v>
      </x:c>
      <x:c r="H303" t="str">
        <x:f>IF(RAND()&lt;'Team_Info'!$E$5,"W","B")</x:f>
        <x:v>B</x:v>
      </x:c>
      <x:c r="I303" t="str">
        <x:f>IF(RAND()&lt;'Team_Info'!$E$5,"W","B")</x:f>
        <x:v>B</x:v>
      </x:c>
      <x:c r="J303" t="str">
        <x:f>IF(RAND()&lt;'Team_Info'!$E$5,"W","B")</x:f>
        <x:v>B</x:v>
      </x:c>
      <x:c r="K303" t="str">
        <x:f>IF(RAND()&lt;'Team_Info'!$E$5,"W","B")</x:f>
        <x:v>B</x:v>
      </x:c>
      <x:c r="L303" t="str">
        <x:f>IF(RAND()&lt;'Team_Info'!$E$5,"W","B")</x:f>
        <x:v>B</x:v>
      </x:c>
      <x:c r="M303" t="str">
        <x:f>IF(RAND()&lt;'Team_Info'!$E$5,"W","B")</x:f>
        <x:v>B</x:v>
      </x:c>
      <x:c r="N303" t="str">
        <x:f>IF(RAND()&lt;'Team_Info'!$E$5,"W","B")</x:f>
        <x:v>W</x:v>
      </x:c>
      <x:c r="O303" t="str">
        <x:f>IF(RAND()&lt;'Team_Info'!$E$5,"W","B")</x:f>
        <x:v>B</x:v>
      </x:c>
      <x:c r="P303" t="str">
        <x:f>IF(RAND()&lt;'Team_Info'!$E$5,"W","B")</x:f>
        <x:v>B</x:v>
      </x:c>
      <x:c r="Q303" t="str">
        <x:f>IF(RAND()&lt;'Team_Info'!$E$5,"W","B")</x:f>
        <x:v>B</x:v>
      </x:c>
      <x:c r="R303" t="str">
        <x:f>IF(RAND()&lt;'Team_Info'!$E$5,"W","B")</x:f>
        <x:v>W</x:v>
      </x:c>
      <x:c r="S303" t="str">
        <x:f>IF(RAND()&lt;'Team_Info'!$E$5,"W","B")</x:f>
        <x:v>B</x:v>
      </x:c>
      <x:c r="T303" t="str">
        <x:f>IF(RAND()&lt;'Team_Info'!$E$5,"W","B")</x:f>
        <x:v>B</x:v>
      </x:c>
      <x:c r="U303" t="str">
        <x:f>IF(RAND()&lt;'Team_Info'!$E$5,"W","B")</x:f>
        <x:v>B</x:v>
      </x:c>
    </x:row>
    <x:row r="304">
      <x:c r="A304" s="1">
        <x:v>303</x:v>
      </x:c>
      <x:c r="B304" t="str">
        <x:f>IF(RAND()&lt;'Team_Info'!$E$5,"W","B")</x:f>
        <x:v>W</x:v>
      </x:c>
      <x:c r="C304" t="str">
        <x:f>IF(RAND()&lt;'Team_Info'!$E$5,"W","B")</x:f>
        <x:v>B</x:v>
      </x:c>
      <x:c r="D304" t="str">
        <x:f>IF(RAND()&lt;'Team_Info'!$E$5,"W","B")</x:f>
        <x:v>W</x:v>
      </x:c>
      <x:c r="E304" t="str">
        <x:f>IF(RAND()&lt;'Team_Info'!$E$5,"W","B")</x:f>
        <x:v>B</x:v>
      </x:c>
      <x:c r="F304" t="str">
        <x:f>IF(RAND()&lt;'Team_Info'!$E$5,"W","B")</x:f>
        <x:v>W</x:v>
      </x:c>
      <x:c r="G304" t="str">
        <x:f>IF(RAND()&lt;'Team_Info'!$E$5,"W","B")</x:f>
        <x:v>W</x:v>
      </x:c>
      <x:c r="H304" t="str">
        <x:f>IF(RAND()&lt;'Team_Info'!$E$5,"W","B")</x:f>
        <x:v>W</x:v>
      </x:c>
      <x:c r="I304" t="str">
        <x:f>IF(RAND()&lt;'Team_Info'!$E$5,"W","B")</x:f>
        <x:v>W</x:v>
      </x:c>
      <x:c r="J304" t="str">
        <x:f>IF(RAND()&lt;'Team_Info'!$E$5,"W","B")</x:f>
        <x:v>B</x:v>
      </x:c>
      <x:c r="K304" t="str">
        <x:f>IF(RAND()&lt;'Team_Info'!$E$5,"W","B")</x:f>
        <x:v>B</x:v>
      </x:c>
      <x:c r="L304" t="str">
        <x:f>IF(RAND()&lt;'Team_Info'!$E$5,"W","B")</x:f>
        <x:v>B</x:v>
      </x:c>
      <x:c r="M304" t="str">
        <x:f>IF(RAND()&lt;'Team_Info'!$E$5,"W","B")</x:f>
        <x:v>W</x:v>
      </x:c>
      <x:c r="N304" t="str">
        <x:f>IF(RAND()&lt;'Team_Info'!$E$5,"W","B")</x:f>
        <x:v>B</x:v>
      </x:c>
      <x:c r="O304" t="str">
        <x:f>IF(RAND()&lt;'Team_Info'!$E$5,"W","B")</x:f>
        <x:v>B</x:v>
      </x:c>
      <x:c r="P304" t="str">
        <x:f>IF(RAND()&lt;'Team_Info'!$E$5,"W","B")</x:f>
        <x:v>W</x:v>
      </x:c>
      <x:c r="Q304" t="str">
        <x:f>IF(RAND()&lt;'Team_Info'!$E$5,"W","B")</x:f>
        <x:v>W</x:v>
      </x:c>
      <x:c r="R304" t="str">
        <x:f>IF(RAND()&lt;'Team_Info'!$E$5,"W","B")</x:f>
        <x:v>B</x:v>
      </x:c>
      <x:c r="S304" t="str">
        <x:f>IF(RAND()&lt;'Team_Info'!$E$5,"W","B")</x:f>
        <x:v>W</x:v>
      </x:c>
      <x:c r="T304" t="str">
        <x:f>IF(RAND()&lt;'Team_Info'!$E$5,"W","B")</x:f>
        <x:v>B</x:v>
      </x:c>
      <x:c r="U304" t="str">
        <x:f>IF(RAND()&lt;'Team_Info'!$E$5,"W","B")</x:f>
        <x:v>B</x:v>
      </x:c>
    </x:row>
    <x:row r="305">
      <x:c r="A305" s="1">
        <x:v>304</x:v>
      </x:c>
      <x:c r="B305" t="str">
        <x:f>IF(RAND()&lt;'Team_Info'!$E$5,"W","B")</x:f>
        <x:v>B</x:v>
      </x:c>
      <x:c r="C305" t="str">
        <x:f>IF(RAND()&lt;'Team_Info'!$E$5,"W","B")</x:f>
        <x:v>B</x:v>
      </x:c>
      <x:c r="D305" t="str">
        <x:f>IF(RAND()&lt;'Team_Info'!$E$5,"W","B")</x:f>
        <x:v>B</x:v>
      </x:c>
      <x:c r="E305" t="str">
        <x:f>IF(RAND()&lt;'Team_Info'!$E$5,"W","B")</x:f>
        <x:v>W</x:v>
      </x:c>
      <x:c r="F305" t="str">
        <x:f>IF(RAND()&lt;'Team_Info'!$E$5,"W","B")</x:f>
        <x:v>W</x:v>
      </x:c>
      <x:c r="G305" t="str">
        <x:f>IF(RAND()&lt;'Team_Info'!$E$5,"W","B")</x:f>
        <x:v>B</x:v>
      </x:c>
      <x:c r="H305" t="str">
        <x:f>IF(RAND()&lt;'Team_Info'!$E$5,"W","B")</x:f>
        <x:v>W</x:v>
      </x:c>
      <x:c r="I305" t="str">
        <x:f>IF(RAND()&lt;'Team_Info'!$E$5,"W","B")</x:f>
        <x:v>W</x:v>
      </x:c>
      <x:c r="J305" t="str">
        <x:f>IF(RAND()&lt;'Team_Info'!$E$5,"W","B")</x:f>
        <x:v>W</x:v>
      </x:c>
      <x:c r="K305" t="str">
        <x:f>IF(RAND()&lt;'Team_Info'!$E$5,"W","B")</x:f>
        <x:v>W</x:v>
      </x:c>
      <x:c r="L305" t="str">
        <x:f>IF(RAND()&lt;'Team_Info'!$E$5,"W","B")</x:f>
        <x:v>B</x:v>
      </x:c>
      <x:c r="M305" t="str">
        <x:f>IF(RAND()&lt;'Team_Info'!$E$5,"W","B")</x:f>
        <x:v>B</x:v>
      </x:c>
      <x:c r="N305" t="str">
        <x:f>IF(RAND()&lt;'Team_Info'!$E$5,"W","B")</x:f>
        <x:v>W</x:v>
      </x:c>
      <x:c r="O305" t="str">
        <x:f>IF(RAND()&lt;'Team_Info'!$E$5,"W","B")</x:f>
        <x:v>B</x:v>
      </x:c>
      <x:c r="P305" t="str">
        <x:f>IF(RAND()&lt;'Team_Info'!$E$5,"W","B")</x:f>
        <x:v>B</x:v>
      </x:c>
      <x:c r="Q305" t="str">
        <x:f>IF(RAND()&lt;'Team_Info'!$E$5,"W","B")</x:f>
        <x:v>B</x:v>
      </x:c>
      <x:c r="R305" t="str">
        <x:f>IF(RAND()&lt;'Team_Info'!$E$5,"W","B")</x:f>
        <x:v>W</x:v>
      </x:c>
      <x:c r="S305" t="str">
        <x:f>IF(RAND()&lt;'Team_Info'!$E$5,"W","B")</x:f>
        <x:v>B</x:v>
      </x:c>
      <x:c r="T305" t="str">
        <x:f>IF(RAND()&lt;'Team_Info'!$E$5,"W","B")</x:f>
        <x:v>W</x:v>
      </x:c>
      <x:c r="U305" t="str">
        <x:f>IF(RAND()&lt;'Team_Info'!$E$5,"W","B")</x:f>
        <x:v>B</x:v>
      </x:c>
    </x:row>
    <x:row r="306">
      <x:c r="A306" s="1">
        <x:v>305</x:v>
      </x:c>
      <x:c r="B306" t="str">
        <x:f>IF(RAND()&lt;'Team_Info'!$E$5,"W","B")</x:f>
        <x:v>W</x:v>
      </x:c>
      <x:c r="C306" t="str">
        <x:f>IF(RAND()&lt;'Team_Info'!$E$5,"W","B")</x:f>
        <x:v>W</x:v>
      </x:c>
      <x:c r="D306" t="str">
        <x:f>IF(RAND()&lt;'Team_Info'!$E$5,"W","B")</x:f>
        <x:v>B</x:v>
      </x:c>
      <x:c r="E306" t="str">
        <x:f>IF(RAND()&lt;'Team_Info'!$E$5,"W","B")</x:f>
        <x:v>W</x:v>
      </x:c>
      <x:c r="F306" t="str">
        <x:f>IF(RAND()&lt;'Team_Info'!$E$5,"W","B")</x:f>
        <x:v>B</x:v>
      </x:c>
      <x:c r="G306" t="str">
        <x:f>IF(RAND()&lt;'Team_Info'!$E$5,"W","B")</x:f>
        <x:v>W</x:v>
      </x:c>
      <x:c r="H306" t="str">
        <x:f>IF(RAND()&lt;'Team_Info'!$E$5,"W","B")</x:f>
        <x:v>B</x:v>
      </x:c>
      <x:c r="I306" t="str">
        <x:f>IF(RAND()&lt;'Team_Info'!$E$5,"W","B")</x:f>
        <x:v>B</x:v>
      </x:c>
      <x:c r="J306" t="str">
        <x:f>IF(RAND()&lt;'Team_Info'!$E$5,"W","B")</x:f>
        <x:v>W</x:v>
      </x:c>
      <x:c r="K306" t="str">
        <x:f>IF(RAND()&lt;'Team_Info'!$E$5,"W","B")</x:f>
        <x:v>W</x:v>
      </x:c>
      <x:c r="L306" t="str">
        <x:f>IF(RAND()&lt;'Team_Info'!$E$5,"W","B")</x:f>
        <x:v>B</x:v>
      </x:c>
      <x:c r="M306" t="str">
        <x:f>IF(RAND()&lt;'Team_Info'!$E$5,"W","B")</x:f>
        <x:v>W</x:v>
      </x:c>
      <x:c r="N306" t="str">
        <x:f>IF(RAND()&lt;'Team_Info'!$E$5,"W","B")</x:f>
        <x:v>W</x:v>
      </x:c>
      <x:c r="O306" t="str">
        <x:f>IF(RAND()&lt;'Team_Info'!$E$5,"W","B")</x:f>
        <x:v>B</x:v>
      </x:c>
      <x:c r="P306" t="str">
        <x:f>IF(RAND()&lt;'Team_Info'!$E$5,"W","B")</x:f>
        <x:v>B</x:v>
      </x:c>
      <x:c r="Q306" t="str">
        <x:f>IF(RAND()&lt;'Team_Info'!$E$5,"W","B")</x:f>
        <x:v>W</x:v>
      </x:c>
      <x:c r="R306" t="str">
        <x:f>IF(RAND()&lt;'Team_Info'!$E$5,"W","B")</x:f>
        <x:v>B</x:v>
      </x:c>
      <x:c r="S306" t="str">
        <x:f>IF(RAND()&lt;'Team_Info'!$E$5,"W","B")</x:f>
        <x:v>W</x:v>
      </x:c>
      <x:c r="T306" t="str">
        <x:f>IF(RAND()&lt;'Team_Info'!$E$5,"W","B")</x:f>
        <x:v>B</x:v>
      </x:c>
      <x:c r="U306" t="str">
        <x:f>IF(RAND()&lt;'Team_Info'!$E$5,"W","B")</x:f>
        <x:v>B</x:v>
      </x:c>
    </x:row>
    <x:row r="307">
      <x:c r="A307" s="1">
        <x:v>306</x:v>
      </x:c>
      <x:c r="B307" t="str">
        <x:f>IF(RAND()&lt;'Team_Info'!$E$5,"W","B")</x:f>
        <x:v>B</x:v>
      </x:c>
      <x:c r="C307" t="str">
        <x:f>IF(RAND()&lt;'Team_Info'!$E$5,"W","B")</x:f>
        <x:v>B</x:v>
      </x:c>
      <x:c r="D307" t="str">
        <x:f>IF(RAND()&lt;'Team_Info'!$E$5,"W","B")</x:f>
        <x:v>W</x:v>
      </x:c>
      <x:c r="E307" t="str">
        <x:f>IF(RAND()&lt;'Team_Info'!$E$5,"W","B")</x:f>
        <x:v>B</x:v>
      </x:c>
      <x:c r="F307" t="str">
        <x:f>IF(RAND()&lt;'Team_Info'!$E$5,"W","B")</x:f>
        <x:v>B</x:v>
      </x:c>
      <x:c r="G307" t="str">
        <x:f>IF(RAND()&lt;'Team_Info'!$E$5,"W","B")</x:f>
        <x:v>B</x:v>
      </x:c>
      <x:c r="H307" t="str">
        <x:f>IF(RAND()&lt;'Team_Info'!$E$5,"W","B")</x:f>
        <x:v>B</x:v>
      </x:c>
      <x:c r="I307" t="str">
        <x:f>IF(RAND()&lt;'Team_Info'!$E$5,"W","B")</x:f>
        <x:v>B</x:v>
      </x:c>
      <x:c r="J307" t="str">
        <x:f>IF(RAND()&lt;'Team_Info'!$E$5,"W","B")</x:f>
        <x:v>B</x:v>
      </x:c>
      <x:c r="K307" t="str">
        <x:f>IF(RAND()&lt;'Team_Info'!$E$5,"W","B")</x:f>
        <x:v>W</x:v>
      </x:c>
      <x:c r="L307" t="str">
        <x:f>IF(RAND()&lt;'Team_Info'!$E$5,"W","B")</x:f>
        <x:v>W</x:v>
      </x:c>
      <x:c r="M307" t="str">
        <x:f>IF(RAND()&lt;'Team_Info'!$E$5,"W","B")</x:f>
        <x:v>B</x:v>
      </x:c>
      <x:c r="N307" t="str">
        <x:f>IF(RAND()&lt;'Team_Info'!$E$5,"W","B")</x:f>
        <x:v>W</x:v>
      </x:c>
      <x:c r="O307" t="str">
        <x:f>IF(RAND()&lt;'Team_Info'!$E$5,"W","B")</x:f>
        <x:v>W</x:v>
      </x:c>
      <x:c r="P307" t="str">
        <x:f>IF(RAND()&lt;'Team_Info'!$E$5,"W","B")</x:f>
        <x:v>W</x:v>
      </x:c>
      <x:c r="Q307" t="str">
        <x:f>IF(RAND()&lt;'Team_Info'!$E$5,"W","B")</x:f>
        <x:v>B</x:v>
      </x:c>
      <x:c r="R307" t="str">
        <x:f>IF(RAND()&lt;'Team_Info'!$E$5,"W","B")</x:f>
        <x:v>B</x:v>
      </x:c>
      <x:c r="S307" t="str">
        <x:f>IF(RAND()&lt;'Team_Info'!$E$5,"W","B")</x:f>
        <x:v>B</x:v>
      </x:c>
      <x:c r="T307" t="str">
        <x:f>IF(RAND()&lt;'Team_Info'!$E$5,"W","B")</x:f>
        <x:v>B</x:v>
      </x:c>
      <x:c r="U307" t="str">
        <x:f>IF(RAND()&lt;'Team_Info'!$E$5,"W","B")</x:f>
        <x:v>B</x:v>
      </x:c>
    </x:row>
    <x:row r="308">
      <x:c r="A308" s="1">
        <x:v>307</x:v>
      </x:c>
      <x:c r="B308" t="str">
        <x:f>IF(RAND()&lt;'Team_Info'!$E$5,"W","B")</x:f>
        <x:v>B</x:v>
      </x:c>
      <x:c r="C308" t="str">
        <x:f>IF(RAND()&lt;'Team_Info'!$E$5,"W","B")</x:f>
        <x:v>B</x:v>
      </x:c>
      <x:c r="D308" t="str">
        <x:f>IF(RAND()&lt;'Team_Info'!$E$5,"W","B")</x:f>
        <x:v>W</x:v>
      </x:c>
      <x:c r="E308" t="str">
        <x:f>IF(RAND()&lt;'Team_Info'!$E$5,"W","B")</x:f>
        <x:v>B</x:v>
      </x:c>
      <x:c r="F308" t="str">
        <x:f>IF(RAND()&lt;'Team_Info'!$E$5,"W","B")</x:f>
        <x:v>B</x:v>
      </x:c>
      <x:c r="G308" t="str">
        <x:f>IF(RAND()&lt;'Team_Info'!$E$5,"W","B")</x:f>
        <x:v>W</x:v>
      </x:c>
      <x:c r="H308" t="str">
        <x:f>IF(RAND()&lt;'Team_Info'!$E$5,"W","B")</x:f>
        <x:v>W</x:v>
      </x:c>
      <x:c r="I308" t="str">
        <x:f>IF(RAND()&lt;'Team_Info'!$E$5,"W","B")</x:f>
        <x:v>B</x:v>
      </x:c>
      <x:c r="J308" t="str">
        <x:f>IF(RAND()&lt;'Team_Info'!$E$5,"W","B")</x:f>
        <x:v>B</x:v>
      </x:c>
      <x:c r="K308" t="str">
        <x:f>IF(RAND()&lt;'Team_Info'!$E$5,"W","B")</x:f>
        <x:v>W</x:v>
      </x:c>
      <x:c r="L308" t="str">
        <x:f>IF(RAND()&lt;'Team_Info'!$E$5,"W","B")</x:f>
        <x:v>W</x:v>
      </x:c>
      <x:c r="M308" t="str">
        <x:f>IF(RAND()&lt;'Team_Info'!$E$5,"W","B")</x:f>
        <x:v>B</x:v>
      </x:c>
      <x:c r="N308" t="str">
        <x:f>IF(RAND()&lt;'Team_Info'!$E$5,"W","B")</x:f>
        <x:v>B</x:v>
      </x:c>
      <x:c r="O308" t="str">
        <x:f>IF(RAND()&lt;'Team_Info'!$E$5,"W","B")</x:f>
        <x:v>W</x:v>
      </x:c>
      <x:c r="P308" t="str">
        <x:f>IF(RAND()&lt;'Team_Info'!$E$5,"W","B")</x:f>
        <x:v>W</x:v>
      </x:c>
      <x:c r="Q308" t="str">
        <x:f>IF(RAND()&lt;'Team_Info'!$E$5,"W","B")</x:f>
        <x:v>B</x:v>
      </x:c>
      <x:c r="R308" t="str">
        <x:f>IF(RAND()&lt;'Team_Info'!$E$5,"W","B")</x:f>
        <x:v>W</x:v>
      </x:c>
      <x:c r="S308" t="str">
        <x:f>IF(RAND()&lt;'Team_Info'!$E$5,"W","B")</x:f>
        <x:v>B</x:v>
      </x:c>
      <x:c r="T308" t="str">
        <x:f>IF(RAND()&lt;'Team_Info'!$E$5,"W","B")</x:f>
        <x:v>W</x:v>
      </x:c>
      <x:c r="U308" t="str">
        <x:f>IF(RAND()&lt;'Team_Info'!$E$5,"W","B")</x:f>
        <x:v>B</x:v>
      </x:c>
    </x:row>
    <x:row r="309">
      <x:c r="A309" s="1">
        <x:v>308</x:v>
      </x:c>
      <x:c r="B309" t="str">
        <x:f>IF(RAND()&lt;'Team_Info'!$E$5,"W","B")</x:f>
        <x:v>B</x:v>
      </x:c>
      <x:c r="C309" t="str">
        <x:f>IF(RAND()&lt;'Team_Info'!$E$5,"W","B")</x:f>
        <x:v>B</x:v>
      </x:c>
      <x:c r="D309" t="str">
        <x:f>IF(RAND()&lt;'Team_Info'!$E$5,"W","B")</x:f>
        <x:v>B</x:v>
      </x:c>
      <x:c r="E309" t="str">
        <x:f>IF(RAND()&lt;'Team_Info'!$E$5,"W","B")</x:f>
        <x:v>B</x:v>
      </x:c>
      <x:c r="F309" t="str">
        <x:f>IF(RAND()&lt;'Team_Info'!$E$5,"W","B")</x:f>
        <x:v>B</x:v>
      </x:c>
      <x:c r="G309" t="str">
        <x:f>IF(RAND()&lt;'Team_Info'!$E$5,"W","B")</x:f>
        <x:v>W</x:v>
      </x:c>
      <x:c r="H309" t="str">
        <x:f>IF(RAND()&lt;'Team_Info'!$E$5,"W","B")</x:f>
        <x:v>B</x:v>
      </x:c>
      <x:c r="I309" t="str">
        <x:f>IF(RAND()&lt;'Team_Info'!$E$5,"W","B")</x:f>
        <x:v>B</x:v>
      </x:c>
      <x:c r="J309" t="str">
        <x:f>IF(RAND()&lt;'Team_Info'!$E$5,"W","B")</x:f>
        <x:v>B</x:v>
      </x:c>
      <x:c r="K309" t="str">
        <x:f>IF(RAND()&lt;'Team_Info'!$E$5,"W","B")</x:f>
        <x:v>B</x:v>
      </x:c>
      <x:c r="L309" t="str">
        <x:f>IF(RAND()&lt;'Team_Info'!$E$5,"W","B")</x:f>
        <x:v>B</x:v>
      </x:c>
      <x:c r="M309" t="str">
        <x:f>IF(RAND()&lt;'Team_Info'!$E$5,"W","B")</x:f>
        <x:v>B</x:v>
      </x:c>
      <x:c r="N309" t="str">
        <x:f>IF(RAND()&lt;'Team_Info'!$E$5,"W","B")</x:f>
        <x:v>B</x:v>
      </x:c>
      <x:c r="O309" t="str">
        <x:f>IF(RAND()&lt;'Team_Info'!$E$5,"W","B")</x:f>
        <x:v>W</x:v>
      </x:c>
      <x:c r="P309" t="str">
        <x:f>IF(RAND()&lt;'Team_Info'!$E$5,"W","B")</x:f>
        <x:v>B</x:v>
      </x:c>
      <x:c r="Q309" t="str">
        <x:f>IF(RAND()&lt;'Team_Info'!$E$5,"W","B")</x:f>
        <x:v>W</x:v>
      </x:c>
      <x:c r="R309" t="str">
        <x:f>IF(RAND()&lt;'Team_Info'!$E$5,"W","B")</x:f>
        <x:v>W</x:v>
      </x:c>
      <x:c r="S309" t="str">
        <x:f>IF(RAND()&lt;'Team_Info'!$E$5,"W","B")</x:f>
        <x:v>B</x:v>
      </x:c>
      <x:c r="T309" t="str">
        <x:f>IF(RAND()&lt;'Team_Info'!$E$5,"W","B")</x:f>
        <x:v>B</x:v>
      </x:c>
      <x:c r="U309" t="str">
        <x:f>IF(RAND()&lt;'Team_Info'!$E$5,"W","B")</x:f>
        <x:v>W</x:v>
      </x:c>
    </x:row>
    <x:row r="310">
      <x:c r="A310" s="1">
        <x:v>309</x:v>
      </x:c>
      <x:c r="B310" t="str">
        <x:f>IF(RAND()&lt;'Team_Info'!$E$5,"W","B")</x:f>
        <x:v>B</x:v>
      </x:c>
      <x:c r="C310" t="str">
        <x:f>IF(RAND()&lt;'Team_Info'!$E$5,"W","B")</x:f>
        <x:v>W</x:v>
      </x:c>
      <x:c r="D310" t="str">
        <x:f>IF(RAND()&lt;'Team_Info'!$E$5,"W","B")</x:f>
        <x:v>W</x:v>
      </x:c>
      <x:c r="E310" t="str">
        <x:f>IF(RAND()&lt;'Team_Info'!$E$5,"W","B")</x:f>
        <x:v>W</x:v>
      </x:c>
      <x:c r="F310" t="str">
        <x:f>IF(RAND()&lt;'Team_Info'!$E$5,"W","B")</x:f>
        <x:v>W</x:v>
      </x:c>
      <x:c r="G310" t="str">
        <x:f>IF(RAND()&lt;'Team_Info'!$E$5,"W","B")</x:f>
        <x:v>B</x:v>
      </x:c>
      <x:c r="H310" t="str">
        <x:f>IF(RAND()&lt;'Team_Info'!$E$5,"W","B")</x:f>
        <x:v>B</x:v>
      </x:c>
      <x:c r="I310" t="str">
        <x:f>IF(RAND()&lt;'Team_Info'!$E$5,"W","B")</x:f>
        <x:v>B</x:v>
      </x:c>
      <x:c r="J310" t="str">
        <x:f>IF(RAND()&lt;'Team_Info'!$E$5,"W","B")</x:f>
        <x:v>W</x:v>
      </x:c>
      <x:c r="K310" t="str">
        <x:f>IF(RAND()&lt;'Team_Info'!$E$5,"W","B")</x:f>
        <x:v>B</x:v>
      </x:c>
      <x:c r="L310" t="str">
        <x:f>IF(RAND()&lt;'Team_Info'!$E$5,"W","B")</x:f>
        <x:v>W</x:v>
      </x:c>
      <x:c r="M310" t="str">
        <x:f>IF(RAND()&lt;'Team_Info'!$E$5,"W","B")</x:f>
        <x:v>B</x:v>
      </x:c>
      <x:c r="N310" t="str">
        <x:f>IF(RAND()&lt;'Team_Info'!$E$5,"W","B")</x:f>
        <x:v>B</x:v>
      </x:c>
      <x:c r="O310" t="str">
        <x:f>IF(RAND()&lt;'Team_Info'!$E$5,"W","B")</x:f>
        <x:v>B</x:v>
      </x:c>
      <x:c r="P310" t="str">
        <x:f>IF(RAND()&lt;'Team_Info'!$E$5,"W","B")</x:f>
        <x:v>B</x:v>
      </x:c>
      <x:c r="Q310" t="str">
        <x:f>IF(RAND()&lt;'Team_Info'!$E$5,"W","B")</x:f>
        <x:v>W</x:v>
      </x:c>
      <x:c r="R310" t="str">
        <x:f>IF(RAND()&lt;'Team_Info'!$E$5,"W","B")</x:f>
        <x:v>B</x:v>
      </x:c>
      <x:c r="S310" t="str">
        <x:f>IF(RAND()&lt;'Team_Info'!$E$5,"W","B")</x:f>
        <x:v>B</x:v>
      </x:c>
      <x:c r="T310" t="str">
        <x:f>IF(RAND()&lt;'Team_Info'!$E$5,"W","B")</x:f>
        <x:v>B</x:v>
      </x:c>
      <x:c r="U310" t="str">
        <x:f>IF(RAND()&lt;'Team_Info'!$E$5,"W","B")</x:f>
        <x:v>W</x:v>
      </x:c>
    </x:row>
    <x:row r="311">
      <x:c r="A311" s="1">
        <x:v>310</x:v>
      </x:c>
      <x:c r="B311" t="str">
        <x:f>IF(RAND()&lt;'Team_Info'!$E$5,"W","B")</x:f>
        <x:v>W</x:v>
      </x:c>
      <x:c r="C311" t="str">
        <x:f>IF(RAND()&lt;'Team_Info'!$E$5,"W","B")</x:f>
        <x:v>B</x:v>
      </x:c>
      <x:c r="D311" t="str">
        <x:f>IF(RAND()&lt;'Team_Info'!$E$5,"W","B")</x:f>
        <x:v>B</x:v>
      </x:c>
      <x:c r="E311" t="str">
        <x:f>IF(RAND()&lt;'Team_Info'!$E$5,"W","B")</x:f>
        <x:v>B</x:v>
      </x:c>
      <x:c r="F311" t="str">
        <x:f>IF(RAND()&lt;'Team_Info'!$E$5,"W","B")</x:f>
        <x:v>W</x:v>
      </x:c>
      <x:c r="G311" t="str">
        <x:f>IF(RAND()&lt;'Team_Info'!$E$5,"W","B")</x:f>
        <x:v>B</x:v>
      </x:c>
      <x:c r="H311" t="str">
        <x:f>IF(RAND()&lt;'Team_Info'!$E$5,"W","B")</x:f>
        <x:v>W</x:v>
      </x:c>
      <x:c r="I311" t="str">
        <x:f>IF(RAND()&lt;'Team_Info'!$E$5,"W","B")</x:f>
        <x:v>B</x:v>
      </x:c>
      <x:c r="J311" t="str">
        <x:f>IF(RAND()&lt;'Team_Info'!$E$5,"W","B")</x:f>
        <x:v>B</x:v>
      </x:c>
      <x:c r="K311" t="str">
        <x:f>IF(RAND()&lt;'Team_Info'!$E$5,"W","B")</x:f>
        <x:v>B</x:v>
      </x:c>
      <x:c r="L311" t="str">
        <x:f>IF(RAND()&lt;'Team_Info'!$E$5,"W","B")</x:f>
        <x:v>B</x:v>
      </x:c>
      <x:c r="M311" t="str">
        <x:f>IF(RAND()&lt;'Team_Info'!$E$5,"W","B")</x:f>
        <x:v>B</x:v>
      </x:c>
      <x:c r="N311" t="str">
        <x:f>IF(RAND()&lt;'Team_Info'!$E$5,"W","B")</x:f>
        <x:v>W</x:v>
      </x:c>
      <x:c r="O311" t="str">
        <x:f>IF(RAND()&lt;'Team_Info'!$E$5,"W","B")</x:f>
        <x:v>W</x:v>
      </x:c>
      <x:c r="P311" t="str">
        <x:f>IF(RAND()&lt;'Team_Info'!$E$5,"W","B")</x:f>
        <x:v>B</x:v>
      </x:c>
      <x:c r="Q311" t="str">
        <x:f>IF(RAND()&lt;'Team_Info'!$E$5,"W","B")</x:f>
        <x:v>B</x:v>
      </x:c>
      <x:c r="R311" t="str">
        <x:f>IF(RAND()&lt;'Team_Info'!$E$5,"W","B")</x:f>
        <x:v>B</x:v>
      </x:c>
      <x:c r="S311" t="str">
        <x:f>IF(RAND()&lt;'Team_Info'!$E$5,"W","B")</x:f>
        <x:v>W</x:v>
      </x:c>
      <x:c r="T311" t="str">
        <x:f>IF(RAND()&lt;'Team_Info'!$E$5,"W","B")</x:f>
        <x:v>B</x:v>
      </x:c>
      <x:c r="U311" t="str">
        <x:f>IF(RAND()&lt;'Team_Info'!$E$5,"W","B")</x:f>
        <x:v>B</x:v>
      </x:c>
    </x:row>
    <x:row r="312">
      <x:c r="A312" s="1">
        <x:v>311</x:v>
      </x:c>
      <x:c r="B312" t="str">
        <x:f>IF(RAND()&lt;'Team_Info'!$E$5,"W","B")</x:f>
        <x:v>W</x:v>
      </x:c>
      <x:c r="C312" t="str">
        <x:f>IF(RAND()&lt;'Team_Info'!$E$5,"W","B")</x:f>
        <x:v>W</x:v>
      </x:c>
      <x:c r="D312" t="str">
        <x:f>IF(RAND()&lt;'Team_Info'!$E$5,"W","B")</x:f>
        <x:v>B</x:v>
      </x:c>
      <x:c r="E312" t="str">
        <x:f>IF(RAND()&lt;'Team_Info'!$E$5,"W","B")</x:f>
        <x:v>B</x:v>
      </x:c>
      <x:c r="F312" t="str">
        <x:f>IF(RAND()&lt;'Team_Info'!$E$5,"W","B")</x:f>
        <x:v>B</x:v>
      </x:c>
      <x:c r="G312" t="str">
        <x:f>IF(RAND()&lt;'Team_Info'!$E$5,"W","B")</x:f>
        <x:v>B</x:v>
      </x:c>
      <x:c r="H312" t="str">
        <x:f>IF(RAND()&lt;'Team_Info'!$E$5,"W","B")</x:f>
        <x:v>B</x:v>
      </x:c>
      <x:c r="I312" t="str">
        <x:f>IF(RAND()&lt;'Team_Info'!$E$5,"W","B")</x:f>
        <x:v>B</x:v>
      </x:c>
      <x:c r="J312" t="str">
        <x:f>IF(RAND()&lt;'Team_Info'!$E$5,"W","B")</x:f>
        <x:v>B</x:v>
      </x:c>
      <x:c r="K312" t="str">
        <x:f>IF(RAND()&lt;'Team_Info'!$E$5,"W","B")</x:f>
        <x:v>W</x:v>
      </x:c>
      <x:c r="L312" t="str">
        <x:f>IF(RAND()&lt;'Team_Info'!$E$5,"W","B")</x:f>
        <x:v>B</x:v>
      </x:c>
      <x:c r="M312" t="str">
        <x:f>IF(RAND()&lt;'Team_Info'!$E$5,"W","B")</x:f>
        <x:v>B</x:v>
      </x:c>
      <x:c r="N312" t="str">
        <x:f>IF(RAND()&lt;'Team_Info'!$E$5,"W","B")</x:f>
        <x:v>B</x:v>
      </x:c>
      <x:c r="O312" t="str">
        <x:f>IF(RAND()&lt;'Team_Info'!$E$5,"W","B")</x:f>
        <x:v>B</x:v>
      </x:c>
      <x:c r="P312" t="str">
        <x:f>IF(RAND()&lt;'Team_Info'!$E$5,"W","B")</x:f>
        <x:v>B</x:v>
      </x:c>
      <x:c r="Q312" t="str">
        <x:f>IF(RAND()&lt;'Team_Info'!$E$5,"W","B")</x:f>
        <x:v>B</x:v>
      </x:c>
      <x:c r="R312" t="str">
        <x:f>IF(RAND()&lt;'Team_Info'!$E$5,"W","B")</x:f>
        <x:v>B</x:v>
      </x:c>
      <x:c r="S312" t="str">
        <x:f>IF(RAND()&lt;'Team_Info'!$E$5,"W","B")</x:f>
        <x:v>W</x:v>
      </x:c>
      <x:c r="T312" t="str">
        <x:f>IF(RAND()&lt;'Team_Info'!$E$5,"W","B")</x:f>
        <x:v>B</x:v>
      </x:c>
      <x:c r="U312" t="str">
        <x:f>IF(RAND()&lt;'Team_Info'!$E$5,"W","B")</x:f>
        <x:v>B</x:v>
      </x:c>
    </x:row>
    <x:row r="313">
      <x:c r="A313" s="1">
        <x:v>312</x:v>
      </x:c>
      <x:c r="B313" t="str">
        <x:f>IF(RAND()&lt;'Team_Info'!$E$5,"W","B")</x:f>
        <x:v>B</x:v>
      </x:c>
      <x:c r="C313" t="str">
        <x:f>IF(RAND()&lt;'Team_Info'!$E$5,"W","B")</x:f>
        <x:v>B</x:v>
      </x:c>
      <x:c r="D313" t="str">
        <x:f>IF(RAND()&lt;'Team_Info'!$E$5,"W","B")</x:f>
        <x:v>B</x:v>
      </x:c>
      <x:c r="E313" t="str">
        <x:f>IF(RAND()&lt;'Team_Info'!$E$5,"W","B")</x:f>
        <x:v>B</x:v>
      </x:c>
      <x:c r="F313" t="str">
        <x:f>IF(RAND()&lt;'Team_Info'!$E$5,"W","B")</x:f>
        <x:v>B</x:v>
      </x:c>
      <x:c r="G313" t="str">
        <x:f>IF(RAND()&lt;'Team_Info'!$E$5,"W","B")</x:f>
        <x:v>W</x:v>
      </x:c>
      <x:c r="H313" t="str">
        <x:f>IF(RAND()&lt;'Team_Info'!$E$5,"W","B")</x:f>
        <x:v>B</x:v>
      </x:c>
      <x:c r="I313" t="str">
        <x:f>IF(RAND()&lt;'Team_Info'!$E$5,"W","B")</x:f>
        <x:v>B</x:v>
      </x:c>
      <x:c r="J313" t="str">
        <x:f>IF(RAND()&lt;'Team_Info'!$E$5,"W","B")</x:f>
        <x:v>W</x:v>
      </x:c>
      <x:c r="K313" t="str">
        <x:f>IF(RAND()&lt;'Team_Info'!$E$5,"W","B")</x:f>
        <x:v>W</x:v>
      </x:c>
      <x:c r="L313" t="str">
        <x:f>IF(RAND()&lt;'Team_Info'!$E$5,"W","B")</x:f>
        <x:v>W</x:v>
      </x:c>
      <x:c r="M313" t="str">
        <x:f>IF(RAND()&lt;'Team_Info'!$E$5,"W","B")</x:f>
        <x:v>W</x:v>
      </x:c>
      <x:c r="N313" t="str">
        <x:f>IF(RAND()&lt;'Team_Info'!$E$5,"W","B")</x:f>
        <x:v>B</x:v>
      </x:c>
      <x:c r="O313" t="str">
        <x:f>IF(RAND()&lt;'Team_Info'!$E$5,"W","B")</x:f>
        <x:v>B</x:v>
      </x:c>
      <x:c r="P313" t="str">
        <x:f>IF(RAND()&lt;'Team_Info'!$E$5,"W","B")</x:f>
        <x:v>B</x:v>
      </x:c>
      <x:c r="Q313" t="str">
        <x:f>IF(RAND()&lt;'Team_Info'!$E$5,"W","B")</x:f>
        <x:v>B</x:v>
      </x:c>
      <x:c r="R313" t="str">
        <x:f>IF(RAND()&lt;'Team_Info'!$E$5,"W","B")</x:f>
        <x:v>B</x:v>
      </x:c>
      <x:c r="S313" t="str">
        <x:f>IF(RAND()&lt;'Team_Info'!$E$5,"W","B")</x:f>
        <x:v>W</x:v>
      </x:c>
      <x:c r="T313" t="str">
        <x:f>IF(RAND()&lt;'Team_Info'!$E$5,"W","B")</x:f>
        <x:v>W</x:v>
      </x:c>
      <x:c r="U313" t="str">
        <x:f>IF(RAND()&lt;'Team_Info'!$E$5,"W","B")</x:f>
        <x:v>B</x:v>
      </x:c>
    </x:row>
    <x:row r="314">
      <x:c r="A314" s="1">
        <x:v>313</x:v>
      </x:c>
      <x:c r="B314" t="str">
        <x:f>IF(RAND()&lt;'Team_Info'!$E$5,"W","B")</x:f>
        <x:v>B</x:v>
      </x:c>
      <x:c r="C314" t="str">
        <x:f>IF(RAND()&lt;'Team_Info'!$E$5,"W","B")</x:f>
        <x:v>W</x:v>
      </x:c>
      <x:c r="D314" t="str">
        <x:f>IF(RAND()&lt;'Team_Info'!$E$5,"W","B")</x:f>
        <x:v>B</x:v>
      </x:c>
      <x:c r="E314" t="str">
        <x:f>IF(RAND()&lt;'Team_Info'!$E$5,"W","B")</x:f>
        <x:v>B</x:v>
      </x:c>
      <x:c r="F314" t="str">
        <x:f>IF(RAND()&lt;'Team_Info'!$E$5,"W","B")</x:f>
        <x:v>W</x:v>
      </x:c>
      <x:c r="G314" t="str">
        <x:f>IF(RAND()&lt;'Team_Info'!$E$5,"W","B")</x:f>
        <x:v>W</x:v>
      </x:c>
      <x:c r="H314" t="str">
        <x:f>IF(RAND()&lt;'Team_Info'!$E$5,"W","B")</x:f>
        <x:v>B</x:v>
      </x:c>
      <x:c r="I314" t="str">
        <x:f>IF(RAND()&lt;'Team_Info'!$E$5,"W","B")</x:f>
        <x:v>W</x:v>
      </x:c>
      <x:c r="J314" t="str">
        <x:f>IF(RAND()&lt;'Team_Info'!$E$5,"W","B")</x:f>
        <x:v>W</x:v>
      </x:c>
      <x:c r="K314" t="str">
        <x:f>IF(RAND()&lt;'Team_Info'!$E$5,"W","B")</x:f>
        <x:v>B</x:v>
      </x:c>
      <x:c r="L314" t="str">
        <x:f>IF(RAND()&lt;'Team_Info'!$E$5,"W","B")</x:f>
        <x:v>W</x:v>
      </x:c>
      <x:c r="M314" t="str">
        <x:f>IF(RAND()&lt;'Team_Info'!$E$5,"W","B")</x:f>
        <x:v>B</x:v>
      </x:c>
      <x:c r="N314" t="str">
        <x:f>IF(RAND()&lt;'Team_Info'!$E$5,"W","B")</x:f>
        <x:v>B</x:v>
      </x:c>
      <x:c r="O314" t="str">
        <x:f>IF(RAND()&lt;'Team_Info'!$E$5,"W","B")</x:f>
        <x:v>B</x:v>
      </x:c>
      <x:c r="P314" t="str">
        <x:f>IF(RAND()&lt;'Team_Info'!$E$5,"W","B")</x:f>
        <x:v>W</x:v>
      </x:c>
      <x:c r="Q314" t="str">
        <x:f>IF(RAND()&lt;'Team_Info'!$E$5,"W","B")</x:f>
        <x:v>W</x:v>
      </x:c>
      <x:c r="R314" t="str">
        <x:f>IF(RAND()&lt;'Team_Info'!$E$5,"W","B")</x:f>
        <x:v>B</x:v>
      </x:c>
      <x:c r="S314" t="str">
        <x:f>IF(RAND()&lt;'Team_Info'!$E$5,"W","B")</x:f>
        <x:v>W</x:v>
      </x:c>
      <x:c r="T314" t="str">
        <x:f>IF(RAND()&lt;'Team_Info'!$E$5,"W","B")</x:f>
        <x:v>B</x:v>
      </x:c>
      <x:c r="U314" t="str">
        <x:f>IF(RAND()&lt;'Team_Info'!$E$5,"W","B")</x:f>
        <x:v>W</x:v>
      </x:c>
    </x:row>
    <x:row r="315">
      <x:c r="A315" s="1">
        <x:v>314</x:v>
      </x:c>
      <x:c r="B315" t="str">
        <x:f>IF(RAND()&lt;'Team_Info'!$E$5,"W","B")</x:f>
        <x:v>W</x:v>
      </x:c>
      <x:c r="C315" t="str">
        <x:f>IF(RAND()&lt;'Team_Info'!$E$5,"W","B")</x:f>
        <x:v>B</x:v>
      </x:c>
      <x:c r="D315" t="str">
        <x:f>IF(RAND()&lt;'Team_Info'!$E$5,"W","B")</x:f>
        <x:v>W</x:v>
      </x:c>
      <x:c r="E315" t="str">
        <x:f>IF(RAND()&lt;'Team_Info'!$E$5,"W","B")</x:f>
        <x:v>B</x:v>
      </x:c>
      <x:c r="F315" t="str">
        <x:f>IF(RAND()&lt;'Team_Info'!$E$5,"W","B")</x:f>
        <x:v>W</x:v>
      </x:c>
      <x:c r="G315" t="str">
        <x:f>IF(RAND()&lt;'Team_Info'!$E$5,"W","B")</x:f>
        <x:v>W</x:v>
      </x:c>
      <x:c r="H315" t="str">
        <x:f>IF(RAND()&lt;'Team_Info'!$E$5,"W","B")</x:f>
        <x:v>W</x:v>
      </x:c>
      <x:c r="I315" t="str">
        <x:f>IF(RAND()&lt;'Team_Info'!$E$5,"W","B")</x:f>
        <x:v>W</x:v>
      </x:c>
      <x:c r="J315" t="str">
        <x:f>IF(RAND()&lt;'Team_Info'!$E$5,"W","B")</x:f>
        <x:v>W</x:v>
      </x:c>
      <x:c r="K315" t="str">
        <x:f>IF(RAND()&lt;'Team_Info'!$E$5,"W","B")</x:f>
        <x:v>B</x:v>
      </x:c>
      <x:c r="L315" t="str">
        <x:f>IF(RAND()&lt;'Team_Info'!$E$5,"W","B")</x:f>
        <x:v>B</x:v>
      </x:c>
      <x:c r="M315" t="str">
        <x:f>IF(RAND()&lt;'Team_Info'!$E$5,"W","B")</x:f>
        <x:v>B</x:v>
      </x:c>
      <x:c r="N315" t="str">
        <x:f>IF(RAND()&lt;'Team_Info'!$E$5,"W","B")</x:f>
        <x:v>B</x:v>
      </x:c>
      <x:c r="O315" t="str">
        <x:f>IF(RAND()&lt;'Team_Info'!$E$5,"W","B")</x:f>
        <x:v>B</x:v>
      </x:c>
      <x:c r="P315" t="str">
        <x:f>IF(RAND()&lt;'Team_Info'!$E$5,"W","B")</x:f>
        <x:v>B</x:v>
      </x:c>
      <x:c r="Q315" t="str">
        <x:f>IF(RAND()&lt;'Team_Info'!$E$5,"W","B")</x:f>
        <x:v>W</x:v>
      </x:c>
      <x:c r="R315" t="str">
        <x:f>IF(RAND()&lt;'Team_Info'!$E$5,"W","B")</x:f>
        <x:v>B</x:v>
      </x:c>
      <x:c r="S315" t="str">
        <x:f>IF(RAND()&lt;'Team_Info'!$E$5,"W","B")</x:f>
        <x:v>B</x:v>
      </x:c>
      <x:c r="T315" t="str">
        <x:f>IF(RAND()&lt;'Team_Info'!$E$5,"W","B")</x:f>
        <x:v>B</x:v>
      </x:c>
      <x:c r="U315" t="str">
        <x:f>IF(RAND()&lt;'Team_Info'!$E$5,"W","B")</x:f>
        <x:v>W</x:v>
      </x:c>
    </x:row>
    <x:row r="316">
      <x:c r="A316" s="1">
        <x:v>315</x:v>
      </x:c>
      <x:c r="B316" t="str">
        <x:f>IF(RAND()&lt;'Team_Info'!$E$5,"W","B")</x:f>
        <x:v>B</x:v>
      </x:c>
      <x:c r="C316" t="str">
        <x:f>IF(RAND()&lt;'Team_Info'!$E$5,"W","B")</x:f>
        <x:v>B</x:v>
      </x:c>
      <x:c r="D316" t="str">
        <x:f>IF(RAND()&lt;'Team_Info'!$E$5,"W","B")</x:f>
        <x:v>B</x:v>
      </x:c>
      <x:c r="E316" t="str">
        <x:f>IF(RAND()&lt;'Team_Info'!$E$5,"W","B")</x:f>
        <x:v>B</x:v>
      </x:c>
      <x:c r="F316" t="str">
        <x:f>IF(RAND()&lt;'Team_Info'!$E$5,"W","B")</x:f>
        <x:v>W</x:v>
      </x:c>
      <x:c r="G316" t="str">
        <x:f>IF(RAND()&lt;'Team_Info'!$E$5,"W","B")</x:f>
        <x:v>W</x:v>
      </x:c>
      <x:c r="H316" t="str">
        <x:f>IF(RAND()&lt;'Team_Info'!$E$5,"W","B")</x:f>
        <x:v>W</x:v>
      </x:c>
      <x:c r="I316" t="str">
        <x:f>IF(RAND()&lt;'Team_Info'!$E$5,"W","B")</x:f>
        <x:v>B</x:v>
      </x:c>
      <x:c r="J316" t="str">
        <x:f>IF(RAND()&lt;'Team_Info'!$E$5,"W","B")</x:f>
        <x:v>B</x:v>
      </x:c>
      <x:c r="K316" t="str">
        <x:f>IF(RAND()&lt;'Team_Info'!$E$5,"W","B")</x:f>
        <x:v>B</x:v>
      </x:c>
      <x:c r="L316" t="str">
        <x:f>IF(RAND()&lt;'Team_Info'!$E$5,"W","B")</x:f>
        <x:v>W</x:v>
      </x:c>
      <x:c r="M316" t="str">
        <x:f>IF(RAND()&lt;'Team_Info'!$E$5,"W","B")</x:f>
        <x:v>B</x:v>
      </x:c>
      <x:c r="N316" t="str">
        <x:f>IF(RAND()&lt;'Team_Info'!$E$5,"W","B")</x:f>
        <x:v>B</x:v>
      </x:c>
      <x:c r="O316" t="str">
        <x:f>IF(RAND()&lt;'Team_Info'!$E$5,"W","B")</x:f>
        <x:v>W</x:v>
      </x:c>
      <x:c r="P316" t="str">
        <x:f>IF(RAND()&lt;'Team_Info'!$E$5,"W","B")</x:f>
        <x:v>B</x:v>
      </x:c>
      <x:c r="Q316" t="str">
        <x:f>IF(RAND()&lt;'Team_Info'!$E$5,"W","B")</x:f>
        <x:v>B</x:v>
      </x:c>
      <x:c r="R316" t="str">
        <x:f>IF(RAND()&lt;'Team_Info'!$E$5,"W","B")</x:f>
        <x:v>B</x:v>
      </x:c>
      <x:c r="S316" t="str">
        <x:f>IF(RAND()&lt;'Team_Info'!$E$5,"W","B")</x:f>
        <x:v>B</x:v>
      </x:c>
      <x:c r="T316" t="str">
        <x:f>IF(RAND()&lt;'Team_Info'!$E$5,"W","B")</x:f>
        <x:v>B</x:v>
      </x:c>
      <x:c r="U316" t="str">
        <x:f>IF(RAND()&lt;'Team_Info'!$E$5,"W","B")</x:f>
        <x:v>B</x:v>
      </x:c>
    </x:row>
    <x:row r="317">
      <x:c r="A317" s="1">
        <x:v>316</x:v>
      </x:c>
      <x:c r="B317" t="str">
        <x:f>IF(RAND()&lt;'Team_Info'!$E$5,"W","B")</x:f>
        <x:v>W</x:v>
      </x:c>
      <x:c r="C317" t="str">
        <x:f>IF(RAND()&lt;'Team_Info'!$E$5,"W","B")</x:f>
        <x:v>B</x:v>
      </x:c>
      <x:c r="D317" t="str">
        <x:f>IF(RAND()&lt;'Team_Info'!$E$5,"W","B")</x:f>
        <x:v>W</x:v>
      </x:c>
      <x:c r="E317" t="str">
        <x:f>IF(RAND()&lt;'Team_Info'!$E$5,"W","B")</x:f>
        <x:v>B</x:v>
      </x:c>
      <x:c r="F317" t="str">
        <x:f>IF(RAND()&lt;'Team_Info'!$E$5,"W","B")</x:f>
        <x:v>W</x:v>
      </x:c>
      <x:c r="G317" t="str">
        <x:f>IF(RAND()&lt;'Team_Info'!$E$5,"W","B")</x:f>
        <x:v>W</x:v>
      </x:c>
      <x:c r="H317" t="str">
        <x:f>IF(RAND()&lt;'Team_Info'!$E$5,"W","B")</x:f>
        <x:v>W</x:v>
      </x:c>
      <x:c r="I317" t="str">
        <x:f>IF(RAND()&lt;'Team_Info'!$E$5,"W","B")</x:f>
        <x:v>B</x:v>
      </x:c>
      <x:c r="J317" t="str">
        <x:f>IF(RAND()&lt;'Team_Info'!$E$5,"W","B")</x:f>
        <x:v>B</x:v>
      </x:c>
      <x:c r="K317" t="str">
        <x:f>IF(RAND()&lt;'Team_Info'!$E$5,"W","B")</x:f>
        <x:v>B</x:v>
      </x:c>
      <x:c r="L317" t="str">
        <x:f>IF(RAND()&lt;'Team_Info'!$E$5,"W","B")</x:f>
        <x:v>W</x:v>
      </x:c>
      <x:c r="M317" t="str">
        <x:f>IF(RAND()&lt;'Team_Info'!$E$5,"W","B")</x:f>
        <x:v>W</x:v>
      </x:c>
      <x:c r="N317" t="str">
        <x:f>IF(RAND()&lt;'Team_Info'!$E$5,"W","B")</x:f>
        <x:v>B</x:v>
      </x:c>
      <x:c r="O317" t="str">
        <x:f>IF(RAND()&lt;'Team_Info'!$E$5,"W","B")</x:f>
        <x:v>B</x:v>
      </x:c>
      <x:c r="P317" t="str">
        <x:f>IF(RAND()&lt;'Team_Info'!$E$5,"W","B")</x:f>
        <x:v>B</x:v>
      </x:c>
      <x:c r="Q317" t="str">
        <x:f>IF(RAND()&lt;'Team_Info'!$E$5,"W","B")</x:f>
        <x:v>W</x:v>
      </x:c>
      <x:c r="R317" t="str">
        <x:f>IF(RAND()&lt;'Team_Info'!$E$5,"W","B")</x:f>
        <x:v>W</x:v>
      </x:c>
      <x:c r="S317" t="str">
        <x:f>IF(RAND()&lt;'Team_Info'!$E$5,"W","B")</x:f>
        <x:v>B</x:v>
      </x:c>
      <x:c r="T317" t="str">
        <x:f>IF(RAND()&lt;'Team_Info'!$E$5,"W","B")</x:f>
        <x:v>B</x:v>
      </x:c>
      <x:c r="U317" t="str">
        <x:f>IF(RAND()&lt;'Team_Info'!$E$5,"W","B")</x:f>
        <x:v>W</x:v>
      </x:c>
    </x:row>
    <x:row r="318">
      <x:c r="A318" s="1">
        <x:v>317</x:v>
      </x:c>
      <x:c r="B318" t="str">
        <x:f>IF(RAND()&lt;'Team_Info'!$E$5,"W","B")</x:f>
        <x:v>W</x:v>
      </x:c>
      <x:c r="C318" t="str">
        <x:f>IF(RAND()&lt;'Team_Info'!$E$5,"W","B")</x:f>
        <x:v>B</x:v>
      </x:c>
      <x:c r="D318" t="str">
        <x:f>IF(RAND()&lt;'Team_Info'!$E$5,"W","B")</x:f>
        <x:v>W</x:v>
      </x:c>
      <x:c r="E318" t="str">
        <x:f>IF(RAND()&lt;'Team_Info'!$E$5,"W","B")</x:f>
        <x:v>B</x:v>
      </x:c>
      <x:c r="F318" t="str">
        <x:f>IF(RAND()&lt;'Team_Info'!$E$5,"W","B")</x:f>
        <x:v>B</x:v>
      </x:c>
      <x:c r="G318" t="str">
        <x:f>IF(RAND()&lt;'Team_Info'!$E$5,"W","B")</x:f>
        <x:v>W</x:v>
      </x:c>
      <x:c r="H318" t="str">
        <x:f>IF(RAND()&lt;'Team_Info'!$E$5,"W","B")</x:f>
        <x:v>B</x:v>
      </x:c>
      <x:c r="I318" t="str">
        <x:f>IF(RAND()&lt;'Team_Info'!$E$5,"W","B")</x:f>
        <x:v>W</x:v>
      </x:c>
      <x:c r="J318" t="str">
        <x:f>IF(RAND()&lt;'Team_Info'!$E$5,"W","B")</x:f>
        <x:v>B</x:v>
      </x:c>
      <x:c r="K318" t="str">
        <x:f>IF(RAND()&lt;'Team_Info'!$E$5,"W","B")</x:f>
        <x:v>W</x:v>
      </x:c>
      <x:c r="L318" t="str">
        <x:f>IF(RAND()&lt;'Team_Info'!$E$5,"W","B")</x:f>
        <x:v>B</x:v>
      </x:c>
      <x:c r="M318" t="str">
        <x:f>IF(RAND()&lt;'Team_Info'!$E$5,"W","B")</x:f>
        <x:v>B</x:v>
      </x:c>
      <x:c r="N318" t="str">
        <x:f>IF(RAND()&lt;'Team_Info'!$E$5,"W","B")</x:f>
        <x:v>W</x:v>
      </x:c>
      <x:c r="O318" t="str">
        <x:f>IF(RAND()&lt;'Team_Info'!$E$5,"W","B")</x:f>
        <x:v>B</x:v>
      </x:c>
      <x:c r="P318" t="str">
        <x:f>IF(RAND()&lt;'Team_Info'!$E$5,"W","B")</x:f>
        <x:v>B</x:v>
      </x:c>
      <x:c r="Q318" t="str">
        <x:f>IF(RAND()&lt;'Team_Info'!$E$5,"W","B")</x:f>
        <x:v>B</x:v>
      </x:c>
      <x:c r="R318" t="str">
        <x:f>IF(RAND()&lt;'Team_Info'!$E$5,"W","B")</x:f>
        <x:v>W</x:v>
      </x:c>
      <x:c r="S318" t="str">
        <x:f>IF(RAND()&lt;'Team_Info'!$E$5,"W","B")</x:f>
        <x:v>B</x:v>
      </x:c>
      <x:c r="T318" t="str">
        <x:f>IF(RAND()&lt;'Team_Info'!$E$5,"W","B")</x:f>
        <x:v>B</x:v>
      </x:c>
      <x:c r="U318" t="str">
        <x:f>IF(RAND()&lt;'Team_Info'!$E$5,"W","B")</x:f>
        <x:v>B</x:v>
      </x:c>
    </x:row>
    <x:row r="319">
      <x:c r="A319" s="1">
        <x:v>318</x:v>
      </x:c>
      <x:c r="B319" t="str">
        <x:f>IF(RAND()&lt;'Team_Info'!$E$5,"W","B")</x:f>
        <x:v>W</x:v>
      </x:c>
      <x:c r="C319" t="str">
        <x:f>IF(RAND()&lt;'Team_Info'!$E$5,"W","B")</x:f>
        <x:v>B</x:v>
      </x:c>
      <x:c r="D319" t="str">
        <x:f>IF(RAND()&lt;'Team_Info'!$E$5,"W","B")</x:f>
        <x:v>W</x:v>
      </x:c>
      <x:c r="E319" t="str">
        <x:f>IF(RAND()&lt;'Team_Info'!$E$5,"W","B")</x:f>
        <x:v>W</x:v>
      </x:c>
      <x:c r="F319" t="str">
        <x:f>IF(RAND()&lt;'Team_Info'!$E$5,"W","B")</x:f>
        <x:v>B</x:v>
      </x:c>
      <x:c r="G319" t="str">
        <x:f>IF(RAND()&lt;'Team_Info'!$E$5,"W","B")</x:f>
        <x:v>B</x:v>
      </x:c>
      <x:c r="H319" t="str">
        <x:f>IF(RAND()&lt;'Team_Info'!$E$5,"W","B")</x:f>
        <x:v>W</x:v>
      </x:c>
      <x:c r="I319" t="str">
        <x:f>IF(RAND()&lt;'Team_Info'!$E$5,"W","B")</x:f>
        <x:v>W</x:v>
      </x:c>
      <x:c r="J319" t="str">
        <x:f>IF(RAND()&lt;'Team_Info'!$E$5,"W","B")</x:f>
        <x:v>B</x:v>
      </x:c>
      <x:c r="K319" t="str">
        <x:f>IF(RAND()&lt;'Team_Info'!$E$5,"W","B")</x:f>
        <x:v>B</x:v>
      </x:c>
      <x:c r="L319" t="str">
        <x:f>IF(RAND()&lt;'Team_Info'!$E$5,"W","B")</x:f>
        <x:v>B</x:v>
      </x:c>
      <x:c r="M319" t="str">
        <x:f>IF(RAND()&lt;'Team_Info'!$E$5,"W","B")</x:f>
        <x:v>W</x:v>
      </x:c>
      <x:c r="N319" t="str">
        <x:f>IF(RAND()&lt;'Team_Info'!$E$5,"W","B")</x:f>
        <x:v>W</x:v>
      </x:c>
      <x:c r="O319" t="str">
        <x:f>IF(RAND()&lt;'Team_Info'!$E$5,"W","B")</x:f>
        <x:v>B</x:v>
      </x:c>
      <x:c r="P319" t="str">
        <x:f>IF(RAND()&lt;'Team_Info'!$E$5,"W","B")</x:f>
        <x:v>W</x:v>
      </x:c>
      <x:c r="Q319" t="str">
        <x:f>IF(RAND()&lt;'Team_Info'!$E$5,"W","B")</x:f>
        <x:v>W</x:v>
      </x:c>
      <x:c r="R319" t="str">
        <x:f>IF(RAND()&lt;'Team_Info'!$E$5,"W","B")</x:f>
        <x:v>B</x:v>
      </x:c>
      <x:c r="S319" t="str">
        <x:f>IF(RAND()&lt;'Team_Info'!$E$5,"W","B")</x:f>
        <x:v>B</x:v>
      </x:c>
      <x:c r="T319" t="str">
        <x:f>IF(RAND()&lt;'Team_Info'!$E$5,"W","B")</x:f>
        <x:v>W</x:v>
      </x:c>
      <x:c r="U319" t="str">
        <x:f>IF(RAND()&lt;'Team_Info'!$E$5,"W","B")</x:f>
        <x:v>W</x:v>
      </x:c>
    </x:row>
    <x:row r="320">
      <x:c r="A320" s="1">
        <x:v>319</x:v>
      </x:c>
      <x:c r="B320" t="str">
        <x:f>IF(RAND()&lt;'Team_Info'!$E$5,"W","B")</x:f>
        <x:v>W</x:v>
      </x:c>
      <x:c r="C320" t="str">
        <x:f>IF(RAND()&lt;'Team_Info'!$E$5,"W","B")</x:f>
        <x:v>B</x:v>
      </x:c>
      <x:c r="D320" t="str">
        <x:f>IF(RAND()&lt;'Team_Info'!$E$5,"W","B")</x:f>
        <x:v>W</x:v>
      </x:c>
      <x:c r="E320" t="str">
        <x:f>IF(RAND()&lt;'Team_Info'!$E$5,"W","B")</x:f>
        <x:v>B</x:v>
      </x:c>
      <x:c r="F320" t="str">
        <x:f>IF(RAND()&lt;'Team_Info'!$E$5,"W","B")</x:f>
        <x:v>W</x:v>
      </x:c>
      <x:c r="G320" t="str">
        <x:f>IF(RAND()&lt;'Team_Info'!$E$5,"W","B")</x:f>
        <x:v>W</x:v>
      </x:c>
      <x:c r="H320" t="str">
        <x:f>IF(RAND()&lt;'Team_Info'!$E$5,"W","B")</x:f>
        <x:v>W</x:v>
      </x:c>
      <x:c r="I320" t="str">
        <x:f>IF(RAND()&lt;'Team_Info'!$E$5,"W","B")</x:f>
        <x:v>W</x:v>
      </x:c>
      <x:c r="J320" t="str">
        <x:f>IF(RAND()&lt;'Team_Info'!$E$5,"W","B")</x:f>
        <x:v>B</x:v>
      </x:c>
      <x:c r="K320" t="str">
        <x:f>IF(RAND()&lt;'Team_Info'!$E$5,"W","B")</x:f>
        <x:v>W</x:v>
      </x:c>
      <x:c r="L320" t="str">
        <x:f>IF(RAND()&lt;'Team_Info'!$E$5,"W","B")</x:f>
        <x:v>B</x:v>
      </x:c>
      <x:c r="M320" t="str">
        <x:f>IF(RAND()&lt;'Team_Info'!$E$5,"W","B")</x:f>
        <x:v>W</x:v>
      </x:c>
      <x:c r="N320" t="str">
        <x:f>IF(RAND()&lt;'Team_Info'!$E$5,"W","B")</x:f>
        <x:v>B</x:v>
      </x:c>
      <x:c r="O320" t="str">
        <x:f>IF(RAND()&lt;'Team_Info'!$E$5,"W","B")</x:f>
        <x:v>B</x:v>
      </x:c>
      <x:c r="P320" t="str">
        <x:f>IF(RAND()&lt;'Team_Info'!$E$5,"W","B")</x:f>
        <x:v>W</x:v>
      </x:c>
      <x:c r="Q320" t="str">
        <x:f>IF(RAND()&lt;'Team_Info'!$E$5,"W","B")</x:f>
        <x:v>W</x:v>
      </x:c>
      <x:c r="R320" t="str">
        <x:f>IF(RAND()&lt;'Team_Info'!$E$5,"W","B")</x:f>
        <x:v>W</x:v>
      </x:c>
      <x:c r="S320" t="str">
        <x:f>IF(RAND()&lt;'Team_Info'!$E$5,"W","B")</x:f>
        <x:v>W</x:v>
      </x:c>
      <x:c r="T320" t="str">
        <x:f>IF(RAND()&lt;'Team_Info'!$E$5,"W","B")</x:f>
        <x:v>B</x:v>
      </x:c>
      <x:c r="U320" t="str">
        <x:f>IF(RAND()&lt;'Team_Info'!$E$5,"W","B")</x:f>
        <x:v>W</x:v>
      </x:c>
    </x:row>
    <x:row r="321">
      <x:c r="A321" s="1">
        <x:v>320</x:v>
      </x:c>
      <x:c r="B321" t="str">
        <x:f>IF(RAND()&lt;'Team_Info'!$E$5,"W","B")</x:f>
        <x:v>B</x:v>
      </x:c>
      <x:c r="C321" t="str">
        <x:f>IF(RAND()&lt;'Team_Info'!$E$5,"W","B")</x:f>
        <x:v>W</x:v>
      </x:c>
      <x:c r="D321" t="str">
        <x:f>IF(RAND()&lt;'Team_Info'!$E$5,"W","B")</x:f>
        <x:v>W</x:v>
      </x:c>
      <x:c r="E321" t="str">
        <x:f>IF(RAND()&lt;'Team_Info'!$E$5,"W","B")</x:f>
        <x:v>B</x:v>
      </x:c>
      <x:c r="F321" t="str">
        <x:f>IF(RAND()&lt;'Team_Info'!$E$5,"W","B")</x:f>
        <x:v>B</x:v>
      </x:c>
      <x:c r="G321" t="str">
        <x:f>IF(RAND()&lt;'Team_Info'!$E$5,"W","B")</x:f>
        <x:v>B</x:v>
      </x:c>
      <x:c r="H321" t="str">
        <x:f>IF(RAND()&lt;'Team_Info'!$E$5,"W","B")</x:f>
        <x:v>B</x:v>
      </x:c>
      <x:c r="I321" t="str">
        <x:f>IF(RAND()&lt;'Team_Info'!$E$5,"W","B")</x:f>
        <x:v>W</x:v>
      </x:c>
      <x:c r="J321" t="str">
        <x:f>IF(RAND()&lt;'Team_Info'!$E$5,"W","B")</x:f>
        <x:v>B</x:v>
      </x:c>
      <x:c r="K321" t="str">
        <x:f>IF(RAND()&lt;'Team_Info'!$E$5,"W","B")</x:f>
        <x:v>W</x:v>
      </x:c>
      <x:c r="L321" t="str">
        <x:f>IF(RAND()&lt;'Team_Info'!$E$5,"W","B")</x:f>
        <x:v>B</x:v>
      </x:c>
      <x:c r="M321" t="str">
        <x:f>IF(RAND()&lt;'Team_Info'!$E$5,"W","B")</x:f>
        <x:v>W</x:v>
      </x:c>
      <x:c r="N321" t="str">
        <x:f>IF(RAND()&lt;'Team_Info'!$E$5,"W","B")</x:f>
        <x:v>W</x:v>
      </x:c>
      <x:c r="O321" t="str">
        <x:f>IF(RAND()&lt;'Team_Info'!$E$5,"W","B")</x:f>
        <x:v>B</x:v>
      </x:c>
      <x:c r="P321" t="str">
        <x:f>IF(RAND()&lt;'Team_Info'!$E$5,"W","B")</x:f>
        <x:v>B</x:v>
      </x:c>
      <x:c r="Q321" t="str">
        <x:f>IF(RAND()&lt;'Team_Info'!$E$5,"W","B")</x:f>
        <x:v>W</x:v>
      </x:c>
      <x:c r="R321" t="str">
        <x:f>IF(RAND()&lt;'Team_Info'!$E$5,"W","B")</x:f>
        <x:v>B</x:v>
      </x:c>
      <x:c r="S321" t="str">
        <x:f>IF(RAND()&lt;'Team_Info'!$E$5,"W","B")</x:f>
        <x:v>B</x:v>
      </x:c>
      <x:c r="T321" t="str">
        <x:f>IF(RAND()&lt;'Team_Info'!$E$5,"W","B")</x:f>
        <x:v>W</x:v>
      </x:c>
      <x:c r="U321" t="str">
        <x:f>IF(RAND()&lt;'Team_Info'!$E$5,"W","B")</x:f>
        <x:v>W</x:v>
      </x:c>
    </x:row>
    <x:row r="322">
      <x:c r="A322" s="1">
        <x:v>321</x:v>
      </x:c>
      <x:c r="B322" t="str">
        <x:f>IF(RAND()&lt;'Team_Info'!$E$5,"W","B")</x:f>
        <x:v>W</x:v>
      </x:c>
      <x:c r="C322" t="str">
        <x:f>IF(RAND()&lt;'Team_Info'!$E$5,"W","B")</x:f>
        <x:v>B</x:v>
      </x:c>
      <x:c r="D322" t="str">
        <x:f>IF(RAND()&lt;'Team_Info'!$E$5,"W","B")</x:f>
        <x:v>W</x:v>
      </x:c>
      <x:c r="E322" t="str">
        <x:f>IF(RAND()&lt;'Team_Info'!$E$5,"W","B")</x:f>
        <x:v>W</x:v>
      </x:c>
      <x:c r="F322" t="str">
        <x:f>IF(RAND()&lt;'Team_Info'!$E$5,"W","B")</x:f>
        <x:v>B</x:v>
      </x:c>
      <x:c r="G322" t="str">
        <x:f>IF(RAND()&lt;'Team_Info'!$E$5,"W","B")</x:f>
        <x:v>W</x:v>
      </x:c>
      <x:c r="H322" t="str">
        <x:f>IF(RAND()&lt;'Team_Info'!$E$5,"W","B")</x:f>
        <x:v>B</x:v>
      </x:c>
      <x:c r="I322" t="str">
        <x:f>IF(RAND()&lt;'Team_Info'!$E$5,"W","B")</x:f>
        <x:v>B</x:v>
      </x:c>
      <x:c r="J322" t="str">
        <x:f>IF(RAND()&lt;'Team_Info'!$E$5,"W","B")</x:f>
        <x:v>W</x:v>
      </x:c>
      <x:c r="K322" t="str">
        <x:f>IF(RAND()&lt;'Team_Info'!$E$5,"W","B")</x:f>
        <x:v>B</x:v>
      </x:c>
      <x:c r="L322" t="str">
        <x:f>IF(RAND()&lt;'Team_Info'!$E$5,"W","B")</x:f>
        <x:v>B</x:v>
      </x:c>
      <x:c r="M322" t="str">
        <x:f>IF(RAND()&lt;'Team_Info'!$E$5,"W","B")</x:f>
        <x:v>W</x:v>
      </x:c>
      <x:c r="N322" t="str">
        <x:f>IF(RAND()&lt;'Team_Info'!$E$5,"W","B")</x:f>
        <x:v>B</x:v>
      </x:c>
      <x:c r="O322" t="str">
        <x:f>IF(RAND()&lt;'Team_Info'!$E$5,"W","B")</x:f>
        <x:v>W</x:v>
      </x:c>
      <x:c r="P322" t="str">
        <x:f>IF(RAND()&lt;'Team_Info'!$E$5,"W","B")</x:f>
        <x:v>B</x:v>
      </x:c>
      <x:c r="Q322" t="str">
        <x:f>IF(RAND()&lt;'Team_Info'!$E$5,"W","B")</x:f>
        <x:v>W</x:v>
      </x:c>
      <x:c r="R322" t="str">
        <x:f>IF(RAND()&lt;'Team_Info'!$E$5,"W","B")</x:f>
        <x:v>B</x:v>
      </x:c>
      <x:c r="S322" t="str">
        <x:f>IF(RAND()&lt;'Team_Info'!$E$5,"W","B")</x:f>
        <x:v>B</x:v>
      </x:c>
      <x:c r="T322" t="str">
        <x:f>IF(RAND()&lt;'Team_Info'!$E$5,"W","B")</x:f>
        <x:v>W</x:v>
      </x:c>
      <x:c r="U322" t="str">
        <x:f>IF(RAND()&lt;'Team_Info'!$E$5,"W","B")</x:f>
        <x:v>B</x:v>
      </x:c>
    </x:row>
    <x:row r="323">
      <x:c r="A323" s="1">
        <x:v>322</x:v>
      </x:c>
      <x:c r="B323" t="str">
        <x:f>IF(RAND()&lt;'Team_Info'!$E$5,"W","B")</x:f>
        <x:v>B</x:v>
      </x:c>
      <x:c r="C323" t="str">
        <x:f>IF(RAND()&lt;'Team_Info'!$E$5,"W","B")</x:f>
        <x:v>W</x:v>
      </x:c>
      <x:c r="D323" t="str">
        <x:f>IF(RAND()&lt;'Team_Info'!$E$5,"W","B")</x:f>
        <x:v>B</x:v>
      </x:c>
      <x:c r="E323" t="str">
        <x:f>IF(RAND()&lt;'Team_Info'!$E$5,"W","B")</x:f>
        <x:v>B</x:v>
      </x:c>
      <x:c r="F323" t="str">
        <x:f>IF(RAND()&lt;'Team_Info'!$E$5,"W","B")</x:f>
        <x:v>W</x:v>
      </x:c>
      <x:c r="G323" t="str">
        <x:f>IF(RAND()&lt;'Team_Info'!$E$5,"W","B")</x:f>
        <x:v>W</x:v>
      </x:c>
      <x:c r="H323" t="str">
        <x:f>IF(RAND()&lt;'Team_Info'!$E$5,"W","B")</x:f>
        <x:v>B</x:v>
      </x:c>
      <x:c r="I323" t="str">
        <x:f>IF(RAND()&lt;'Team_Info'!$E$5,"W","B")</x:f>
        <x:v>B</x:v>
      </x:c>
      <x:c r="J323" t="str">
        <x:f>IF(RAND()&lt;'Team_Info'!$E$5,"W","B")</x:f>
        <x:v>B</x:v>
      </x:c>
      <x:c r="K323" t="str">
        <x:f>IF(RAND()&lt;'Team_Info'!$E$5,"W","B")</x:f>
        <x:v>W</x:v>
      </x:c>
      <x:c r="L323" t="str">
        <x:f>IF(RAND()&lt;'Team_Info'!$E$5,"W","B")</x:f>
        <x:v>B</x:v>
      </x:c>
      <x:c r="M323" t="str">
        <x:f>IF(RAND()&lt;'Team_Info'!$E$5,"W","B")</x:f>
        <x:v>B</x:v>
      </x:c>
      <x:c r="N323" t="str">
        <x:f>IF(RAND()&lt;'Team_Info'!$E$5,"W","B")</x:f>
        <x:v>B</x:v>
      </x:c>
      <x:c r="O323" t="str">
        <x:f>IF(RAND()&lt;'Team_Info'!$E$5,"W","B")</x:f>
        <x:v>B</x:v>
      </x:c>
      <x:c r="P323" t="str">
        <x:f>IF(RAND()&lt;'Team_Info'!$E$5,"W","B")</x:f>
        <x:v>W</x:v>
      </x:c>
      <x:c r="Q323" t="str">
        <x:f>IF(RAND()&lt;'Team_Info'!$E$5,"W","B")</x:f>
        <x:v>W</x:v>
      </x:c>
      <x:c r="R323" t="str">
        <x:f>IF(RAND()&lt;'Team_Info'!$E$5,"W","B")</x:f>
        <x:v>W</x:v>
      </x:c>
      <x:c r="S323" t="str">
        <x:f>IF(RAND()&lt;'Team_Info'!$E$5,"W","B")</x:f>
        <x:v>B</x:v>
      </x:c>
      <x:c r="T323" t="str">
        <x:f>IF(RAND()&lt;'Team_Info'!$E$5,"W","B")</x:f>
        <x:v>W</x:v>
      </x:c>
      <x:c r="U323" t="str">
        <x:f>IF(RAND()&lt;'Team_Info'!$E$5,"W","B")</x:f>
        <x:v>B</x:v>
      </x:c>
    </x:row>
    <x:row r="324">
      <x:c r="A324" s="1">
        <x:v>323</x:v>
      </x:c>
      <x:c r="B324" t="str">
        <x:f>IF(RAND()&lt;'Team_Info'!$E$5,"W","B")</x:f>
        <x:v>B</x:v>
      </x:c>
      <x:c r="C324" t="str">
        <x:f>IF(RAND()&lt;'Team_Info'!$E$5,"W","B")</x:f>
        <x:v>B</x:v>
      </x:c>
      <x:c r="D324" t="str">
        <x:f>IF(RAND()&lt;'Team_Info'!$E$5,"W","B")</x:f>
        <x:v>W</x:v>
      </x:c>
      <x:c r="E324" t="str">
        <x:f>IF(RAND()&lt;'Team_Info'!$E$5,"W","B")</x:f>
        <x:v>W</x:v>
      </x:c>
      <x:c r="F324" t="str">
        <x:f>IF(RAND()&lt;'Team_Info'!$E$5,"W","B")</x:f>
        <x:v>B</x:v>
      </x:c>
      <x:c r="G324" t="str">
        <x:f>IF(RAND()&lt;'Team_Info'!$E$5,"W","B")</x:f>
        <x:v>B</x:v>
      </x:c>
      <x:c r="H324" t="str">
        <x:f>IF(RAND()&lt;'Team_Info'!$E$5,"W","B")</x:f>
        <x:v>W</x:v>
      </x:c>
      <x:c r="I324" t="str">
        <x:f>IF(RAND()&lt;'Team_Info'!$E$5,"W","B")</x:f>
        <x:v>B</x:v>
      </x:c>
      <x:c r="J324" t="str">
        <x:f>IF(RAND()&lt;'Team_Info'!$E$5,"W","B")</x:f>
        <x:v>W</x:v>
      </x:c>
      <x:c r="K324" t="str">
        <x:f>IF(RAND()&lt;'Team_Info'!$E$5,"W","B")</x:f>
        <x:v>B</x:v>
      </x:c>
      <x:c r="L324" t="str">
        <x:f>IF(RAND()&lt;'Team_Info'!$E$5,"W","B")</x:f>
        <x:v>B</x:v>
      </x:c>
      <x:c r="M324" t="str">
        <x:f>IF(RAND()&lt;'Team_Info'!$E$5,"W","B")</x:f>
        <x:v>W</x:v>
      </x:c>
      <x:c r="N324" t="str">
        <x:f>IF(RAND()&lt;'Team_Info'!$E$5,"W","B")</x:f>
        <x:v>W</x:v>
      </x:c>
      <x:c r="O324" t="str">
        <x:f>IF(RAND()&lt;'Team_Info'!$E$5,"W","B")</x:f>
        <x:v>W</x:v>
      </x:c>
      <x:c r="P324" t="str">
        <x:f>IF(RAND()&lt;'Team_Info'!$E$5,"W","B")</x:f>
        <x:v>W</x:v>
      </x:c>
      <x:c r="Q324" t="str">
        <x:f>IF(RAND()&lt;'Team_Info'!$E$5,"W","B")</x:f>
        <x:v>B</x:v>
      </x:c>
      <x:c r="R324" t="str">
        <x:f>IF(RAND()&lt;'Team_Info'!$E$5,"W","B")</x:f>
        <x:v>B</x:v>
      </x:c>
      <x:c r="S324" t="str">
        <x:f>IF(RAND()&lt;'Team_Info'!$E$5,"W","B")</x:f>
        <x:v>W</x:v>
      </x:c>
      <x:c r="T324" t="str">
        <x:f>IF(RAND()&lt;'Team_Info'!$E$5,"W","B")</x:f>
        <x:v>B</x:v>
      </x:c>
      <x:c r="U324" t="str">
        <x:f>IF(RAND()&lt;'Team_Info'!$E$5,"W","B")</x:f>
        <x:v>W</x:v>
      </x:c>
    </x:row>
    <x:row r="325">
      <x:c r="A325" s="1">
        <x:v>324</x:v>
      </x:c>
      <x:c r="B325" t="str">
        <x:f>IF(RAND()&lt;'Team_Info'!$E$5,"W","B")</x:f>
        <x:v>B</x:v>
      </x:c>
      <x:c r="C325" t="str">
        <x:f>IF(RAND()&lt;'Team_Info'!$E$5,"W","B")</x:f>
        <x:v>W</x:v>
      </x:c>
      <x:c r="D325" t="str">
        <x:f>IF(RAND()&lt;'Team_Info'!$E$5,"W","B")</x:f>
        <x:v>B</x:v>
      </x:c>
      <x:c r="E325" t="str">
        <x:f>IF(RAND()&lt;'Team_Info'!$E$5,"W","B")</x:f>
        <x:v>B</x:v>
      </x:c>
      <x:c r="F325" t="str">
        <x:f>IF(RAND()&lt;'Team_Info'!$E$5,"W","B")</x:f>
        <x:v>W</x:v>
      </x:c>
      <x:c r="G325" t="str">
        <x:f>IF(RAND()&lt;'Team_Info'!$E$5,"W","B")</x:f>
        <x:v>W</x:v>
      </x:c>
      <x:c r="H325" t="str">
        <x:f>IF(RAND()&lt;'Team_Info'!$E$5,"W","B")</x:f>
        <x:v>W</x:v>
      </x:c>
      <x:c r="I325" t="str">
        <x:f>IF(RAND()&lt;'Team_Info'!$E$5,"W","B")</x:f>
        <x:v>W</x:v>
      </x:c>
      <x:c r="J325" t="str">
        <x:f>IF(RAND()&lt;'Team_Info'!$E$5,"W","B")</x:f>
        <x:v>B</x:v>
      </x:c>
      <x:c r="K325" t="str">
        <x:f>IF(RAND()&lt;'Team_Info'!$E$5,"W","B")</x:f>
        <x:v>B</x:v>
      </x:c>
      <x:c r="L325" t="str">
        <x:f>IF(RAND()&lt;'Team_Info'!$E$5,"W","B")</x:f>
        <x:v>W</x:v>
      </x:c>
      <x:c r="M325" t="str">
        <x:f>IF(RAND()&lt;'Team_Info'!$E$5,"W","B")</x:f>
        <x:v>B</x:v>
      </x:c>
      <x:c r="N325" t="str">
        <x:f>IF(RAND()&lt;'Team_Info'!$E$5,"W","B")</x:f>
        <x:v>B</x:v>
      </x:c>
      <x:c r="O325" t="str">
        <x:f>IF(RAND()&lt;'Team_Info'!$E$5,"W","B")</x:f>
        <x:v>B</x:v>
      </x:c>
      <x:c r="P325" t="str">
        <x:f>IF(RAND()&lt;'Team_Info'!$E$5,"W","B")</x:f>
        <x:v>W</x:v>
      </x:c>
      <x:c r="Q325" t="str">
        <x:f>IF(RAND()&lt;'Team_Info'!$E$5,"W","B")</x:f>
        <x:v>W</x:v>
      </x:c>
      <x:c r="R325" t="str">
        <x:f>IF(RAND()&lt;'Team_Info'!$E$5,"W","B")</x:f>
        <x:v>W</x:v>
      </x:c>
      <x:c r="S325" t="str">
        <x:f>IF(RAND()&lt;'Team_Info'!$E$5,"W","B")</x:f>
        <x:v>B</x:v>
      </x:c>
      <x:c r="T325" t="str">
        <x:f>IF(RAND()&lt;'Team_Info'!$E$5,"W","B")</x:f>
        <x:v>B</x:v>
      </x:c>
      <x:c r="U325" t="str">
        <x:f>IF(RAND()&lt;'Team_Info'!$E$5,"W","B")</x:f>
        <x:v>B</x:v>
      </x:c>
    </x:row>
    <x:row r="326">
      <x:c r="A326" s="1">
        <x:v>325</x:v>
      </x:c>
      <x:c r="B326" t="str">
        <x:f>IF(RAND()&lt;'Team_Info'!$E$5,"W","B")</x:f>
        <x:v>B</x:v>
      </x:c>
      <x:c r="C326" t="str">
        <x:f>IF(RAND()&lt;'Team_Info'!$E$5,"W","B")</x:f>
        <x:v>B</x:v>
      </x:c>
      <x:c r="D326" t="str">
        <x:f>IF(RAND()&lt;'Team_Info'!$E$5,"W","B")</x:f>
        <x:v>W</x:v>
      </x:c>
      <x:c r="E326" t="str">
        <x:f>IF(RAND()&lt;'Team_Info'!$E$5,"W","B")</x:f>
        <x:v>B</x:v>
      </x:c>
      <x:c r="F326" t="str">
        <x:f>IF(RAND()&lt;'Team_Info'!$E$5,"W","B")</x:f>
        <x:v>B</x:v>
      </x:c>
      <x:c r="G326" t="str">
        <x:f>IF(RAND()&lt;'Team_Info'!$E$5,"W","B")</x:f>
        <x:v>W</x:v>
      </x:c>
      <x:c r="H326" t="str">
        <x:f>IF(RAND()&lt;'Team_Info'!$E$5,"W","B")</x:f>
        <x:v>W</x:v>
      </x:c>
      <x:c r="I326" t="str">
        <x:f>IF(RAND()&lt;'Team_Info'!$E$5,"W","B")</x:f>
        <x:v>B</x:v>
      </x:c>
      <x:c r="J326" t="str">
        <x:f>IF(RAND()&lt;'Team_Info'!$E$5,"W","B")</x:f>
        <x:v>W</x:v>
      </x:c>
      <x:c r="K326" t="str">
        <x:f>IF(RAND()&lt;'Team_Info'!$E$5,"W","B")</x:f>
        <x:v>B</x:v>
      </x:c>
      <x:c r="L326" t="str">
        <x:f>IF(RAND()&lt;'Team_Info'!$E$5,"W","B")</x:f>
        <x:v>B</x:v>
      </x:c>
      <x:c r="M326" t="str">
        <x:f>IF(RAND()&lt;'Team_Info'!$E$5,"W","B")</x:f>
        <x:v>B</x:v>
      </x:c>
      <x:c r="N326" t="str">
        <x:f>IF(RAND()&lt;'Team_Info'!$E$5,"W","B")</x:f>
        <x:v>B</x:v>
      </x:c>
      <x:c r="O326" t="str">
        <x:f>IF(RAND()&lt;'Team_Info'!$E$5,"W","B")</x:f>
        <x:v>W</x:v>
      </x:c>
      <x:c r="P326" t="str">
        <x:f>IF(RAND()&lt;'Team_Info'!$E$5,"W","B")</x:f>
        <x:v>B</x:v>
      </x:c>
      <x:c r="Q326" t="str">
        <x:f>IF(RAND()&lt;'Team_Info'!$E$5,"W","B")</x:f>
        <x:v>W</x:v>
      </x:c>
      <x:c r="R326" t="str">
        <x:f>IF(RAND()&lt;'Team_Info'!$E$5,"W","B")</x:f>
        <x:v>B</x:v>
      </x:c>
      <x:c r="S326" t="str">
        <x:f>IF(RAND()&lt;'Team_Info'!$E$5,"W","B")</x:f>
        <x:v>B</x:v>
      </x:c>
      <x:c r="T326" t="str">
        <x:f>IF(RAND()&lt;'Team_Info'!$E$5,"W","B")</x:f>
        <x:v>B</x:v>
      </x:c>
      <x:c r="U326" t="str">
        <x:f>IF(RAND()&lt;'Team_Info'!$E$5,"W","B")</x:f>
        <x:v>W</x:v>
      </x:c>
    </x:row>
    <x:row r="327">
      <x:c r="A327" s="1">
        <x:v>326</x:v>
      </x:c>
      <x:c r="B327" t="str">
        <x:f>IF(RAND()&lt;'Team_Info'!$E$5,"W","B")</x:f>
        <x:v>W</x:v>
      </x:c>
      <x:c r="C327" t="str">
        <x:f>IF(RAND()&lt;'Team_Info'!$E$5,"W","B")</x:f>
        <x:v>B</x:v>
      </x:c>
      <x:c r="D327" t="str">
        <x:f>IF(RAND()&lt;'Team_Info'!$E$5,"W","B")</x:f>
        <x:v>B</x:v>
      </x:c>
      <x:c r="E327" t="str">
        <x:f>IF(RAND()&lt;'Team_Info'!$E$5,"W","B")</x:f>
        <x:v>B</x:v>
      </x:c>
      <x:c r="F327" t="str">
        <x:f>IF(RAND()&lt;'Team_Info'!$E$5,"W","B")</x:f>
        <x:v>W</x:v>
      </x:c>
      <x:c r="G327" t="str">
        <x:f>IF(RAND()&lt;'Team_Info'!$E$5,"W","B")</x:f>
        <x:v>W</x:v>
      </x:c>
      <x:c r="H327" t="str">
        <x:f>IF(RAND()&lt;'Team_Info'!$E$5,"W","B")</x:f>
        <x:v>W</x:v>
      </x:c>
      <x:c r="I327" t="str">
        <x:f>IF(RAND()&lt;'Team_Info'!$E$5,"W","B")</x:f>
        <x:v>B</x:v>
      </x:c>
      <x:c r="J327" t="str">
        <x:f>IF(RAND()&lt;'Team_Info'!$E$5,"W","B")</x:f>
        <x:v>B</x:v>
      </x:c>
      <x:c r="K327" t="str">
        <x:f>IF(RAND()&lt;'Team_Info'!$E$5,"W","B")</x:f>
        <x:v>B</x:v>
      </x:c>
      <x:c r="L327" t="str">
        <x:f>IF(RAND()&lt;'Team_Info'!$E$5,"W","B")</x:f>
        <x:v>B</x:v>
      </x:c>
      <x:c r="M327" t="str">
        <x:f>IF(RAND()&lt;'Team_Info'!$E$5,"W","B")</x:f>
        <x:v>B</x:v>
      </x:c>
      <x:c r="N327" t="str">
        <x:f>IF(RAND()&lt;'Team_Info'!$E$5,"W","B")</x:f>
        <x:v>W</x:v>
      </x:c>
      <x:c r="O327" t="str">
        <x:f>IF(RAND()&lt;'Team_Info'!$E$5,"W","B")</x:f>
        <x:v>W</x:v>
      </x:c>
      <x:c r="P327" t="str">
        <x:f>IF(RAND()&lt;'Team_Info'!$E$5,"W","B")</x:f>
        <x:v>B</x:v>
      </x:c>
      <x:c r="Q327" t="str">
        <x:f>IF(RAND()&lt;'Team_Info'!$E$5,"W","B")</x:f>
        <x:v>W</x:v>
      </x:c>
      <x:c r="R327" t="str">
        <x:f>IF(RAND()&lt;'Team_Info'!$E$5,"W","B")</x:f>
        <x:v>B</x:v>
      </x:c>
      <x:c r="S327" t="str">
        <x:f>IF(RAND()&lt;'Team_Info'!$E$5,"W","B")</x:f>
        <x:v>B</x:v>
      </x:c>
      <x:c r="T327" t="str">
        <x:f>IF(RAND()&lt;'Team_Info'!$E$5,"W","B")</x:f>
        <x:v>B</x:v>
      </x:c>
      <x:c r="U327" t="str">
        <x:f>IF(RAND()&lt;'Team_Info'!$E$5,"W","B")</x:f>
        <x:v>B</x:v>
      </x:c>
    </x:row>
    <x:row r="328">
      <x:c r="A328" s="1">
        <x:v>327</x:v>
      </x:c>
      <x:c r="B328" t="str">
        <x:f>IF(RAND()&lt;'Team_Info'!$E$5,"W","B")</x:f>
        <x:v>W</x:v>
      </x:c>
      <x:c r="C328" t="str">
        <x:f>IF(RAND()&lt;'Team_Info'!$E$5,"W","B")</x:f>
        <x:v>B</x:v>
      </x:c>
      <x:c r="D328" t="str">
        <x:f>IF(RAND()&lt;'Team_Info'!$E$5,"W","B")</x:f>
        <x:v>B</x:v>
      </x:c>
      <x:c r="E328" t="str">
        <x:f>IF(RAND()&lt;'Team_Info'!$E$5,"W","B")</x:f>
        <x:v>B</x:v>
      </x:c>
      <x:c r="F328" t="str">
        <x:f>IF(RAND()&lt;'Team_Info'!$E$5,"W","B")</x:f>
        <x:v>W</x:v>
      </x:c>
      <x:c r="G328" t="str">
        <x:f>IF(RAND()&lt;'Team_Info'!$E$5,"W","B")</x:f>
        <x:v>W</x:v>
      </x:c>
      <x:c r="H328" t="str">
        <x:f>IF(RAND()&lt;'Team_Info'!$E$5,"W","B")</x:f>
        <x:v>B</x:v>
      </x:c>
      <x:c r="I328" t="str">
        <x:f>IF(RAND()&lt;'Team_Info'!$E$5,"W","B")</x:f>
        <x:v>W</x:v>
      </x:c>
      <x:c r="J328" t="str">
        <x:f>IF(RAND()&lt;'Team_Info'!$E$5,"W","B")</x:f>
        <x:v>B</x:v>
      </x:c>
      <x:c r="K328" t="str">
        <x:f>IF(RAND()&lt;'Team_Info'!$E$5,"W","B")</x:f>
        <x:v>B</x:v>
      </x:c>
      <x:c r="L328" t="str">
        <x:f>IF(RAND()&lt;'Team_Info'!$E$5,"W","B")</x:f>
        <x:v>B</x:v>
      </x:c>
      <x:c r="M328" t="str">
        <x:f>IF(RAND()&lt;'Team_Info'!$E$5,"W","B")</x:f>
        <x:v>B</x:v>
      </x:c>
      <x:c r="N328" t="str">
        <x:f>IF(RAND()&lt;'Team_Info'!$E$5,"W","B")</x:f>
        <x:v>B</x:v>
      </x:c>
      <x:c r="O328" t="str">
        <x:f>IF(RAND()&lt;'Team_Info'!$E$5,"W","B")</x:f>
        <x:v>W</x:v>
      </x:c>
      <x:c r="P328" t="str">
        <x:f>IF(RAND()&lt;'Team_Info'!$E$5,"W","B")</x:f>
        <x:v>B</x:v>
      </x:c>
      <x:c r="Q328" t="str">
        <x:f>IF(RAND()&lt;'Team_Info'!$E$5,"W","B")</x:f>
        <x:v>W</x:v>
      </x:c>
      <x:c r="R328" t="str">
        <x:f>IF(RAND()&lt;'Team_Info'!$E$5,"W","B")</x:f>
        <x:v>B</x:v>
      </x:c>
      <x:c r="S328" t="str">
        <x:f>IF(RAND()&lt;'Team_Info'!$E$5,"W","B")</x:f>
        <x:v>W</x:v>
      </x:c>
      <x:c r="T328" t="str">
        <x:f>IF(RAND()&lt;'Team_Info'!$E$5,"W","B")</x:f>
        <x:v>B</x:v>
      </x:c>
      <x:c r="U328" t="str">
        <x:f>IF(RAND()&lt;'Team_Info'!$E$5,"W","B")</x:f>
        <x:v>W</x:v>
      </x:c>
    </x:row>
    <x:row r="329">
      <x:c r="A329" s="1">
        <x:v>328</x:v>
      </x:c>
      <x:c r="B329" t="str">
        <x:f>IF(RAND()&lt;'Team_Info'!$E$5,"W","B")</x:f>
        <x:v>W</x:v>
      </x:c>
      <x:c r="C329" t="str">
        <x:f>IF(RAND()&lt;'Team_Info'!$E$5,"W","B")</x:f>
        <x:v>W</x:v>
      </x:c>
      <x:c r="D329" t="str">
        <x:f>IF(RAND()&lt;'Team_Info'!$E$5,"W","B")</x:f>
        <x:v>B</x:v>
      </x:c>
      <x:c r="E329" t="str">
        <x:f>IF(RAND()&lt;'Team_Info'!$E$5,"W","B")</x:f>
        <x:v>B</x:v>
      </x:c>
      <x:c r="F329" t="str">
        <x:f>IF(RAND()&lt;'Team_Info'!$E$5,"W","B")</x:f>
        <x:v>B</x:v>
      </x:c>
      <x:c r="G329" t="str">
        <x:f>IF(RAND()&lt;'Team_Info'!$E$5,"W","B")</x:f>
        <x:v>B</x:v>
      </x:c>
      <x:c r="H329" t="str">
        <x:f>IF(RAND()&lt;'Team_Info'!$E$5,"W","B")</x:f>
        <x:v>B</x:v>
      </x:c>
      <x:c r="I329" t="str">
        <x:f>IF(RAND()&lt;'Team_Info'!$E$5,"W","B")</x:f>
        <x:v>W</x:v>
      </x:c>
      <x:c r="J329" t="str">
        <x:f>IF(RAND()&lt;'Team_Info'!$E$5,"W","B")</x:f>
        <x:v>W</x:v>
      </x:c>
      <x:c r="K329" t="str">
        <x:f>IF(RAND()&lt;'Team_Info'!$E$5,"W","B")</x:f>
        <x:v>B</x:v>
      </x:c>
      <x:c r="L329" t="str">
        <x:f>IF(RAND()&lt;'Team_Info'!$E$5,"W","B")</x:f>
        <x:v>W</x:v>
      </x:c>
      <x:c r="M329" t="str">
        <x:f>IF(RAND()&lt;'Team_Info'!$E$5,"W","B")</x:f>
        <x:v>W</x:v>
      </x:c>
      <x:c r="N329" t="str">
        <x:f>IF(RAND()&lt;'Team_Info'!$E$5,"W","B")</x:f>
        <x:v>B</x:v>
      </x:c>
      <x:c r="O329" t="str">
        <x:f>IF(RAND()&lt;'Team_Info'!$E$5,"W","B")</x:f>
        <x:v>W</x:v>
      </x:c>
      <x:c r="P329" t="str">
        <x:f>IF(RAND()&lt;'Team_Info'!$E$5,"W","B")</x:f>
        <x:v>W</x:v>
      </x:c>
      <x:c r="Q329" t="str">
        <x:f>IF(RAND()&lt;'Team_Info'!$E$5,"W","B")</x:f>
        <x:v>W</x:v>
      </x:c>
      <x:c r="R329" t="str">
        <x:f>IF(RAND()&lt;'Team_Info'!$E$5,"W","B")</x:f>
        <x:v>W</x:v>
      </x:c>
      <x:c r="S329" t="str">
        <x:f>IF(RAND()&lt;'Team_Info'!$E$5,"W","B")</x:f>
        <x:v>W</x:v>
      </x:c>
      <x:c r="T329" t="str">
        <x:f>IF(RAND()&lt;'Team_Info'!$E$5,"W","B")</x:f>
        <x:v>W</x:v>
      </x:c>
      <x:c r="U329" t="str">
        <x:f>IF(RAND()&lt;'Team_Info'!$E$5,"W","B")</x:f>
        <x:v>W</x:v>
      </x:c>
    </x:row>
    <x:row r="330">
      <x:c r="A330" s="1">
        <x:v>329</x:v>
      </x:c>
      <x:c r="B330" t="str">
        <x:f>IF(RAND()&lt;'Team_Info'!$E$5,"W","B")</x:f>
        <x:v>B</x:v>
      </x:c>
      <x:c r="C330" t="str">
        <x:f>IF(RAND()&lt;'Team_Info'!$E$5,"W","B")</x:f>
        <x:v>W</x:v>
      </x:c>
      <x:c r="D330" t="str">
        <x:f>IF(RAND()&lt;'Team_Info'!$E$5,"W","B")</x:f>
        <x:v>B</x:v>
      </x:c>
      <x:c r="E330" t="str">
        <x:f>IF(RAND()&lt;'Team_Info'!$E$5,"W","B")</x:f>
        <x:v>B</x:v>
      </x:c>
      <x:c r="F330" t="str">
        <x:f>IF(RAND()&lt;'Team_Info'!$E$5,"W","B")</x:f>
        <x:v>B</x:v>
      </x:c>
      <x:c r="G330" t="str">
        <x:f>IF(RAND()&lt;'Team_Info'!$E$5,"W","B")</x:f>
        <x:v>B</x:v>
      </x:c>
      <x:c r="H330" t="str">
        <x:f>IF(RAND()&lt;'Team_Info'!$E$5,"W","B")</x:f>
        <x:v>W</x:v>
      </x:c>
      <x:c r="I330" t="str">
        <x:f>IF(RAND()&lt;'Team_Info'!$E$5,"W","B")</x:f>
        <x:v>B</x:v>
      </x:c>
      <x:c r="J330" t="str">
        <x:f>IF(RAND()&lt;'Team_Info'!$E$5,"W","B")</x:f>
        <x:v>B</x:v>
      </x:c>
      <x:c r="K330" t="str">
        <x:f>IF(RAND()&lt;'Team_Info'!$E$5,"W","B")</x:f>
        <x:v>B</x:v>
      </x:c>
      <x:c r="L330" t="str">
        <x:f>IF(RAND()&lt;'Team_Info'!$E$5,"W","B")</x:f>
        <x:v>B</x:v>
      </x:c>
      <x:c r="M330" t="str">
        <x:f>IF(RAND()&lt;'Team_Info'!$E$5,"W","B")</x:f>
        <x:v>B</x:v>
      </x:c>
      <x:c r="N330" t="str">
        <x:f>IF(RAND()&lt;'Team_Info'!$E$5,"W","B")</x:f>
        <x:v>B</x:v>
      </x:c>
      <x:c r="O330" t="str">
        <x:f>IF(RAND()&lt;'Team_Info'!$E$5,"W","B")</x:f>
        <x:v>B</x:v>
      </x:c>
      <x:c r="P330" t="str">
        <x:f>IF(RAND()&lt;'Team_Info'!$E$5,"W","B")</x:f>
        <x:v>W</x:v>
      </x:c>
      <x:c r="Q330" t="str">
        <x:f>IF(RAND()&lt;'Team_Info'!$E$5,"W","B")</x:f>
        <x:v>W</x:v>
      </x:c>
      <x:c r="R330" t="str">
        <x:f>IF(RAND()&lt;'Team_Info'!$E$5,"W","B")</x:f>
        <x:v>W</x:v>
      </x:c>
      <x:c r="S330" t="str">
        <x:f>IF(RAND()&lt;'Team_Info'!$E$5,"W","B")</x:f>
        <x:v>B</x:v>
      </x:c>
      <x:c r="T330" t="str">
        <x:f>IF(RAND()&lt;'Team_Info'!$E$5,"W","B")</x:f>
        <x:v>B</x:v>
      </x:c>
      <x:c r="U330" t="str">
        <x:f>IF(RAND()&lt;'Team_Info'!$E$5,"W","B")</x:f>
        <x:v>B</x:v>
      </x:c>
    </x:row>
    <x:row r="331">
      <x:c r="A331" s="1">
        <x:v>330</x:v>
      </x:c>
      <x:c r="B331" t="str">
        <x:f>IF(RAND()&lt;'Team_Info'!$E$5,"W","B")</x:f>
        <x:v>B</x:v>
      </x:c>
      <x:c r="C331" t="str">
        <x:f>IF(RAND()&lt;'Team_Info'!$E$5,"W","B")</x:f>
        <x:v>B</x:v>
      </x:c>
      <x:c r="D331" t="str">
        <x:f>IF(RAND()&lt;'Team_Info'!$E$5,"W","B")</x:f>
        <x:v>W</x:v>
      </x:c>
      <x:c r="E331" t="str">
        <x:f>IF(RAND()&lt;'Team_Info'!$E$5,"W","B")</x:f>
        <x:v>B</x:v>
      </x:c>
      <x:c r="F331" t="str">
        <x:f>IF(RAND()&lt;'Team_Info'!$E$5,"W","B")</x:f>
        <x:v>B</x:v>
      </x:c>
      <x:c r="G331" t="str">
        <x:f>IF(RAND()&lt;'Team_Info'!$E$5,"W","B")</x:f>
        <x:v>W</x:v>
      </x:c>
      <x:c r="H331" t="str">
        <x:f>IF(RAND()&lt;'Team_Info'!$E$5,"W","B")</x:f>
        <x:v>W</x:v>
      </x:c>
      <x:c r="I331" t="str">
        <x:f>IF(RAND()&lt;'Team_Info'!$E$5,"W","B")</x:f>
        <x:v>W</x:v>
      </x:c>
      <x:c r="J331" t="str">
        <x:f>IF(RAND()&lt;'Team_Info'!$E$5,"W","B")</x:f>
        <x:v>B</x:v>
      </x:c>
      <x:c r="K331" t="str">
        <x:f>IF(RAND()&lt;'Team_Info'!$E$5,"W","B")</x:f>
        <x:v>B</x:v>
      </x:c>
      <x:c r="L331" t="str">
        <x:f>IF(RAND()&lt;'Team_Info'!$E$5,"W","B")</x:f>
        <x:v>W</x:v>
      </x:c>
      <x:c r="M331" t="str">
        <x:f>IF(RAND()&lt;'Team_Info'!$E$5,"W","B")</x:f>
        <x:v>B</x:v>
      </x:c>
      <x:c r="N331" t="str">
        <x:f>IF(RAND()&lt;'Team_Info'!$E$5,"W","B")</x:f>
        <x:v>B</x:v>
      </x:c>
      <x:c r="O331" t="str">
        <x:f>IF(RAND()&lt;'Team_Info'!$E$5,"W","B")</x:f>
        <x:v>B</x:v>
      </x:c>
      <x:c r="P331" t="str">
        <x:f>IF(RAND()&lt;'Team_Info'!$E$5,"W","B")</x:f>
        <x:v>W</x:v>
      </x:c>
      <x:c r="Q331" t="str">
        <x:f>IF(RAND()&lt;'Team_Info'!$E$5,"W","B")</x:f>
        <x:v>B</x:v>
      </x:c>
      <x:c r="R331" t="str">
        <x:f>IF(RAND()&lt;'Team_Info'!$E$5,"W","B")</x:f>
        <x:v>B</x:v>
      </x:c>
      <x:c r="S331" t="str">
        <x:f>IF(RAND()&lt;'Team_Info'!$E$5,"W","B")</x:f>
        <x:v>W</x:v>
      </x:c>
      <x:c r="T331" t="str">
        <x:f>IF(RAND()&lt;'Team_Info'!$E$5,"W","B")</x:f>
        <x:v>B</x:v>
      </x:c>
      <x:c r="U331" t="str">
        <x:f>IF(RAND()&lt;'Team_Info'!$E$5,"W","B")</x:f>
        <x:v>W</x:v>
      </x:c>
    </x:row>
    <x:row r="332">
      <x:c r="A332" s="1">
        <x:v>331</x:v>
      </x:c>
      <x:c r="B332" t="str">
        <x:f>IF(RAND()&lt;'Team_Info'!$E$5,"W","B")</x:f>
        <x:v>B</x:v>
      </x:c>
      <x:c r="C332" t="str">
        <x:f>IF(RAND()&lt;'Team_Info'!$E$5,"W","B")</x:f>
        <x:v>B</x:v>
      </x:c>
      <x:c r="D332" t="str">
        <x:f>IF(RAND()&lt;'Team_Info'!$E$5,"W","B")</x:f>
        <x:v>B</x:v>
      </x:c>
      <x:c r="E332" t="str">
        <x:f>IF(RAND()&lt;'Team_Info'!$E$5,"W","B")</x:f>
        <x:v>B</x:v>
      </x:c>
      <x:c r="F332" t="str">
        <x:f>IF(RAND()&lt;'Team_Info'!$E$5,"W","B")</x:f>
        <x:v>W</x:v>
      </x:c>
      <x:c r="G332" t="str">
        <x:f>IF(RAND()&lt;'Team_Info'!$E$5,"W","B")</x:f>
        <x:v>B</x:v>
      </x:c>
      <x:c r="H332" t="str">
        <x:f>IF(RAND()&lt;'Team_Info'!$E$5,"W","B")</x:f>
        <x:v>W</x:v>
      </x:c>
      <x:c r="I332" t="str">
        <x:f>IF(RAND()&lt;'Team_Info'!$E$5,"W","B")</x:f>
        <x:v>W</x:v>
      </x:c>
      <x:c r="J332" t="str">
        <x:f>IF(RAND()&lt;'Team_Info'!$E$5,"W","B")</x:f>
        <x:v>B</x:v>
      </x:c>
      <x:c r="K332" t="str">
        <x:f>IF(RAND()&lt;'Team_Info'!$E$5,"W","B")</x:f>
        <x:v>W</x:v>
      </x:c>
      <x:c r="L332" t="str">
        <x:f>IF(RAND()&lt;'Team_Info'!$E$5,"W","B")</x:f>
        <x:v>W</x:v>
      </x:c>
      <x:c r="M332" t="str">
        <x:f>IF(RAND()&lt;'Team_Info'!$E$5,"W","B")</x:f>
        <x:v>W</x:v>
      </x:c>
      <x:c r="N332" t="str">
        <x:f>IF(RAND()&lt;'Team_Info'!$E$5,"W","B")</x:f>
        <x:v>W</x:v>
      </x:c>
      <x:c r="O332" t="str">
        <x:f>IF(RAND()&lt;'Team_Info'!$E$5,"W","B")</x:f>
        <x:v>B</x:v>
      </x:c>
      <x:c r="P332" t="str">
        <x:f>IF(RAND()&lt;'Team_Info'!$E$5,"W","B")</x:f>
        <x:v>B</x:v>
      </x:c>
      <x:c r="Q332" t="str">
        <x:f>IF(RAND()&lt;'Team_Info'!$E$5,"W","B")</x:f>
        <x:v>W</x:v>
      </x:c>
      <x:c r="R332" t="str">
        <x:f>IF(RAND()&lt;'Team_Info'!$E$5,"W","B")</x:f>
        <x:v>B</x:v>
      </x:c>
      <x:c r="S332" t="str">
        <x:f>IF(RAND()&lt;'Team_Info'!$E$5,"W","B")</x:f>
        <x:v>B</x:v>
      </x:c>
      <x:c r="T332" t="str">
        <x:f>IF(RAND()&lt;'Team_Info'!$E$5,"W","B")</x:f>
        <x:v>B</x:v>
      </x:c>
      <x:c r="U332" t="str">
        <x:f>IF(RAND()&lt;'Team_Info'!$E$5,"W","B")</x:f>
        <x:v>W</x:v>
      </x:c>
    </x:row>
    <x:row r="333">
      <x:c r="A333" s="1">
        <x:v>332</x:v>
      </x:c>
      <x:c r="B333" t="str">
        <x:f>IF(RAND()&lt;'Team_Info'!$E$5,"W","B")</x:f>
        <x:v>B</x:v>
      </x:c>
      <x:c r="C333" t="str">
        <x:f>IF(RAND()&lt;'Team_Info'!$E$5,"W","B")</x:f>
        <x:v>B</x:v>
      </x:c>
      <x:c r="D333" t="str">
        <x:f>IF(RAND()&lt;'Team_Info'!$E$5,"W","B")</x:f>
        <x:v>B</x:v>
      </x:c>
      <x:c r="E333" t="str">
        <x:f>IF(RAND()&lt;'Team_Info'!$E$5,"W","B")</x:f>
        <x:v>W</x:v>
      </x:c>
      <x:c r="F333" t="str">
        <x:f>IF(RAND()&lt;'Team_Info'!$E$5,"W","B")</x:f>
        <x:v>B</x:v>
      </x:c>
      <x:c r="G333" t="str">
        <x:f>IF(RAND()&lt;'Team_Info'!$E$5,"W","B")</x:f>
        <x:v>W</x:v>
      </x:c>
      <x:c r="H333" t="str">
        <x:f>IF(RAND()&lt;'Team_Info'!$E$5,"W","B")</x:f>
        <x:v>B</x:v>
      </x:c>
      <x:c r="I333" t="str">
        <x:f>IF(RAND()&lt;'Team_Info'!$E$5,"W","B")</x:f>
        <x:v>B</x:v>
      </x:c>
      <x:c r="J333" t="str">
        <x:f>IF(RAND()&lt;'Team_Info'!$E$5,"W","B")</x:f>
        <x:v>W</x:v>
      </x:c>
      <x:c r="K333" t="str">
        <x:f>IF(RAND()&lt;'Team_Info'!$E$5,"W","B")</x:f>
        <x:v>B</x:v>
      </x:c>
      <x:c r="L333" t="str">
        <x:f>IF(RAND()&lt;'Team_Info'!$E$5,"W","B")</x:f>
        <x:v>B</x:v>
      </x:c>
      <x:c r="M333" t="str">
        <x:f>IF(RAND()&lt;'Team_Info'!$E$5,"W","B")</x:f>
        <x:v>B</x:v>
      </x:c>
      <x:c r="N333" t="str">
        <x:f>IF(RAND()&lt;'Team_Info'!$E$5,"W","B")</x:f>
        <x:v>B</x:v>
      </x:c>
      <x:c r="O333" t="str">
        <x:f>IF(RAND()&lt;'Team_Info'!$E$5,"W","B")</x:f>
        <x:v>B</x:v>
      </x:c>
      <x:c r="P333" t="str">
        <x:f>IF(RAND()&lt;'Team_Info'!$E$5,"W","B")</x:f>
        <x:v>W</x:v>
      </x:c>
      <x:c r="Q333" t="str">
        <x:f>IF(RAND()&lt;'Team_Info'!$E$5,"W","B")</x:f>
        <x:v>B</x:v>
      </x:c>
      <x:c r="R333" t="str">
        <x:f>IF(RAND()&lt;'Team_Info'!$E$5,"W","B")</x:f>
        <x:v>B</x:v>
      </x:c>
      <x:c r="S333" t="str">
        <x:f>IF(RAND()&lt;'Team_Info'!$E$5,"W","B")</x:f>
        <x:v>B</x:v>
      </x:c>
      <x:c r="T333" t="str">
        <x:f>IF(RAND()&lt;'Team_Info'!$E$5,"W","B")</x:f>
        <x:v>W</x:v>
      </x:c>
      <x:c r="U333" t="str">
        <x:f>IF(RAND()&lt;'Team_Info'!$E$5,"W","B")</x:f>
        <x:v>B</x:v>
      </x:c>
    </x:row>
    <x:row r="334">
      <x:c r="A334" s="1">
        <x:v>333</x:v>
      </x:c>
      <x:c r="B334" t="str">
        <x:f>IF(RAND()&lt;'Team_Info'!$E$5,"W","B")</x:f>
        <x:v>W</x:v>
      </x:c>
      <x:c r="C334" t="str">
        <x:f>IF(RAND()&lt;'Team_Info'!$E$5,"W","B")</x:f>
        <x:v>B</x:v>
      </x:c>
      <x:c r="D334" t="str">
        <x:f>IF(RAND()&lt;'Team_Info'!$E$5,"W","B")</x:f>
        <x:v>B</x:v>
      </x:c>
      <x:c r="E334" t="str">
        <x:f>IF(RAND()&lt;'Team_Info'!$E$5,"W","B")</x:f>
        <x:v>W</x:v>
      </x:c>
      <x:c r="F334" t="str">
        <x:f>IF(RAND()&lt;'Team_Info'!$E$5,"W","B")</x:f>
        <x:v>B</x:v>
      </x:c>
      <x:c r="G334" t="str">
        <x:f>IF(RAND()&lt;'Team_Info'!$E$5,"W","B")</x:f>
        <x:v>W</x:v>
      </x:c>
      <x:c r="H334" t="str">
        <x:f>IF(RAND()&lt;'Team_Info'!$E$5,"W","B")</x:f>
        <x:v>W</x:v>
      </x:c>
      <x:c r="I334" t="str">
        <x:f>IF(RAND()&lt;'Team_Info'!$E$5,"W","B")</x:f>
        <x:v>W</x:v>
      </x:c>
      <x:c r="J334" t="str">
        <x:f>IF(RAND()&lt;'Team_Info'!$E$5,"W","B")</x:f>
        <x:v>W</x:v>
      </x:c>
      <x:c r="K334" t="str">
        <x:f>IF(RAND()&lt;'Team_Info'!$E$5,"W","B")</x:f>
        <x:v>B</x:v>
      </x:c>
      <x:c r="L334" t="str">
        <x:f>IF(RAND()&lt;'Team_Info'!$E$5,"W","B")</x:f>
        <x:v>W</x:v>
      </x:c>
      <x:c r="M334" t="str">
        <x:f>IF(RAND()&lt;'Team_Info'!$E$5,"W","B")</x:f>
        <x:v>B</x:v>
      </x:c>
      <x:c r="N334" t="str">
        <x:f>IF(RAND()&lt;'Team_Info'!$E$5,"W","B")</x:f>
        <x:v>W</x:v>
      </x:c>
      <x:c r="O334" t="str">
        <x:f>IF(RAND()&lt;'Team_Info'!$E$5,"W","B")</x:f>
        <x:v>B</x:v>
      </x:c>
      <x:c r="P334" t="str">
        <x:f>IF(RAND()&lt;'Team_Info'!$E$5,"W","B")</x:f>
        <x:v>B</x:v>
      </x:c>
      <x:c r="Q334" t="str">
        <x:f>IF(RAND()&lt;'Team_Info'!$E$5,"W","B")</x:f>
        <x:v>W</x:v>
      </x:c>
      <x:c r="R334" t="str">
        <x:f>IF(RAND()&lt;'Team_Info'!$E$5,"W","B")</x:f>
        <x:v>W</x:v>
      </x:c>
      <x:c r="S334" t="str">
        <x:f>IF(RAND()&lt;'Team_Info'!$E$5,"W","B")</x:f>
        <x:v>B</x:v>
      </x:c>
      <x:c r="T334" t="str">
        <x:f>IF(RAND()&lt;'Team_Info'!$E$5,"W","B")</x:f>
        <x:v>B</x:v>
      </x:c>
      <x:c r="U334" t="str">
        <x:f>IF(RAND()&lt;'Team_Info'!$E$5,"W","B")</x:f>
        <x:v>B</x:v>
      </x:c>
    </x:row>
    <x:row r="335">
      <x:c r="A335" s="1">
        <x:v>334</x:v>
      </x:c>
      <x:c r="B335" t="str">
        <x:f>IF(RAND()&lt;'Team_Info'!$E$5,"W","B")</x:f>
        <x:v>B</x:v>
      </x:c>
      <x:c r="C335" t="str">
        <x:f>IF(RAND()&lt;'Team_Info'!$E$5,"W","B")</x:f>
        <x:v>B</x:v>
      </x:c>
      <x:c r="D335" t="str">
        <x:f>IF(RAND()&lt;'Team_Info'!$E$5,"W","B")</x:f>
        <x:v>W</x:v>
      </x:c>
      <x:c r="E335" t="str">
        <x:f>IF(RAND()&lt;'Team_Info'!$E$5,"W","B")</x:f>
        <x:v>W</x:v>
      </x:c>
      <x:c r="F335" t="str">
        <x:f>IF(RAND()&lt;'Team_Info'!$E$5,"W","B")</x:f>
        <x:v>W</x:v>
      </x:c>
      <x:c r="G335" t="str">
        <x:f>IF(RAND()&lt;'Team_Info'!$E$5,"W","B")</x:f>
        <x:v>B</x:v>
      </x:c>
      <x:c r="H335" t="str">
        <x:f>IF(RAND()&lt;'Team_Info'!$E$5,"W","B")</x:f>
        <x:v>W</x:v>
      </x:c>
      <x:c r="I335" t="str">
        <x:f>IF(RAND()&lt;'Team_Info'!$E$5,"W","B")</x:f>
        <x:v>B</x:v>
      </x:c>
      <x:c r="J335" t="str">
        <x:f>IF(RAND()&lt;'Team_Info'!$E$5,"W","B")</x:f>
        <x:v>B</x:v>
      </x:c>
      <x:c r="K335" t="str">
        <x:f>IF(RAND()&lt;'Team_Info'!$E$5,"W","B")</x:f>
        <x:v>B</x:v>
      </x:c>
      <x:c r="L335" t="str">
        <x:f>IF(RAND()&lt;'Team_Info'!$E$5,"W","B")</x:f>
        <x:v>B</x:v>
      </x:c>
      <x:c r="M335" t="str">
        <x:f>IF(RAND()&lt;'Team_Info'!$E$5,"W","B")</x:f>
        <x:v>W</x:v>
      </x:c>
      <x:c r="N335" t="str">
        <x:f>IF(RAND()&lt;'Team_Info'!$E$5,"W","B")</x:f>
        <x:v>B</x:v>
      </x:c>
      <x:c r="O335" t="str">
        <x:f>IF(RAND()&lt;'Team_Info'!$E$5,"W","B")</x:f>
        <x:v>B</x:v>
      </x:c>
      <x:c r="P335" t="str">
        <x:f>IF(RAND()&lt;'Team_Info'!$E$5,"W","B")</x:f>
        <x:v>W</x:v>
      </x:c>
      <x:c r="Q335" t="str">
        <x:f>IF(RAND()&lt;'Team_Info'!$E$5,"W","B")</x:f>
        <x:v>W</x:v>
      </x:c>
      <x:c r="R335" t="str">
        <x:f>IF(RAND()&lt;'Team_Info'!$E$5,"W","B")</x:f>
        <x:v>W</x:v>
      </x:c>
      <x:c r="S335" t="str">
        <x:f>IF(RAND()&lt;'Team_Info'!$E$5,"W","B")</x:f>
        <x:v>B</x:v>
      </x:c>
      <x:c r="T335" t="str">
        <x:f>IF(RAND()&lt;'Team_Info'!$E$5,"W","B")</x:f>
        <x:v>W</x:v>
      </x:c>
      <x:c r="U335" t="str">
        <x:f>IF(RAND()&lt;'Team_Info'!$E$5,"W","B")</x:f>
        <x:v>B</x:v>
      </x:c>
    </x:row>
    <x:row r="336">
      <x:c r="A336" s="1">
        <x:v>335</x:v>
      </x:c>
      <x:c r="B336" t="str">
        <x:f>IF(RAND()&lt;'Team_Info'!$E$5,"W","B")</x:f>
        <x:v>B</x:v>
      </x:c>
      <x:c r="C336" t="str">
        <x:f>IF(RAND()&lt;'Team_Info'!$E$5,"W","B")</x:f>
        <x:v>W</x:v>
      </x:c>
      <x:c r="D336" t="str">
        <x:f>IF(RAND()&lt;'Team_Info'!$E$5,"W","B")</x:f>
        <x:v>B</x:v>
      </x:c>
      <x:c r="E336" t="str">
        <x:f>IF(RAND()&lt;'Team_Info'!$E$5,"W","B")</x:f>
        <x:v>B</x:v>
      </x:c>
      <x:c r="F336" t="str">
        <x:f>IF(RAND()&lt;'Team_Info'!$E$5,"W","B")</x:f>
        <x:v>W</x:v>
      </x:c>
      <x:c r="G336" t="str">
        <x:f>IF(RAND()&lt;'Team_Info'!$E$5,"W","B")</x:f>
        <x:v>B</x:v>
      </x:c>
      <x:c r="H336" t="str">
        <x:f>IF(RAND()&lt;'Team_Info'!$E$5,"W","B")</x:f>
        <x:v>B</x:v>
      </x:c>
      <x:c r="I336" t="str">
        <x:f>IF(RAND()&lt;'Team_Info'!$E$5,"W","B")</x:f>
        <x:v>B</x:v>
      </x:c>
      <x:c r="J336" t="str">
        <x:f>IF(RAND()&lt;'Team_Info'!$E$5,"W","B")</x:f>
        <x:v>B</x:v>
      </x:c>
      <x:c r="K336" t="str">
        <x:f>IF(RAND()&lt;'Team_Info'!$E$5,"W","B")</x:f>
        <x:v>W</x:v>
      </x:c>
      <x:c r="L336" t="str">
        <x:f>IF(RAND()&lt;'Team_Info'!$E$5,"W","B")</x:f>
        <x:v>W</x:v>
      </x:c>
      <x:c r="M336" t="str">
        <x:f>IF(RAND()&lt;'Team_Info'!$E$5,"W","B")</x:f>
        <x:v>W</x:v>
      </x:c>
      <x:c r="N336" t="str">
        <x:f>IF(RAND()&lt;'Team_Info'!$E$5,"W","B")</x:f>
        <x:v>B</x:v>
      </x:c>
      <x:c r="O336" t="str">
        <x:f>IF(RAND()&lt;'Team_Info'!$E$5,"W","B")</x:f>
        <x:v>B</x:v>
      </x:c>
      <x:c r="P336" t="str">
        <x:f>IF(RAND()&lt;'Team_Info'!$E$5,"W","B")</x:f>
        <x:v>B</x:v>
      </x:c>
      <x:c r="Q336" t="str">
        <x:f>IF(RAND()&lt;'Team_Info'!$E$5,"W","B")</x:f>
        <x:v>B</x:v>
      </x:c>
      <x:c r="R336" t="str">
        <x:f>IF(RAND()&lt;'Team_Info'!$E$5,"W","B")</x:f>
        <x:v>W</x:v>
      </x:c>
      <x:c r="S336" t="str">
        <x:f>IF(RAND()&lt;'Team_Info'!$E$5,"W","B")</x:f>
        <x:v>W</x:v>
      </x:c>
      <x:c r="T336" t="str">
        <x:f>IF(RAND()&lt;'Team_Info'!$E$5,"W","B")</x:f>
        <x:v>W</x:v>
      </x:c>
      <x:c r="U336" t="str">
        <x:f>IF(RAND()&lt;'Team_Info'!$E$5,"W","B")</x:f>
        <x:v>W</x:v>
      </x:c>
    </x:row>
    <x:row r="337">
      <x:c r="A337" s="1">
        <x:v>336</x:v>
      </x:c>
      <x:c r="B337" t="str">
        <x:f>IF(RAND()&lt;'Team_Info'!$E$5,"W","B")</x:f>
        <x:v>W</x:v>
      </x:c>
      <x:c r="C337" t="str">
        <x:f>IF(RAND()&lt;'Team_Info'!$E$5,"W","B")</x:f>
        <x:v>B</x:v>
      </x:c>
      <x:c r="D337" t="str">
        <x:f>IF(RAND()&lt;'Team_Info'!$E$5,"W","B")</x:f>
        <x:v>W</x:v>
      </x:c>
      <x:c r="E337" t="str">
        <x:f>IF(RAND()&lt;'Team_Info'!$E$5,"W","B")</x:f>
        <x:v>W</x:v>
      </x:c>
      <x:c r="F337" t="str">
        <x:f>IF(RAND()&lt;'Team_Info'!$E$5,"W","B")</x:f>
        <x:v>W</x:v>
      </x:c>
      <x:c r="G337" t="str">
        <x:f>IF(RAND()&lt;'Team_Info'!$E$5,"W","B")</x:f>
        <x:v>B</x:v>
      </x:c>
      <x:c r="H337" t="str">
        <x:f>IF(RAND()&lt;'Team_Info'!$E$5,"W","B")</x:f>
        <x:v>B</x:v>
      </x:c>
      <x:c r="I337" t="str">
        <x:f>IF(RAND()&lt;'Team_Info'!$E$5,"W","B")</x:f>
        <x:v>W</x:v>
      </x:c>
      <x:c r="J337" t="str">
        <x:f>IF(RAND()&lt;'Team_Info'!$E$5,"W","B")</x:f>
        <x:v>W</x:v>
      </x:c>
      <x:c r="K337" t="str">
        <x:f>IF(RAND()&lt;'Team_Info'!$E$5,"W","B")</x:f>
        <x:v>W</x:v>
      </x:c>
      <x:c r="L337" t="str">
        <x:f>IF(RAND()&lt;'Team_Info'!$E$5,"W","B")</x:f>
        <x:v>W</x:v>
      </x:c>
      <x:c r="M337" t="str">
        <x:f>IF(RAND()&lt;'Team_Info'!$E$5,"W","B")</x:f>
        <x:v>B</x:v>
      </x:c>
      <x:c r="N337" t="str">
        <x:f>IF(RAND()&lt;'Team_Info'!$E$5,"W","B")</x:f>
        <x:v>B</x:v>
      </x:c>
      <x:c r="O337" t="str">
        <x:f>IF(RAND()&lt;'Team_Info'!$E$5,"W","B")</x:f>
        <x:v>W</x:v>
      </x:c>
      <x:c r="P337" t="str">
        <x:f>IF(RAND()&lt;'Team_Info'!$E$5,"W","B")</x:f>
        <x:v>W</x:v>
      </x:c>
      <x:c r="Q337" t="str">
        <x:f>IF(RAND()&lt;'Team_Info'!$E$5,"W","B")</x:f>
        <x:v>B</x:v>
      </x:c>
      <x:c r="R337" t="str">
        <x:f>IF(RAND()&lt;'Team_Info'!$E$5,"W","B")</x:f>
        <x:v>B</x:v>
      </x:c>
      <x:c r="S337" t="str">
        <x:f>IF(RAND()&lt;'Team_Info'!$E$5,"W","B")</x:f>
        <x:v>W</x:v>
      </x:c>
      <x:c r="T337" t="str">
        <x:f>IF(RAND()&lt;'Team_Info'!$E$5,"W","B")</x:f>
        <x:v>B</x:v>
      </x:c>
      <x:c r="U337" t="str">
        <x:f>IF(RAND()&lt;'Team_Info'!$E$5,"W","B")</x:f>
        <x:v>B</x:v>
      </x:c>
    </x:row>
    <x:row r="338">
      <x:c r="A338" s="1">
        <x:v>337</x:v>
      </x:c>
      <x:c r="B338" t="str">
        <x:f>IF(RAND()&lt;'Team_Info'!$E$5,"W","B")</x:f>
        <x:v>W</x:v>
      </x:c>
      <x:c r="C338" t="str">
        <x:f>IF(RAND()&lt;'Team_Info'!$E$5,"W","B")</x:f>
        <x:v>B</x:v>
      </x:c>
      <x:c r="D338" t="str">
        <x:f>IF(RAND()&lt;'Team_Info'!$E$5,"W","B")</x:f>
        <x:v>B</x:v>
      </x:c>
      <x:c r="E338" t="str">
        <x:f>IF(RAND()&lt;'Team_Info'!$E$5,"W","B")</x:f>
        <x:v>W</x:v>
      </x:c>
      <x:c r="F338" t="str">
        <x:f>IF(RAND()&lt;'Team_Info'!$E$5,"W","B")</x:f>
        <x:v>B</x:v>
      </x:c>
      <x:c r="G338" t="str">
        <x:f>IF(RAND()&lt;'Team_Info'!$E$5,"W","B")</x:f>
        <x:v>W</x:v>
      </x:c>
      <x:c r="H338" t="str">
        <x:f>IF(RAND()&lt;'Team_Info'!$E$5,"W","B")</x:f>
        <x:v>W</x:v>
      </x:c>
      <x:c r="I338" t="str">
        <x:f>IF(RAND()&lt;'Team_Info'!$E$5,"W","B")</x:f>
        <x:v>W</x:v>
      </x:c>
      <x:c r="J338" t="str">
        <x:f>IF(RAND()&lt;'Team_Info'!$E$5,"W","B")</x:f>
        <x:v>W</x:v>
      </x:c>
      <x:c r="K338" t="str">
        <x:f>IF(RAND()&lt;'Team_Info'!$E$5,"W","B")</x:f>
        <x:v>B</x:v>
      </x:c>
      <x:c r="L338" t="str">
        <x:f>IF(RAND()&lt;'Team_Info'!$E$5,"W","B")</x:f>
        <x:v>B</x:v>
      </x:c>
      <x:c r="M338" t="str">
        <x:f>IF(RAND()&lt;'Team_Info'!$E$5,"W","B")</x:f>
        <x:v>B</x:v>
      </x:c>
      <x:c r="N338" t="str">
        <x:f>IF(RAND()&lt;'Team_Info'!$E$5,"W","B")</x:f>
        <x:v>B</x:v>
      </x:c>
      <x:c r="O338" t="str">
        <x:f>IF(RAND()&lt;'Team_Info'!$E$5,"W","B")</x:f>
        <x:v>B</x:v>
      </x:c>
      <x:c r="P338" t="str">
        <x:f>IF(RAND()&lt;'Team_Info'!$E$5,"W","B")</x:f>
        <x:v>B</x:v>
      </x:c>
      <x:c r="Q338" t="str">
        <x:f>IF(RAND()&lt;'Team_Info'!$E$5,"W","B")</x:f>
        <x:v>B</x:v>
      </x:c>
      <x:c r="R338" t="str">
        <x:f>IF(RAND()&lt;'Team_Info'!$E$5,"W","B")</x:f>
        <x:v>B</x:v>
      </x:c>
      <x:c r="S338" t="str">
        <x:f>IF(RAND()&lt;'Team_Info'!$E$5,"W","B")</x:f>
        <x:v>W</x:v>
      </x:c>
      <x:c r="T338" t="str">
        <x:f>IF(RAND()&lt;'Team_Info'!$E$5,"W","B")</x:f>
        <x:v>B</x:v>
      </x:c>
      <x:c r="U338" t="str">
        <x:f>IF(RAND()&lt;'Team_Info'!$E$5,"W","B")</x:f>
        <x:v>B</x:v>
      </x:c>
    </x:row>
    <x:row r="339">
      <x:c r="A339" s="1">
        <x:v>338</x:v>
      </x:c>
      <x:c r="B339" t="str">
        <x:f>IF(RAND()&lt;'Team_Info'!$E$5,"W","B")</x:f>
        <x:v>W</x:v>
      </x:c>
      <x:c r="C339" t="str">
        <x:f>IF(RAND()&lt;'Team_Info'!$E$5,"W","B")</x:f>
        <x:v>B</x:v>
      </x:c>
      <x:c r="D339" t="str">
        <x:f>IF(RAND()&lt;'Team_Info'!$E$5,"W","B")</x:f>
        <x:v>W</x:v>
      </x:c>
      <x:c r="E339" t="str">
        <x:f>IF(RAND()&lt;'Team_Info'!$E$5,"W","B")</x:f>
        <x:v>B</x:v>
      </x:c>
      <x:c r="F339" t="str">
        <x:f>IF(RAND()&lt;'Team_Info'!$E$5,"W","B")</x:f>
        <x:v>W</x:v>
      </x:c>
      <x:c r="G339" t="str">
        <x:f>IF(RAND()&lt;'Team_Info'!$E$5,"W","B")</x:f>
        <x:v>W</x:v>
      </x:c>
      <x:c r="H339" t="str">
        <x:f>IF(RAND()&lt;'Team_Info'!$E$5,"W","B")</x:f>
        <x:v>B</x:v>
      </x:c>
      <x:c r="I339" t="str">
        <x:f>IF(RAND()&lt;'Team_Info'!$E$5,"W","B")</x:f>
        <x:v>B</x:v>
      </x:c>
      <x:c r="J339" t="str">
        <x:f>IF(RAND()&lt;'Team_Info'!$E$5,"W","B")</x:f>
        <x:v>B</x:v>
      </x:c>
      <x:c r="K339" t="str">
        <x:f>IF(RAND()&lt;'Team_Info'!$E$5,"W","B")</x:f>
        <x:v>W</x:v>
      </x:c>
      <x:c r="L339" t="str">
        <x:f>IF(RAND()&lt;'Team_Info'!$E$5,"W","B")</x:f>
        <x:v>W</x:v>
      </x:c>
      <x:c r="M339" t="str">
        <x:f>IF(RAND()&lt;'Team_Info'!$E$5,"W","B")</x:f>
        <x:v>W</x:v>
      </x:c>
      <x:c r="N339" t="str">
        <x:f>IF(RAND()&lt;'Team_Info'!$E$5,"W","B")</x:f>
        <x:v>W</x:v>
      </x:c>
      <x:c r="O339" t="str">
        <x:f>IF(RAND()&lt;'Team_Info'!$E$5,"W","B")</x:f>
        <x:v>B</x:v>
      </x:c>
      <x:c r="P339" t="str">
        <x:f>IF(RAND()&lt;'Team_Info'!$E$5,"W","B")</x:f>
        <x:v>B</x:v>
      </x:c>
      <x:c r="Q339" t="str">
        <x:f>IF(RAND()&lt;'Team_Info'!$E$5,"W","B")</x:f>
        <x:v>B</x:v>
      </x:c>
      <x:c r="R339" t="str">
        <x:f>IF(RAND()&lt;'Team_Info'!$E$5,"W","B")</x:f>
        <x:v>W</x:v>
      </x:c>
      <x:c r="S339" t="str">
        <x:f>IF(RAND()&lt;'Team_Info'!$E$5,"W","B")</x:f>
        <x:v>B</x:v>
      </x:c>
      <x:c r="T339" t="str">
        <x:f>IF(RAND()&lt;'Team_Info'!$E$5,"W","B")</x:f>
        <x:v>B</x:v>
      </x:c>
      <x:c r="U339" t="str">
        <x:f>IF(RAND()&lt;'Team_Info'!$E$5,"W","B")</x:f>
        <x:v>B</x:v>
      </x:c>
    </x:row>
    <x:row r="340">
      <x:c r="A340" s="1">
        <x:v>339</x:v>
      </x:c>
      <x:c r="B340" t="str">
        <x:f>IF(RAND()&lt;'Team_Info'!$E$5,"W","B")</x:f>
        <x:v>B</x:v>
      </x:c>
      <x:c r="C340" t="str">
        <x:f>IF(RAND()&lt;'Team_Info'!$E$5,"W","B")</x:f>
        <x:v>B</x:v>
      </x:c>
      <x:c r="D340" t="str">
        <x:f>IF(RAND()&lt;'Team_Info'!$E$5,"W","B")</x:f>
        <x:v>W</x:v>
      </x:c>
      <x:c r="E340" t="str">
        <x:f>IF(RAND()&lt;'Team_Info'!$E$5,"W","B")</x:f>
        <x:v>W</x:v>
      </x:c>
      <x:c r="F340" t="str">
        <x:f>IF(RAND()&lt;'Team_Info'!$E$5,"W","B")</x:f>
        <x:v>W</x:v>
      </x:c>
      <x:c r="G340" t="str">
        <x:f>IF(RAND()&lt;'Team_Info'!$E$5,"W","B")</x:f>
        <x:v>B</x:v>
      </x:c>
      <x:c r="H340" t="str">
        <x:f>IF(RAND()&lt;'Team_Info'!$E$5,"W","B")</x:f>
        <x:v>W</x:v>
      </x:c>
      <x:c r="I340" t="str">
        <x:f>IF(RAND()&lt;'Team_Info'!$E$5,"W","B")</x:f>
        <x:v>B</x:v>
      </x:c>
      <x:c r="J340" t="str">
        <x:f>IF(RAND()&lt;'Team_Info'!$E$5,"W","B")</x:f>
        <x:v>W</x:v>
      </x:c>
      <x:c r="K340" t="str">
        <x:f>IF(RAND()&lt;'Team_Info'!$E$5,"W","B")</x:f>
        <x:v>B</x:v>
      </x:c>
      <x:c r="L340" t="str">
        <x:f>IF(RAND()&lt;'Team_Info'!$E$5,"W","B")</x:f>
        <x:v>W</x:v>
      </x:c>
      <x:c r="M340" t="str">
        <x:f>IF(RAND()&lt;'Team_Info'!$E$5,"W","B")</x:f>
        <x:v>B</x:v>
      </x:c>
      <x:c r="N340" t="str">
        <x:f>IF(RAND()&lt;'Team_Info'!$E$5,"W","B")</x:f>
        <x:v>W</x:v>
      </x:c>
      <x:c r="O340" t="str">
        <x:f>IF(RAND()&lt;'Team_Info'!$E$5,"W","B")</x:f>
        <x:v>W</x:v>
      </x:c>
      <x:c r="P340" t="str">
        <x:f>IF(RAND()&lt;'Team_Info'!$E$5,"W","B")</x:f>
        <x:v>B</x:v>
      </x:c>
      <x:c r="Q340" t="str">
        <x:f>IF(RAND()&lt;'Team_Info'!$E$5,"W","B")</x:f>
        <x:v>B</x:v>
      </x:c>
      <x:c r="R340" t="str">
        <x:f>IF(RAND()&lt;'Team_Info'!$E$5,"W","B")</x:f>
        <x:v>W</x:v>
      </x:c>
      <x:c r="S340" t="str">
        <x:f>IF(RAND()&lt;'Team_Info'!$E$5,"W","B")</x:f>
        <x:v>W</x:v>
      </x:c>
      <x:c r="T340" t="str">
        <x:f>IF(RAND()&lt;'Team_Info'!$E$5,"W","B")</x:f>
        <x:v>B</x:v>
      </x:c>
      <x:c r="U340" t="str">
        <x:f>IF(RAND()&lt;'Team_Info'!$E$5,"W","B")</x:f>
        <x:v>W</x:v>
      </x:c>
    </x:row>
    <x:row r="341">
      <x:c r="A341" s="1">
        <x:v>340</x:v>
      </x:c>
      <x:c r="B341" t="str">
        <x:f>IF(RAND()&lt;'Team_Info'!$E$5,"W","B")</x:f>
        <x:v>B</x:v>
      </x:c>
      <x:c r="C341" t="str">
        <x:f>IF(RAND()&lt;'Team_Info'!$E$5,"W","B")</x:f>
        <x:v>B</x:v>
      </x:c>
      <x:c r="D341" t="str">
        <x:f>IF(RAND()&lt;'Team_Info'!$E$5,"W","B")</x:f>
        <x:v>B</x:v>
      </x:c>
      <x:c r="E341" t="str">
        <x:f>IF(RAND()&lt;'Team_Info'!$E$5,"W","B")</x:f>
        <x:v>B</x:v>
      </x:c>
      <x:c r="F341" t="str">
        <x:f>IF(RAND()&lt;'Team_Info'!$E$5,"W","B")</x:f>
        <x:v>B</x:v>
      </x:c>
      <x:c r="G341" t="str">
        <x:f>IF(RAND()&lt;'Team_Info'!$E$5,"W","B")</x:f>
        <x:v>B</x:v>
      </x:c>
      <x:c r="H341" t="str">
        <x:f>IF(RAND()&lt;'Team_Info'!$E$5,"W","B")</x:f>
        <x:v>B</x:v>
      </x:c>
      <x:c r="I341" t="str">
        <x:f>IF(RAND()&lt;'Team_Info'!$E$5,"W","B")</x:f>
        <x:v>W</x:v>
      </x:c>
      <x:c r="J341" t="str">
        <x:f>IF(RAND()&lt;'Team_Info'!$E$5,"W","B")</x:f>
        <x:v>B</x:v>
      </x:c>
      <x:c r="K341" t="str">
        <x:f>IF(RAND()&lt;'Team_Info'!$E$5,"W","B")</x:f>
        <x:v>B</x:v>
      </x:c>
      <x:c r="L341" t="str">
        <x:f>IF(RAND()&lt;'Team_Info'!$E$5,"W","B")</x:f>
        <x:v>B</x:v>
      </x:c>
      <x:c r="M341" t="str">
        <x:f>IF(RAND()&lt;'Team_Info'!$E$5,"W","B")</x:f>
        <x:v>B</x:v>
      </x:c>
      <x:c r="N341" t="str">
        <x:f>IF(RAND()&lt;'Team_Info'!$E$5,"W","B")</x:f>
        <x:v>W</x:v>
      </x:c>
      <x:c r="O341" t="str">
        <x:f>IF(RAND()&lt;'Team_Info'!$E$5,"W","B")</x:f>
        <x:v>B</x:v>
      </x:c>
      <x:c r="P341" t="str">
        <x:f>IF(RAND()&lt;'Team_Info'!$E$5,"W","B")</x:f>
        <x:v>B</x:v>
      </x:c>
      <x:c r="Q341" t="str">
        <x:f>IF(RAND()&lt;'Team_Info'!$E$5,"W","B")</x:f>
        <x:v>B</x:v>
      </x:c>
      <x:c r="R341" t="str">
        <x:f>IF(RAND()&lt;'Team_Info'!$E$5,"W","B")</x:f>
        <x:v>W</x:v>
      </x:c>
      <x:c r="S341" t="str">
        <x:f>IF(RAND()&lt;'Team_Info'!$E$5,"W","B")</x:f>
        <x:v>W</x:v>
      </x:c>
      <x:c r="T341" t="str">
        <x:f>IF(RAND()&lt;'Team_Info'!$E$5,"W","B")</x:f>
        <x:v>B</x:v>
      </x:c>
      <x:c r="U341" t="str">
        <x:f>IF(RAND()&lt;'Team_Info'!$E$5,"W","B")</x:f>
        <x:v>B</x:v>
      </x:c>
    </x:row>
    <x:row r="342">
      <x:c r="A342" s="1">
        <x:v>341</x:v>
      </x:c>
      <x:c r="B342" t="str">
        <x:f>IF(RAND()&lt;'Team_Info'!$E$5,"W","B")</x:f>
        <x:v>B</x:v>
      </x:c>
      <x:c r="C342" t="str">
        <x:f>IF(RAND()&lt;'Team_Info'!$E$5,"W","B")</x:f>
        <x:v>B</x:v>
      </x:c>
      <x:c r="D342" t="str">
        <x:f>IF(RAND()&lt;'Team_Info'!$E$5,"W","B")</x:f>
        <x:v>B</x:v>
      </x:c>
      <x:c r="E342" t="str">
        <x:f>IF(RAND()&lt;'Team_Info'!$E$5,"W","B")</x:f>
        <x:v>W</x:v>
      </x:c>
      <x:c r="F342" t="str">
        <x:f>IF(RAND()&lt;'Team_Info'!$E$5,"W","B")</x:f>
        <x:v>B</x:v>
      </x:c>
      <x:c r="G342" t="str">
        <x:f>IF(RAND()&lt;'Team_Info'!$E$5,"W","B")</x:f>
        <x:v>B</x:v>
      </x:c>
      <x:c r="H342" t="str">
        <x:f>IF(RAND()&lt;'Team_Info'!$E$5,"W","B")</x:f>
        <x:v>B</x:v>
      </x:c>
      <x:c r="I342" t="str">
        <x:f>IF(RAND()&lt;'Team_Info'!$E$5,"W","B")</x:f>
        <x:v>W</x:v>
      </x:c>
      <x:c r="J342" t="str">
        <x:f>IF(RAND()&lt;'Team_Info'!$E$5,"W","B")</x:f>
        <x:v>B</x:v>
      </x:c>
      <x:c r="K342" t="str">
        <x:f>IF(RAND()&lt;'Team_Info'!$E$5,"W","B")</x:f>
        <x:v>B</x:v>
      </x:c>
      <x:c r="L342" t="str">
        <x:f>IF(RAND()&lt;'Team_Info'!$E$5,"W","B")</x:f>
        <x:v>W</x:v>
      </x:c>
      <x:c r="M342" t="str">
        <x:f>IF(RAND()&lt;'Team_Info'!$E$5,"W","B")</x:f>
        <x:v>W</x:v>
      </x:c>
      <x:c r="N342" t="str">
        <x:f>IF(RAND()&lt;'Team_Info'!$E$5,"W","B")</x:f>
        <x:v>B</x:v>
      </x:c>
      <x:c r="O342" t="str">
        <x:f>IF(RAND()&lt;'Team_Info'!$E$5,"W","B")</x:f>
        <x:v>B</x:v>
      </x:c>
      <x:c r="P342" t="str">
        <x:f>IF(RAND()&lt;'Team_Info'!$E$5,"W","B")</x:f>
        <x:v>W</x:v>
      </x:c>
      <x:c r="Q342" t="str">
        <x:f>IF(RAND()&lt;'Team_Info'!$E$5,"W","B")</x:f>
        <x:v>B</x:v>
      </x:c>
      <x:c r="R342" t="str">
        <x:f>IF(RAND()&lt;'Team_Info'!$E$5,"W","B")</x:f>
        <x:v>W</x:v>
      </x:c>
      <x:c r="S342" t="str">
        <x:f>IF(RAND()&lt;'Team_Info'!$E$5,"W","B")</x:f>
        <x:v>W</x:v>
      </x:c>
      <x:c r="T342" t="str">
        <x:f>IF(RAND()&lt;'Team_Info'!$E$5,"W","B")</x:f>
        <x:v>B</x:v>
      </x:c>
      <x:c r="U342" t="str">
        <x:f>IF(RAND()&lt;'Team_Info'!$E$5,"W","B")</x:f>
        <x:v>W</x:v>
      </x:c>
    </x:row>
    <x:row r="343">
      <x:c r="A343" s="1">
        <x:v>342</x:v>
      </x:c>
      <x:c r="B343" t="str">
        <x:f>IF(RAND()&lt;'Team_Info'!$E$5,"W","B")</x:f>
        <x:v>W</x:v>
      </x:c>
      <x:c r="C343" t="str">
        <x:f>IF(RAND()&lt;'Team_Info'!$E$5,"W","B")</x:f>
        <x:v>B</x:v>
      </x:c>
      <x:c r="D343" t="str">
        <x:f>IF(RAND()&lt;'Team_Info'!$E$5,"W","B")</x:f>
        <x:v>W</x:v>
      </x:c>
      <x:c r="E343" t="str">
        <x:f>IF(RAND()&lt;'Team_Info'!$E$5,"W","B")</x:f>
        <x:v>W</x:v>
      </x:c>
      <x:c r="F343" t="str">
        <x:f>IF(RAND()&lt;'Team_Info'!$E$5,"W","B")</x:f>
        <x:v>B</x:v>
      </x:c>
      <x:c r="G343" t="str">
        <x:f>IF(RAND()&lt;'Team_Info'!$E$5,"W","B")</x:f>
        <x:v>B</x:v>
      </x:c>
      <x:c r="H343" t="str">
        <x:f>IF(RAND()&lt;'Team_Info'!$E$5,"W","B")</x:f>
        <x:v>B</x:v>
      </x:c>
      <x:c r="I343" t="str">
        <x:f>IF(RAND()&lt;'Team_Info'!$E$5,"W","B")</x:f>
        <x:v>B</x:v>
      </x:c>
      <x:c r="J343" t="str">
        <x:f>IF(RAND()&lt;'Team_Info'!$E$5,"W","B")</x:f>
        <x:v>B</x:v>
      </x:c>
      <x:c r="K343" t="str">
        <x:f>IF(RAND()&lt;'Team_Info'!$E$5,"W","B")</x:f>
        <x:v>W</x:v>
      </x:c>
      <x:c r="L343" t="str">
        <x:f>IF(RAND()&lt;'Team_Info'!$E$5,"W","B")</x:f>
        <x:v>W</x:v>
      </x:c>
      <x:c r="M343" t="str">
        <x:f>IF(RAND()&lt;'Team_Info'!$E$5,"W","B")</x:f>
        <x:v>W</x:v>
      </x:c>
      <x:c r="N343" t="str">
        <x:f>IF(RAND()&lt;'Team_Info'!$E$5,"W","B")</x:f>
        <x:v>W</x:v>
      </x:c>
      <x:c r="O343" t="str">
        <x:f>IF(RAND()&lt;'Team_Info'!$E$5,"W","B")</x:f>
        <x:v>W</x:v>
      </x:c>
      <x:c r="P343" t="str">
        <x:f>IF(RAND()&lt;'Team_Info'!$E$5,"W","B")</x:f>
        <x:v>B</x:v>
      </x:c>
      <x:c r="Q343" t="str">
        <x:f>IF(RAND()&lt;'Team_Info'!$E$5,"W","B")</x:f>
        <x:v>W</x:v>
      </x:c>
      <x:c r="R343" t="str">
        <x:f>IF(RAND()&lt;'Team_Info'!$E$5,"W","B")</x:f>
        <x:v>W</x:v>
      </x:c>
      <x:c r="S343" t="str">
        <x:f>IF(RAND()&lt;'Team_Info'!$E$5,"W","B")</x:f>
        <x:v>B</x:v>
      </x:c>
      <x:c r="T343" t="str">
        <x:f>IF(RAND()&lt;'Team_Info'!$E$5,"W","B")</x:f>
        <x:v>W</x:v>
      </x:c>
      <x:c r="U343" t="str">
        <x:f>IF(RAND()&lt;'Team_Info'!$E$5,"W","B")</x:f>
        <x:v>B</x:v>
      </x:c>
    </x:row>
    <x:row r="344">
      <x:c r="A344" s="1">
        <x:v>343</x:v>
      </x:c>
      <x:c r="B344" t="str">
        <x:f>IF(RAND()&lt;'Team_Info'!$E$5,"W","B")</x:f>
        <x:v>B</x:v>
      </x:c>
      <x:c r="C344" t="str">
        <x:f>IF(RAND()&lt;'Team_Info'!$E$5,"W","B")</x:f>
        <x:v>W</x:v>
      </x:c>
      <x:c r="D344" t="str">
        <x:f>IF(RAND()&lt;'Team_Info'!$E$5,"W","B")</x:f>
        <x:v>B</x:v>
      </x:c>
      <x:c r="E344" t="str">
        <x:f>IF(RAND()&lt;'Team_Info'!$E$5,"W","B")</x:f>
        <x:v>B</x:v>
      </x:c>
      <x:c r="F344" t="str">
        <x:f>IF(RAND()&lt;'Team_Info'!$E$5,"W","B")</x:f>
        <x:v>W</x:v>
      </x:c>
      <x:c r="G344" t="str">
        <x:f>IF(RAND()&lt;'Team_Info'!$E$5,"W","B")</x:f>
        <x:v>B</x:v>
      </x:c>
      <x:c r="H344" t="str">
        <x:f>IF(RAND()&lt;'Team_Info'!$E$5,"W","B")</x:f>
        <x:v>B</x:v>
      </x:c>
      <x:c r="I344" t="str">
        <x:f>IF(RAND()&lt;'Team_Info'!$E$5,"W","B")</x:f>
        <x:v>W</x:v>
      </x:c>
      <x:c r="J344" t="str">
        <x:f>IF(RAND()&lt;'Team_Info'!$E$5,"W","B")</x:f>
        <x:v>B</x:v>
      </x:c>
      <x:c r="K344" t="str">
        <x:f>IF(RAND()&lt;'Team_Info'!$E$5,"W","B")</x:f>
        <x:v>W</x:v>
      </x:c>
      <x:c r="L344" t="str">
        <x:f>IF(RAND()&lt;'Team_Info'!$E$5,"W","B")</x:f>
        <x:v>B</x:v>
      </x:c>
      <x:c r="M344" t="str">
        <x:f>IF(RAND()&lt;'Team_Info'!$E$5,"W","B")</x:f>
        <x:v>W</x:v>
      </x:c>
      <x:c r="N344" t="str">
        <x:f>IF(RAND()&lt;'Team_Info'!$E$5,"W","B")</x:f>
        <x:v>B</x:v>
      </x:c>
      <x:c r="O344" t="str">
        <x:f>IF(RAND()&lt;'Team_Info'!$E$5,"W","B")</x:f>
        <x:v>W</x:v>
      </x:c>
      <x:c r="P344" t="str">
        <x:f>IF(RAND()&lt;'Team_Info'!$E$5,"W","B")</x:f>
        <x:v>B</x:v>
      </x:c>
      <x:c r="Q344" t="str">
        <x:f>IF(RAND()&lt;'Team_Info'!$E$5,"W","B")</x:f>
        <x:v>W</x:v>
      </x:c>
      <x:c r="R344" t="str">
        <x:f>IF(RAND()&lt;'Team_Info'!$E$5,"W","B")</x:f>
        <x:v>B</x:v>
      </x:c>
      <x:c r="S344" t="str">
        <x:f>IF(RAND()&lt;'Team_Info'!$E$5,"W","B")</x:f>
        <x:v>B</x:v>
      </x:c>
      <x:c r="T344" t="str">
        <x:f>IF(RAND()&lt;'Team_Info'!$E$5,"W","B")</x:f>
        <x:v>W</x:v>
      </x:c>
      <x:c r="U344" t="str">
        <x:f>IF(RAND()&lt;'Team_Info'!$E$5,"W","B")</x:f>
        <x:v>B</x:v>
      </x:c>
    </x:row>
    <x:row r="345">
      <x:c r="A345" s="1">
        <x:v>344</x:v>
      </x:c>
      <x:c r="B345" t="str">
        <x:f>IF(RAND()&lt;'Team_Info'!$E$5,"W","B")</x:f>
        <x:v>B</x:v>
      </x:c>
      <x:c r="C345" t="str">
        <x:f>IF(RAND()&lt;'Team_Info'!$E$5,"W","B")</x:f>
        <x:v>W</x:v>
      </x:c>
      <x:c r="D345" t="str">
        <x:f>IF(RAND()&lt;'Team_Info'!$E$5,"W","B")</x:f>
        <x:v>B</x:v>
      </x:c>
      <x:c r="E345" t="str">
        <x:f>IF(RAND()&lt;'Team_Info'!$E$5,"W","B")</x:f>
        <x:v>B</x:v>
      </x:c>
      <x:c r="F345" t="str">
        <x:f>IF(RAND()&lt;'Team_Info'!$E$5,"W","B")</x:f>
        <x:v>B</x:v>
      </x:c>
      <x:c r="G345" t="str">
        <x:f>IF(RAND()&lt;'Team_Info'!$E$5,"W","B")</x:f>
        <x:v>B</x:v>
      </x:c>
      <x:c r="H345" t="str">
        <x:f>IF(RAND()&lt;'Team_Info'!$E$5,"W","B")</x:f>
        <x:v>W</x:v>
      </x:c>
      <x:c r="I345" t="str">
        <x:f>IF(RAND()&lt;'Team_Info'!$E$5,"W","B")</x:f>
        <x:v>B</x:v>
      </x:c>
      <x:c r="J345" t="str">
        <x:f>IF(RAND()&lt;'Team_Info'!$E$5,"W","B")</x:f>
        <x:v>W</x:v>
      </x:c>
      <x:c r="K345" t="str">
        <x:f>IF(RAND()&lt;'Team_Info'!$E$5,"W","B")</x:f>
        <x:v>B</x:v>
      </x:c>
      <x:c r="L345" t="str">
        <x:f>IF(RAND()&lt;'Team_Info'!$E$5,"W","B")</x:f>
        <x:v>B</x:v>
      </x:c>
      <x:c r="M345" t="str">
        <x:f>IF(RAND()&lt;'Team_Info'!$E$5,"W","B")</x:f>
        <x:v>B</x:v>
      </x:c>
      <x:c r="N345" t="str">
        <x:f>IF(RAND()&lt;'Team_Info'!$E$5,"W","B")</x:f>
        <x:v>B</x:v>
      </x:c>
      <x:c r="O345" t="str">
        <x:f>IF(RAND()&lt;'Team_Info'!$E$5,"W","B")</x:f>
        <x:v>W</x:v>
      </x:c>
      <x:c r="P345" t="str">
        <x:f>IF(RAND()&lt;'Team_Info'!$E$5,"W","B")</x:f>
        <x:v>B</x:v>
      </x:c>
      <x:c r="Q345" t="str">
        <x:f>IF(RAND()&lt;'Team_Info'!$E$5,"W","B")</x:f>
        <x:v>W</x:v>
      </x:c>
      <x:c r="R345" t="str">
        <x:f>IF(RAND()&lt;'Team_Info'!$E$5,"W","B")</x:f>
        <x:v>B</x:v>
      </x:c>
      <x:c r="S345" t="str">
        <x:f>IF(RAND()&lt;'Team_Info'!$E$5,"W","B")</x:f>
        <x:v>W</x:v>
      </x:c>
      <x:c r="T345" t="str">
        <x:f>IF(RAND()&lt;'Team_Info'!$E$5,"W","B")</x:f>
        <x:v>B</x:v>
      </x:c>
      <x:c r="U345" t="str">
        <x:f>IF(RAND()&lt;'Team_Info'!$E$5,"W","B")</x:f>
        <x:v>B</x:v>
      </x:c>
    </x:row>
    <x:row r="346">
      <x:c r="A346" s="1">
        <x:v>345</x:v>
      </x:c>
      <x:c r="B346" t="str">
        <x:f>IF(RAND()&lt;'Team_Info'!$E$5,"W","B")</x:f>
        <x:v>B</x:v>
      </x:c>
      <x:c r="C346" t="str">
        <x:f>IF(RAND()&lt;'Team_Info'!$E$5,"W","B")</x:f>
        <x:v>B</x:v>
      </x:c>
      <x:c r="D346" t="str">
        <x:f>IF(RAND()&lt;'Team_Info'!$E$5,"W","B")</x:f>
        <x:v>B</x:v>
      </x:c>
      <x:c r="E346" t="str">
        <x:f>IF(RAND()&lt;'Team_Info'!$E$5,"W","B")</x:f>
        <x:v>W</x:v>
      </x:c>
      <x:c r="F346" t="str">
        <x:f>IF(RAND()&lt;'Team_Info'!$E$5,"W","B")</x:f>
        <x:v>B</x:v>
      </x:c>
      <x:c r="G346" t="str">
        <x:f>IF(RAND()&lt;'Team_Info'!$E$5,"W","B")</x:f>
        <x:v>B</x:v>
      </x:c>
      <x:c r="H346" t="str">
        <x:f>IF(RAND()&lt;'Team_Info'!$E$5,"W","B")</x:f>
        <x:v>W</x:v>
      </x:c>
      <x:c r="I346" t="str">
        <x:f>IF(RAND()&lt;'Team_Info'!$E$5,"W","B")</x:f>
        <x:v>B</x:v>
      </x:c>
      <x:c r="J346" t="str">
        <x:f>IF(RAND()&lt;'Team_Info'!$E$5,"W","B")</x:f>
        <x:v>B</x:v>
      </x:c>
      <x:c r="K346" t="str">
        <x:f>IF(RAND()&lt;'Team_Info'!$E$5,"W","B")</x:f>
        <x:v>W</x:v>
      </x:c>
      <x:c r="L346" t="str">
        <x:f>IF(RAND()&lt;'Team_Info'!$E$5,"W","B")</x:f>
        <x:v>B</x:v>
      </x:c>
      <x:c r="M346" t="str">
        <x:f>IF(RAND()&lt;'Team_Info'!$E$5,"W","B")</x:f>
        <x:v>B</x:v>
      </x:c>
      <x:c r="N346" t="str">
        <x:f>IF(RAND()&lt;'Team_Info'!$E$5,"W","B")</x:f>
        <x:v>B</x:v>
      </x:c>
      <x:c r="O346" t="str">
        <x:f>IF(RAND()&lt;'Team_Info'!$E$5,"W","B")</x:f>
        <x:v>B</x:v>
      </x:c>
      <x:c r="P346" t="str">
        <x:f>IF(RAND()&lt;'Team_Info'!$E$5,"W","B")</x:f>
        <x:v>W</x:v>
      </x:c>
      <x:c r="Q346" t="str">
        <x:f>IF(RAND()&lt;'Team_Info'!$E$5,"W","B")</x:f>
        <x:v>W</x:v>
      </x:c>
      <x:c r="R346" t="str">
        <x:f>IF(RAND()&lt;'Team_Info'!$E$5,"W","B")</x:f>
        <x:v>W</x:v>
      </x:c>
      <x:c r="S346" t="str">
        <x:f>IF(RAND()&lt;'Team_Info'!$E$5,"W","B")</x:f>
        <x:v>B</x:v>
      </x:c>
      <x:c r="T346" t="str">
        <x:f>IF(RAND()&lt;'Team_Info'!$E$5,"W","B")</x:f>
        <x:v>W</x:v>
      </x:c>
      <x:c r="U346" t="str">
        <x:f>IF(RAND()&lt;'Team_Info'!$E$5,"W","B")</x:f>
        <x:v>B</x:v>
      </x:c>
    </x:row>
    <x:row r="347">
      <x:c r="A347" s="1">
        <x:v>346</x:v>
      </x:c>
      <x:c r="B347" t="str">
        <x:f>IF(RAND()&lt;'Team_Info'!$E$5,"W","B")</x:f>
        <x:v>W</x:v>
      </x:c>
      <x:c r="C347" t="str">
        <x:f>IF(RAND()&lt;'Team_Info'!$E$5,"W","B")</x:f>
        <x:v>B</x:v>
      </x:c>
      <x:c r="D347" t="str">
        <x:f>IF(RAND()&lt;'Team_Info'!$E$5,"W","B")</x:f>
        <x:v>B</x:v>
      </x:c>
      <x:c r="E347" t="str">
        <x:f>IF(RAND()&lt;'Team_Info'!$E$5,"W","B")</x:f>
        <x:v>B</x:v>
      </x:c>
      <x:c r="F347" t="str">
        <x:f>IF(RAND()&lt;'Team_Info'!$E$5,"W","B")</x:f>
        <x:v>W</x:v>
      </x:c>
      <x:c r="G347" t="str">
        <x:f>IF(RAND()&lt;'Team_Info'!$E$5,"W","B")</x:f>
        <x:v>W</x:v>
      </x:c>
      <x:c r="H347" t="str">
        <x:f>IF(RAND()&lt;'Team_Info'!$E$5,"W","B")</x:f>
        <x:v>W</x:v>
      </x:c>
      <x:c r="I347" t="str">
        <x:f>IF(RAND()&lt;'Team_Info'!$E$5,"W","B")</x:f>
        <x:v>B</x:v>
      </x:c>
      <x:c r="J347" t="str">
        <x:f>IF(RAND()&lt;'Team_Info'!$E$5,"W","B")</x:f>
        <x:v>B</x:v>
      </x:c>
      <x:c r="K347" t="str">
        <x:f>IF(RAND()&lt;'Team_Info'!$E$5,"W","B")</x:f>
        <x:v>W</x:v>
      </x:c>
      <x:c r="L347" t="str">
        <x:f>IF(RAND()&lt;'Team_Info'!$E$5,"W","B")</x:f>
        <x:v>B</x:v>
      </x:c>
      <x:c r="M347" t="str">
        <x:f>IF(RAND()&lt;'Team_Info'!$E$5,"W","B")</x:f>
        <x:v>B</x:v>
      </x:c>
      <x:c r="N347" t="str">
        <x:f>IF(RAND()&lt;'Team_Info'!$E$5,"W","B")</x:f>
        <x:v>B</x:v>
      </x:c>
      <x:c r="O347" t="str">
        <x:f>IF(RAND()&lt;'Team_Info'!$E$5,"W","B")</x:f>
        <x:v>W</x:v>
      </x:c>
      <x:c r="P347" t="str">
        <x:f>IF(RAND()&lt;'Team_Info'!$E$5,"W","B")</x:f>
        <x:v>W</x:v>
      </x:c>
      <x:c r="Q347" t="str">
        <x:f>IF(RAND()&lt;'Team_Info'!$E$5,"W","B")</x:f>
        <x:v>B</x:v>
      </x:c>
      <x:c r="R347" t="str">
        <x:f>IF(RAND()&lt;'Team_Info'!$E$5,"W","B")</x:f>
        <x:v>W</x:v>
      </x:c>
      <x:c r="S347" t="str">
        <x:f>IF(RAND()&lt;'Team_Info'!$E$5,"W","B")</x:f>
        <x:v>W</x:v>
      </x:c>
      <x:c r="T347" t="str">
        <x:f>IF(RAND()&lt;'Team_Info'!$E$5,"W","B")</x:f>
        <x:v>B</x:v>
      </x:c>
      <x:c r="U347" t="str">
        <x:f>IF(RAND()&lt;'Team_Info'!$E$5,"W","B")</x:f>
        <x:v>W</x:v>
      </x:c>
    </x:row>
    <x:row r="348">
      <x:c r="A348" s="1">
        <x:v>347</x:v>
      </x:c>
      <x:c r="B348" t="str">
        <x:f>IF(RAND()&lt;'Team_Info'!$E$5,"W","B")</x:f>
        <x:v>B</x:v>
      </x:c>
      <x:c r="C348" t="str">
        <x:f>IF(RAND()&lt;'Team_Info'!$E$5,"W","B")</x:f>
        <x:v>B</x:v>
      </x:c>
      <x:c r="D348" t="str">
        <x:f>IF(RAND()&lt;'Team_Info'!$E$5,"W","B")</x:f>
        <x:v>W</x:v>
      </x:c>
      <x:c r="E348" t="str">
        <x:f>IF(RAND()&lt;'Team_Info'!$E$5,"W","B")</x:f>
        <x:v>B</x:v>
      </x:c>
      <x:c r="F348" t="str">
        <x:f>IF(RAND()&lt;'Team_Info'!$E$5,"W","B")</x:f>
        <x:v>W</x:v>
      </x:c>
      <x:c r="G348" t="str">
        <x:f>IF(RAND()&lt;'Team_Info'!$E$5,"W","B")</x:f>
        <x:v>B</x:v>
      </x:c>
      <x:c r="H348" t="str">
        <x:f>IF(RAND()&lt;'Team_Info'!$E$5,"W","B")</x:f>
        <x:v>W</x:v>
      </x:c>
      <x:c r="I348" t="str">
        <x:f>IF(RAND()&lt;'Team_Info'!$E$5,"W","B")</x:f>
        <x:v>W</x:v>
      </x:c>
      <x:c r="J348" t="str">
        <x:f>IF(RAND()&lt;'Team_Info'!$E$5,"W","B")</x:f>
        <x:v>B</x:v>
      </x:c>
      <x:c r="K348" t="str">
        <x:f>IF(RAND()&lt;'Team_Info'!$E$5,"W","B")</x:f>
        <x:v>B</x:v>
      </x:c>
      <x:c r="L348" t="str">
        <x:f>IF(RAND()&lt;'Team_Info'!$E$5,"W","B")</x:f>
        <x:v>W</x:v>
      </x:c>
      <x:c r="M348" t="str">
        <x:f>IF(RAND()&lt;'Team_Info'!$E$5,"W","B")</x:f>
        <x:v>B</x:v>
      </x:c>
      <x:c r="N348" t="str">
        <x:f>IF(RAND()&lt;'Team_Info'!$E$5,"W","B")</x:f>
        <x:v>B</x:v>
      </x:c>
      <x:c r="O348" t="str">
        <x:f>IF(RAND()&lt;'Team_Info'!$E$5,"W","B")</x:f>
        <x:v>B</x:v>
      </x:c>
      <x:c r="P348" t="str">
        <x:f>IF(RAND()&lt;'Team_Info'!$E$5,"W","B")</x:f>
        <x:v>B</x:v>
      </x:c>
      <x:c r="Q348" t="str">
        <x:f>IF(RAND()&lt;'Team_Info'!$E$5,"W","B")</x:f>
        <x:v>W</x:v>
      </x:c>
      <x:c r="R348" t="str">
        <x:f>IF(RAND()&lt;'Team_Info'!$E$5,"W","B")</x:f>
        <x:v>W</x:v>
      </x:c>
      <x:c r="S348" t="str">
        <x:f>IF(RAND()&lt;'Team_Info'!$E$5,"W","B")</x:f>
        <x:v>W</x:v>
      </x:c>
      <x:c r="T348" t="str">
        <x:f>IF(RAND()&lt;'Team_Info'!$E$5,"W","B")</x:f>
        <x:v>B</x:v>
      </x:c>
      <x:c r="U348" t="str">
        <x:f>IF(RAND()&lt;'Team_Info'!$E$5,"W","B")</x:f>
        <x:v>W</x:v>
      </x:c>
    </x:row>
    <x:row r="349">
      <x:c r="A349" s="1">
        <x:v>348</x:v>
      </x:c>
      <x:c r="B349" t="str">
        <x:f>IF(RAND()&lt;'Team_Info'!$E$5,"W","B")</x:f>
        <x:v>W</x:v>
      </x:c>
      <x:c r="C349" t="str">
        <x:f>IF(RAND()&lt;'Team_Info'!$E$5,"W","B")</x:f>
        <x:v>B</x:v>
      </x:c>
      <x:c r="D349" t="str">
        <x:f>IF(RAND()&lt;'Team_Info'!$E$5,"W","B")</x:f>
        <x:v>B</x:v>
      </x:c>
      <x:c r="E349" t="str">
        <x:f>IF(RAND()&lt;'Team_Info'!$E$5,"W","B")</x:f>
        <x:v>W</x:v>
      </x:c>
      <x:c r="F349" t="str">
        <x:f>IF(RAND()&lt;'Team_Info'!$E$5,"W","B")</x:f>
        <x:v>W</x:v>
      </x:c>
      <x:c r="G349" t="str">
        <x:f>IF(RAND()&lt;'Team_Info'!$E$5,"W","B")</x:f>
        <x:v>W</x:v>
      </x:c>
      <x:c r="H349" t="str">
        <x:f>IF(RAND()&lt;'Team_Info'!$E$5,"W","B")</x:f>
        <x:v>B</x:v>
      </x:c>
      <x:c r="I349" t="str">
        <x:f>IF(RAND()&lt;'Team_Info'!$E$5,"W","B")</x:f>
        <x:v>B</x:v>
      </x:c>
      <x:c r="J349" t="str">
        <x:f>IF(RAND()&lt;'Team_Info'!$E$5,"W","B")</x:f>
        <x:v>W</x:v>
      </x:c>
      <x:c r="K349" t="str">
        <x:f>IF(RAND()&lt;'Team_Info'!$E$5,"W","B")</x:f>
        <x:v>B</x:v>
      </x:c>
      <x:c r="L349" t="str">
        <x:f>IF(RAND()&lt;'Team_Info'!$E$5,"W","B")</x:f>
        <x:v>B</x:v>
      </x:c>
      <x:c r="M349" t="str">
        <x:f>IF(RAND()&lt;'Team_Info'!$E$5,"W","B")</x:f>
        <x:v>B</x:v>
      </x:c>
      <x:c r="N349" t="str">
        <x:f>IF(RAND()&lt;'Team_Info'!$E$5,"W","B")</x:f>
        <x:v>W</x:v>
      </x:c>
      <x:c r="O349" t="str">
        <x:f>IF(RAND()&lt;'Team_Info'!$E$5,"W","B")</x:f>
        <x:v>B</x:v>
      </x:c>
      <x:c r="P349" t="str">
        <x:f>IF(RAND()&lt;'Team_Info'!$E$5,"W","B")</x:f>
        <x:v>B</x:v>
      </x:c>
      <x:c r="Q349" t="str">
        <x:f>IF(RAND()&lt;'Team_Info'!$E$5,"W","B")</x:f>
        <x:v>B</x:v>
      </x:c>
      <x:c r="R349" t="str">
        <x:f>IF(RAND()&lt;'Team_Info'!$E$5,"W","B")</x:f>
        <x:v>W</x:v>
      </x:c>
      <x:c r="S349" t="str">
        <x:f>IF(RAND()&lt;'Team_Info'!$E$5,"W","B")</x:f>
        <x:v>B</x:v>
      </x:c>
      <x:c r="T349" t="str">
        <x:f>IF(RAND()&lt;'Team_Info'!$E$5,"W","B")</x:f>
        <x:v>B</x:v>
      </x:c>
      <x:c r="U349" t="str">
        <x:f>IF(RAND()&lt;'Team_Info'!$E$5,"W","B")</x:f>
        <x:v>B</x:v>
      </x:c>
    </x:row>
    <x:row r="350">
      <x:c r="A350" s="1">
        <x:v>349</x:v>
      </x:c>
      <x:c r="B350" t="str">
        <x:f>IF(RAND()&lt;'Team_Info'!$E$5,"W","B")</x:f>
        <x:v>B</x:v>
      </x:c>
      <x:c r="C350" t="str">
        <x:f>IF(RAND()&lt;'Team_Info'!$E$5,"W","B")</x:f>
        <x:v>W</x:v>
      </x:c>
      <x:c r="D350" t="str">
        <x:f>IF(RAND()&lt;'Team_Info'!$E$5,"W","B")</x:f>
        <x:v>B</x:v>
      </x:c>
      <x:c r="E350" t="str">
        <x:f>IF(RAND()&lt;'Team_Info'!$E$5,"W","B")</x:f>
        <x:v>W</x:v>
      </x:c>
      <x:c r="F350" t="str">
        <x:f>IF(RAND()&lt;'Team_Info'!$E$5,"W","B")</x:f>
        <x:v>W</x:v>
      </x:c>
      <x:c r="G350" t="str">
        <x:f>IF(RAND()&lt;'Team_Info'!$E$5,"W","B")</x:f>
        <x:v>W</x:v>
      </x:c>
      <x:c r="H350" t="str">
        <x:f>IF(RAND()&lt;'Team_Info'!$E$5,"W","B")</x:f>
        <x:v>W</x:v>
      </x:c>
      <x:c r="I350" t="str">
        <x:f>IF(RAND()&lt;'Team_Info'!$E$5,"W","B")</x:f>
        <x:v>B</x:v>
      </x:c>
      <x:c r="J350" t="str">
        <x:f>IF(RAND()&lt;'Team_Info'!$E$5,"W","B")</x:f>
        <x:v>W</x:v>
      </x:c>
      <x:c r="K350" t="str">
        <x:f>IF(RAND()&lt;'Team_Info'!$E$5,"W","B")</x:f>
        <x:v>W</x:v>
      </x:c>
      <x:c r="L350" t="str">
        <x:f>IF(RAND()&lt;'Team_Info'!$E$5,"W","B")</x:f>
        <x:v>W</x:v>
      </x:c>
      <x:c r="M350" t="str">
        <x:f>IF(RAND()&lt;'Team_Info'!$E$5,"W","B")</x:f>
        <x:v>B</x:v>
      </x:c>
      <x:c r="N350" t="str">
        <x:f>IF(RAND()&lt;'Team_Info'!$E$5,"W","B")</x:f>
        <x:v>W</x:v>
      </x:c>
      <x:c r="O350" t="str">
        <x:f>IF(RAND()&lt;'Team_Info'!$E$5,"W","B")</x:f>
        <x:v>B</x:v>
      </x:c>
      <x:c r="P350" t="str">
        <x:f>IF(RAND()&lt;'Team_Info'!$E$5,"W","B")</x:f>
        <x:v>B</x:v>
      </x:c>
      <x:c r="Q350" t="str">
        <x:f>IF(RAND()&lt;'Team_Info'!$E$5,"W","B")</x:f>
        <x:v>W</x:v>
      </x:c>
      <x:c r="R350" t="str">
        <x:f>IF(RAND()&lt;'Team_Info'!$E$5,"W","B")</x:f>
        <x:v>B</x:v>
      </x:c>
      <x:c r="S350" t="str">
        <x:f>IF(RAND()&lt;'Team_Info'!$E$5,"W","B")</x:f>
        <x:v>B</x:v>
      </x:c>
      <x:c r="T350" t="str">
        <x:f>IF(RAND()&lt;'Team_Info'!$E$5,"W","B")</x:f>
        <x:v>W</x:v>
      </x:c>
      <x:c r="U350" t="str">
        <x:f>IF(RAND()&lt;'Team_Info'!$E$5,"W","B")</x:f>
        <x:v>B</x:v>
      </x:c>
    </x:row>
    <x:row r="351">
      <x:c r="A351" s="1">
        <x:v>350</x:v>
      </x:c>
      <x:c r="B351" t="str">
        <x:f>IF(RAND()&lt;'Team_Info'!$E$5,"W","B")</x:f>
        <x:v>B</x:v>
      </x:c>
      <x:c r="C351" t="str">
        <x:f>IF(RAND()&lt;'Team_Info'!$E$5,"W","B")</x:f>
        <x:v>B</x:v>
      </x:c>
      <x:c r="D351" t="str">
        <x:f>IF(RAND()&lt;'Team_Info'!$E$5,"W","B")</x:f>
        <x:v>W</x:v>
      </x:c>
      <x:c r="E351" t="str">
        <x:f>IF(RAND()&lt;'Team_Info'!$E$5,"W","B")</x:f>
        <x:v>B</x:v>
      </x:c>
      <x:c r="F351" t="str">
        <x:f>IF(RAND()&lt;'Team_Info'!$E$5,"W","B")</x:f>
        <x:v>W</x:v>
      </x:c>
      <x:c r="G351" t="str">
        <x:f>IF(RAND()&lt;'Team_Info'!$E$5,"W","B")</x:f>
        <x:v>W</x:v>
      </x:c>
      <x:c r="H351" t="str">
        <x:f>IF(RAND()&lt;'Team_Info'!$E$5,"W","B")</x:f>
        <x:v>W</x:v>
      </x:c>
      <x:c r="I351" t="str">
        <x:f>IF(RAND()&lt;'Team_Info'!$E$5,"W","B")</x:f>
        <x:v>B</x:v>
      </x:c>
      <x:c r="J351" t="str">
        <x:f>IF(RAND()&lt;'Team_Info'!$E$5,"W","B")</x:f>
        <x:v>B</x:v>
      </x:c>
      <x:c r="K351" t="str">
        <x:f>IF(RAND()&lt;'Team_Info'!$E$5,"W","B")</x:f>
        <x:v>B</x:v>
      </x:c>
      <x:c r="L351" t="str">
        <x:f>IF(RAND()&lt;'Team_Info'!$E$5,"W","B")</x:f>
        <x:v>W</x:v>
      </x:c>
      <x:c r="M351" t="str">
        <x:f>IF(RAND()&lt;'Team_Info'!$E$5,"W","B")</x:f>
        <x:v>B</x:v>
      </x:c>
      <x:c r="N351" t="str">
        <x:f>IF(RAND()&lt;'Team_Info'!$E$5,"W","B")</x:f>
        <x:v>B</x:v>
      </x:c>
      <x:c r="O351" t="str">
        <x:f>IF(RAND()&lt;'Team_Info'!$E$5,"W","B")</x:f>
        <x:v>W</x:v>
      </x:c>
      <x:c r="P351" t="str">
        <x:f>IF(RAND()&lt;'Team_Info'!$E$5,"W","B")</x:f>
        <x:v>B</x:v>
      </x:c>
      <x:c r="Q351" t="str">
        <x:f>IF(RAND()&lt;'Team_Info'!$E$5,"W","B")</x:f>
        <x:v>B</x:v>
      </x:c>
      <x:c r="R351" t="str">
        <x:f>IF(RAND()&lt;'Team_Info'!$E$5,"W","B")</x:f>
        <x:v>B</x:v>
      </x:c>
      <x:c r="S351" t="str">
        <x:f>IF(RAND()&lt;'Team_Info'!$E$5,"W","B")</x:f>
        <x:v>W</x:v>
      </x:c>
      <x:c r="T351" t="str">
        <x:f>IF(RAND()&lt;'Team_Info'!$E$5,"W","B")</x:f>
        <x:v>B</x:v>
      </x:c>
      <x:c r="U351" t="str">
        <x:f>IF(RAND()&lt;'Team_Info'!$E$5,"W","B")</x:f>
        <x:v>B</x:v>
      </x:c>
    </x:row>
    <x:row r="352">
      <x:c r="A352" s="1">
        <x:v>351</x:v>
      </x:c>
      <x:c r="B352" t="str">
        <x:f>IF(RAND()&lt;'Team_Info'!$E$5,"W","B")</x:f>
        <x:v>W</x:v>
      </x:c>
      <x:c r="C352" t="str">
        <x:f>IF(RAND()&lt;'Team_Info'!$E$5,"W","B")</x:f>
        <x:v>B</x:v>
      </x:c>
      <x:c r="D352" t="str">
        <x:f>IF(RAND()&lt;'Team_Info'!$E$5,"W","B")</x:f>
        <x:v>B</x:v>
      </x:c>
      <x:c r="E352" t="str">
        <x:f>IF(RAND()&lt;'Team_Info'!$E$5,"W","B")</x:f>
        <x:v>B</x:v>
      </x:c>
      <x:c r="F352" t="str">
        <x:f>IF(RAND()&lt;'Team_Info'!$E$5,"W","B")</x:f>
        <x:v>W</x:v>
      </x:c>
      <x:c r="G352" t="str">
        <x:f>IF(RAND()&lt;'Team_Info'!$E$5,"W","B")</x:f>
        <x:v>B</x:v>
      </x:c>
      <x:c r="H352" t="str">
        <x:f>IF(RAND()&lt;'Team_Info'!$E$5,"W","B")</x:f>
        <x:v>W</x:v>
      </x:c>
      <x:c r="I352" t="str">
        <x:f>IF(RAND()&lt;'Team_Info'!$E$5,"W","B")</x:f>
        <x:v>B</x:v>
      </x:c>
      <x:c r="J352" t="str">
        <x:f>IF(RAND()&lt;'Team_Info'!$E$5,"W","B")</x:f>
        <x:v>B</x:v>
      </x:c>
      <x:c r="K352" t="str">
        <x:f>IF(RAND()&lt;'Team_Info'!$E$5,"W","B")</x:f>
        <x:v>W</x:v>
      </x:c>
      <x:c r="L352" t="str">
        <x:f>IF(RAND()&lt;'Team_Info'!$E$5,"W","B")</x:f>
        <x:v>W</x:v>
      </x:c>
      <x:c r="M352" t="str">
        <x:f>IF(RAND()&lt;'Team_Info'!$E$5,"W","B")</x:f>
        <x:v>B</x:v>
      </x:c>
      <x:c r="N352" t="str">
        <x:f>IF(RAND()&lt;'Team_Info'!$E$5,"W","B")</x:f>
        <x:v>B</x:v>
      </x:c>
      <x:c r="O352" t="str">
        <x:f>IF(RAND()&lt;'Team_Info'!$E$5,"W","B")</x:f>
        <x:v>W</x:v>
      </x:c>
      <x:c r="P352" t="str">
        <x:f>IF(RAND()&lt;'Team_Info'!$E$5,"W","B")</x:f>
        <x:v>W</x:v>
      </x:c>
      <x:c r="Q352" t="str">
        <x:f>IF(RAND()&lt;'Team_Info'!$E$5,"W","B")</x:f>
        <x:v>B</x:v>
      </x:c>
      <x:c r="R352" t="str">
        <x:f>IF(RAND()&lt;'Team_Info'!$E$5,"W","B")</x:f>
        <x:v>W</x:v>
      </x:c>
      <x:c r="S352" t="str">
        <x:f>IF(RAND()&lt;'Team_Info'!$E$5,"W","B")</x:f>
        <x:v>B</x:v>
      </x:c>
      <x:c r="T352" t="str">
        <x:f>IF(RAND()&lt;'Team_Info'!$E$5,"W","B")</x:f>
        <x:v>W</x:v>
      </x:c>
      <x:c r="U352" t="str">
        <x:f>IF(RAND()&lt;'Team_Info'!$E$5,"W","B")</x:f>
        <x:v>B</x:v>
      </x:c>
    </x:row>
    <x:row r="353">
      <x:c r="A353" s="1">
        <x:v>352</x:v>
      </x:c>
      <x:c r="B353" t="str">
        <x:f>IF(RAND()&lt;'Team_Info'!$E$5,"W","B")</x:f>
        <x:v>B</x:v>
      </x:c>
      <x:c r="C353" t="str">
        <x:f>IF(RAND()&lt;'Team_Info'!$E$5,"W","B")</x:f>
        <x:v>B</x:v>
      </x:c>
      <x:c r="D353" t="str">
        <x:f>IF(RAND()&lt;'Team_Info'!$E$5,"W","B")</x:f>
        <x:v>W</x:v>
      </x:c>
      <x:c r="E353" t="str">
        <x:f>IF(RAND()&lt;'Team_Info'!$E$5,"W","B")</x:f>
        <x:v>B</x:v>
      </x:c>
      <x:c r="F353" t="str">
        <x:f>IF(RAND()&lt;'Team_Info'!$E$5,"W","B")</x:f>
        <x:v>W</x:v>
      </x:c>
      <x:c r="G353" t="str">
        <x:f>IF(RAND()&lt;'Team_Info'!$E$5,"W","B")</x:f>
        <x:v>W</x:v>
      </x:c>
      <x:c r="H353" t="str">
        <x:f>IF(RAND()&lt;'Team_Info'!$E$5,"W","B")</x:f>
        <x:v>B</x:v>
      </x:c>
      <x:c r="I353" t="str">
        <x:f>IF(RAND()&lt;'Team_Info'!$E$5,"W","B")</x:f>
        <x:v>W</x:v>
      </x:c>
      <x:c r="J353" t="str">
        <x:f>IF(RAND()&lt;'Team_Info'!$E$5,"W","B")</x:f>
        <x:v>B</x:v>
      </x:c>
      <x:c r="K353" t="str">
        <x:f>IF(RAND()&lt;'Team_Info'!$E$5,"W","B")</x:f>
        <x:v>B</x:v>
      </x:c>
      <x:c r="L353" t="str">
        <x:f>IF(RAND()&lt;'Team_Info'!$E$5,"W","B")</x:f>
        <x:v>B</x:v>
      </x:c>
      <x:c r="M353" t="str">
        <x:f>IF(RAND()&lt;'Team_Info'!$E$5,"W","B")</x:f>
        <x:v>B</x:v>
      </x:c>
      <x:c r="N353" t="str">
        <x:f>IF(RAND()&lt;'Team_Info'!$E$5,"W","B")</x:f>
        <x:v>W</x:v>
      </x:c>
      <x:c r="O353" t="str">
        <x:f>IF(RAND()&lt;'Team_Info'!$E$5,"W","B")</x:f>
        <x:v>W</x:v>
      </x:c>
      <x:c r="P353" t="str">
        <x:f>IF(RAND()&lt;'Team_Info'!$E$5,"W","B")</x:f>
        <x:v>W</x:v>
      </x:c>
      <x:c r="Q353" t="str">
        <x:f>IF(RAND()&lt;'Team_Info'!$E$5,"W","B")</x:f>
        <x:v>B</x:v>
      </x:c>
      <x:c r="R353" t="str">
        <x:f>IF(RAND()&lt;'Team_Info'!$E$5,"W","B")</x:f>
        <x:v>B</x:v>
      </x:c>
      <x:c r="S353" t="str">
        <x:f>IF(RAND()&lt;'Team_Info'!$E$5,"W","B")</x:f>
        <x:v>W</x:v>
      </x:c>
      <x:c r="T353" t="str">
        <x:f>IF(RAND()&lt;'Team_Info'!$E$5,"W","B")</x:f>
        <x:v>W</x:v>
      </x:c>
      <x:c r="U353" t="str">
        <x:f>IF(RAND()&lt;'Team_Info'!$E$5,"W","B")</x:f>
        <x:v>B</x:v>
      </x:c>
    </x:row>
    <x:row r="354">
      <x:c r="A354" s="1">
        <x:v>353</x:v>
      </x:c>
      <x:c r="B354" t="str">
        <x:f>IF(RAND()&lt;'Team_Info'!$E$5,"W","B")</x:f>
        <x:v>B</x:v>
      </x:c>
      <x:c r="C354" t="str">
        <x:f>IF(RAND()&lt;'Team_Info'!$E$5,"W","B")</x:f>
        <x:v>W</x:v>
      </x:c>
      <x:c r="D354" t="str">
        <x:f>IF(RAND()&lt;'Team_Info'!$E$5,"W","B")</x:f>
        <x:v>W</x:v>
      </x:c>
      <x:c r="E354" t="str">
        <x:f>IF(RAND()&lt;'Team_Info'!$E$5,"W","B")</x:f>
        <x:v>B</x:v>
      </x:c>
      <x:c r="F354" t="str">
        <x:f>IF(RAND()&lt;'Team_Info'!$E$5,"W","B")</x:f>
        <x:v>W</x:v>
      </x:c>
      <x:c r="G354" t="str">
        <x:f>IF(RAND()&lt;'Team_Info'!$E$5,"W","B")</x:f>
        <x:v>B</x:v>
      </x:c>
      <x:c r="H354" t="str">
        <x:f>IF(RAND()&lt;'Team_Info'!$E$5,"W","B")</x:f>
        <x:v>B</x:v>
      </x:c>
      <x:c r="I354" t="str">
        <x:f>IF(RAND()&lt;'Team_Info'!$E$5,"W","B")</x:f>
        <x:v>B</x:v>
      </x:c>
      <x:c r="J354" t="str">
        <x:f>IF(RAND()&lt;'Team_Info'!$E$5,"W","B")</x:f>
        <x:v>W</x:v>
      </x:c>
      <x:c r="K354" t="str">
        <x:f>IF(RAND()&lt;'Team_Info'!$E$5,"W","B")</x:f>
        <x:v>B</x:v>
      </x:c>
      <x:c r="L354" t="str">
        <x:f>IF(RAND()&lt;'Team_Info'!$E$5,"W","B")</x:f>
        <x:v>B</x:v>
      </x:c>
      <x:c r="M354" t="str">
        <x:f>IF(RAND()&lt;'Team_Info'!$E$5,"W","B")</x:f>
        <x:v>W</x:v>
      </x:c>
      <x:c r="N354" t="str">
        <x:f>IF(RAND()&lt;'Team_Info'!$E$5,"W","B")</x:f>
        <x:v>B</x:v>
      </x:c>
      <x:c r="O354" t="str">
        <x:f>IF(RAND()&lt;'Team_Info'!$E$5,"W","B")</x:f>
        <x:v>W</x:v>
      </x:c>
      <x:c r="P354" t="str">
        <x:f>IF(RAND()&lt;'Team_Info'!$E$5,"W","B")</x:f>
        <x:v>W</x:v>
      </x:c>
      <x:c r="Q354" t="str">
        <x:f>IF(RAND()&lt;'Team_Info'!$E$5,"W","B")</x:f>
        <x:v>B</x:v>
      </x:c>
      <x:c r="R354" t="str">
        <x:f>IF(RAND()&lt;'Team_Info'!$E$5,"W","B")</x:f>
        <x:v>B</x:v>
      </x:c>
      <x:c r="S354" t="str">
        <x:f>IF(RAND()&lt;'Team_Info'!$E$5,"W","B")</x:f>
        <x:v>B</x:v>
      </x:c>
      <x:c r="T354" t="str">
        <x:f>IF(RAND()&lt;'Team_Info'!$E$5,"W","B")</x:f>
        <x:v>B</x:v>
      </x:c>
      <x:c r="U354" t="str">
        <x:f>IF(RAND()&lt;'Team_Info'!$E$5,"W","B")</x:f>
        <x:v>W</x:v>
      </x:c>
    </x:row>
    <x:row r="355">
      <x:c r="A355" s="1">
        <x:v>354</x:v>
      </x:c>
      <x:c r="B355" t="str">
        <x:f>IF(RAND()&lt;'Team_Info'!$E$5,"W","B")</x:f>
        <x:v>B</x:v>
      </x:c>
      <x:c r="C355" t="str">
        <x:f>IF(RAND()&lt;'Team_Info'!$E$5,"W","B")</x:f>
        <x:v>B</x:v>
      </x:c>
      <x:c r="D355" t="str">
        <x:f>IF(RAND()&lt;'Team_Info'!$E$5,"W","B")</x:f>
        <x:v>B</x:v>
      </x:c>
      <x:c r="E355" t="str">
        <x:f>IF(RAND()&lt;'Team_Info'!$E$5,"W","B")</x:f>
        <x:v>W</x:v>
      </x:c>
      <x:c r="F355" t="str">
        <x:f>IF(RAND()&lt;'Team_Info'!$E$5,"W","B")</x:f>
        <x:v>W</x:v>
      </x:c>
      <x:c r="G355" t="str">
        <x:f>IF(RAND()&lt;'Team_Info'!$E$5,"W","B")</x:f>
        <x:v>W</x:v>
      </x:c>
      <x:c r="H355" t="str">
        <x:f>IF(RAND()&lt;'Team_Info'!$E$5,"W","B")</x:f>
        <x:v>B</x:v>
      </x:c>
      <x:c r="I355" t="str">
        <x:f>IF(RAND()&lt;'Team_Info'!$E$5,"W","B")</x:f>
        <x:v>B</x:v>
      </x:c>
      <x:c r="J355" t="str">
        <x:f>IF(RAND()&lt;'Team_Info'!$E$5,"W","B")</x:f>
        <x:v>B</x:v>
      </x:c>
      <x:c r="K355" t="str">
        <x:f>IF(RAND()&lt;'Team_Info'!$E$5,"W","B")</x:f>
        <x:v>B</x:v>
      </x:c>
      <x:c r="L355" t="str">
        <x:f>IF(RAND()&lt;'Team_Info'!$E$5,"W","B")</x:f>
        <x:v>B</x:v>
      </x:c>
      <x:c r="M355" t="str">
        <x:f>IF(RAND()&lt;'Team_Info'!$E$5,"W","B")</x:f>
        <x:v>W</x:v>
      </x:c>
      <x:c r="N355" t="str">
        <x:f>IF(RAND()&lt;'Team_Info'!$E$5,"W","B")</x:f>
        <x:v>B</x:v>
      </x:c>
      <x:c r="O355" t="str">
        <x:f>IF(RAND()&lt;'Team_Info'!$E$5,"W","B")</x:f>
        <x:v>B</x:v>
      </x:c>
      <x:c r="P355" t="str">
        <x:f>IF(RAND()&lt;'Team_Info'!$E$5,"W","B")</x:f>
        <x:v>B</x:v>
      </x:c>
      <x:c r="Q355" t="str">
        <x:f>IF(RAND()&lt;'Team_Info'!$E$5,"W","B")</x:f>
        <x:v>W</x:v>
      </x:c>
      <x:c r="R355" t="str">
        <x:f>IF(RAND()&lt;'Team_Info'!$E$5,"W","B")</x:f>
        <x:v>W</x:v>
      </x:c>
      <x:c r="S355" t="str">
        <x:f>IF(RAND()&lt;'Team_Info'!$E$5,"W","B")</x:f>
        <x:v>B</x:v>
      </x:c>
      <x:c r="T355" t="str">
        <x:f>IF(RAND()&lt;'Team_Info'!$E$5,"W","B")</x:f>
        <x:v>W</x:v>
      </x:c>
      <x:c r="U355" t="str">
        <x:f>IF(RAND()&lt;'Team_Info'!$E$5,"W","B")</x:f>
        <x:v>B</x:v>
      </x:c>
    </x:row>
    <x:row r="356">
      <x:c r="A356" s="1">
        <x:v>355</x:v>
      </x:c>
      <x:c r="B356" t="str">
        <x:f>IF(RAND()&lt;'Team_Info'!$E$5,"W","B")</x:f>
        <x:v>B</x:v>
      </x:c>
      <x:c r="C356" t="str">
        <x:f>IF(RAND()&lt;'Team_Info'!$E$5,"W","B")</x:f>
        <x:v>B</x:v>
      </x:c>
      <x:c r="D356" t="str">
        <x:f>IF(RAND()&lt;'Team_Info'!$E$5,"W","B")</x:f>
        <x:v>B</x:v>
      </x:c>
      <x:c r="E356" t="str">
        <x:f>IF(RAND()&lt;'Team_Info'!$E$5,"W","B")</x:f>
        <x:v>W</x:v>
      </x:c>
      <x:c r="F356" t="str">
        <x:f>IF(RAND()&lt;'Team_Info'!$E$5,"W","B")</x:f>
        <x:v>B</x:v>
      </x:c>
      <x:c r="G356" t="str">
        <x:f>IF(RAND()&lt;'Team_Info'!$E$5,"W","B")</x:f>
        <x:v>B</x:v>
      </x:c>
      <x:c r="H356" t="str">
        <x:f>IF(RAND()&lt;'Team_Info'!$E$5,"W","B")</x:f>
        <x:v>B</x:v>
      </x:c>
      <x:c r="I356" t="str">
        <x:f>IF(RAND()&lt;'Team_Info'!$E$5,"W","B")</x:f>
        <x:v>B</x:v>
      </x:c>
      <x:c r="J356" t="str">
        <x:f>IF(RAND()&lt;'Team_Info'!$E$5,"W","B")</x:f>
        <x:v>B</x:v>
      </x:c>
      <x:c r="K356" t="str">
        <x:f>IF(RAND()&lt;'Team_Info'!$E$5,"W","B")</x:f>
        <x:v>W</x:v>
      </x:c>
      <x:c r="L356" t="str">
        <x:f>IF(RAND()&lt;'Team_Info'!$E$5,"W","B")</x:f>
        <x:v>B</x:v>
      </x:c>
      <x:c r="M356" t="str">
        <x:f>IF(RAND()&lt;'Team_Info'!$E$5,"W","B")</x:f>
        <x:v>B</x:v>
      </x:c>
      <x:c r="N356" t="str">
        <x:f>IF(RAND()&lt;'Team_Info'!$E$5,"W","B")</x:f>
        <x:v>W</x:v>
      </x:c>
      <x:c r="O356" t="str">
        <x:f>IF(RAND()&lt;'Team_Info'!$E$5,"W","B")</x:f>
        <x:v>B</x:v>
      </x:c>
      <x:c r="P356" t="str">
        <x:f>IF(RAND()&lt;'Team_Info'!$E$5,"W","B")</x:f>
        <x:v>W</x:v>
      </x:c>
      <x:c r="Q356" t="str">
        <x:f>IF(RAND()&lt;'Team_Info'!$E$5,"W","B")</x:f>
        <x:v>B</x:v>
      </x:c>
      <x:c r="R356" t="str">
        <x:f>IF(RAND()&lt;'Team_Info'!$E$5,"W","B")</x:f>
        <x:v>W</x:v>
      </x:c>
      <x:c r="S356" t="str">
        <x:f>IF(RAND()&lt;'Team_Info'!$E$5,"W","B")</x:f>
        <x:v>B</x:v>
      </x:c>
      <x:c r="T356" t="str">
        <x:f>IF(RAND()&lt;'Team_Info'!$E$5,"W","B")</x:f>
        <x:v>B</x:v>
      </x:c>
      <x:c r="U356" t="str">
        <x:f>IF(RAND()&lt;'Team_Info'!$E$5,"W","B")</x:f>
        <x:v>W</x:v>
      </x:c>
    </x:row>
    <x:row r="357">
      <x:c r="A357" s="1">
        <x:v>356</x:v>
      </x:c>
      <x:c r="B357" t="str">
        <x:f>IF(RAND()&lt;'Team_Info'!$E$5,"W","B")</x:f>
        <x:v>W</x:v>
      </x:c>
      <x:c r="C357" t="str">
        <x:f>IF(RAND()&lt;'Team_Info'!$E$5,"W","B")</x:f>
        <x:v>B</x:v>
      </x:c>
      <x:c r="D357" t="str">
        <x:f>IF(RAND()&lt;'Team_Info'!$E$5,"W","B")</x:f>
        <x:v>W</x:v>
      </x:c>
      <x:c r="E357" t="str">
        <x:f>IF(RAND()&lt;'Team_Info'!$E$5,"W","B")</x:f>
        <x:v>B</x:v>
      </x:c>
      <x:c r="F357" t="str">
        <x:f>IF(RAND()&lt;'Team_Info'!$E$5,"W","B")</x:f>
        <x:v>B</x:v>
      </x:c>
      <x:c r="G357" t="str">
        <x:f>IF(RAND()&lt;'Team_Info'!$E$5,"W","B")</x:f>
        <x:v>B</x:v>
      </x:c>
      <x:c r="H357" t="str">
        <x:f>IF(RAND()&lt;'Team_Info'!$E$5,"W","B")</x:f>
        <x:v>B</x:v>
      </x:c>
      <x:c r="I357" t="str">
        <x:f>IF(RAND()&lt;'Team_Info'!$E$5,"W","B")</x:f>
        <x:v>W</x:v>
      </x:c>
      <x:c r="J357" t="str">
        <x:f>IF(RAND()&lt;'Team_Info'!$E$5,"W","B")</x:f>
        <x:v>B</x:v>
      </x:c>
      <x:c r="K357" t="str">
        <x:f>IF(RAND()&lt;'Team_Info'!$E$5,"W","B")</x:f>
        <x:v>B</x:v>
      </x:c>
      <x:c r="L357" t="str">
        <x:f>IF(RAND()&lt;'Team_Info'!$E$5,"W","B")</x:f>
        <x:v>B</x:v>
      </x:c>
      <x:c r="M357" t="str">
        <x:f>IF(RAND()&lt;'Team_Info'!$E$5,"W","B")</x:f>
        <x:v>W</x:v>
      </x:c>
      <x:c r="N357" t="str">
        <x:f>IF(RAND()&lt;'Team_Info'!$E$5,"W","B")</x:f>
        <x:v>B</x:v>
      </x:c>
      <x:c r="O357" t="str">
        <x:f>IF(RAND()&lt;'Team_Info'!$E$5,"W","B")</x:f>
        <x:v>B</x:v>
      </x:c>
      <x:c r="P357" t="str">
        <x:f>IF(RAND()&lt;'Team_Info'!$E$5,"W","B")</x:f>
        <x:v>B</x:v>
      </x:c>
      <x:c r="Q357" t="str">
        <x:f>IF(RAND()&lt;'Team_Info'!$E$5,"W","B")</x:f>
        <x:v>W</x:v>
      </x:c>
      <x:c r="R357" t="str">
        <x:f>IF(RAND()&lt;'Team_Info'!$E$5,"W","B")</x:f>
        <x:v>W</x:v>
      </x:c>
      <x:c r="S357" t="str">
        <x:f>IF(RAND()&lt;'Team_Info'!$E$5,"W","B")</x:f>
        <x:v>B</x:v>
      </x:c>
      <x:c r="T357" t="str">
        <x:f>IF(RAND()&lt;'Team_Info'!$E$5,"W","B")</x:f>
        <x:v>B</x:v>
      </x:c>
      <x:c r="U357" t="str">
        <x:f>IF(RAND()&lt;'Team_Info'!$E$5,"W","B")</x:f>
        <x:v>W</x:v>
      </x:c>
    </x:row>
    <x:row r="358">
      <x:c r="A358" s="1">
        <x:v>357</x:v>
      </x:c>
      <x:c r="B358" t="str">
        <x:f>IF(RAND()&lt;'Team_Info'!$E$5,"W","B")</x:f>
        <x:v>W</x:v>
      </x:c>
      <x:c r="C358" t="str">
        <x:f>IF(RAND()&lt;'Team_Info'!$E$5,"W","B")</x:f>
        <x:v>B</x:v>
      </x:c>
      <x:c r="D358" t="str">
        <x:f>IF(RAND()&lt;'Team_Info'!$E$5,"W","B")</x:f>
        <x:v>B</x:v>
      </x:c>
      <x:c r="E358" t="str">
        <x:f>IF(RAND()&lt;'Team_Info'!$E$5,"W","B")</x:f>
        <x:v>W</x:v>
      </x:c>
      <x:c r="F358" t="str">
        <x:f>IF(RAND()&lt;'Team_Info'!$E$5,"W","B")</x:f>
        <x:v>B</x:v>
      </x:c>
      <x:c r="G358" t="str">
        <x:f>IF(RAND()&lt;'Team_Info'!$E$5,"W","B")</x:f>
        <x:v>W</x:v>
      </x:c>
      <x:c r="H358" t="str">
        <x:f>IF(RAND()&lt;'Team_Info'!$E$5,"W","B")</x:f>
        <x:v>B</x:v>
      </x:c>
      <x:c r="I358" t="str">
        <x:f>IF(RAND()&lt;'Team_Info'!$E$5,"W","B")</x:f>
        <x:v>B</x:v>
      </x:c>
      <x:c r="J358" t="str">
        <x:f>IF(RAND()&lt;'Team_Info'!$E$5,"W","B")</x:f>
        <x:v>B</x:v>
      </x:c>
      <x:c r="K358" t="str">
        <x:f>IF(RAND()&lt;'Team_Info'!$E$5,"W","B")</x:f>
        <x:v>B</x:v>
      </x:c>
      <x:c r="L358" t="str">
        <x:f>IF(RAND()&lt;'Team_Info'!$E$5,"W","B")</x:f>
        <x:v>W</x:v>
      </x:c>
      <x:c r="M358" t="str">
        <x:f>IF(RAND()&lt;'Team_Info'!$E$5,"W","B")</x:f>
        <x:v>W</x:v>
      </x:c>
      <x:c r="N358" t="str">
        <x:f>IF(RAND()&lt;'Team_Info'!$E$5,"W","B")</x:f>
        <x:v>B</x:v>
      </x:c>
      <x:c r="O358" t="str">
        <x:f>IF(RAND()&lt;'Team_Info'!$E$5,"W","B")</x:f>
        <x:v>B</x:v>
      </x:c>
      <x:c r="P358" t="str">
        <x:f>IF(RAND()&lt;'Team_Info'!$E$5,"W","B")</x:f>
        <x:v>B</x:v>
      </x:c>
      <x:c r="Q358" t="str">
        <x:f>IF(RAND()&lt;'Team_Info'!$E$5,"W","B")</x:f>
        <x:v>W</x:v>
      </x:c>
      <x:c r="R358" t="str">
        <x:f>IF(RAND()&lt;'Team_Info'!$E$5,"W","B")</x:f>
        <x:v>B</x:v>
      </x:c>
      <x:c r="S358" t="str">
        <x:f>IF(RAND()&lt;'Team_Info'!$E$5,"W","B")</x:f>
        <x:v>B</x:v>
      </x:c>
      <x:c r="T358" t="str">
        <x:f>IF(RAND()&lt;'Team_Info'!$E$5,"W","B")</x:f>
        <x:v>B</x:v>
      </x:c>
      <x:c r="U358" t="str">
        <x:f>IF(RAND()&lt;'Team_Info'!$E$5,"W","B")</x:f>
        <x:v>W</x:v>
      </x:c>
    </x:row>
    <x:row r="359">
      <x:c r="A359" s="1">
        <x:v>358</x:v>
      </x:c>
      <x:c r="B359" t="str">
        <x:f>IF(RAND()&lt;'Team_Info'!$E$5,"W","B")</x:f>
        <x:v>W</x:v>
      </x:c>
      <x:c r="C359" t="str">
        <x:f>IF(RAND()&lt;'Team_Info'!$E$5,"W","B")</x:f>
        <x:v>B</x:v>
      </x:c>
      <x:c r="D359" t="str">
        <x:f>IF(RAND()&lt;'Team_Info'!$E$5,"W","B")</x:f>
        <x:v>B</x:v>
      </x:c>
      <x:c r="E359" t="str">
        <x:f>IF(RAND()&lt;'Team_Info'!$E$5,"W","B")</x:f>
        <x:v>B</x:v>
      </x:c>
      <x:c r="F359" t="str">
        <x:f>IF(RAND()&lt;'Team_Info'!$E$5,"W","B")</x:f>
        <x:v>W</x:v>
      </x:c>
      <x:c r="G359" t="str">
        <x:f>IF(RAND()&lt;'Team_Info'!$E$5,"W","B")</x:f>
        <x:v>B</x:v>
      </x:c>
      <x:c r="H359" t="str">
        <x:f>IF(RAND()&lt;'Team_Info'!$E$5,"W","B")</x:f>
        <x:v>B</x:v>
      </x:c>
      <x:c r="I359" t="str">
        <x:f>IF(RAND()&lt;'Team_Info'!$E$5,"W","B")</x:f>
        <x:v>B</x:v>
      </x:c>
      <x:c r="J359" t="str">
        <x:f>IF(RAND()&lt;'Team_Info'!$E$5,"W","B")</x:f>
        <x:v>W</x:v>
      </x:c>
      <x:c r="K359" t="str">
        <x:f>IF(RAND()&lt;'Team_Info'!$E$5,"W","B")</x:f>
        <x:v>W</x:v>
      </x:c>
      <x:c r="L359" t="str">
        <x:f>IF(RAND()&lt;'Team_Info'!$E$5,"W","B")</x:f>
        <x:v>B</x:v>
      </x:c>
      <x:c r="M359" t="str">
        <x:f>IF(RAND()&lt;'Team_Info'!$E$5,"W","B")</x:f>
        <x:v>B</x:v>
      </x:c>
      <x:c r="N359" t="str">
        <x:f>IF(RAND()&lt;'Team_Info'!$E$5,"W","B")</x:f>
        <x:v>B</x:v>
      </x:c>
      <x:c r="O359" t="str">
        <x:f>IF(RAND()&lt;'Team_Info'!$E$5,"W","B")</x:f>
        <x:v>B</x:v>
      </x:c>
      <x:c r="P359" t="str">
        <x:f>IF(RAND()&lt;'Team_Info'!$E$5,"W","B")</x:f>
        <x:v>B</x:v>
      </x:c>
      <x:c r="Q359" t="str">
        <x:f>IF(RAND()&lt;'Team_Info'!$E$5,"W","B")</x:f>
        <x:v>B</x:v>
      </x:c>
      <x:c r="R359" t="str">
        <x:f>IF(RAND()&lt;'Team_Info'!$E$5,"W","B")</x:f>
        <x:v>B</x:v>
      </x:c>
      <x:c r="S359" t="str">
        <x:f>IF(RAND()&lt;'Team_Info'!$E$5,"W","B")</x:f>
        <x:v>B</x:v>
      </x:c>
      <x:c r="T359" t="str">
        <x:f>IF(RAND()&lt;'Team_Info'!$E$5,"W","B")</x:f>
        <x:v>B</x:v>
      </x:c>
      <x:c r="U359" t="str">
        <x:f>IF(RAND()&lt;'Team_Info'!$E$5,"W","B")</x:f>
        <x:v>W</x:v>
      </x:c>
    </x:row>
    <x:row r="360">
      <x:c r="A360" s="1">
        <x:v>359</x:v>
      </x:c>
      <x:c r="B360" t="str">
        <x:f>IF(RAND()&lt;'Team_Info'!$E$5,"W","B")</x:f>
        <x:v>B</x:v>
      </x:c>
      <x:c r="C360" t="str">
        <x:f>IF(RAND()&lt;'Team_Info'!$E$5,"W","B")</x:f>
        <x:v>B</x:v>
      </x:c>
      <x:c r="D360" t="str">
        <x:f>IF(RAND()&lt;'Team_Info'!$E$5,"W","B")</x:f>
        <x:v>W</x:v>
      </x:c>
      <x:c r="E360" t="str">
        <x:f>IF(RAND()&lt;'Team_Info'!$E$5,"W","B")</x:f>
        <x:v>B</x:v>
      </x:c>
      <x:c r="F360" t="str">
        <x:f>IF(RAND()&lt;'Team_Info'!$E$5,"W","B")</x:f>
        <x:v>B</x:v>
      </x:c>
      <x:c r="G360" t="str">
        <x:f>IF(RAND()&lt;'Team_Info'!$E$5,"W","B")</x:f>
        <x:v>B</x:v>
      </x:c>
      <x:c r="H360" t="str">
        <x:f>IF(RAND()&lt;'Team_Info'!$E$5,"W","B")</x:f>
        <x:v>B</x:v>
      </x:c>
      <x:c r="I360" t="str">
        <x:f>IF(RAND()&lt;'Team_Info'!$E$5,"W","B")</x:f>
        <x:v>W</x:v>
      </x:c>
      <x:c r="J360" t="str">
        <x:f>IF(RAND()&lt;'Team_Info'!$E$5,"W","B")</x:f>
        <x:v>W</x:v>
      </x:c>
      <x:c r="K360" t="str">
        <x:f>IF(RAND()&lt;'Team_Info'!$E$5,"W","B")</x:f>
        <x:v>B</x:v>
      </x:c>
      <x:c r="L360" t="str">
        <x:f>IF(RAND()&lt;'Team_Info'!$E$5,"W","B")</x:f>
        <x:v>W</x:v>
      </x:c>
      <x:c r="M360" t="str">
        <x:f>IF(RAND()&lt;'Team_Info'!$E$5,"W","B")</x:f>
        <x:v>W</x:v>
      </x:c>
      <x:c r="N360" t="str">
        <x:f>IF(RAND()&lt;'Team_Info'!$E$5,"W","B")</x:f>
        <x:v>B</x:v>
      </x:c>
      <x:c r="O360" t="str">
        <x:f>IF(RAND()&lt;'Team_Info'!$E$5,"W","B")</x:f>
        <x:v>B</x:v>
      </x:c>
      <x:c r="P360" t="str">
        <x:f>IF(RAND()&lt;'Team_Info'!$E$5,"W","B")</x:f>
        <x:v>B</x:v>
      </x:c>
      <x:c r="Q360" t="str">
        <x:f>IF(RAND()&lt;'Team_Info'!$E$5,"W","B")</x:f>
        <x:v>B</x:v>
      </x:c>
      <x:c r="R360" t="str">
        <x:f>IF(RAND()&lt;'Team_Info'!$E$5,"W","B")</x:f>
        <x:v>W</x:v>
      </x:c>
      <x:c r="S360" t="str">
        <x:f>IF(RAND()&lt;'Team_Info'!$E$5,"W","B")</x:f>
        <x:v>W</x:v>
      </x:c>
      <x:c r="T360" t="str">
        <x:f>IF(RAND()&lt;'Team_Info'!$E$5,"W","B")</x:f>
        <x:v>W</x:v>
      </x:c>
      <x:c r="U360" t="str">
        <x:f>IF(RAND()&lt;'Team_Info'!$E$5,"W","B")</x:f>
        <x:v>B</x:v>
      </x:c>
    </x:row>
    <x:row r="361">
      <x:c r="A361" s="1">
        <x:v>360</x:v>
      </x:c>
      <x:c r="B361" t="str">
        <x:f>IF(RAND()&lt;'Team_Info'!$E$5,"W","B")</x:f>
        <x:v>B</x:v>
      </x:c>
      <x:c r="C361" t="str">
        <x:f>IF(RAND()&lt;'Team_Info'!$E$5,"W","B")</x:f>
        <x:v>W</x:v>
      </x:c>
      <x:c r="D361" t="str">
        <x:f>IF(RAND()&lt;'Team_Info'!$E$5,"W","B")</x:f>
        <x:v>W</x:v>
      </x:c>
      <x:c r="E361" t="str">
        <x:f>IF(RAND()&lt;'Team_Info'!$E$5,"W","B")</x:f>
        <x:v>B</x:v>
      </x:c>
      <x:c r="F361" t="str">
        <x:f>IF(RAND()&lt;'Team_Info'!$E$5,"W","B")</x:f>
        <x:v>W</x:v>
      </x:c>
      <x:c r="G361" t="str">
        <x:f>IF(RAND()&lt;'Team_Info'!$E$5,"W","B")</x:f>
        <x:v>B</x:v>
      </x:c>
      <x:c r="H361" t="str">
        <x:f>IF(RAND()&lt;'Team_Info'!$E$5,"W","B")</x:f>
        <x:v>B</x:v>
      </x:c>
      <x:c r="I361" t="str">
        <x:f>IF(RAND()&lt;'Team_Info'!$E$5,"W","B")</x:f>
        <x:v>W</x:v>
      </x:c>
      <x:c r="J361" t="str">
        <x:f>IF(RAND()&lt;'Team_Info'!$E$5,"W","B")</x:f>
        <x:v>W</x:v>
      </x:c>
      <x:c r="K361" t="str">
        <x:f>IF(RAND()&lt;'Team_Info'!$E$5,"W","B")</x:f>
        <x:v>B</x:v>
      </x:c>
      <x:c r="L361" t="str">
        <x:f>IF(RAND()&lt;'Team_Info'!$E$5,"W","B")</x:f>
        <x:v>B</x:v>
      </x:c>
      <x:c r="M361" t="str">
        <x:f>IF(RAND()&lt;'Team_Info'!$E$5,"W","B")</x:f>
        <x:v>B</x:v>
      </x:c>
      <x:c r="N361" t="str">
        <x:f>IF(RAND()&lt;'Team_Info'!$E$5,"W","B")</x:f>
        <x:v>B</x:v>
      </x:c>
      <x:c r="O361" t="str">
        <x:f>IF(RAND()&lt;'Team_Info'!$E$5,"W","B")</x:f>
        <x:v>B</x:v>
      </x:c>
      <x:c r="P361" t="str">
        <x:f>IF(RAND()&lt;'Team_Info'!$E$5,"W","B")</x:f>
        <x:v>B</x:v>
      </x:c>
      <x:c r="Q361" t="str">
        <x:f>IF(RAND()&lt;'Team_Info'!$E$5,"W","B")</x:f>
        <x:v>B</x:v>
      </x:c>
      <x:c r="R361" t="str">
        <x:f>IF(RAND()&lt;'Team_Info'!$E$5,"W","B")</x:f>
        <x:v>B</x:v>
      </x:c>
      <x:c r="S361" t="str">
        <x:f>IF(RAND()&lt;'Team_Info'!$E$5,"W","B")</x:f>
        <x:v>W</x:v>
      </x:c>
      <x:c r="T361" t="str">
        <x:f>IF(RAND()&lt;'Team_Info'!$E$5,"W","B")</x:f>
        <x:v>B</x:v>
      </x:c>
      <x:c r="U361" t="str">
        <x:f>IF(RAND()&lt;'Team_Info'!$E$5,"W","B")</x:f>
        <x:v>B</x:v>
      </x:c>
    </x:row>
    <x:row r="362">
      <x:c r="A362" s="1">
        <x:v>361</x:v>
      </x:c>
      <x:c r="B362" t="str">
        <x:f>IF(RAND()&lt;'Team_Info'!$E$5,"W","B")</x:f>
        <x:v>W</x:v>
      </x:c>
      <x:c r="C362" t="str">
        <x:f>IF(RAND()&lt;'Team_Info'!$E$5,"W","B")</x:f>
        <x:v>B</x:v>
      </x:c>
      <x:c r="D362" t="str">
        <x:f>IF(RAND()&lt;'Team_Info'!$E$5,"W","B")</x:f>
        <x:v>W</x:v>
      </x:c>
      <x:c r="E362" t="str">
        <x:f>IF(RAND()&lt;'Team_Info'!$E$5,"W","B")</x:f>
        <x:v>B</x:v>
      </x:c>
      <x:c r="F362" t="str">
        <x:f>IF(RAND()&lt;'Team_Info'!$E$5,"W","B")</x:f>
        <x:v>B</x:v>
      </x:c>
      <x:c r="G362" t="str">
        <x:f>IF(RAND()&lt;'Team_Info'!$E$5,"W","B")</x:f>
        <x:v>W</x:v>
      </x:c>
      <x:c r="H362" t="str">
        <x:f>IF(RAND()&lt;'Team_Info'!$E$5,"W","B")</x:f>
        <x:v>B</x:v>
      </x:c>
      <x:c r="I362" t="str">
        <x:f>IF(RAND()&lt;'Team_Info'!$E$5,"W","B")</x:f>
        <x:v>B</x:v>
      </x:c>
      <x:c r="J362" t="str">
        <x:f>IF(RAND()&lt;'Team_Info'!$E$5,"W","B")</x:f>
        <x:v>W</x:v>
      </x:c>
      <x:c r="K362" t="str">
        <x:f>IF(RAND()&lt;'Team_Info'!$E$5,"W","B")</x:f>
        <x:v>B</x:v>
      </x:c>
      <x:c r="L362" t="str">
        <x:f>IF(RAND()&lt;'Team_Info'!$E$5,"W","B")</x:f>
        <x:v>B</x:v>
      </x:c>
      <x:c r="M362" t="str">
        <x:f>IF(RAND()&lt;'Team_Info'!$E$5,"W","B")</x:f>
        <x:v>W</x:v>
      </x:c>
      <x:c r="N362" t="str">
        <x:f>IF(RAND()&lt;'Team_Info'!$E$5,"W","B")</x:f>
        <x:v>W</x:v>
      </x:c>
      <x:c r="O362" t="str">
        <x:f>IF(RAND()&lt;'Team_Info'!$E$5,"W","B")</x:f>
        <x:v>B</x:v>
      </x:c>
      <x:c r="P362" t="str">
        <x:f>IF(RAND()&lt;'Team_Info'!$E$5,"W","B")</x:f>
        <x:v>W</x:v>
      </x:c>
      <x:c r="Q362" t="str">
        <x:f>IF(RAND()&lt;'Team_Info'!$E$5,"W","B")</x:f>
        <x:v>W</x:v>
      </x:c>
      <x:c r="R362" t="str">
        <x:f>IF(RAND()&lt;'Team_Info'!$E$5,"W","B")</x:f>
        <x:v>B</x:v>
      </x:c>
      <x:c r="S362" t="str">
        <x:f>IF(RAND()&lt;'Team_Info'!$E$5,"W","B")</x:f>
        <x:v>B</x:v>
      </x:c>
      <x:c r="T362" t="str">
        <x:f>IF(RAND()&lt;'Team_Info'!$E$5,"W","B")</x:f>
        <x:v>B</x:v>
      </x:c>
      <x:c r="U362" t="str">
        <x:f>IF(RAND()&lt;'Team_Info'!$E$5,"W","B")</x:f>
        <x:v>B</x:v>
      </x:c>
    </x:row>
    <x:row r="363">
      <x:c r="A363" s="1">
        <x:v>362</x:v>
      </x:c>
      <x:c r="B363" t="str">
        <x:f>IF(RAND()&lt;'Team_Info'!$E$5,"W","B")</x:f>
        <x:v>B</x:v>
      </x:c>
      <x:c r="C363" t="str">
        <x:f>IF(RAND()&lt;'Team_Info'!$E$5,"W","B")</x:f>
        <x:v>B</x:v>
      </x:c>
      <x:c r="D363" t="str">
        <x:f>IF(RAND()&lt;'Team_Info'!$E$5,"W","B")</x:f>
        <x:v>B</x:v>
      </x:c>
      <x:c r="E363" t="str">
        <x:f>IF(RAND()&lt;'Team_Info'!$E$5,"W","B")</x:f>
        <x:v>W</x:v>
      </x:c>
      <x:c r="F363" t="str">
        <x:f>IF(RAND()&lt;'Team_Info'!$E$5,"W","B")</x:f>
        <x:v>W</x:v>
      </x:c>
      <x:c r="G363" t="str">
        <x:f>IF(RAND()&lt;'Team_Info'!$E$5,"W","B")</x:f>
        <x:v>B</x:v>
      </x:c>
      <x:c r="H363" t="str">
        <x:f>IF(RAND()&lt;'Team_Info'!$E$5,"W","B")</x:f>
        <x:v>B</x:v>
      </x:c>
      <x:c r="I363" t="str">
        <x:f>IF(RAND()&lt;'Team_Info'!$E$5,"W","B")</x:f>
        <x:v>B</x:v>
      </x:c>
      <x:c r="J363" t="str">
        <x:f>IF(RAND()&lt;'Team_Info'!$E$5,"W","B")</x:f>
        <x:v>W</x:v>
      </x:c>
      <x:c r="K363" t="str">
        <x:f>IF(RAND()&lt;'Team_Info'!$E$5,"W","B")</x:f>
        <x:v>B</x:v>
      </x:c>
      <x:c r="L363" t="str">
        <x:f>IF(RAND()&lt;'Team_Info'!$E$5,"W","B")</x:f>
        <x:v>B</x:v>
      </x:c>
      <x:c r="M363" t="str">
        <x:f>IF(RAND()&lt;'Team_Info'!$E$5,"W","B")</x:f>
        <x:v>B</x:v>
      </x:c>
      <x:c r="N363" t="str">
        <x:f>IF(RAND()&lt;'Team_Info'!$E$5,"W","B")</x:f>
        <x:v>W</x:v>
      </x:c>
      <x:c r="O363" t="str">
        <x:f>IF(RAND()&lt;'Team_Info'!$E$5,"W","B")</x:f>
        <x:v>W</x:v>
      </x:c>
      <x:c r="P363" t="str">
        <x:f>IF(RAND()&lt;'Team_Info'!$E$5,"W","B")</x:f>
        <x:v>W</x:v>
      </x:c>
      <x:c r="Q363" t="str">
        <x:f>IF(RAND()&lt;'Team_Info'!$E$5,"W","B")</x:f>
        <x:v>B</x:v>
      </x:c>
      <x:c r="R363" t="str">
        <x:f>IF(RAND()&lt;'Team_Info'!$E$5,"W","B")</x:f>
        <x:v>W</x:v>
      </x:c>
      <x:c r="S363" t="str">
        <x:f>IF(RAND()&lt;'Team_Info'!$E$5,"W","B")</x:f>
        <x:v>W</x:v>
      </x:c>
      <x:c r="T363" t="str">
        <x:f>IF(RAND()&lt;'Team_Info'!$E$5,"W","B")</x:f>
        <x:v>B</x:v>
      </x:c>
      <x:c r="U363" t="str">
        <x:f>IF(RAND()&lt;'Team_Info'!$E$5,"W","B")</x:f>
        <x:v>B</x:v>
      </x:c>
    </x:row>
    <x:row r="364">
      <x:c r="A364" s="1">
        <x:v>363</x:v>
      </x:c>
      <x:c r="B364" t="str">
        <x:f>IF(RAND()&lt;'Team_Info'!$E$5,"W","B")</x:f>
        <x:v>W</x:v>
      </x:c>
      <x:c r="C364" t="str">
        <x:f>IF(RAND()&lt;'Team_Info'!$E$5,"W","B")</x:f>
        <x:v>W</x:v>
      </x:c>
      <x:c r="D364" t="str">
        <x:f>IF(RAND()&lt;'Team_Info'!$E$5,"W","B")</x:f>
        <x:v>B</x:v>
      </x:c>
      <x:c r="E364" t="str">
        <x:f>IF(RAND()&lt;'Team_Info'!$E$5,"W","B")</x:f>
        <x:v>B</x:v>
      </x:c>
      <x:c r="F364" t="str">
        <x:f>IF(RAND()&lt;'Team_Info'!$E$5,"W","B")</x:f>
        <x:v>W</x:v>
      </x:c>
      <x:c r="G364" t="str">
        <x:f>IF(RAND()&lt;'Team_Info'!$E$5,"W","B")</x:f>
        <x:v>B</x:v>
      </x:c>
      <x:c r="H364" t="str">
        <x:f>IF(RAND()&lt;'Team_Info'!$E$5,"W","B")</x:f>
        <x:v>B</x:v>
      </x:c>
      <x:c r="I364" t="str">
        <x:f>IF(RAND()&lt;'Team_Info'!$E$5,"W","B")</x:f>
        <x:v>B</x:v>
      </x:c>
      <x:c r="J364" t="str">
        <x:f>IF(RAND()&lt;'Team_Info'!$E$5,"W","B")</x:f>
        <x:v>B</x:v>
      </x:c>
      <x:c r="K364" t="str">
        <x:f>IF(RAND()&lt;'Team_Info'!$E$5,"W","B")</x:f>
        <x:v>B</x:v>
      </x:c>
      <x:c r="L364" t="str">
        <x:f>IF(RAND()&lt;'Team_Info'!$E$5,"W","B")</x:f>
        <x:v>B</x:v>
      </x:c>
      <x:c r="M364" t="str">
        <x:f>IF(RAND()&lt;'Team_Info'!$E$5,"W","B")</x:f>
        <x:v>W</x:v>
      </x:c>
      <x:c r="N364" t="str">
        <x:f>IF(RAND()&lt;'Team_Info'!$E$5,"W","B")</x:f>
        <x:v>B</x:v>
      </x:c>
      <x:c r="O364" t="str">
        <x:f>IF(RAND()&lt;'Team_Info'!$E$5,"W","B")</x:f>
        <x:v>W</x:v>
      </x:c>
      <x:c r="P364" t="str">
        <x:f>IF(RAND()&lt;'Team_Info'!$E$5,"W","B")</x:f>
        <x:v>W</x:v>
      </x:c>
      <x:c r="Q364" t="str">
        <x:f>IF(RAND()&lt;'Team_Info'!$E$5,"W","B")</x:f>
        <x:v>B</x:v>
      </x:c>
      <x:c r="R364" t="str">
        <x:f>IF(RAND()&lt;'Team_Info'!$E$5,"W","B")</x:f>
        <x:v>W</x:v>
      </x:c>
      <x:c r="S364" t="str">
        <x:f>IF(RAND()&lt;'Team_Info'!$E$5,"W","B")</x:f>
        <x:v>W</x:v>
      </x:c>
      <x:c r="T364" t="str">
        <x:f>IF(RAND()&lt;'Team_Info'!$E$5,"W","B")</x:f>
        <x:v>B</x:v>
      </x:c>
      <x:c r="U364" t="str">
        <x:f>IF(RAND()&lt;'Team_Info'!$E$5,"W","B")</x:f>
        <x:v>W</x:v>
      </x:c>
    </x:row>
    <x:row r="365">
      <x:c r="A365" s="1">
        <x:v>364</x:v>
      </x:c>
      <x:c r="B365" t="str">
        <x:f>IF(RAND()&lt;'Team_Info'!$E$5,"W","B")</x:f>
        <x:v>B</x:v>
      </x:c>
      <x:c r="C365" t="str">
        <x:f>IF(RAND()&lt;'Team_Info'!$E$5,"W","B")</x:f>
        <x:v>B</x:v>
      </x:c>
      <x:c r="D365" t="str">
        <x:f>IF(RAND()&lt;'Team_Info'!$E$5,"W","B")</x:f>
        <x:v>B</x:v>
      </x:c>
      <x:c r="E365" t="str">
        <x:f>IF(RAND()&lt;'Team_Info'!$E$5,"W","B")</x:f>
        <x:v>W</x:v>
      </x:c>
      <x:c r="F365" t="str">
        <x:f>IF(RAND()&lt;'Team_Info'!$E$5,"W","B")</x:f>
        <x:v>B</x:v>
      </x:c>
      <x:c r="G365" t="str">
        <x:f>IF(RAND()&lt;'Team_Info'!$E$5,"W","B")</x:f>
        <x:v>B</x:v>
      </x:c>
      <x:c r="H365" t="str">
        <x:f>IF(RAND()&lt;'Team_Info'!$E$5,"W","B")</x:f>
        <x:v>B</x:v>
      </x:c>
      <x:c r="I365" t="str">
        <x:f>IF(RAND()&lt;'Team_Info'!$E$5,"W","B")</x:f>
        <x:v>B</x:v>
      </x:c>
      <x:c r="J365" t="str">
        <x:f>IF(RAND()&lt;'Team_Info'!$E$5,"W","B")</x:f>
        <x:v>W</x:v>
      </x:c>
      <x:c r="K365" t="str">
        <x:f>IF(RAND()&lt;'Team_Info'!$E$5,"W","B")</x:f>
        <x:v>B</x:v>
      </x:c>
      <x:c r="L365" t="str">
        <x:f>IF(RAND()&lt;'Team_Info'!$E$5,"W","B")</x:f>
        <x:v>W</x:v>
      </x:c>
      <x:c r="M365" t="str">
        <x:f>IF(RAND()&lt;'Team_Info'!$E$5,"W","B")</x:f>
        <x:v>B</x:v>
      </x:c>
      <x:c r="N365" t="str">
        <x:f>IF(RAND()&lt;'Team_Info'!$E$5,"W","B")</x:f>
        <x:v>B</x:v>
      </x:c>
      <x:c r="O365" t="str">
        <x:f>IF(RAND()&lt;'Team_Info'!$E$5,"W","B")</x:f>
        <x:v>B</x:v>
      </x:c>
      <x:c r="P365" t="str">
        <x:f>IF(RAND()&lt;'Team_Info'!$E$5,"W","B")</x:f>
        <x:v>B</x:v>
      </x:c>
      <x:c r="Q365" t="str">
        <x:f>IF(RAND()&lt;'Team_Info'!$E$5,"W","B")</x:f>
        <x:v>W</x:v>
      </x:c>
      <x:c r="R365" t="str">
        <x:f>IF(RAND()&lt;'Team_Info'!$E$5,"W","B")</x:f>
        <x:v>B</x:v>
      </x:c>
      <x:c r="S365" t="str">
        <x:f>IF(RAND()&lt;'Team_Info'!$E$5,"W","B")</x:f>
        <x:v>W</x:v>
      </x:c>
      <x:c r="T365" t="str">
        <x:f>IF(RAND()&lt;'Team_Info'!$E$5,"W","B")</x:f>
        <x:v>W</x:v>
      </x:c>
      <x:c r="U365" t="str">
        <x:f>IF(RAND()&lt;'Team_Info'!$E$5,"W","B")</x:f>
        <x:v>W</x:v>
      </x:c>
    </x:row>
    <x:row r="366">
      <x:c r="A366" s="1">
        <x:v>365</x:v>
      </x:c>
      <x:c r="B366" t="str">
        <x:f>IF(RAND()&lt;'Team_Info'!$E$5,"W","B")</x:f>
        <x:v>B</x:v>
      </x:c>
      <x:c r="C366" t="str">
        <x:f>IF(RAND()&lt;'Team_Info'!$E$5,"W","B")</x:f>
        <x:v>W</x:v>
      </x:c>
      <x:c r="D366" t="str">
        <x:f>IF(RAND()&lt;'Team_Info'!$E$5,"W","B")</x:f>
        <x:v>B</x:v>
      </x:c>
      <x:c r="E366" t="str">
        <x:f>IF(RAND()&lt;'Team_Info'!$E$5,"W","B")</x:f>
        <x:v>B</x:v>
      </x:c>
      <x:c r="F366" t="str">
        <x:f>IF(RAND()&lt;'Team_Info'!$E$5,"W","B")</x:f>
        <x:v>B</x:v>
      </x:c>
      <x:c r="G366" t="str">
        <x:f>IF(RAND()&lt;'Team_Info'!$E$5,"W","B")</x:f>
        <x:v>W</x:v>
      </x:c>
      <x:c r="H366" t="str">
        <x:f>IF(RAND()&lt;'Team_Info'!$E$5,"W","B")</x:f>
        <x:v>B</x:v>
      </x:c>
      <x:c r="I366" t="str">
        <x:f>IF(RAND()&lt;'Team_Info'!$E$5,"W","B")</x:f>
        <x:v>B</x:v>
      </x:c>
      <x:c r="J366" t="str">
        <x:f>IF(RAND()&lt;'Team_Info'!$E$5,"W","B")</x:f>
        <x:v>B</x:v>
      </x:c>
      <x:c r="K366" t="str">
        <x:f>IF(RAND()&lt;'Team_Info'!$E$5,"W","B")</x:f>
        <x:v>B</x:v>
      </x:c>
      <x:c r="L366" t="str">
        <x:f>IF(RAND()&lt;'Team_Info'!$E$5,"W","B")</x:f>
        <x:v>W</x:v>
      </x:c>
      <x:c r="M366" t="str">
        <x:f>IF(RAND()&lt;'Team_Info'!$E$5,"W","B")</x:f>
        <x:v>B</x:v>
      </x:c>
      <x:c r="N366" t="str">
        <x:f>IF(RAND()&lt;'Team_Info'!$E$5,"W","B")</x:f>
        <x:v>B</x:v>
      </x:c>
      <x:c r="O366" t="str">
        <x:f>IF(RAND()&lt;'Team_Info'!$E$5,"W","B")</x:f>
        <x:v>B</x:v>
      </x:c>
      <x:c r="P366" t="str">
        <x:f>IF(RAND()&lt;'Team_Info'!$E$5,"W","B")</x:f>
        <x:v>W</x:v>
      </x:c>
      <x:c r="Q366" t="str">
        <x:f>IF(RAND()&lt;'Team_Info'!$E$5,"W","B")</x:f>
        <x:v>B</x:v>
      </x:c>
      <x:c r="R366" t="str">
        <x:f>IF(RAND()&lt;'Team_Info'!$E$5,"W","B")</x:f>
        <x:v>B</x:v>
      </x:c>
      <x:c r="S366" t="str">
        <x:f>IF(RAND()&lt;'Team_Info'!$E$5,"W","B")</x:f>
        <x:v>B</x:v>
      </x:c>
      <x:c r="T366" t="str">
        <x:f>IF(RAND()&lt;'Team_Info'!$E$5,"W","B")</x:f>
        <x:v>B</x:v>
      </x:c>
      <x:c r="U366" t="str">
        <x:f>IF(RAND()&lt;'Team_Info'!$E$5,"W","B")</x:f>
        <x:v>B</x:v>
      </x:c>
    </x:row>
    <x:row r="367">
      <x:c r="A367" s="1">
        <x:v>366</x:v>
      </x:c>
      <x:c r="B367" t="str">
        <x:f>IF(RAND()&lt;'Team_Info'!$E$5,"W","B")</x:f>
        <x:v>W</x:v>
      </x:c>
      <x:c r="C367" t="str">
        <x:f>IF(RAND()&lt;'Team_Info'!$E$5,"W","B")</x:f>
        <x:v>B</x:v>
      </x:c>
      <x:c r="D367" t="str">
        <x:f>IF(RAND()&lt;'Team_Info'!$E$5,"W","B")</x:f>
        <x:v>B</x:v>
      </x:c>
      <x:c r="E367" t="str">
        <x:f>IF(RAND()&lt;'Team_Info'!$E$5,"W","B")</x:f>
        <x:v>B</x:v>
      </x:c>
      <x:c r="F367" t="str">
        <x:f>IF(RAND()&lt;'Team_Info'!$E$5,"W","B")</x:f>
        <x:v>B</x:v>
      </x:c>
      <x:c r="G367" t="str">
        <x:f>IF(RAND()&lt;'Team_Info'!$E$5,"W","B")</x:f>
        <x:v>B</x:v>
      </x:c>
      <x:c r="H367" t="str">
        <x:f>IF(RAND()&lt;'Team_Info'!$E$5,"W","B")</x:f>
        <x:v>B</x:v>
      </x:c>
      <x:c r="I367" t="str">
        <x:f>IF(RAND()&lt;'Team_Info'!$E$5,"W","B")</x:f>
        <x:v>B</x:v>
      </x:c>
      <x:c r="J367" t="str">
        <x:f>IF(RAND()&lt;'Team_Info'!$E$5,"W","B")</x:f>
        <x:v>B</x:v>
      </x:c>
      <x:c r="K367" t="str">
        <x:f>IF(RAND()&lt;'Team_Info'!$E$5,"W","B")</x:f>
        <x:v>B</x:v>
      </x:c>
      <x:c r="L367" t="str">
        <x:f>IF(RAND()&lt;'Team_Info'!$E$5,"W","B")</x:f>
        <x:v>B</x:v>
      </x:c>
      <x:c r="M367" t="str">
        <x:f>IF(RAND()&lt;'Team_Info'!$E$5,"W","B")</x:f>
        <x:v>B</x:v>
      </x:c>
      <x:c r="N367" t="str">
        <x:f>IF(RAND()&lt;'Team_Info'!$E$5,"W","B")</x:f>
        <x:v>W</x:v>
      </x:c>
      <x:c r="O367" t="str">
        <x:f>IF(RAND()&lt;'Team_Info'!$E$5,"W","B")</x:f>
        <x:v>W</x:v>
      </x:c>
      <x:c r="P367" t="str">
        <x:f>IF(RAND()&lt;'Team_Info'!$E$5,"W","B")</x:f>
        <x:v>W</x:v>
      </x:c>
      <x:c r="Q367" t="str">
        <x:f>IF(RAND()&lt;'Team_Info'!$E$5,"W","B")</x:f>
        <x:v>B</x:v>
      </x:c>
      <x:c r="R367" t="str">
        <x:f>IF(RAND()&lt;'Team_Info'!$E$5,"W","B")</x:f>
        <x:v>W</x:v>
      </x:c>
      <x:c r="S367" t="str">
        <x:f>IF(RAND()&lt;'Team_Info'!$E$5,"W","B")</x:f>
        <x:v>W</x:v>
      </x:c>
      <x:c r="T367" t="str">
        <x:f>IF(RAND()&lt;'Team_Info'!$E$5,"W","B")</x:f>
        <x:v>W</x:v>
      </x:c>
      <x:c r="U367" t="str">
        <x:f>IF(RAND()&lt;'Team_Info'!$E$5,"W","B")</x:f>
        <x:v>B</x:v>
      </x:c>
    </x:row>
    <x:row r="368">
      <x:c r="A368" s="1">
        <x:v>367</x:v>
      </x:c>
      <x:c r="B368" t="str">
        <x:f>IF(RAND()&lt;'Team_Info'!$E$5,"W","B")</x:f>
        <x:v>B</x:v>
      </x:c>
      <x:c r="C368" t="str">
        <x:f>IF(RAND()&lt;'Team_Info'!$E$5,"W","B")</x:f>
        <x:v>B</x:v>
      </x:c>
      <x:c r="D368" t="str">
        <x:f>IF(RAND()&lt;'Team_Info'!$E$5,"W","B")</x:f>
        <x:v>B</x:v>
      </x:c>
      <x:c r="E368" t="str">
        <x:f>IF(RAND()&lt;'Team_Info'!$E$5,"W","B")</x:f>
        <x:v>B</x:v>
      </x:c>
      <x:c r="F368" t="str">
        <x:f>IF(RAND()&lt;'Team_Info'!$E$5,"W","B")</x:f>
        <x:v>W</x:v>
      </x:c>
      <x:c r="G368" t="str">
        <x:f>IF(RAND()&lt;'Team_Info'!$E$5,"W","B")</x:f>
        <x:v>B</x:v>
      </x:c>
      <x:c r="H368" t="str">
        <x:f>IF(RAND()&lt;'Team_Info'!$E$5,"W","B")</x:f>
        <x:v>W</x:v>
      </x:c>
      <x:c r="I368" t="str">
        <x:f>IF(RAND()&lt;'Team_Info'!$E$5,"W","B")</x:f>
        <x:v>B</x:v>
      </x:c>
      <x:c r="J368" t="str">
        <x:f>IF(RAND()&lt;'Team_Info'!$E$5,"W","B")</x:f>
        <x:v>W</x:v>
      </x:c>
      <x:c r="K368" t="str">
        <x:f>IF(RAND()&lt;'Team_Info'!$E$5,"W","B")</x:f>
        <x:v>B</x:v>
      </x:c>
      <x:c r="L368" t="str">
        <x:f>IF(RAND()&lt;'Team_Info'!$E$5,"W","B")</x:f>
        <x:v>W</x:v>
      </x:c>
      <x:c r="M368" t="str">
        <x:f>IF(RAND()&lt;'Team_Info'!$E$5,"W","B")</x:f>
        <x:v>B</x:v>
      </x:c>
      <x:c r="N368" t="str">
        <x:f>IF(RAND()&lt;'Team_Info'!$E$5,"W","B")</x:f>
        <x:v>B</x:v>
      </x:c>
      <x:c r="O368" t="str">
        <x:f>IF(RAND()&lt;'Team_Info'!$E$5,"W","B")</x:f>
        <x:v>W</x:v>
      </x:c>
      <x:c r="P368" t="str">
        <x:f>IF(RAND()&lt;'Team_Info'!$E$5,"W","B")</x:f>
        <x:v>W</x:v>
      </x:c>
      <x:c r="Q368" t="str">
        <x:f>IF(RAND()&lt;'Team_Info'!$E$5,"W","B")</x:f>
        <x:v>W</x:v>
      </x:c>
      <x:c r="R368" t="str">
        <x:f>IF(RAND()&lt;'Team_Info'!$E$5,"W","B")</x:f>
        <x:v>B</x:v>
      </x:c>
      <x:c r="S368" t="str">
        <x:f>IF(RAND()&lt;'Team_Info'!$E$5,"W","B")</x:f>
        <x:v>B</x:v>
      </x:c>
      <x:c r="T368" t="str">
        <x:f>IF(RAND()&lt;'Team_Info'!$E$5,"W","B")</x:f>
        <x:v>B</x:v>
      </x:c>
      <x:c r="U368" t="str">
        <x:f>IF(RAND()&lt;'Team_Info'!$E$5,"W","B")</x:f>
        <x:v>B</x:v>
      </x:c>
    </x:row>
    <x:row r="369">
      <x:c r="A369" s="1">
        <x:v>368</x:v>
      </x:c>
      <x:c r="B369" t="str">
        <x:f>IF(RAND()&lt;'Team_Info'!$E$5,"W","B")</x:f>
        <x:v>W</x:v>
      </x:c>
      <x:c r="C369" t="str">
        <x:f>IF(RAND()&lt;'Team_Info'!$E$5,"W","B")</x:f>
        <x:v>W</x:v>
      </x:c>
      <x:c r="D369" t="str">
        <x:f>IF(RAND()&lt;'Team_Info'!$E$5,"W","B")</x:f>
        <x:v>B</x:v>
      </x:c>
      <x:c r="E369" t="str">
        <x:f>IF(RAND()&lt;'Team_Info'!$E$5,"W","B")</x:f>
        <x:v>B</x:v>
      </x:c>
      <x:c r="F369" t="str">
        <x:f>IF(RAND()&lt;'Team_Info'!$E$5,"W","B")</x:f>
        <x:v>W</x:v>
      </x:c>
      <x:c r="G369" t="str">
        <x:f>IF(RAND()&lt;'Team_Info'!$E$5,"W","B")</x:f>
        <x:v>W</x:v>
      </x:c>
      <x:c r="H369" t="str">
        <x:f>IF(RAND()&lt;'Team_Info'!$E$5,"W","B")</x:f>
        <x:v>B</x:v>
      </x:c>
      <x:c r="I369" t="str">
        <x:f>IF(RAND()&lt;'Team_Info'!$E$5,"W","B")</x:f>
        <x:v>B</x:v>
      </x:c>
      <x:c r="J369" t="str">
        <x:f>IF(RAND()&lt;'Team_Info'!$E$5,"W","B")</x:f>
        <x:v>W</x:v>
      </x:c>
      <x:c r="K369" t="str">
        <x:f>IF(RAND()&lt;'Team_Info'!$E$5,"W","B")</x:f>
        <x:v>B</x:v>
      </x:c>
      <x:c r="L369" t="str">
        <x:f>IF(RAND()&lt;'Team_Info'!$E$5,"W","B")</x:f>
        <x:v>B</x:v>
      </x:c>
      <x:c r="M369" t="str">
        <x:f>IF(RAND()&lt;'Team_Info'!$E$5,"W","B")</x:f>
        <x:v>W</x:v>
      </x:c>
      <x:c r="N369" t="str">
        <x:f>IF(RAND()&lt;'Team_Info'!$E$5,"W","B")</x:f>
        <x:v>W</x:v>
      </x:c>
      <x:c r="O369" t="str">
        <x:f>IF(RAND()&lt;'Team_Info'!$E$5,"W","B")</x:f>
        <x:v>W</x:v>
      </x:c>
      <x:c r="P369" t="str">
        <x:f>IF(RAND()&lt;'Team_Info'!$E$5,"W","B")</x:f>
        <x:v>W</x:v>
      </x:c>
      <x:c r="Q369" t="str">
        <x:f>IF(RAND()&lt;'Team_Info'!$E$5,"W","B")</x:f>
        <x:v>W</x:v>
      </x:c>
      <x:c r="R369" t="str">
        <x:f>IF(RAND()&lt;'Team_Info'!$E$5,"W","B")</x:f>
        <x:v>B</x:v>
      </x:c>
      <x:c r="S369" t="str">
        <x:f>IF(RAND()&lt;'Team_Info'!$E$5,"W","B")</x:f>
        <x:v>W</x:v>
      </x:c>
      <x:c r="T369" t="str">
        <x:f>IF(RAND()&lt;'Team_Info'!$E$5,"W","B")</x:f>
        <x:v>W</x:v>
      </x:c>
      <x:c r="U369" t="str">
        <x:f>IF(RAND()&lt;'Team_Info'!$E$5,"W","B")</x:f>
        <x:v>W</x:v>
      </x:c>
    </x:row>
    <x:row r="370">
      <x:c r="A370" s="1">
        <x:v>369</x:v>
      </x:c>
      <x:c r="B370" t="str">
        <x:f>IF(RAND()&lt;'Team_Info'!$E$5,"W","B")</x:f>
        <x:v>W</x:v>
      </x:c>
      <x:c r="C370" t="str">
        <x:f>IF(RAND()&lt;'Team_Info'!$E$5,"W","B")</x:f>
        <x:v>B</x:v>
      </x:c>
      <x:c r="D370" t="str">
        <x:f>IF(RAND()&lt;'Team_Info'!$E$5,"W","B")</x:f>
        <x:v>B</x:v>
      </x:c>
      <x:c r="E370" t="str">
        <x:f>IF(RAND()&lt;'Team_Info'!$E$5,"W","B")</x:f>
        <x:v>W</x:v>
      </x:c>
      <x:c r="F370" t="str">
        <x:f>IF(RAND()&lt;'Team_Info'!$E$5,"W","B")</x:f>
        <x:v>B</x:v>
      </x:c>
      <x:c r="G370" t="str">
        <x:f>IF(RAND()&lt;'Team_Info'!$E$5,"W","B")</x:f>
        <x:v>B</x:v>
      </x:c>
      <x:c r="H370" t="str">
        <x:f>IF(RAND()&lt;'Team_Info'!$E$5,"W","B")</x:f>
        <x:v>B</x:v>
      </x:c>
      <x:c r="I370" t="str">
        <x:f>IF(RAND()&lt;'Team_Info'!$E$5,"W","B")</x:f>
        <x:v>B</x:v>
      </x:c>
      <x:c r="J370" t="str">
        <x:f>IF(RAND()&lt;'Team_Info'!$E$5,"W","B")</x:f>
        <x:v>W</x:v>
      </x:c>
      <x:c r="K370" t="str">
        <x:f>IF(RAND()&lt;'Team_Info'!$E$5,"W","B")</x:f>
        <x:v>W</x:v>
      </x:c>
      <x:c r="L370" t="str">
        <x:f>IF(RAND()&lt;'Team_Info'!$E$5,"W","B")</x:f>
        <x:v>B</x:v>
      </x:c>
      <x:c r="M370" t="str">
        <x:f>IF(RAND()&lt;'Team_Info'!$E$5,"W","B")</x:f>
        <x:v>W</x:v>
      </x:c>
      <x:c r="N370" t="str">
        <x:f>IF(RAND()&lt;'Team_Info'!$E$5,"W","B")</x:f>
        <x:v>B</x:v>
      </x:c>
      <x:c r="O370" t="str">
        <x:f>IF(RAND()&lt;'Team_Info'!$E$5,"W","B")</x:f>
        <x:v>B</x:v>
      </x:c>
      <x:c r="P370" t="str">
        <x:f>IF(RAND()&lt;'Team_Info'!$E$5,"W","B")</x:f>
        <x:v>B</x:v>
      </x:c>
      <x:c r="Q370" t="str">
        <x:f>IF(RAND()&lt;'Team_Info'!$E$5,"W","B")</x:f>
        <x:v>B</x:v>
      </x:c>
      <x:c r="R370" t="str">
        <x:f>IF(RAND()&lt;'Team_Info'!$E$5,"W","B")</x:f>
        <x:v>W</x:v>
      </x:c>
      <x:c r="S370" t="str">
        <x:f>IF(RAND()&lt;'Team_Info'!$E$5,"W","B")</x:f>
        <x:v>B</x:v>
      </x:c>
      <x:c r="T370" t="str">
        <x:f>IF(RAND()&lt;'Team_Info'!$E$5,"W","B")</x:f>
        <x:v>W</x:v>
      </x:c>
      <x:c r="U370" t="str">
        <x:f>IF(RAND()&lt;'Team_Info'!$E$5,"W","B")</x:f>
        <x:v>B</x:v>
      </x:c>
    </x:row>
    <x:row r="371">
      <x:c r="A371" s="1">
        <x:v>370</x:v>
      </x:c>
      <x:c r="B371" t="str">
        <x:f>IF(RAND()&lt;'Team_Info'!$E$5,"W","B")</x:f>
        <x:v>B</x:v>
      </x:c>
      <x:c r="C371" t="str">
        <x:f>IF(RAND()&lt;'Team_Info'!$E$5,"W","B")</x:f>
        <x:v>B</x:v>
      </x:c>
      <x:c r="D371" t="str">
        <x:f>IF(RAND()&lt;'Team_Info'!$E$5,"W","B")</x:f>
        <x:v>W</x:v>
      </x:c>
      <x:c r="E371" t="str">
        <x:f>IF(RAND()&lt;'Team_Info'!$E$5,"W","B")</x:f>
        <x:v>W</x:v>
      </x:c>
      <x:c r="F371" t="str">
        <x:f>IF(RAND()&lt;'Team_Info'!$E$5,"W","B")</x:f>
        <x:v>B</x:v>
      </x:c>
      <x:c r="G371" t="str">
        <x:f>IF(RAND()&lt;'Team_Info'!$E$5,"W","B")</x:f>
        <x:v>B</x:v>
      </x:c>
      <x:c r="H371" t="str">
        <x:f>IF(RAND()&lt;'Team_Info'!$E$5,"W","B")</x:f>
        <x:v>W</x:v>
      </x:c>
      <x:c r="I371" t="str">
        <x:f>IF(RAND()&lt;'Team_Info'!$E$5,"W","B")</x:f>
        <x:v>B</x:v>
      </x:c>
      <x:c r="J371" t="str">
        <x:f>IF(RAND()&lt;'Team_Info'!$E$5,"W","B")</x:f>
        <x:v>B</x:v>
      </x:c>
      <x:c r="K371" t="str">
        <x:f>IF(RAND()&lt;'Team_Info'!$E$5,"W","B")</x:f>
        <x:v>W</x:v>
      </x:c>
      <x:c r="L371" t="str">
        <x:f>IF(RAND()&lt;'Team_Info'!$E$5,"W","B")</x:f>
        <x:v>W</x:v>
      </x:c>
      <x:c r="M371" t="str">
        <x:f>IF(RAND()&lt;'Team_Info'!$E$5,"W","B")</x:f>
        <x:v>W</x:v>
      </x:c>
      <x:c r="N371" t="str">
        <x:f>IF(RAND()&lt;'Team_Info'!$E$5,"W","B")</x:f>
        <x:v>B</x:v>
      </x:c>
      <x:c r="O371" t="str">
        <x:f>IF(RAND()&lt;'Team_Info'!$E$5,"W","B")</x:f>
        <x:v>B</x:v>
      </x:c>
      <x:c r="P371" t="str">
        <x:f>IF(RAND()&lt;'Team_Info'!$E$5,"W","B")</x:f>
        <x:v>B</x:v>
      </x:c>
      <x:c r="Q371" t="str">
        <x:f>IF(RAND()&lt;'Team_Info'!$E$5,"W","B")</x:f>
        <x:v>W</x:v>
      </x:c>
      <x:c r="R371" t="str">
        <x:f>IF(RAND()&lt;'Team_Info'!$E$5,"W","B")</x:f>
        <x:v>B</x:v>
      </x:c>
      <x:c r="S371" t="str">
        <x:f>IF(RAND()&lt;'Team_Info'!$E$5,"W","B")</x:f>
        <x:v>B</x:v>
      </x:c>
      <x:c r="T371" t="str">
        <x:f>IF(RAND()&lt;'Team_Info'!$E$5,"W","B")</x:f>
        <x:v>B</x:v>
      </x:c>
      <x:c r="U371" t="str">
        <x:f>IF(RAND()&lt;'Team_Info'!$E$5,"W","B")</x:f>
        <x:v>B</x:v>
      </x:c>
    </x:row>
    <x:row r="372">
      <x:c r="A372" s="1">
        <x:v>371</x:v>
      </x:c>
      <x:c r="B372" t="str">
        <x:f>IF(RAND()&lt;'Team_Info'!$E$5,"W","B")</x:f>
        <x:v>B</x:v>
      </x:c>
      <x:c r="C372" t="str">
        <x:f>IF(RAND()&lt;'Team_Info'!$E$5,"W","B")</x:f>
        <x:v>B</x:v>
      </x:c>
      <x:c r="D372" t="str">
        <x:f>IF(RAND()&lt;'Team_Info'!$E$5,"W","B")</x:f>
        <x:v>W</x:v>
      </x:c>
      <x:c r="E372" t="str">
        <x:f>IF(RAND()&lt;'Team_Info'!$E$5,"W","B")</x:f>
        <x:v>B</x:v>
      </x:c>
      <x:c r="F372" t="str">
        <x:f>IF(RAND()&lt;'Team_Info'!$E$5,"W","B")</x:f>
        <x:v>B</x:v>
      </x:c>
      <x:c r="G372" t="str">
        <x:f>IF(RAND()&lt;'Team_Info'!$E$5,"W","B")</x:f>
        <x:v>W</x:v>
      </x:c>
      <x:c r="H372" t="str">
        <x:f>IF(RAND()&lt;'Team_Info'!$E$5,"W","B")</x:f>
        <x:v>B</x:v>
      </x:c>
      <x:c r="I372" t="str">
        <x:f>IF(RAND()&lt;'Team_Info'!$E$5,"W","B")</x:f>
        <x:v>W</x:v>
      </x:c>
      <x:c r="J372" t="str">
        <x:f>IF(RAND()&lt;'Team_Info'!$E$5,"W","B")</x:f>
        <x:v>B</x:v>
      </x:c>
      <x:c r="K372" t="str">
        <x:f>IF(RAND()&lt;'Team_Info'!$E$5,"W","B")</x:f>
        <x:v>W</x:v>
      </x:c>
      <x:c r="L372" t="str">
        <x:f>IF(RAND()&lt;'Team_Info'!$E$5,"W","B")</x:f>
        <x:v>W</x:v>
      </x:c>
      <x:c r="M372" t="str">
        <x:f>IF(RAND()&lt;'Team_Info'!$E$5,"W","B")</x:f>
        <x:v>B</x:v>
      </x:c>
      <x:c r="N372" t="str">
        <x:f>IF(RAND()&lt;'Team_Info'!$E$5,"W","B")</x:f>
        <x:v>B</x:v>
      </x:c>
      <x:c r="O372" t="str">
        <x:f>IF(RAND()&lt;'Team_Info'!$E$5,"W","B")</x:f>
        <x:v>B</x:v>
      </x:c>
      <x:c r="P372" t="str">
        <x:f>IF(RAND()&lt;'Team_Info'!$E$5,"W","B")</x:f>
        <x:v>B</x:v>
      </x:c>
      <x:c r="Q372" t="str">
        <x:f>IF(RAND()&lt;'Team_Info'!$E$5,"W","B")</x:f>
        <x:v>W</x:v>
      </x:c>
      <x:c r="R372" t="str">
        <x:f>IF(RAND()&lt;'Team_Info'!$E$5,"W","B")</x:f>
        <x:v>B</x:v>
      </x:c>
      <x:c r="S372" t="str">
        <x:f>IF(RAND()&lt;'Team_Info'!$E$5,"W","B")</x:f>
        <x:v>B</x:v>
      </x:c>
      <x:c r="T372" t="str">
        <x:f>IF(RAND()&lt;'Team_Info'!$E$5,"W","B")</x:f>
        <x:v>B</x:v>
      </x:c>
      <x:c r="U372" t="str">
        <x:f>IF(RAND()&lt;'Team_Info'!$E$5,"W","B")</x:f>
        <x:v>B</x:v>
      </x:c>
    </x:row>
    <x:row r="373">
      <x:c r="A373" s="1">
        <x:v>372</x:v>
      </x:c>
      <x:c r="B373" t="str">
        <x:f>IF(RAND()&lt;'Team_Info'!$E$5,"W","B")</x:f>
        <x:v>B</x:v>
      </x:c>
      <x:c r="C373" t="str">
        <x:f>IF(RAND()&lt;'Team_Info'!$E$5,"W","B")</x:f>
        <x:v>W</x:v>
      </x:c>
      <x:c r="D373" t="str">
        <x:f>IF(RAND()&lt;'Team_Info'!$E$5,"W","B")</x:f>
        <x:v>B</x:v>
      </x:c>
      <x:c r="E373" t="str">
        <x:f>IF(RAND()&lt;'Team_Info'!$E$5,"W","B")</x:f>
        <x:v>W</x:v>
      </x:c>
      <x:c r="F373" t="str">
        <x:f>IF(RAND()&lt;'Team_Info'!$E$5,"W","B")</x:f>
        <x:v>W</x:v>
      </x:c>
      <x:c r="G373" t="str">
        <x:f>IF(RAND()&lt;'Team_Info'!$E$5,"W","B")</x:f>
        <x:v>B</x:v>
      </x:c>
      <x:c r="H373" t="str">
        <x:f>IF(RAND()&lt;'Team_Info'!$E$5,"W","B")</x:f>
        <x:v>B</x:v>
      </x:c>
      <x:c r="I373" t="str">
        <x:f>IF(RAND()&lt;'Team_Info'!$E$5,"W","B")</x:f>
        <x:v>B</x:v>
      </x:c>
      <x:c r="J373" t="str">
        <x:f>IF(RAND()&lt;'Team_Info'!$E$5,"W","B")</x:f>
        <x:v>W</x:v>
      </x:c>
      <x:c r="K373" t="str">
        <x:f>IF(RAND()&lt;'Team_Info'!$E$5,"W","B")</x:f>
        <x:v>W</x:v>
      </x:c>
      <x:c r="L373" t="str">
        <x:f>IF(RAND()&lt;'Team_Info'!$E$5,"W","B")</x:f>
        <x:v>B</x:v>
      </x:c>
      <x:c r="M373" t="str">
        <x:f>IF(RAND()&lt;'Team_Info'!$E$5,"W","B")</x:f>
        <x:v>B</x:v>
      </x:c>
      <x:c r="N373" t="str">
        <x:f>IF(RAND()&lt;'Team_Info'!$E$5,"W","B")</x:f>
        <x:v>W</x:v>
      </x:c>
      <x:c r="O373" t="str">
        <x:f>IF(RAND()&lt;'Team_Info'!$E$5,"W","B")</x:f>
        <x:v>B</x:v>
      </x:c>
      <x:c r="P373" t="str">
        <x:f>IF(RAND()&lt;'Team_Info'!$E$5,"W","B")</x:f>
        <x:v>B</x:v>
      </x:c>
      <x:c r="Q373" t="str">
        <x:f>IF(RAND()&lt;'Team_Info'!$E$5,"W","B")</x:f>
        <x:v>B</x:v>
      </x:c>
      <x:c r="R373" t="str">
        <x:f>IF(RAND()&lt;'Team_Info'!$E$5,"W","B")</x:f>
        <x:v>B</x:v>
      </x:c>
      <x:c r="S373" t="str">
        <x:f>IF(RAND()&lt;'Team_Info'!$E$5,"W","B")</x:f>
        <x:v>B</x:v>
      </x:c>
      <x:c r="T373" t="str">
        <x:f>IF(RAND()&lt;'Team_Info'!$E$5,"W","B")</x:f>
        <x:v>B</x:v>
      </x:c>
      <x:c r="U373" t="str">
        <x:f>IF(RAND()&lt;'Team_Info'!$E$5,"W","B")</x:f>
        <x:v>B</x:v>
      </x:c>
    </x:row>
    <x:row r="374">
      <x:c r="A374" s="1">
        <x:v>373</x:v>
      </x:c>
      <x:c r="B374" t="str">
        <x:f>IF(RAND()&lt;'Team_Info'!$E$5,"W","B")</x:f>
        <x:v>B</x:v>
      </x:c>
      <x:c r="C374" t="str">
        <x:f>IF(RAND()&lt;'Team_Info'!$E$5,"W","B")</x:f>
        <x:v>B</x:v>
      </x:c>
      <x:c r="D374" t="str">
        <x:f>IF(RAND()&lt;'Team_Info'!$E$5,"W","B")</x:f>
        <x:v>W</x:v>
      </x:c>
      <x:c r="E374" t="str">
        <x:f>IF(RAND()&lt;'Team_Info'!$E$5,"W","B")</x:f>
        <x:v>W</x:v>
      </x:c>
      <x:c r="F374" t="str">
        <x:f>IF(RAND()&lt;'Team_Info'!$E$5,"W","B")</x:f>
        <x:v>B</x:v>
      </x:c>
      <x:c r="G374" t="str">
        <x:f>IF(RAND()&lt;'Team_Info'!$E$5,"W","B")</x:f>
        <x:v>W</x:v>
      </x:c>
      <x:c r="H374" t="str">
        <x:f>IF(RAND()&lt;'Team_Info'!$E$5,"W","B")</x:f>
        <x:v>B</x:v>
      </x:c>
      <x:c r="I374" t="str">
        <x:f>IF(RAND()&lt;'Team_Info'!$E$5,"W","B")</x:f>
        <x:v>B</x:v>
      </x:c>
      <x:c r="J374" t="str">
        <x:f>IF(RAND()&lt;'Team_Info'!$E$5,"W","B")</x:f>
        <x:v>B</x:v>
      </x:c>
      <x:c r="K374" t="str">
        <x:f>IF(RAND()&lt;'Team_Info'!$E$5,"W","B")</x:f>
        <x:v>B</x:v>
      </x:c>
      <x:c r="L374" t="str">
        <x:f>IF(RAND()&lt;'Team_Info'!$E$5,"W","B")</x:f>
        <x:v>W</x:v>
      </x:c>
      <x:c r="M374" t="str">
        <x:f>IF(RAND()&lt;'Team_Info'!$E$5,"W","B")</x:f>
        <x:v>W</x:v>
      </x:c>
      <x:c r="N374" t="str">
        <x:f>IF(RAND()&lt;'Team_Info'!$E$5,"W","B")</x:f>
        <x:v>B</x:v>
      </x:c>
      <x:c r="O374" t="str">
        <x:f>IF(RAND()&lt;'Team_Info'!$E$5,"W","B")</x:f>
        <x:v>B</x:v>
      </x:c>
      <x:c r="P374" t="str">
        <x:f>IF(RAND()&lt;'Team_Info'!$E$5,"W","B")</x:f>
        <x:v>B</x:v>
      </x:c>
      <x:c r="Q374" t="str">
        <x:f>IF(RAND()&lt;'Team_Info'!$E$5,"W","B")</x:f>
        <x:v>W</x:v>
      </x:c>
      <x:c r="R374" t="str">
        <x:f>IF(RAND()&lt;'Team_Info'!$E$5,"W","B")</x:f>
        <x:v>B</x:v>
      </x:c>
      <x:c r="S374" t="str">
        <x:f>IF(RAND()&lt;'Team_Info'!$E$5,"W","B")</x:f>
        <x:v>W</x:v>
      </x:c>
      <x:c r="T374" t="str">
        <x:f>IF(RAND()&lt;'Team_Info'!$E$5,"W","B")</x:f>
        <x:v>W</x:v>
      </x:c>
      <x:c r="U374" t="str">
        <x:f>IF(RAND()&lt;'Team_Info'!$E$5,"W","B")</x:f>
        <x:v>W</x:v>
      </x:c>
    </x:row>
    <x:row r="375">
      <x:c r="A375" s="1">
        <x:v>374</x:v>
      </x:c>
      <x:c r="B375" t="str">
        <x:f>IF(RAND()&lt;'Team_Info'!$E$5,"W","B")</x:f>
        <x:v>W</x:v>
      </x:c>
      <x:c r="C375" t="str">
        <x:f>IF(RAND()&lt;'Team_Info'!$E$5,"W","B")</x:f>
        <x:v>W</x:v>
      </x:c>
      <x:c r="D375" t="str">
        <x:f>IF(RAND()&lt;'Team_Info'!$E$5,"W","B")</x:f>
        <x:v>B</x:v>
      </x:c>
      <x:c r="E375" t="str">
        <x:f>IF(RAND()&lt;'Team_Info'!$E$5,"W","B")</x:f>
        <x:v>B</x:v>
      </x:c>
      <x:c r="F375" t="str">
        <x:f>IF(RAND()&lt;'Team_Info'!$E$5,"W","B")</x:f>
        <x:v>B</x:v>
      </x:c>
      <x:c r="G375" t="str">
        <x:f>IF(RAND()&lt;'Team_Info'!$E$5,"W","B")</x:f>
        <x:v>B</x:v>
      </x:c>
      <x:c r="H375" t="str">
        <x:f>IF(RAND()&lt;'Team_Info'!$E$5,"W","B")</x:f>
        <x:v>B</x:v>
      </x:c>
      <x:c r="I375" t="str">
        <x:f>IF(RAND()&lt;'Team_Info'!$E$5,"W","B")</x:f>
        <x:v>B</x:v>
      </x:c>
      <x:c r="J375" t="str">
        <x:f>IF(RAND()&lt;'Team_Info'!$E$5,"W","B")</x:f>
        <x:v>B</x:v>
      </x:c>
      <x:c r="K375" t="str">
        <x:f>IF(RAND()&lt;'Team_Info'!$E$5,"W","B")</x:f>
        <x:v>B</x:v>
      </x:c>
      <x:c r="L375" t="str">
        <x:f>IF(RAND()&lt;'Team_Info'!$E$5,"W","B")</x:f>
        <x:v>B</x:v>
      </x:c>
      <x:c r="M375" t="str">
        <x:f>IF(RAND()&lt;'Team_Info'!$E$5,"W","B")</x:f>
        <x:v>B</x:v>
      </x:c>
      <x:c r="N375" t="str">
        <x:f>IF(RAND()&lt;'Team_Info'!$E$5,"W","B")</x:f>
        <x:v>B</x:v>
      </x:c>
      <x:c r="O375" t="str">
        <x:f>IF(RAND()&lt;'Team_Info'!$E$5,"W","B")</x:f>
        <x:v>B</x:v>
      </x:c>
      <x:c r="P375" t="str">
        <x:f>IF(RAND()&lt;'Team_Info'!$E$5,"W","B")</x:f>
        <x:v>B</x:v>
      </x:c>
      <x:c r="Q375" t="str">
        <x:f>IF(RAND()&lt;'Team_Info'!$E$5,"W","B")</x:f>
        <x:v>W</x:v>
      </x:c>
      <x:c r="R375" t="str">
        <x:f>IF(RAND()&lt;'Team_Info'!$E$5,"W","B")</x:f>
        <x:v>B</x:v>
      </x:c>
      <x:c r="S375" t="str">
        <x:f>IF(RAND()&lt;'Team_Info'!$E$5,"W","B")</x:f>
        <x:v>B</x:v>
      </x:c>
      <x:c r="T375" t="str">
        <x:f>IF(RAND()&lt;'Team_Info'!$E$5,"W","B")</x:f>
        <x:v>B</x:v>
      </x:c>
      <x:c r="U375" t="str">
        <x:f>IF(RAND()&lt;'Team_Info'!$E$5,"W","B")</x:f>
        <x:v>W</x:v>
      </x:c>
    </x:row>
    <x:row r="376">
      <x:c r="A376" s="1">
        <x:v>375</x:v>
      </x:c>
      <x:c r="B376" t="str">
        <x:f>IF(RAND()&lt;'Team_Info'!$E$5,"W","B")</x:f>
        <x:v>B</x:v>
      </x:c>
      <x:c r="C376" t="str">
        <x:f>IF(RAND()&lt;'Team_Info'!$E$5,"W","B")</x:f>
        <x:v>W</x:v>
      </x:c>
      <x:c r="D376" t="str">
        <x:f>IF(RAND()&lt;'Team_Info'!$E$5,"W","B")</x:f>
        <x:v>W</x:v>
      </x:c>
      <x:c r="E376" t="str">
        <x:f>IF(RAND()&lt;'Team_Info'!$E$5,"W","B")</x:f>
        <x:v>B</x:v>
      </x:c>
      <x:c r="F376" t="str">
        <x:f>IF(RAND()&lt;'Team_Info'!$E$5,"W","B")</x:f>
        <x:v>B</x:v>
      </x:c>
      <x:c r="G376" t="str">
        <x:f>IF(RAND()&lt;'Team_Info'!$E$5,"W","B")</x:f>
        <x:v>W</x:v>
      </x:c>
      <x:c r="H376" t="str">
        <x:f>IF(RAND()&lt;'Team_Info'!$E$5,"W","B")</x:f>
        <x:v>W</x:v>
      </x:c>
      <x:c r="I376" t="str">
        <x:f>IF(RAND()&lt;'Team_Info'!$E$5,"W","B")</x:f>
        <x:v>B</x:v>
      </x:c>
      <x:c r="J376" t="str">
        <x:f>IF(RAND()&lt;'Team_Info'!$E$5,"W","B")</x:f>
        <x:v>B</x:v>
      </x:c>
      <x:c r="K376" t="str">
        <x:f>IF(RAND()&lt;'Team_Info'!$E$5,"W","B")</x:f>
        <x:v>B</x:v>
      </x:c>
      <x:c r="L376" t="str">
        <x:f>IF(RAND()&lt;'Team_Info'!$E$5,"W","B")</x:f>
        <x:v>B</x:v>
      </x:c>
      <x:c r="M376" t="str">
        <x:f>IF(RAND()&lt;'Team_Info'!$E$5,"W","B")</x:f>
        <x:v>W</x:v>
      </x:c>
      <x:c r="N376" t="str">
        <x:f>IF(RAND()&lt;'Team_Info'!$E$5,"W","B")</x:f>
        <x:v>B</x:v>
      </x:c>
      <x:c r="O376" t="str">
        <x:f>IF(RAND()&lt;'Team_Info'!$E$5,"W","B")</x:f>
        <x:v>W</x:v>
      </x:c>
      <x:c r="P376" t="str">
        <x:f>IF(RAND()&lt;'Team_Info'!$E$5,"W","B")</x:f>
        <x:v>W</x:v>
      </x:c>
      <x:c r="Q376" t="str">
        <x:f>IF(RAND()&lt;'Team_Info'!$E$5,"W","B")</x:f>
        <x:v>B</x:v>
      </x:c>
      <x:c r="R376" t="str">
        <x:f>IF(RAND()&lt;'Team_Info'!$E$5,"W","B")</x:f>
        <x:v>B</x:v>
      </x:c>
      <x:c r="S376" t="str">
        <x:f>IF(RAND()&lt;'Team_Info'!$E$5,"W","B")</x:f>
        <x:v>W</x:v>
      </x:c>
      <x:c r="T376" t="str">
        <x:f>IF(RAND()&lt;'Team_Info'!$E$5,"W","B")</x:f>
        <x:v>W</x:v>
      </x:c>
      <x:c r="U376" t="str">
        <x:f>IF(RAND()&lt;'Team_Info'!$E$5,"W","B")</x:f>
        <x:v>B</x:v>
      </x:c>
    </x:row>
    <x:row r="377">
      <x:c r="A377" s="1">
        <x:v>376</x:v>
      </x:c>
      <x:c r="B377" t="str">
        <x:f>IF(RAND()&lt;'Team_Info'!$E$5,"W","B")</x:f>
        <x:v>W</x:v>
      </x:c>
      <x:c r="C377" t="str">
        <x:f>IF(RAND()&lt;'Team_Info'!$E$5,"W","B")</x:f>
        <x:v>B</x:v>
      </x:c>
      <x:c r="D377" t="str">
        <x:f>IF(RAND()&lt;'Team_Info'!$E$5,"W","B")</x:f>
        <x:v>B</x:v>
      </x:c>
      <x:c r="E377" t="str">
        <x:f>IF(RAND()&lt;'Team_Info'!$E$5,"W","B")</x:f>
        <x:v>B</x:v>
      </x:c>
      <x:c r="F377" t="str">
        <x:f>IF(RAND()&lt;'Team_Info'!$E$5,"W","B")</x:f>
        <x:v>B</x:v>
      </x:c>
      <x:c r="G377" t="str">
        <x:f>IF(RAND()&lt;'Team_Info'!$E$5,"W","B")</x:f>
        <x:v>W</x:v>
      </x:c>
      <x:c r="H377" t="str">
        <x:f>IF(RAND()&lt;'Team_Info'!$E$5,"W","B")</x:f>
        <x:v>B</x:v>
      </x:c>
      <x:c r="I377" t="str">
        <x:f>IF(RAND()&lt;'Team_Info'!$E$5,"W","B")</x:f>
        <x:v>W</x:v>
      </x:c>
      <x:c r="J377" t="str">
        <x:f>IF(RAND()&lt;'Team_Info'!$E$5,"W","B")</x:f>
        <x:v>B</x:v>
      </x:c>
      <x:c r="K377" t="str">
        <x:f>IF(RAND()&lt;'Team_Info'!$E$5,"W","B")</x:f>
        <x:v>B</x:v>
      </x:c>
      <x:c r="L377" t="str">
        <x:f>IF(RAND()&lt;'Team_Info'!$E$5,"W","B")</x:f>
        <x:v>B</x:v>
      </x:c>
      <x:c r="M377" t="str">
        <x:f>IF(RAND()&lt;'Team_Info'!$E$5,"W","B")</x:f>
        <x:v>W</x:v>
      </x:c>
      <x:c r="N377" t="str">
        <x:f>IF(RAND()&lt;'Team_Info'!$E$5,"W","B")</x:f>
        <x:v>B</x:v>
      </x:c>
      <x:c r="O377" t="str">
        <x:f>IF(RAND()&lt;'Team_Info'!$E$5,"W","B")</x:f>
        <x:v>B</x:v>
      </x:c>
      <x:c r="P377" t="str">
        <x:f>IF(RAND()&lt;'Team_Info'!$E$5,"W","B")</x:f>
        <x:v>W</x:v>
      </x:c>
      <x:c r="Q377" t="str">
        <x:f>IF(RAND()&lt;'Team_Info'!$E$5,"W","B")</x:f>
        <x:v>W</x:v>
      </x:c>
      <x:c r="R377" t="str">
        <x:f>IF(RAND()&lt;'Team_Info'!$E$5,"W","B")</x:f>
        <x:v>W</x:v>
      </x:c>
      <x:c r="S377" t="str">
        <x:f>IF(RAND()&lt;'Team_Info'!$E$5,"W","B")</x:f>
        <x:v>W</x:v>
      </x:c>
      <x:c r="T377" t="str">
        <x:f>IF(RAND()&lt;'Team_Info'!$E$5,"W","B")</x:f>
        <x:v>W</x:v>
      </x:c>
      <x:c r="U377" t="str">
        <x:f>IF(RAND()&lt;'Team_Info'!$E$5,"W","B")</x:f>
        <x:v>B</x:v>
      </x:c>
    </x:row>
    <x:row r="378">
      <x:c r="A378" s="1">
        <x:v>377</x:v>
      </x:c>
      <x:c r="B378" t="str">
        <x:f>IF(RAND()&lt;'Team_Info'!$E$5,"W","B")</x:f>
        <x:v>B</x:v>
      </x:c>
      <x:c r="C378" t="str">
        <x:f>IF(RAND()&lt;'Team_Info'!$E$5,"W","B")</x:f>
        <x:v>B</x:v>
      </x:c>
      <x:c r="D378" t="str">
        <x:f>IF(RAND()&lt;'Team_Info'!$E$5,"W","B")</x:f>
        <x:v>W</x:v>
      </x:c>
      <x:c r="E378" t="str">
        <x:f>IF(RAND()&lt;'Team_Info'!$E$5,"W","B")</x:f>
        <x:v>W</x:v>
      </x:c>
      <x:c r="F378" t="str">
        <x:f>IF(RAND()&lt;'Team_Info'!$E$5,"W","B")</x:f>
        <x:v>W</x:v>
      </x:c>
      <x:c r="G378" t="str">
        <x:f>IF(RAND()&lt;'Team_Info'!$E$5,"W","B")</x:f>
        <x:v>W</x:v>
      </x:c>
      <x:c r="H378" t="str">
        <x:f>IF(RAND()&lt;'Team_Info'!$E$5,"W","B")</x:f>
        <x:v>W</x:v>
      </x:c>
      <x:c r="I378" t="str">
        <x:f>IF(RAND()&lt;'Team_Info'!$E$5,"W","B")</x:f>
        <x:v>W</x:v>
      </x:c>
      <x:c r="J378" t="str">
        <x:f>IF(RAND()&lt;'Team_Info'!$E$5,"W","B")</x:f>
        <x:v>B</x:v>
      </x:c>
      <x:c r="K378" t="str">
        <x:f>IF(RAND()&lt;'Team_Info'!$E$5,"W","B")</x:f>
        <x:v>B</x:v>
      </x:c>
      <x:c r="L378" t="str">
        <x:f>IF(RAND()&lt;'Team_Info'!$E$5,"W","B")</x:f>
        <x:v>B</x:v>
      </x:c>
      <x:c r="M378" t="str">
        <x:f>IF(RAND()&lt;'Team_Info'!$E$5,"W","B")</x:f>
        <x:v>W</x:v>
      </x:c>
      <x:c r="N378" t="str">
        <x:f>IF(RAND()&lt;'Team_Info'!$E$5,"W","B")</x:f>
        <x:v>W</x:v>
      </x:c>
      <x:c r="O378" t="str">
        <x:f>IF(RAND()&lt;'Team_Info'!$E$5,"W","B")</x:f>
        <x:v>W</x:v>
      </x:c>
      <x:c r="P378" t="str">
        <x:f>IF(RAND()&lt;'Team_Info'!$E$5,"W","B")</x:f>
        <x:v>B</x:v>
      </x:c>
      <x:c r="Q378" t="str">
        <x:f>IF(RAND()&lt;'Team_Info'!$E$5,"W","B")</x:f>
        <x:v>B</x:v>
      </x:c>
      <x:c r="R378" t="str">
        <x:f>IF(RAND()&lt;'Team_Info'!$E$5,"W","B")</x:f>
        <x:v>B</x:v>
      </x:c>
      <x:c r="S378" t="str">
        <x:f>IF(RAND()&lt;'Team_Info'!$E$5,"W","B")</x:f>
        <x:v>B</x:v>
      </x:c>
      <x:c r="T378" t="str">
        <x:f>IF(RAND()&lt;'Team_Info'!$E$5,"W","B")</x:f>
        <x:v>W</x:v>
      </x:c>
      <x:c r="U378" t="str">
        <x:f>IF(RAND()&lt;'Team_Info'!$E$5,"W","B")</x:f>
        <x:v>B</x:v>
      </x:c>
    </x:row>
    <x:row r="379">
      <x:c r="A379" s="1">
        <x:v>378</x:v>
      </x:c>
      <x:c r="B379" t="str">
        <x:f>IF(RAND()&lt;'Team_Info'!$E$5,"W","B")</x:f>
        <x:v>W</x:v>
      </x:c>
      <x:c r="C379" t="str">
        <x:f>IF(RAND()&lt;'Team_Info'!$E$5,"W","B")</x:f>
        <x:v>B</x:v>
      </x:c>
      <x:c r="D379" t="str">
        <x:f>IF(RAND()&lt;'Team_Info'!$E$5,"W","B")</x:f>
        <x:v>W</x:v>
      </x:c>
      <x:c r="E379" t="str">
        <x:f>IF(RAND()&lt;'Team_Info'!$E$5,"W","B")</x:f>
        <x:v>B</x:v>
      </x:c>
      <x:c r="F379" t="str">
        <x:f>IF(RAND()&lt;'Team_Info'!$E$5,"W","B")</x:f>
        <x:v>B</x:v>
      </x:c>
      <x:c r="G379" t="str">
        <x:f>IF(RAND()&lt;'Team_Info'!$E$5,"W","B")</x:f>
        <x:v>B</x:v>
      </x:c>
      <x:c r="H379" t="str">
        <x:f>IF(RAND()&lt;'Team_Info'!$E$5,"W","B")</x:f>
        <x:v>B</x:v>
      </x:c>
      <x:c r="I379" t="str">
        <x:f>IF(RAND()&lt;'Team_Info'!$E$5,"W","B")</x:f>
        <x:v>B</x:v>
      </x:c>
      <x:c r="J379" t="str">
        <x:f>IF(RAND()&lt;'Team_Info'!$E$5,"W","B")</x:f>
        <x:v>B</x:v>
      </x:c>
      <x:c r="K379" t="str">
        <x:f>IF(RAND()&lt;'Team_Info'!$E$5,"W","B")</x:f>
        <x:v>B</x:v>
      </x:c>
      <x:c r="L379" t="str">
        <x:f>IF(RAND()&lt;'Team_Info'!$E$5,"W","B")</x:f>
        <x:v>B</x:v>
      </x:c>
      <x:c r="M379" t="str">
        <x:f>IF(RAND()&lt;'Team_Info'!$E$5,"W","B")</x:f>
        <x:v>B</x:v>
      </x:c>
      <x:c r="N379" t="str">
        <x:f>IF(RAND()&lt;'Team_Info'!$E$5,"W","B")</x:f>
        <x:v>B</x:v>
      </x:c>
      <x:c r="O379" t="str">
        <x:f>IF(RAND()&lt;'Team_Info'!$E$5,"W","B")</x:f>
        <x:v>B</x:v>
      </x:c>
      <x:c r="P379" t="str">
        <x:f>IF(RAND()&lt;'Team_Info'!$E$5,"W","B")</x:f>
        <x:v>B</x:v>
      </x:c>
      <x:c r="Q379" t="str">
        <x:f>IF(RAND()&lt;'Team_Info'!$E$5,"W","B")</x:f>
        <x:v>B</x:v>
      </x:c>
      <x:c r="R379" t="str">
        <x:f>IF(RAND()&lt;'Team_Info'!$E$5,"W","B")</x:f>
        <x:v>W</x:v>
      </x:c>
      <x:c r="S379" t="str">
        <x:f>IF(RAND()&lt;'Team_Info'!$E$5,"W","B")</x:f>
        <x:v>B</x:v>
      </x:c>
      <x:c r="T379" t="str">
        <x:f>IF(RAND()&lt;'Team_Info'!$E$5,"W","B")</x:f>
        <x:v>W</x:v>
      </x:c>
      <x:c r="U379" t="str">
        <x:f>IF(RAND()&lt;'Team_Info'!$E$5,"W","B")</x:f>
        <x:v>B</x:v>
      </x:c>
    </x:row>
    <x:row r="380">
      <x:c r="A380" s="1">
        <x:v>379</x:v>
      </x:c>
      <x:c r="B380" t="str">
        <x:f>IF(RAND()&lt;'Team_Info'!$E$5,"W","B")</x:f>
        <x:v>B</x:v>
      </x:c>
      <x:c r="C380" t="str">
        <x:f>IF(RAND()&lt;'Team_Info'!$E$5,"W","B")</x:f>
        <x:v>W</x:v>
      </x:c>
      <x:c r="D380" t="str">
        <x:f>IF(RAND()&lt;'Team_Info'!$E$5,"W","B")</x:f>
        <x:v>B</x:v>
      </x:c>
      <x:c r="E380" t="str">
        <x:f>IF(RAND()&lt;'Team_Info'!$E$5,"W","B")</x:f>
        <x:v>W</x:v>
      </x:c>
      <x:c r="F380" t="str">
        <x:f>IF(RAND()&lt;'Team_Info'!$E$5,"W","B")</x:f>
        <x:v>B</x:v>
      </x:c>
      <x:c r="G380" t="str">
        <x:f>IF(RAND()&lt;'Team_Info'!$E$5,"W","B")</x:f>
        <x:v>W</x:v>
      </x:c>
      <x:c r="H380" t="str">
        <x:f>IF(RAND()&lt;'Team_Info'!$E$5,"W","B")</x:f>
        <x:v>B</x:v>
      </x:c>
      <x:c r="I380" t="str">
        <x:f>IF(RAND()&lt;'Team_Info'!$E$5,"W","B")</x:f>
        <x:v>B</x:v>
      </x:c>
      <x:c r="J380" t="str">
        <x:f>IF(RAND()&lt;'Team_Info'!$E$5,"W","B")</x:f>
        <x:v>W</x:v>
      </x:c>
      <x:c r="K380" t="str">
        <x:f>IF(RAND()&lt;'Team_Info'!$E$5,"W","B")</x:f>
        <x:v>W</x:v>
      </x:c>
      <x:c r="L380" t="str">
        <x:f>IF(RAND()&lt;'Team_Info'!$E$5,"W","B")</x:f>
        <x:v>B</x:v>
      </x:c>
      <x:c r="M380" t="str">
        <x:f>IF(RAND()&lt;'Team_Info'!$E$5,"W","B")</x:f>
        <x:v>B</x:v>
      </x:c>
      <x:c r="N380" t="str">
        <x:f>IF(RAND()&lt;'Team_Info'!$E$5,"W","B")</x:f>
        <x:v>B</x:v>
      </x:c>
      <x:c r="O380" t="str">
        <x:f>IF(RAND()&lt;'Team_Info'!$E$5,"W","B")</x:f>
        <x:v>B</x:v>
      </x:c>
      <x:c r="P380" t="str">
        <x:f>IF(RAND()&lt;'Team_Info'!$E$5,"W","B")</x:f>
        <x:v>B</x:v>
      </x:c>
      <x:c r="Q380" t="str">
        <x:f>IF(RAND()&lt;'Team_Info'!$E$5,"W","B")</x:f>
        <x:v>W</x:v>
      </x:c>
      <x:c r="R380" t="str">
        <x:f>IF(RAND()&lt;'Team_Info'!$E$5,"W","B")</x:f>
        <x:v>B</x:v>
      </x:c>
      <x:c r="S380" t="str">
        <x:f>IF(RAND()&lt;'Team_Info'!$E$5,"W","B")</x:f>
        <x:v>B</x:v>
      </x:c>
      <x:c r="T380" t="str">
        <x:f>IF(RAND()&lt;'Team_Info'!$E$5,"W","B")</x:f>
        <x:v>W</x:v>
      </x:c>
      <x:c r="U380" t="str">
        <x:f>IF(RAND()&lt;'Team_Info'!$E$5,"W","B")</x:f>
        <x:v>B</x:v>
      </x:c>
    </x:row>
    <x:row r="381">
      <x:c r="A381" s="1">
        <x:v>380</x:v>
      </x:c>
      <x:c r="B381" t="str">
        <x:f>IF(RAND()&lt;'Team_Info'!$E$5,"W","B")</x:f>
        <x:v>B</x:v>
      </x:c>
      <x:c r="C381" t="str">
        <x:f>IF(RAND()&lt;'Team_Info'!$E$5,"W","B")</x:f>
        <x:v>W</x:v>
      </x:c>
      <x:c r="D381" t="str">
        <x:f>IF(RAND()&lt;'Team_Info'!$E$5,"W","B")</x:f>
        <x:v>B</x:v>
      </x:c>
      <x:c r="E381" t="str">
        <x:f>IF(RAND()&lt;'Team_Info'!$E$5,"W","B")</x:f>
        <x:v>W</x:v>
      </x:c>
      <x:c r="F381" t="str">
        <x:f>IF(RAND()&lt;'Team_Info'!$E$5,"W","B")</x:f>
        <x:v>B</x:v>
      </x:c>
      <x:c r="G381" t="str">
        <x:f>IF(RAND()&lt;'Team_Info'!$E$5,"W","B")</x:f>
        <x:v>W</x:v>
      </x:c>
      <x:c r="H381" t="str">
        <x:f>IF(RAND()&lt;'Team_Info'!$E$5,"W","B")</x:f>
        <x:v>B</x:v>
      </x:c>
      <x:c r="I381" t="str">
        <x:f>IF(RAND()&lt;'Team_Info'!$E$5,"W","B")</x:f>
        <x:v>B</x:v>
      </x:c>
      <x:c r="J381" t="str">
        <x:f>IF(RAND()&lt;'Team_Info'!$E$5,"W","B")</x:f>
        <x:v>W</x:v>
      </x:c>
      <x:c r="K381" t="str">
        <x:f>IF(RAND()&lt;'Team_Info'!$E$5,"W","B")</x:f>
        <x:v>B</x:v>
      </x:c>
      <x:c r="L381" t="str">
        <x:f>IF(RAND()&lt;'Team_Info'!$E$5,"W","B")</x:f>
        <x:v>B</x:v>
      </x:c>
      <x:c r="M381" t="str">
        <x:f>IF(RAND()&lt;'Team_Info'!$E$5,"W","B")</x:f>
        <x:v>B</x:v>
      </x:c>
      <x:c r="N381" t="str">
        <x:f>IF(RAND()&lt;'Team_Info'!$E$5,"W","B")</x:f>
        <x:v>B</x:v>
      </x:c>
      <x:c r="O381" t="str">
        <x:f>IF(RAND()&lt;'Team_Info'!$E$5,"W","B")</x:f>
        <x:v>W</x:v>
      </x:c>
      <x:c r="P381" t="str">
        <x:f>IF(RAND()&lt;'Team_Info'!$E$5,"W","B")</x:f>
        <x:v>B</x:v>
      </x:c>
      <x:c r="Q381" t="str">
        <x:f>IF(RAND()&lt;'Team_Info'!$E$5,"W","B")</x:f>
        <x:v>W</x:v>
      </x:c>
      <x:c r="R381" t="str">
        <x:f>IF(RAND()&lt;'Team_Info'!$E$5,"W","B")</x:f>
        <x:v>B</x:v>
      </x:c>
      <x:c r="S381" t="str">
        <x:f>IF(RAND()&lt;'Team_Info'!$E$5,"W","B")</x:f>
        <x:v>B</x:v>
      </x:c>
      <x:c r="T381" t="str">
        <x:f>IF(RAND()&lt;'Team_Info'!$E$5,"W","B")</x:f>
        <x:v>W</x:v>
      </x:c>
      <x:c r="U381" t="str">
        <x:f>IF(RAND()&lt;'Team_Info'!$E$5,"W","B")</x:f>
        <x:v>B</x:v>
      </x:c>
    </x:row>
    <x:row r="382">
      <x:c r="A382" s="1">
        <x:v>381</x:v>
      </x:c>
      <x:c r="B382" t="str">
        <x:f>IF(RAND()&lt;'Team_Info'!$E$5,"W","B")</x:f>
        <x:v>W</x:v>
      </x:c>
      <x:c r="C382" t="str">
        <x:f>IF(RAND()&lt;'Team_Info'!$E$5,"W","B")</x:f>
        <x:v>W</x:v>
      </x:c>
      <x:c r="D382" t="str">
        <x:f>IF(RAND()&lt;'Team_Info'!$E$5,"W","B")</x:f>
        <x:v>B</x:v>
      </x:c>
      <x:c r="E382" t="str">
        <x:f>IF(RAND()&lt;'Team_Info'!$E$5,"W","B")</x:f>
        <x:v>B</x:v>
      </x:c>
      <x:c r="F382" t="str">
        <x:f>IF(RAND()&lt;'Team_Info'!$E$5,"W","B")</x:f>
        <x:v>B</x:v>
      </x:c>
      <x:c r="G382" t="str">
        <x:f>IF(RAND()&lt;'Team_Info'!$E$5,"W","B")</x:f>
        <x:v>W</x:v>
      </x:c>
      <x:c r="H382" t="str">
        <x:f>IF(RAND()&lt;'Team_Info'!$E$5,"W","B")</x:f>
        <x:v>W</x:v>
      </x:c>
      <x:c r="I382" t="str">
        <x:f>IF(RAND()&lt;'Team_Info'!$E$5,"W","B")</x:f>
        <x:v>B</x:v>
      </x:c>
      <x:c r="J382" t="str">
        <x:f>IF(RAND()&lt;'Team_Info'!$E$5,"W","B")</x:f>
        <x:v>B</x:v>
      </x:c>
      <x:c r="K382" t="str">
        <x:f>IF(RAND()&lt;'Team_Info'!$E$5,"W","B")</x:f>
        <x:v>B</x:v>
      </x:c>
      <x:c r="L382" t="str">
        <x:f>IF(RAND()&lt;'Team_Info'!$E$5,"W","B")</x:f>
        <x:v>W</x:v>
      </x:c>
      <x:c r="M382" t="str">
        <x:f>IF(RAND()&lt;'Team_Info'!$E$5,"W","B")</x:f>
        <x:v>W</x:v>
      </x:c>
      <x:c r="N382" t="str">
        <x:f>IF(RAND()&lt;'Team_Info'!$E$5,"W","B")</x:f>
        <x:v>B</x:v>
      </x:c>
      <x:c r="O382" t="str">
        <x:f>IF(RAND()&lt;'Team_Info'!$E$5,"W","B")</x:f>
        <x:v>W</x:v>
      </x:c>
      <x:c r="P382" t="str">
        <x:f>IF(RAND()&lt;'Team_Info'!$E$5,"W","B")</x:f>
        <x:v>B</x:v>
      </x:c>
      <x:c r="Q382" t="str">
        <x:f>IF(RAND()&lt;'Team_Info'!$E$5,"W","B")</x:f>
        <x:v>W</x:v>
      </x:c>
      <x:c r="R382" t="str">
        <x:f>IF(RAND()&lt;'Team_Info'!$E$5,"W","B")</x:f>
        <x:v>B</x:v>
      </x:c>
      <x:c r="S382" t="str">
        <x:f>IF(RAND()&lt;'Team_Info'!$E$5,"W","B")</x:f>
        <x:v>B</x:v>
      </x:c>
      <x:c r="T382" t="str">
        <x:f>IF(RAND()&lt;'Team_Info'!$E$5,"W","B")</x:f>
        <x:v>W</x:v>
      </x:c>
      <x:c r="U382" t="str">
        <x:f>IF(RAND()&lt;'Team_Info'!$E$5,"W","B")</x:f>
        <x:v>W</x:v>
      </x:c>
    </x:row>
    <x:row r="383">
      <x:c r="A383" s="1">
        <x:v>382</x:v>
      </x:c>
      <x:c r="B383" t="str">
        <x:f>IF(RAND()&lt;'Team_Info'!$E$5,"W","B")</x:f>
        <x:v>B</x:v>
      </x:c>
      <x:c r="C383" t="str">
        <x:f>IF(RAND()&lt;'Team_Info'!$E$5,"W","B")</x:f>
        <x:v>B</x:v>
      </x:c>
      <x:c r="D383" t="str">
        <x:f>IF(RAND()&lt;'Team_Info'!$E$5,"W","B")</x:f>
        <x:v>W</x:v>
      </x:c>
      <x:c r="E383" t="str">
        <x:f>IF(RAND()&lt;'Team_Info'!$E$5,"W","B")</x:f>
        <x:v>W</x:v>
      </x:c>
      <x:c r="F383" t="str">
        <x:f>IF(RAND()&lt;'Team_Info'!$E$5,"W","B")</x:f>
        <x:v>B</x:v>
      </x:c>
      <x:c r="G383" t="str">
        <x:f>IF(RAND()&lt;'Team_Info'!$E$5,"W","B")</x:f>
        <x:v>B</x:v>
      </x:c>
      <x:c r="H383" t="str">
        <x:f>IF(RAND()&lt;'Team_Info'!$E$5,"W","B")</x:f>
        <x:v>B</x:v>
      </x:c>
      <x:c r="I383" t="str">
        <x:f>IF(RAND()&lt;'Team_Info'!$E$5,"W","B")</x:f>
        <x:v>B</x:v>
      </x:c>
      <x:c r="J383" t="str">
        <x:f>IF(RAND()&lt;'Team_Info'!$E$5,"W","B")</x:f>
        <x:v>B</x:v>
      </x:c>
      <x:c r="K383" t="str">
        <x:f>IF(RAND()&lt;'Team_Info'!$E$5,"W","B")</x:f>
        <x:v>B</x:v>
      </x:c>
      <x:c r="L383" t="str">
        <x:f>IF(RAND()&lt;'Team_Info'!$E$5,"W","B")</x:f>
        <x:v>W</x:v>
      </x:c>
      <x:c r="M383" t="str">
        <x:f>IF(RAND()&lt;'Team_Info'!$E$5,"W","B")</x:f>
        <x:v>W</x:v>
      </x:c>
      <x:c r="N383" t="str">
        <x:f>IF(RAND()&lt;'Team_Info'!$E$5,"W","B")</x:f>
        <x:v>W</x:v>
      </x:c>
      <x:c r="O383" t="str">
        <x:f>IF(RAND()&lt;'Team_Info'!$E$5,"W","B")</x:f>
        <x:v>B</x:v>
      </x:c>
      <x:c r="P383" t="str">
        <x:f>IF(RAND()&lt;'Team_Info'!$E$5,"W","B")</x:f>
        <x:v>W</x:v>
      </x:c>
      <x:c r="Q383" t="str">
        <x:f>IF(RAND()&lt;'Team_Info'!$E$5,"W","B")</x:f>
        <x:v>B</x:v>
      </x:c>
      <x:c r="R383" t="str">
        <x:f>IF(RAND()&lt;'Team_Info'!$E$5,"W","B")</x:f>
        <x:v>B</x:v>
      </x:c>
      <x:c r="S383" t="str">
        <x:f>IF(RAND()&lt;'Team_Info'!$E$5,"W","B")</x:f>
        <x:v>B</x:v>
      </x:c>
      <x:c r="T383" t="str">
        <x:f>IF(RAND()&lt;'Team_Info'!$E$5,"W","B")</x:f>
        <x:v>B</x:v>
      </x:c>
      <x:c r="U383" t="str">
        <x:f>IF(RAND()&lt;'Team_Info'!$E$5,"W","B")</x:f>
        <x:v>B</x:v>
      </x:c>
    </x:row>
    <x:row r="384">
      <x:c r="A384" s="1">
        <x:v>383</x:v>
      </x:c>
      <x:c r="B384" t="str">
        <x:f>IF(RAND()&lt;'Team_Info'!$E$5,"W","B")</x:f>
        <x:v>W</x:v>
      </x:c>
      <x:c r="C384" t="str">
        <x:f>IF(RAND()&lt;'Team_Info'!$E$5,"W","B")</x:f>
        <x:v>W</x:v>
      </x:c>
      <x:c r="D384" t="str">
        <x:f>IF(RAND()&lt;'Team_Info'!$E$5,"W","B")</x:f>
        <x:v>B</x:v>
      </x:c>
      <x:c r="E384" t="str">
        <x:f>IF(RAND()&lt;'Team_Info'!$E$5,"W","B")</x:f>
        <x:v>B</x:v>
      </x:c>
      <x:c r="F384" t="str">
        <x:f>IF(RAND()&lt;'Team_Info'!$E$5,"W","B")</x:f>
        <x:v>B</x:v>
      </x:c>
      <x:c r="G384" t="str">
        <x:f>IF(RAND()&lt;'Team_Info'!$E$5,"W","B")</x:f>
        <x:v>W</x:v>
      </x:c>
      <x:c r="H384" t="str">
        <x:f>IF(RAND()&lt;'Team_Info'!$E$5,"W","B")</x:f>
        <x:v>W</x:v>
      </x:c>
      <x:c r="I384" t="str">
        <x:f>IF(RAND()&lt;'Team_Info'!$E$5,"W","B")</x:f>
        <x:v>W</x:v>
      </x:c>
      <x:c r="J384" t="str">
        <x:f>IF(RAND()&lt;'Team_Info'!$E$5,"W","B")</x:f>
        <x:v>B</x:v>
      </x:c>
      <x:c r="K384" t="str">
        <x:f>IF(RAND()&lt;'Team_Info'!$E$5,"W","B")</x:f>
        <x:v>W</x:v>
      </x:c>
      <x:c r="L384" t="str">
        <x:f>IF(RAND()&lt;'Team_Info'!$E$5,"W","B")</x:f>
        <x:v>B</x:v>
      </x:c>
      <x:c r="M384" t="str">
        <x:f>IF(RAND()&lt;'Team_Info'!$E$5,"W","B")</x:f>
        <x:v>W</x:v>
      </x:c>
      <x:c r="N384" t="str">
        <x:f>IF(RAND()&lt;'Team_Info'!$E$5,"W","B")</x:f>
        <x:v>B</x:v>
      </x:c>
      <x:c r="O384" t="str">
        <x:f>IF(RAND()&lt;'Team_Info'!$E$5,"W","B")</x:f>
        <x:v>W</x:v>
      </x:c>
      <x:c r="P384" t="str">
        <x:f>IF(RAND()&lt;'Team_Info'!$E$5,"W","B")</x:f>
        <x:v>B</x:v>
      </x:c>
      <x:c r="Q384" t="str">
        <x:f>IF(RAND()&lt;'Team_Info'!$E$5,"W","B")</x:f>
        <x:v>B</x:v>
      </x:c>
      <x:c r="R384" t="str">
        <x:f>IF(RAND()&lt;'Team_Info'!$E$5,"W","B")</x:f>
        <x:v>B</x:v>
      </x:c>
      <x:c r="S384" t="str">
        <x:f>IF(RAND()&lt;'Team_Info'!$E$5,"W","B")</x:f>
        <x:v>W</x:v>
      </x:c>
      <x:c r="T384" t="str">
        <x:f>IF(RAND()&lt;'Team_Info'!$E$5,"W","B")</x:f>
        <x:v>B</x:v>
      </x:c>
      <x:c r="U384" t="str">
        <x:f>IF(RAND()&lt;'Team_Info'!$E$5,"W","B")</x:f>
        <x:v>W</x:v>
      </x:c>
    </x:row>
    <x:row r="385">
      <x:c r="A385" s="1">
        <x:v>384</x:v>
      </x:c>
      <x:c r="B385" t="str">
        <x:f>IF(RAND()&lt;'Team_Info'!$E$5,"W","B")</x:f>
        <x:v>W</x:v>
      </x:c>
      <x:c r="C385" t="str">
        <x:f>IF(RAND()&lt;'Team_Info'!$E$5,"W","B")</x:f>
        <x:v>W</x:v>
      </x:c>
      <x:c r="D385" t="str">
        <x:f>IF(RAND()&lt;'Team_Info'!$E$5,"W","B")</x:f>
        <x:v>W</x:v>
      </x:c>
      <x:c r="E385" t="str">
        <x:f>IF(RAND()&lt;'Team_Info'!$E$5,"W","B")</x:f>
        <x:v>B</x:v>
      </x:c>
      <x:c r="F385" t="str">
        <x:f>IF(RAND()&lt;'Team_Info'!$E$5,"W","B")</x:f>
        <x:v>B</x:v>
      </x:c>
      <x:c r="G385" t="str">
        <x:f>IF(RAND()&lt;'Team_Info'!$E$5,"W","B")</x:f>
        <x:v>B</x:v>
      </x:c>
      <x:c r="H385" t="str">
        <x:f>IF(RAND()&lt;'Team_Info'!$E$5,"W","B")</x:f>
        <x:v>W</x:v>
      </x:c>
      <x:c r="I385" t="str">
        <x:f>IF(RAND()&lt;'Team_Info'!$E$5,"W","B")</x:f>
        <x:v>W</x:v>
      </x:c>
      <x:c r="J385" t="str">
        <x:f>IF(RAND()&lt;'Team_Info'!$E$5,"W","B")</x:f>
        <x:v>W</x:v>
      </x:c>
      <x:c r="K385" t="str">
        <x:f>IF(RAND()&lt;'Team_Info'!$E$5,"W","B")</x:f>
        <x:v>B</x:v>
      </x:c>
      <x:c r="L385" t="str">
        <x:f>IF(RAND()&lt;'Team_Info'!$E$5,"W","B")</x:f>
        <x:v>W</x:v>
      </x:c>
      <x:c r="M385" t="str">
        <x:f>IF(RAND()&lt;'Team_Info'!$E$5,"W","B")</x:f>
        <x:v>B</x:v>
      </x:c>
      <x:c r="N385" t="str">
        <x:f>IF(RAND()&lt;'Team_Info'!$E$5,"W","B")</x:f>
        <x:v>W</x:v>
      </x:c>
      <x:c r="O385" t="str">
        <x:f>IF(RAND()&lt;'Team_Info'!$E$5,"W","B")</x:f>
        <x:v>B</x:v>
      </x:c>
      <x:c r="P385" t="str">
        <x:f>IF(RAND()&lt;'Team_Info'!$E$5,"W","B")</x:f>
        <x:v>B</x:v>
      </x:c>
      <x:c r="Q385" t="str">
        <x:f>IF(RAND()&lt;'Team_Info'!$E$5,"W","B")</x:f>
        <x:v>W</x:v>
      </x:c>
      <x:c r="R385" t="str">
        <x:f>IF(RAND()&lt;'Team_Info'!$E$5,"W","B")</x:f>
        <x:v>B</x:v>
      </x:c>
      <x:c r="S385" t="str">
        <x:f>IF(RAND()&lt;'Team_Info'!$E$5,"W","B")</x:f>
        <x:v>W</x:v>
      </x:c>
      <x:c r="T385" t="str">
        <x:f>IF(RAND()&lt;'Team_Info'!$E$5,"W","B")</x:f>
        <x:v>B</x:v>
      </x:c>
      <x:c r="U385" t="str">
        <x:f>IF(RAND()&lt;'Team_Info'!$E$5,"W","B")</x:f>
        <x:v>B</x:v>
      </x:c>
    </x:row>
    <x:row r="386">
      <x:c r="A386" s="1">
        <x:v>385</x:v>
      </x:c>
      <x:c r="B386" t="str">
        <x:f>IF(RAND()&lt;'Team_Info'!$E$5,"W","B")</x:f>
        <x:v>W</x:v>
      </x:c>
      <x:c r="C386" t="str">
        <x:f>IF(RAND()&lt;'Team_Info'!$E$5,"W","B")</x:f>
        <x:v>B</x:v>
      </x:c>
      <x:c r="D386" t="str">
        <x:f>IF(RAND()&lt;'Team_Info'!$E$5,"W","B")</x:f>
        <x:v>B</x:v>
      </x:c>
      <x:c r="E386" t="str">
        <x:f>IF(RAND()&lt;'Team_Info'!$E$5,"W","B")</x:f>
        <x:v>W</x:v>
      </x:c>
      <x:c r="F386" t="str">
        <x:f>IF(RAND()&lt;'Team_Info'!$E$5,"W","B")</x:f>
        <x:v>W</x:v>
      </x:c>
      <x:c r="G386" t="str">
        <x:f>IF(RAND()&lt;'Team_Info'!$E$5,"W","B")</x:f>
        <x:v>B</x:v>
      </x:c>
      <x:c r="H386" t="str">
        <x:f>IF(RAND()&lt;'Team_Info'!$E$5,"W","B")</x:f>
        <x:v>B</x:v>
      </x:c>
      <x:c r="I386" t="str">
        <x:f>IF(RAND()&lt;'Team_Info'!$E$5,"W","B")</x:f>
        <x:v>W</x:v>
      </x:c>
      <x:c r="J386" t="str">
        <x:f>IF(RAND()&lt;'Team_Info'!$E$5,"W","B")</x:f>
        <x:v>B</x:v>
      </x:c>
      <x:c r="K386" t="str">
        <x:f>IF(RAND()&lt;'Team_Info'!$E$5,"W","B")</x:f>
        <x:v>W</x:v>
      </x:c>
      <x:c r="L386" t="str">
        <x:f>IF(RAND()&lt;'Team_Info'!$E$5,"W","B")</x:f>
        <x:v>W</x:v>
      </x:c>
      <x:c r="M386" t="str">
        <x:f>IF(RAND()&lt;'Team_Info'!$E$5,"W","B")</x:f>
        <x:v>B</x:v>
      </x:c>
      <x:c r="N386" t="str">
        <x:f>IF(RAND()&lt;'Team_Info'!$E$5,"W","B")</x:f>
        <x:v>B</x:v>
      </x:c>
      <x:c r="O386" t="str">
        <x:f>IF(RAND()&lt;'Team_Info'!$E$5,"W","B")</x:f>
        <x:v>B</x:v>
      </x:c>
      <x:c r="P386" t="str">
        <x:f>IF(RAND()&lt;'Team_Info'!$E$5,"W","B")</x:f>
        <x:v>B</x:v>
      </x:c>
      <x:c r="Q386" t="str">
        <x:f>IF(RAND()&lt;'Team_Info'!$E$5,"W","B")</x:f>
        <x:v>W</x:v>
      </x:c>
      <x:c r="R386" t="str">
        <x:f>IF(RAND()&lt;'Team_Info'!$E$5,"W","B")</x:f>
        <x:v>W</x:v>
      </x:c>
      <x:c r="S386" t="str">
        <x:f>IF(RAND()&lt;'Team_Info'!$E$5,"W","B")</x:f>
        <x:v>W</x:v>
      </x:c>
      <x:c r="T386" t="str">
        <x:f>IF(RAND()&lt;'Team_Info'!$E$5,"W","B")</x:f>
        <x:v>B</x:v>
      </x:c>
      <x:c r="U386" t="str">
        <x:f>IF(RAND()&lt;'Team_Info'!$E$5,"W","B")</x:f>
        <x:v>B</x:v>
      </x:c>
    </x:row>
    <x:row r="387">
      <x:c r="A387" s="1">
        <x:v>386</x:v>
      </x:c>
      <x:c r="B387" t="str">
        <x:f>IF(RAND()&lt;'Team_Info'!$E$5,"W","B")</x:f>
        <x:v>B</x:v>
      </x:c>
      <x:c r="C387" t="str">
        <x:f>IF(RAND()&lt;'Team_Info'!$E$5,"W","B")</x:f>
        <x:v>B</x:v>
      </x:c>
      <x:c r="D387" t="str">
        <x:f>IF(RAND()&lt;'Team_Info'!$E$5,"W","B")</x:f>
        <x:v>W</x:v>
      </x:c>
      <x:c r="E387" t="str">
        <x:f>IF(RAND()&lt;'Team_Info'!$E$5,"W","B")</x:f>
        <x:v>B</x:v>
      </x:c>
      <x:c r="F387" t="str">
        <x:f>IF(RAND()&lt;'Team_Info'!$E$5,"W","B")</x:f>
        <x:v>B</x:v>
      </x:c>
      <x:c r="G387" t="str">
        <x:f>IF(RAND()&lt;'Team_Info'!$E$5,"W","B")</x:f>
        <x:v>W</x:v>
      </x:c>
      <x:c r="H387" t="str">
        <x:f>IF(RAND()&lt;'Team_Info'!$E$5,"W","B")</x:f>
        <x:v>W</x:v>
      </x:c>
      <x:c r="I387" t="str">
        <x:f>IF(RAND()&lt;'Team_Info'!$E$5,"W","B")</x:f>
        <x:v>B</x:v>
      </x:c>
      <x:c r="J387" t="str">
        <x:f>IF(RAND()&lt;'Team_Info'!$E$5,"W","B")</x:f>
        <x:v>B</x:v>
      </x:c>
      <x:c r="K387" t="str">
        <x:f>IF(RAND()&lt;'Team_Info'!$E$5,"W","B")</x:f>
        <x:v>W</x:v>
      </x:c>
      <x:c r="L387" t="str">
        <x:f>IF(RAND()&lt;'Team_Info'!$E$5,"W","B")</x:f>
        <x:v>B</x:v>
      </x:c>
      <x:c r="M387" t="str">
        <x:f>IF(RAND()&lt;'Team_Info'!$E$5,"W","B")</x:f>
        <x:v>W</x:v>
      </x:c>
      <x:c r="N387" t="str">
        <x:f>IF(RAND()&lt;'Team_Info'!$E$5,"W","B")</x:f>
        <x:v>B</x:v>
      </x:c>
      <x:c r="O387" t="str">
        <x:f>IF(RAND()&lt;'Team_Info'!$E$5,"W","B")</x:f>
        <x:v>W</x:v>
      </x:c>
      <x:c r="P387" t="str">
        <x:f>IF(RAND()&lt;'Team_Info'!$E$5,"W","B")</x:f>
        <x:v>B</x:v>
      </x:c>
      <x:c r="Q387" t="str">
        <x:f>IF(RAND()&lt;'Team_Info'!$E$5,"W","B")</x:f>
        <x:v>B</x:v>
      </x:c>
      <x:c r="R387" t="str">
        <x:f>IF(RAND()&lt;'Team_Info'!$E$5,"W","B")</x:f>
        <x:v>B</x:v>
      </x:c>
      <x:c r="S387" t="str">
        <x:f>IF(RAND()&lt;'Team_Info'!$E$5,"W","B")</x:f>
        <x:v>B</x:v>
      </x:c>
      <x:c r="T387" t="str">
        <x:f>IF(RAND()&lt;'Team_Info'!$E$5,"W","B")</x:f>
        <x:v>W</x:v>
      </x:c>
      <x:c r="U387" t="str">
        <x:f>IF(RAND()&lt;'Team_Info'!$E$5,"W","B")</x:f>
        <x:v>W</x:v>
      </x:c>
    </x:row>
    <x:row r="388">
      <x:c r="A388" s="1">
        <x:v>387</x:v>
      </x:c>
      <x:c r="B388" t="str">
        <x:f>IF(RAND()&lt;'Team_Info'!$E$5,"W","B")</x:f>
        <x:v>B</x:v>
      </x:c>
      <x:c r="C388" t="str">
        <x:f>IF(RAND()&lt;'Team_Info'!$E$5,"W","B")</x:f>
        <x:v>W</x:v>
      </x:c>
      <x:c r="D388" t="str">
        <x:f>IF(RAND()&lt;'Team_Info'!$E$5,"W","B")</x:f>
        <x:v>W</x:v>
      </x:c>
      <x:c r="E388" t="str">
        <x:f>IF(RAND()&lt;'Team_Info'!$E$5,"W","B")</x:f>
        <x:v>B</x:v>
      </x:c>
      <x:c r="F388" t="str">
        <x:f>IF(RAND()&lt;'Team_Info'!$E$5,"W","B")</x:f>
        <x:v>B</x:v>
      </x:c>
      <x:c r="G388" t="str">
        <x:f>IF(RAND()&lt;'Team_Info'!$E$5,"W","B")</x:f>
        <x:v>B</x:v>
      </x:c>
      <x:c r="H388" t="str">
        <x:f>IF(RAND()&lt;'Team_Info'!$E$5,"W","B")</x:f>
        <x:v>W</x:v>
      </x:c>
      <x:c r="I388" t="str">
        <x:f>IF(RAND()&lt;'Team_Info'!$E$5,"W","B")</x:f>
        <x:v>W</x:v>
      </x:c>
      <x:c r="J388" t="str">
        <x:f>IF(RAND()&lt;'Team_Info'!$E$5,"W","B")</x:f>
        <x:v>B</x:v>
      </x:c>
      <x:c r="K388" t="str">
        <x:f>IF(RAND()&lt;'Team_Info'!$E$5,"W","B")</x:f>
        <x:v>W</x:v>
      </x:c>
      <x:c r="L388" t="str">
        <x:f>IF(RAND()&lt;'Team_Info'!$E$5,"W","B")</x:f>
        <x:v>W</x:v>
      </x:c>
      <x:c r="M388" t="str">
        <x:f>IF(RAND()&lt;'Team_Info'!$E$5,"W","B")</x:f>
        <x:v>W</x:v>
      </x:c>
      <x:c r="N388" t="str">
        <x:f>IF(RAND()&lt;'Team_Info'!$E$5,"W","B")</x:f>
        <x:v>W</x:v>
      </x:c>
      <x:c r="O388" t="str">
        <x:f>IF(RAND()&lt;'Team_Info'!$E$5,"W","B")</x:f>
        <x:v>B</x:v>
      </x:c>
      <x:c r="P388" t="str">
        <x:f>IF(RAND()&lt;'Team_Info'!$E$5,"W","B")</x:f>
        <x:v>W</x:v>
      </x:c>
      <x:c r="Q388" t="str">
        <x:f>IF(RAND()&lt;'Team_Info'!$E$5,"W","B")</x:f>
        <x:v>W</x:v>
      </x:c>
      <x:c r="R388" t="str">
        <x:f>IF(RAND()&lt;'Team_Info'!$E$5,"W","B")</x:f>
        <x:v>B</x:v>
      </x:c>
      <x:c r="S388" t="str">
        <x:f>IF(RAND()&lt;'Team_Info'!$E$5,"W","B")</x:f>
        <x:v>B</x:v>
      </x:c>
      <x:c r="T388" t="str">
        <x:f>IF(RAND()&lt;'Team_Info'!$E$5,"W","B")</x:f>
        <x:v>B</x:v>
      </x:c>
      <x:c r="U388" t="str">
        <x:f>IF(RAND()&lt;'Team_Info'!$E$5,"W","B")</x:f>
        <x:v>B</x:v>
      </x:c>
    </x:row>
    <x:row r="389">
      <x:c r="A389" s="1">
        <x:v>388</x:v>
      </x:c>
      <x:c r="B389" t="str">
        <x:f>IF(RAND()&lt;'Team_Info'!$E$5,"W","B")</x:f>
        <x:v>W</x:v>
      </x:c>
      <x:c r="C389" t="str">
        <x:f>IF(RAND()&lt;'Team_Info'!$E$5,"W","B")</x:f>
        <x:v>B</x:v>
      </x:c>
      <x:c r="D389" t="str">
        <x:f>IF(RAND()&lt;'Team_Info'!$E$5,"W","B")</x:f>
        <x:v>B</x:v>
      </x:c>
      <x:c r="E389" t="str">
        <x:f>IF(RAND()&lt;'Team_Info'!$E$5,"W","B")</x:f>
        <x:v>B</x:v>
      </x:c>
      <x:c r="F389" t="str">
        <x:f>IF(RAND()&lt;'Team_Info'!$E$5,"W","B")</x:f>
        <x:v>B</x:v>
      </x:c>
      <x:c r="G389" t="str">
        <x:f>IF(RAND()&lt;'Team_Info'!$E$5,"W","B")</x:f>
        <x:v>B</x:v>
      </x:c>
      <x:c r="H389" t="str">
        <x:f>IF(RAND()&lt;'Team_Info'!$E$5,"W","B")</x:f>
        <x:v>B</x:v>
      </x:c>
      <x:c r="I389" t="str">
        <x:f>IF(RAND()&lt;'Team_Info'!$E$5,"W","B")</x:f>
        <x:v>B</x:v>
      </x:c>
      <x:c r="J389" t="str">
        <x:f>IF(RAND()&lt;'Team_Info'!$E$5,"W","B")</x:f>
        <x:v>W</x:v>
      </x:c>
      <x:c r="K389" t="str">
        <x:f>IF(RAND()&lt;'Team_Info'!$E$5,"W","B")</x:f>
        <x:v>B</x:v>
      </x:c>
      <x:c r="L389" t="str">
        <x:f>IF(RAND()&lt;'Team_Info'!$E$5,"W","B")</x:f>
        <x:v>W</x:v>
      </x:c>
      <x:c r="M389" t="str">
        <x:f>IF(RAND()&lt;'Team_Info'!$E$5,"W","B")</x:f>
        <x:v>W</x:v>
      </x:c>
      <x:c r="N389" t="str">
        <x:f>IF(RAND()&lt;'Team_Info'!$E$5,"W","B")</x:f>
        <x:v>B</x:v>
      </x:c>
      <x:c r="O389" t="str">
        <x:f>IF(RAND()&lt;'Team_Info'!$E$5,"W","B")</x:f>
        <x:v>B</x:v>
      </x:c>
      <x:c r="P389" t="str">
        <x:f>IF(RAND()&lt;'Team_Info'!$E$5,"W","B")</x:f>
        <x:v>B</x:v>
      </x:c>
      <x:c r="Q389" t="str">
        <x:f>IF(RAND()&lt;'Team_Info'!$E$5,"W","B")</x:f>
        <x:v>B</x:v>
      </x:c>
      <x:c r="R389" t="str">
        <x:f>IF(RAND()&lt;'Team_Info'!$E$5,"W","B")</x:f>
        <x:v>B</x:v>
      </x:c>
      <x:c r="S389" t="str">
        <x:f>IF(RAND()&lt;'Team_Info'!$E$5,"W","B")</x:f>
        <x:v>B</x:v>
      </x:c>
      <x:c r="T389" t="str">
        <x:f>IF(RAND()&lt;'Team_Info'!$E$5,"W","B")</x:f>
        <x:v>W</x:v>
      </x:c>
      <x:c r="U389" t="str">
        <x:f>IF(RAND()&lt;'Team_Info'!$E$5,"W","B")</x:f>
        <x:v>B</x:v>
      </x:c>
    </x:row>
    <x:row r="390">
      <x:c r="A390" s="1">
        <x:v>389</x:v>
      </x:c>
      <x:c r="B390" t="str">
        <x:f>IF(RAND()&lt;'Team_Info'!$E$5,"W","B")</x:f>
        <x:v>W</x:v>
      </x:c>
      <x:c r="C390" t="str">
        <x:f>IF(RAND()&lt;'Team_Info'!$E$5,"W","B")</x:f>
        <x:v>W</x:v>
      </x:c>
      <x:c r="D390" t="str">
        <x:f>IF(RAND()&lt;'Team_Info'!$E$5,"W","B")</x:f>
        <x:v>B</x:v>
      </x:c>
      <x:c r="E390" t="str">
        <x:f>IF(RAND()&lt;'Team_Info'!$E$5,"W","B")</x:f>
        <x:v>W</x:v>
      </x:c>
      <x:c r="F390" t="str">
        <x:f>IF(RAND()&lt;'Team_Info'!$E$5,"W","B")</x:f>
        <x:v>B</x:v>
      </x:c>
      <x:c r="G390" t="str">
        <x:f>IF(RAND()&lt;'Team_Info'!$E$5,"W","B")</x:f>
        <x:v>B</x:v>
      </x:c>
      <x:c r="H390" t="str">
        <x:f>IF(RAND()&lt;'Team_Info'!$E$5,"W","B")</x:f>
        <x:v>W</x:v>
      </x:c>
      <x:c r="I390" t="str">
        <x:f>IF(RAND()&lt;'Team_Info'!$E$5,"W","B")</x:f>
        <x:v>W</x:v>
      </x:c>
      <x:c r="J390" t="str">
        <x:f>IF(RAND()&lt;'Team_Info'!$E$5,"W","B")</x:f>
        <x:v>W</x:v>
      </x:c>
      <x:c r="K390" t="str">
        <x:f>IF(RAND()&lt;'Team_Info'!$E$5,"W","B")</x:f>
        <x:v>W</x:v>
      </x:c>
      <x:c r="L390" t="str">
        <x:f>IF(RAND()&lt;'Team_Info'!$E$5,"W","B")</x:f>
        <x:v>B</x:v>
      </x:c>
      <x:c r="M390" t="str">
        <x:f>IF(RAND()&lt;'Team_Info'!$E$5,"W","B")</x:f>
        <x:v>W</x:v>
      </x:c>
      <x:c r="N390" t="str">
        <x:f>IF(RAND()&lt;'Team_Info'!$E$5,"W","B")</x:f>
        <x:v>B</x:v>
      </x:c>
      <x:c r="O390" t="str">
        <x:f>IF(RAND()&lt;'Team_Info'!$E$5,"W","B")</x:f>
        <x:v>W</x:v>
      </x:c>
      <x:c r="P390" t="str">
        <x:f>IF(RAND()&lt;'Team_Info'!$E$5,"W","B")</x:f>
        <x:v>W</x:v>
      </x:c>
      <x:c r="Q390" t="str">
        <x:f>IF(RAND()&lt;'Team_Info'!$E$5,"W","B")</x:f>
        <x:v>W</x:v>
      </x:c>
      <x:c r="R390" t="str">
        <x:f>IF(RAND()&lt;'Team_Info'!$E$5,"W","B")</x:f>
        <x:v>W</x:v>
      </x:c>
      <x:c r="S390" t="str">
        <x:f>IF(RAND()&lt;'Team_Info'!$E$5,"W","B")</x:f>
        <x:v>B</x:v>
      </x:c>
      <x:c r="T390" t="str">
        <x:f>IF(RAND()&lt;'Team_Info'!$E$5,"W","B")</x:f>
        <x:v>B</x:v>
      </x:c>
      <x:c r="U390" t="str">
        <x:f>IF(RAND()&lt;'Team_Info'!$E$5,"W","B")</x:f>
        <x:v>B</x:v>
      </x:c>
    </x:row>
    <x:row r="391">
      <x:c r="A391" s="1">
        <x:v>390</x:v>
      </x:c>
      <x:c r="B391" t="str">
        <x:f>IF(RAND()&lt;'Team_Info'!$E$5,"W","B")</x:f>
        <x:v>B</x:v>
      </x:c>
      <x:c r="C391" t="str">
        <x:f>IF(RAND()&lt;'Team_Info'!$E$5,"W","B")</x:f>
        <x:v>B</x:v>
      </x:c>
      <x:c r="D391" t="str">
        <x:f>IF(RAND()&lt;'Team_Info'!$E$5,"W","B")</x:f>
        <x:v>B</x:v>
      </x:c>
      <x:c r="E391" t="str">
        <x:f>IF(RAND()&lt;'Team_Info'!$E$5,"W","B")</x:f>
        <x:v>B</x:v>
      </x:c>
      <x:c r="F391" t="str">
        <x:f>IF(RAND()&lt;'Team_Info'!$E$5,"W","B")</x:f>
        <x:v>B</x:v>
      </x:c>
      <x:c r="G391" t="str">
        <x:f>IF(RAND()&lt;'Team_Info'!$E$5,"W","B")</x:f>
        <x:v>B</x:v>
      </x:c>
      <x:c r="H391" t="str">
        <x:f>IF(RAND()&lt;'Team_Info'!$E$5,"W","B")</x:f>
        <x:v>B</x:v>
      </x:c>
      <x:c r="I391" t="str">
        <x:f>IF(RAND()&lt;'Team_Info'!$E$5,"W","B")</x:f>
        <x:v>W</x:v>
      </x:c>
      <x:c r="J391" t="str">
        <x:f>IF(RAND()&lt;'Team_Info'!$E$5,"W","B")</x:f>
        <x:v>B</x:v>
      </x:c>
      <x:c r="K391" t="str">
        <x:f>IF(RAND()&lt;'Team_Info'!$E$5,"W","B")</x:f>
        <x:v>W</x:v>
      </x:c>
      <x:c r="L391" t="str">
        <x:f>IF(RAND()&lt;'Team_Info'!$E$5,"W","B")</x:f>
        <x:v>B</x:v>
      </x:c>
      <x:c r="M391" t="str">
        <x:f>IF(RAND()&lt;'Team_Info'!$E$5,"W","B")</x:f>
        <x:v>W</x:v>
      </x:c>
      <x:c r="N391" t="str">
        <x:f>IF(RAND()&lt;'Team_Info'!$E$5,"W","B")</x:f>
        <x:v>W</x:v>
      </x:c>
      <x:c r="O391" t="str">
        <x:f>IF(RAND()&lt;'Team_Info'!$E$5,"W","B")</x:f>
        <x:v>W</x:v>
      </x:c>
      <x:c r="P391" t="str">
        <x:f>IF(RAND()&lt;'Team_Info'!$E$5,"W","B")</x:f>
        <x:v>W</x:v>
      </x:c>
      <x:c r="Q391" t="str">
        <x:f>IF(RAND()&lt;'Team_Info'!$E$5,"W","B")</x:f>
        <x:v>B</x:v>
      </x:c>
      <x:c r="R391" t="str">
        <x:f>IF(RAND()&lt;'Team_Info'!$E$5,"W","B")</x:f>
        <x:v>B</x:v>
      </x:c>
      <x:c r="S391" t="str">
        <x:f>IF(RAND()&lt;'Team_Info'!$E$5,"W","B")</x:f>
        <x:v>B</x:v>
      </x:c>
      <x:c r="T391" t="str">
        <x:f>IF(RAND()&lt;'Team_Info'!$E$5,"W","B")</x:f>
        <x:v>B</x:v>
      </x:c>
      <x:c r="U391" t="str">
        <x:f>IF(RAND()&lt;'Team_Info'!$E$5,"W","B")</x:f>
        <x:v>B</x:v>
      </x:c>
    </x:row>
    <x:row r="392">
      <x:c r="A392" s="1">
        <x:v>391</x:v>
      </x:c>
      <x:c r="B392" t="str">
        <x:f>IF(RAND()&lt;'Team_Info'!$E$5,"W","B")</x:f>
        <x:v>W</x:v>
      </x:c>
      <x:c r="C392" t="str">
        <x:f>IF(RAND()&lt;'Team_Info'!$E$5,"W","B")</x:f>
        <x:v>B</x:v>
      </x:c>
      <x:c r="D392" t="str">
        <x:f>IF(RAND()&lt;'Team_Info'!$E$5,"W","B")</x:f>
        <x:v>B</x:v>
      </x:c>
      <x:c r="E392" t="str">
        <x:f>IF(RAND()&lt;'Team_Info'!$E$5,"W","B")</x:f>
        <x:v>B</x:v>
      </x:c>
      <x:c r="F392" t="str">
        <x:f>IF(RAND()&lt;'Team_Info'!$E$5,"W","B")</x:f>
        <x:v>W</x:v>
      </x:c>
      <x:c r="G392" t="str">
        <x:f>IF(RAND()&lt;'Team_Info'!$E$5,"W","B")</x:f>
        <x:v>W</x:v>
      </x:c>
      <x:c r="H392" t="str">
        <x:f>IF(RAND()&lt;'Team_Info'!$E$5,"W","B")</x:f>
        <x:v>B</x:v>
      </x:c>
      <x:c r="I392" t="str">
        <x:f>IF(RAND()&lt;'Team_Info'!$E$5,"W","B")</x:f>
        <x:v>B</x:v>
      </x:c>
      <x:c r="J392" t="str">
        <x:f>IF(RAND()&lt;'Team_Info'!$E$5,"W","B")</x:f>
        <x:v>B</x:v>
      </x:c>
      <x:c r="K392" t="str">
        <x:f>IF(RAND()&lt;'Team_Info'!$E$5,"W","B")</x:f>
        <x:v>B</x:v>
      </x:c>
      <x:c r="L392" t="str">
        <x:f>IF(RAND()&lt;'Team_Info'!$E$5,"W","B")</x:f>
        <x:v>B</x:v>
      </x:c>
      <x:c r="M392" t="str">
        <x:f>IF(RAND()&lt;'Team_Info'!$E$5,"W","B")</x:f>
        <x:v>B</x:v>
      </x:c>
      <x:c r="N392" t="str">
        <x:f>IF(RAND()&lt;'Team_Info'!$E$5,"W","B")</x:f>
        <x:v>W</x:v>
      </x:c>
      <x:c r="O392" t="str">
        <x:f>IF(RAND()&lt;'Team_Info'!$E$5,"W","B")</x:f>
        <x:v>B</x:v>
      </x:c>
      <x:c r="P392" t="str">
        <x:f>IF(RAND()&lt;'Team_Info'!$E$5,"W","B")</x:f>
        <x:v>W</x:v>
      </x:c>
      <x:c r="Q392" t="str">
        <x:f>IF(RAND()&lt;'Team_Info'!$E$5,"W","B")</x:f>
        <x:v>B</x:v>
      </x:c>
      <x:c r="R392" t="str">
        <x:f>IF(RAND()&lt;'Team_Info'!$E$5,"W","B")</x:f>
        <x:v>B</x:v>
      </x:c>
      <x:c r="S392" t="str">
        <x:f>IF(RAND()&lt;'Team_Info'!$E$5,"W","B")</x:f>
        <x:v>B</x:v>
      </x:c>
      <x:c r="T392" t="str">
        <x:f>IF(RAND()&lt;'Team_Info'!$E$5,"W","B")</x:f>
        <x:v>W</x:v>
      </x:c>
      <x:c r="U392" t="str">
        <x:f>IF(RAND()&lt;'Team_Info'!$E$5,"W","B")</x:f>
        <x:v>W</x:v>
      </x:c>
    </x:row>
    <x:row r="393">
      <x:c r="A393" s="1">
        <x:v>392</x:v>
      </x:c>
      <x:c r="B393" t="str">
        <x:f>IF(RAND()&lt;'Team_Info'!$E$5,"W","B")</x:f>
        <x:v>W</x:v>
      </x:c>
      <x:c r="C393" t="str">
        <x:f>IF(RAND()&lt;'Team_Info'!$E$5,"W","B")</x:f>
        <x:v>B</x:v>
      </x:c>
      <x:c r="D393" t="str">
        <x:f>IF(RAND()&lt;'Team_Info'!$E$5,"W","B")</x:f>
        <x:v>W</x:v>
      </x:c>
      <x:c r="E393" t="str">
        <x:f>IF(RAND()&lt;'Team_Info'!$E$5,"W","B")</x:f>
        <x:v>B</x:v>
      </x:c>
      <x:c r="F393" t="str">
        <x:f>IF(RAND()&lt;'Team_Info'!$E$5,"W","B")</x:f>
        <x:v>W</x:v>
      </x:c>
      <x:c r="G393" t="str">
        <x:f>IF(RAND()&lt;'Team_Info'!$E$5,"W","B")</x:f>
        <x:v>B</x:v>
      </x:c>
      <x:c r="H393" t="str">
        <x:f>IF(RAND()&lt;'Team_Info'!$E$5,"W","B")</x:f>
        <x:v>W</x:v>
      </x:c>
      <x:c r="I393" t="str">
        <x:f>IF(RAND()&lt;'Team_Info'!$E$5,"W","B")</x:f>
        <x:v>W</x:v>
      </x:c>
      <x:c r="J393" t="str">
        <x:f>IF(RAND()&lt;'Team_Info'!$E$5,"W","B")</x:f>
        <x:v>B</x:v>
      </x:c>
      <x:c r="K393" t="str">
        <x:f>IF(RAND()&lt;'Team_Info'!$E$5,"W","B")</x:f>
        <x:v>B</x:v>
      </x:c>
      <x:c r="L393" t="str">
        <x:f>IF(RAND()&lt;'Team_Info'!$E$5,"W","B")</x:f>
        <x:v>B</x:v>
      </x:c>
      <x:c r="M393" t="str">
        <x:f>IF(RAND()&lt;'Team_Info'!$E$5,"W","B")</x:f>
        <x:v>B</x:v>
      </x:c>
      <x:c r="N393" t="str">
        <x:f>IF(RAND()&lt;'Team_Info'!$E$5,"W","B")</x:f>
        <x:v>B</x:v>
      </x:c>
      <x:c r="O393" t="str">
        <x:f>IF(RAND()&lt;'Team_Info'!$E$5,"W","B")</x:f>
        <x:v>B</x:v>
      </x:c>
      <x:c r="P393" t="str">
        <x:f>IF(RAND()&lt;'Team_Info'!$E$5,"W","B")</x:f>
        <x:v>B</x:v>
      </x:c>
      <x:c r="Q393" t="str">
        <x:f>IF(RAND()&lt;'Team_Info'!$E$5,"W","B")</x:f>
        <x:v>B</x:v>
      </x:c>
      <x:c r="R393" t="str">
        <x:f>IF(RAND()&lt;'Team_Info'!$E$5,"W","B")</x:f>
        <x:v>W</x:v>
      </x:c>
      <x:c r="S393" t="str">
        <x:f>IF(RAND()&lt;'Team_Info'!$E$5,"W","B")</x:f>
        <x:v>B</x:v>
      </x:c>
      <x:c r="T393" t="str">
        <x:f>IF(RAND()&lt;'Team_Info'!$E$5,"W","B")</x:f>
        <x:v>B</x:v>
      </x:c>
      <x:c r="U393" t="str">
        <x:f>IF(RAND()&lt;'Team_Info'!$E$5,"W","B")</x:f>
        <x:v>W</x:v>
      </x:c>
    </x:row>
    <x:row r="394">
      <x:c r="A394" s="1">
        <x:v>393</x:v>
      </x:c>
      <x:c r="B394" t="str">
        <x:f>IF(RAND()&lt;'Team_Info'!$E$5,"W","B")</x:f>
        <x:v>B</x:v>
      </x:c>
      <x:c r="C394" t="str">
        <x:f>IF(RAND()&lt;'Team_Info'!$E$5,"W","B")</x:f>
        <x:v>W</x:v>
      </x:c>
      <x:c r="D394" t="str">
        <x:f>IF(RAND()&lt;'Team_Info'!$E$5,"W","B")</x:f>
        <x:v>B</x:v>
      </x:c>
      <x:c r="E394" t="str">
        <x:f>IF(RAND()&lt;'Team_Info'!$E$5,"W","B")</x:f>
        <x:v>W</x:v>
      </x:c>
      <x:c r="F394" t="str">
        <x:f>IF(RAND()&lt;'Team_Info'!$E$5,"W","B")</x:f>
        <x:v>B</x:v>
      </x:c>
      <x:c r="G394" t="str">
        <x:f>IF(RAND()&lt;'Team_Info'!$E$5,"W","B")</x:f>
        <x:v>B</x:v>
      </x:c>
      <x:c r="H394" t="str">
        <x:f>IF(RAND()&lt;'Team_Info'!$E$5,"W","B")</x:f>
        <x:v>W</x:v>
      </x:c>
      <x:c r="I394" t="str">
        <x:f>IF(RAND()&lt;'Team_Info'!$E$5,"W","B")</x:f>
        <x:v>W</x:v>
      </x:c>
      <x:c r="J394" t="str">
        <x:f>IF(RAND()&lt;'Team_Info'!$E$5,"W","B")</x:f>
        <x:v>W</x:v>
      </x:c>
      <x:c r="K394" t="str">
        <x:f>IF(RAND()&lt;'Team_Info'!$E$5,"W","B")</x:f>
        <x:v>B</x:v>
      </x:c>
      <x:c r="L394" t="str">
        <x:f>IF(RAND()&lt;'Team_Info'!$E$5,"W","B")</x:f>
        <x:v>B</x:v>
      </x:c>
      <x:c r="M394" t="str">
        <x:f>IF(RAND()&lt;'Team_Info'!$E$5,"W","B")</x:f>
        <x:v>B</x:v>
      </x:c>
      <x:c r="N394" t="str">
        <x:f>IF(RAND()&lt;'Team_Info'!$E$5,"W","B")</x:f>
        <x:v>B</x:v>
      </x:c>
      <x:c r="O394" t="str">
        <x:f>IF(RAND()&lt;'Team_Info'!$E$5,"W","B")</x:f>
        <x:v>W</x:v>
      </x:c>
      <x:c r="P394" t="str">
        <x:f>IF(RAND()&lt;'Team_Info'!$E$5,"W","B")</x:f>
        <x:v>B</x:v>
      </x:c>
      <x:c r="Q394" t="str">
        <x:f>IF(RAND()&lt;'Team_Info'!$E$5,"W","B")</x:f>
        <x:v>B</x:v>
      </x:c>
      <x:c r="R394" t="str">
        <x:f>IF(RAND()&lt;'Team_Info'!$E$5,"W","B")</x:f>
        <x:v>B</x:v>
      </x:c>
      <x:c r="S394" t="str">
        <x:f>IF(RAND()&lt;'Team_Info'!$E$5,"W","B")</x:f>
        <x:v>W</x:v>
      </x:c>
      <x:c r="T394" t="str">
        <x:f>IF(RAND()&lt;'Team_Info'!$E$5,"W","B")</x:f>
        <x:v>W</x:v>
      </x:c>
      <x:c r="U394" t="str">
        <x:f>IF(RAND()&lt;'Team_Info'!$E$5,"W","B")</x:f>
        <x:v>W</x:v>
      </x:c>
    </x:row>
    <x:row r="395">
      <x:c r="A395" s="1">
        <x:v>394</x:v>
      </x:c>
      <x:c r="B395" t="str">
        <x:f>IF(RAND()&lt;'Team_Info'!$E$5,"W","B")</x:f>
        <x:v>W</x:v>
      </x:c>
      <x:c r="C395" t="str">
        <x:f>IF(RAND()&lt;'Team_Info'!$E$5,"W","B")</x:f>
        <x:v>W</x:v>
      </x:c>
      <x:c r="D395" t="str">
        <x:f>IF(RAND()&lt;'Team_Info'!$E$5,"W","B")</x:f>
        <x:v>B</x:v>
      </x:c>
      <x:c r="E395" t="str">
        <x:f>IF(RAND()&lt;'Team_Info'!$E$5,"W","B")</x:f>
        <x:v>W</x:v>
      </x:c>
      <x:c r="F395" t="str">
        <x:f>IF(RAND()&lt;'Team_Info'!$E$5,"W","B")</x:f>
        <x:v>B</x:v>
      </x:c>
      <x:c r="G395" t="str">
        <x:f>IF(RAND()&lt;'Team_Info'!$E$5,"W","B")</x:f>
        <x:v>B</x:v>
      </x:c>
      <x:c r="H395" t="str">
        <x:f>IF(RAND()&lt;'Team_Info'!$E$5,"W","B")</x:f>
        <x:v>B</x:v>
      </x:c>
      <x:c r="I395" t="str">
        <x:f>IF(RAND()&lt;'Team_Info'!$E$5,"W","B")</x:f>
        <x:v>W</x:v>
      </x:c>
      <x:c r="J395" t="str">
        <x:f>IF(RAND()&lt;'Team_Info'!$E$5,"W","B")</x:f>
        <x:v>W</x:v>
      </x:c>
      <x:c r="K395" t="str">
        <x:f>IF(RAND()&lt;'Team_Info'!$E$5,"W","B")</x:f>
        <x:v>B</x:v>
      </x:c>
      <x:c r="L395" t="str">
        <x:f>IF(RAND()&lt;'Team_Info'!$E$5,"W","B")</x:f>
        <x:v>W</x:v>
      </x:c>
      <x:c r="M395" t="str">
        <x:f>IF(RAND()&lt;'Team_Info'!$E$5,"W","B")</x:f>
        <x:v>W</x:v>
      </x:c>
      <x:c r="N395" t="str">
        <x:f>IF(RAND()&lt;'Team_Info'!$E$5,"W","B")</x:f>
        <x:v>B</x:v>
      </x:c>
      <x:c r="O395" t="str">
        <x:f>IF(RAND()&lt;'Team_Info'!$E$5,"W","B")</x:f>
        <x:v>B</x:v>
      </x:c>
      <x:c r="P395" t="str">
        <x:f>IF(RAND()&lt;'Team_Info'!$E$5,"W","B")</x:f>
        <x:v>B</x:v>
      </x:c>
      <x:c r="Q395" t="str">
        <x:f>IF(RAND()&lt;'Team_Info'!$E$5,"W","B")</x:f>
        <x:v>W</x:v>
      </x:c>
      <x:c r="R395" t="str">
        <x:f>IF(RAND()&lt;'Team_Info'!$E$5,"W","B")</x:f>
        <x:v>W</x:v>
      </x:c>
      <x:c r="S395" t="str">
        <x:f>IF(RAND()&lt;'Team_Info'!$E$5,"W","B")</x:f>
        <x:v>W</x:v>
      </x:c>
      <x:c r="T395" t="str">
        <x:f>IF(RAND()&lt;'Team_Info'!$E$5,"W","B")</x:f>
        <x:v>B</x:v>
      </x:c>
      <x:c r="U395" t="str">
        <x:f>IF(RAND()&lt;'Team_Info'!$E$5,"W","B")</x:f>
        <x:v>B</x:v>
      </x:c>
    </x:row>
    <x:row r="396">
      <x:c r="A396" s="1">
        <x:v>395</x:v>
      </x:c>
      <x:c r="B396" t="str">
        <x:f>IF(RAND()&lt;'Team_Info'!$E$5,"W","B")</x:f>
        <x:v>B</x:v>
      </x:c>
      <x:c r="C396" t="str">
        <x:f>IF(RAND()&lt;'Team_Info'!$E$5,"W","B")</x:f>
        <x:v>B</x:v>
      </x:c>
      <x:c r="D396" t="str">
        <x:f>IF(RAND()&lt;'Team_Info'!$E$5,"W","B")</x:f>
        <x:v>W</x:v>
      </x:c>
      <x:c r="E396" t="str">
        <x:f>IF(RAND()&lt;'Team_Info'!$E$5,"W","B")</x:f>
        <x:v>W</x:v>
      </x:c>
      <x:c r="F396" t="str">
        <x:f>IF(RAND()&lt;'Team_Info'!$E$5,"W","B")</x:f>
        <x:v>W</x:v>
      </x:c>
      <x:c r="G396" t="str">
        <x:f>IF(RAND()&lt;'Team_Info'!$E$5,"W","B")</x:f>
        <x:v>B</x:v>
      </x:c>
      <x:c r="H396" t="str">
        <x:f>IF(RAND()&lt;'Team_Info'!$E$5,"W","B")</x:f>
        <x:v>W</x:v>
      </x:c>
      <x:c r="I396" t="str">
        <x:f>IF(RAND()&lt;'Team_Info'!$E$5,"W","B")</x:f>
        <x:v>W</x:v>
      </x:c>
      <x:c r="J396" t="str">
        <x:f>IF(RAND()&lt;'Team_Info'!$E$5,"W","B")</x:f>
        <x:v>B</x:v>
      </x:c>
      <x:c r="K396" t="str">
        <x:f>IF(RAND()&lt;'Team_Info'!$E$5,"W","B")</x:f>
        <x:v>W</x:v>
      </x:c>
      <x:c r="L396" t="str">
        <x:f>IF(RAND()&lt;'Team_Info'!$E$5,"W","B")</x:f>
        <x:v>B</x:v>
      </x:c>
      <x:c r="M396" t="str">
        <x:f>IF(RAND()&lt;'Team_Info'!$E$5,"W","B")</x:f>
        <x:v>B</x:v>
      </x:c>
      <x:c r="N396" t="str">
        <x:f>IF(RAND()&lt;'Team_Info'!$E$5,"W","B")</x:f>
        <x:v>B</x:v>
      </x:c>
      <x:c r="O396" t="str">
        <x:f>IF(RAND()&lt;'Team_Info'!$E$5,"W","B")</x:f>
        <x:v>W</x:v>
      </x:c>
      <x:c r="P396" t="str">
        <x:f>IF(RAND()&lt;'Team_Info'!$E$5,"W","B")</x:f>
        <x:v>B</x:v>
      </x:c>
      <x:c r="Q396" t="str">
        <x:f>IF(RAND()&lt;'Team_Info'!$E$5,"W","B")</x:f>
        <x:v>B</x:v>
      </x:c>
      <x:c r="R396" t="str">
        <x:f>IF(RAND()&lt;'Team_Info'!$E$5,"W","B")</x:f>
        <x:v>W</x:v>
      </x:c>
      <x:c r="S396" t="str">
        <x:f>IF(RAND()&lt;'Team_Info'!$E$5,"W","B")</x:f>
        <x:v>B</x:v>
      </x:c>
      <x:c r="T396" t="str">
        <x:f>IF(RAND()&lt;'Team_Info'!$E$5,"W","B")</x:f>
        <x:v>B</x:v>
      </x:c>
      <x:c r="U396" t="str">
        <x:f>IF(RAND()&lt;'Team_Info'!$E$5,"W","B")</x:f>
        <x:v>B</x:v>
      </x:c>
    </x:row>
    <x:row r="397">
      <x:c r="A397" s="1">
        <x:v>396</x:v>
      </x:c>
      <x:c r="B397" t="str">
        <x:f>IF(RAND()&lt;'Team_Info'!$E$5,"W","B")</x:f>
        <x:v>B</x:v>
      </x:c>
      <x:c r="C397" t="str">
        <x:f>IF(RAND()&lt;'Team_Info'!$E$5,"W","B")</x:f>
        <x:v>B</x:v>
      </x:c>
      <x:c r="D397" t="str">
        <x:f>IF(RAND()&lt;'Team_Info'!$E$5,"W","B")</x:f>
        <x:v>W</x:v>
      </x:c>
      <x:c r="E397" t="str">
        <x:f>IF(RAND()&lt;'Team_Info'!$E$5,"W","B")</x:f>
        <x:v>W</x:v>
      </x:c>
      <x:c r="F397" t="str">
        <x:f>IF(RAND()&lt;'Team_Info'!$E$5,"W","B")</x:f>
        <x:v>B</x:v>
      </x:c>
      <x:c r="G397" t="str">
        <x:f>IF(RAND()&lt;'Team_Info'!$E$5,"W","B")</x:f>
        <x:v>W</x:v>
      </x:c>
      <x:c r="H397" t="str">
        <x:f>IF(RAND()&lt;'Team_Info'!$E$5,"W","B")</x:f>
        <x:v>B</x:v>
      </x:c>
      <x:c r="I397" t="str">
        <x:f>IF(RAND()&lt;'Team_Info'!$E$5,"W","B")</x:f>
        <x:v>W</x:v>
      </x:c>
      <x:c r="J397" t="str">
        <x:f>IF(RAND()&lt;'Team_Info'!$E$5,"W","B")</x:f>
        <x:v>B</x:v>
      </x:c>
      <x:c r="K397" t="str">
        <x:f>IF(RAND()&lt;'Team_Info'!$E$5,"W","B")</x:f>
        <x:v>W</x:v>
      </x:c>
      <x:c r="L397" t="str">
        <x:f>IF(RAND()&lt;'Team_Info'!$E$5,"W","B")</x:f>
        <x:v>B</x:v>
      </x:c>
      <x:c r="M397" t="str">
        <x:f>IF(RAND()&lt;'Team_Info'!$E$5,"W","B")</x:f>
        <x:v>W</x:v>
      </x:c>
      <x:c r="N397" t="str">
        <x:f>IF(RAND()&lt;'Team_Info'!$E$5,"W","B")</x:f>
        <x:v>W</x:v>
      </x:c>
      <x:c r="O397" t="str">
        <x:f>IF(RAND()&lt;'Team_Info'!$E$5,"W","B")</x:f>
        <x:v>W</x:v>
      </x:c>
      <x:c r="P397" t="str">
        <x:f>IF(RAND()&lt;'Team_Info'!$E$5,"W","B")</x:f>
        <x:v>B</x:v>
      </x:c>
      <x:c r="Q397" t="str">
        <x:f>IF(RAND()&lt;'Team_Info'!$E$5,"W","B")</x:f>
        <x:v>B</x:v>
      </x:c>
      <x:c r="R397" t="str">
        <x:f>IF(RAND()&lt;'Team_Info'!$E$5,"W","B")</x:f>
        <x:v>B</x:v>
      </x:c>
      <x:c r="S397" t="str">
        <x:f>IF(RAND()&lt;'Team_Info'!$E$5,"W","B")</x:f>
        <x:v>B</x:v>
      </x:c>
      <x:c r="T397" t="str">
        <x:f>IF(RAND()&lt;'Team_Info'!$E$5,"W","B")</x:f>
        <x:v>B</x:v>
      </x:c>
      <x:c r="U397" t="str">
        <x:f>IF(RAND()&lt;'Team_Info'!$E$5,"W","B")</x:f>
        <x:v>B</x:v>
      </x:c>
    </x:row>
    <x:row r="398">
      <x:c r="A398" s="1">
        <x:v>397</x:v>
      </x:c>
      <x:c r="B398" t="str">
        <x:f>IF(RAND()&lt;'Team_Info'!$E$5,"W","B")</x:f>
        <x:v>B</x:v>
      </x:c>
      <x:c r="C398" t="str">
        <x:f>IF(RAND()&lt;'Team_Info'!$E$5,"W","B")</x:f>
        <x:v>W</x:v>
      </x:c>
      <x:c r="D398" t="str">
        <x:f>IF(RAND()&lt;'Team_Info'!$E$5,"W","B")</x:f>
        <x:v>W</x:v>
      </x:c>
      <x:c r="E398" t="str">
        <x:f>IF(RAND()&lt;'Team_Info'!$E$5,"W","B")</x:f>
        <x:v>B</x:v>
      </x:c>
      <x:c r="F398" t="str">
        <x:f>IF(RAND()&lt;'Team_Info'!$E$5,"W","B")</x:f>
        <x:v>B</x:v>
      </x:c>
      <x:c r="G398" t="str">
        <x:f>IF(RAND()&lt;'Team_Info'!$E$5,"W","B")</x:f>
        <x:v>B</x:v>
      </x:c>
      <x:c r="H398" t="str">
        <x:f>IF(RAND()&lt;'Team_Info'!$E$5,"W","B")</x:f>
        <x:v>B</x:v>
      </x:c>
      <x:c r="I398" t="str">
        <x:f>IF(RAND()&lt;'Team_Info'!$E$5,"W","B")</x:f>
        <x:v>W</x:v>
      </x:c>
      <x:c r="J398" t="str">
        <x:f>IF(RAND()&lt;'Team_Info'!$E$5,"W","B")</x:f>
        <x:v>B</x:v>
      </x:c>
      <x:c r="K398" t="str">
        <x:f>IF(RAND()&lt;'Team_Info'!$E$5,"W","B")</x:f>
        <x:v>B</x:v>
      </x:c>
      <x:c r="L398" t="str">
        <x:f>IF(RAND()&lt;'Team_Info'!$E$5,"W","B")</x:f>
        <x:v>B</x:v>
      </x:c>
      <x:c r="M398" t="str">
        <x:f>IF(RAND()&lt;'Team_Info'!$E$5,"W","B")</x:f>
        <x:v>W</x:v>
      </x:c>
      <x:c r="N398" t="str">
        <x:f>IF(RAND()&lt;'Team_Info'!$E$5,"W","B")</x:f>
        <x:v>B</x:v>
      </x:c>
      <x:c r="O398" t="str">
        <x:f>IF(RAND()&lt;'Team_Info'!$E$5,"W","B")</x:f>
        <x:v>B</x:v>
      </x:c>
      <x:c r="P398" t="str">
        <x:f>IF(RAND()&lt;'Team_Info'!$E$5,"W","B")</x:f>
        <x:v>B</x:v>
      </x:c>
      <x:c r="Q398" t="str">
        <x:f>IF(RAND()&lt;'Team_Info'!$E$5,"W","B")</x:f>
        <x:v>W</x:v>
      </x:c>
      <x:c r="R398" t="str">
        <x:f>IF(RAND()&lt;'Team_Info'!$E$5,"W","B")</x:f>
        <x:v>B</x:v>
      </x:c>
      <x:c r="S398" t="str">
        <x:f>IF(RAND()&lt;'Team_Info'!$E$5,"W","B")</x:f>
        <x:v>W</x:v>
      </x:c>
      <x:c r="T398" t="str">
        <x:f>IF(RAND()&lt;'Team_Info'!$E$5,"W","B")</x:f>
        <x:v>B</x:v>
      </x:c>
      <x:c r="U398" t="str">
        <x:f>IF(RAND()&lt;'Team_Info'!$E$5,"W","B")</x:f>
        <x:v>B</x:v>
      </x:c>
    </x:row>
    <x:row r="399">
      <x:c r="A399" s="1">
        <x:v>398</x:v>
      </x:c>
      <x:c r="B399" t="str">
        <x:f>IF(RAND()&lt;'Team_Info'!$E$5,"W","B")</x:f>
        <x:v>B</x:v>
      </x:c>
      <x:c r="C399" t="str">
        <x:f>IF(RAND()&lt;'Team_Info'!$E$5,"W","B")</x:f>
        <x:v>B</x:v>
      </x:c>
      <x:c r="D399" t="str">
        <x:f>IF(RAND()&lt;'Team_Info'!$E$5,"W","B")</x:f>
        <x:v>B</x:v>
      </x:c>
      <x:c r="E399" t="str">
        <x:f>IF(RAND()&lt;'Team_Info'!$E$5,"W","B")</x:f>
        <x:v>B</x:v>
      </x:c>
      <x:c r="F399" t="str">
        <x:f>IF(RAND()&lt;'Team_Info'!$E$5,"W","B")</x:f>
        <x:v>B</x:v>
      </x:c>
      <x:c r="G399" t="str">
        <x:f>IF(RAND()&lt;'Team_Info'!$E$5,"W","B")</x:f>
        <x:v>W</x:v>
      </x:c>
      <x:c r="H399" t="str">
        <x:f>IF(RAND()&lt;'Team_Info'!$E$5,"W","B")</x:f>
        <x:v>B</x:v>
      </x:c>
      <x:c r="I399" t="str">
        <x:f>IF(RAND()&lt;'Team_Info'!$E$5,"W","B")</x:f>
        <x:v>W</x:v>
      </x:c>
      <x:c r="J399" t="str">
        <x:f>IF(RAND()&lt;'Team_Info'!$E$5,"W","B")</x:f>
        <x:v>B</x:v>
      </x:c>
      <x:c r="K399" t="str">
        <x:f>IF(RAND()&lt;'Team_Info'!$E$5,"W","B")</x:f>
        <x:v>B</x:v>
      </x:c>
      <x:c r="L399" t="str">
        <x:f>IF(RAND()&lt;'Team_Info'!$E$5,"W","B")</x:f>
        <x:v>B</x:v>
      </x:c>
      <x:c r="M399" t="str">
        <x:f>IF(RAND()&lt;'Team_Info'!$E$5,"W","B")</x:f>
        <x:v>W</x:v>
      </x:c>
      <x:c r="N399" t="str">
        <x:f>IF(RAND()&lt;'Team_Info'!$E$5,"W","B")</x:f>
        <x:v>W</x:v>
      </x:c>
      <x:c r="O399" t="str">
        <x:f>IF(RAND()&lt;'Team_Info'!$E$5,"W","B")</x:f>
        <x:v>B</x:v>
      </x:c>
      <x:c r="P399" t="str">
        <x:f>IF(RAND()&lt;'Team_Info'!$E$5,"W","B")</x:f>
        <x:v>B</x:v>
      </x:c>
      <x:c r="Q399" t="str">
        <x:f>IF(RAND()&lt;'Team_Info'!$E$5,"W","B")</x:f>
        <x:v>B</x:v>
      </x:c>
      <x:c r="R399" t="str">
        <x:f>IF(RAND()&lt;'Team_Info'!$E$5,"W","B")</x:f>
        <x:v>B</x:v>
      </x:c>
      <x:c r="S399" t="str">
        <x:f>IF(RAND()&lt;'Team_Info'!$E$5,"W","B")</x:f>
        <x:v>B</x:v>
      </x:c>
      <x:c r="T399" t="str">
        <x:f>IF(RAND()&lt;'Team_Info'!$E$5,"W","B")</x:f>
        <x:v>W</x:v>
      </x:c>
      <x:c r="U399" t="str">
        <x:f>IF(RAND()&lt;'Team_Info'!$E$5,"W","B")</x:f>
        <x:v>W</x:v>
      </x:c>
    </x:row>
    <x:row r="400">
      <x:c r="A400" s="1">
        <x:v>399</x:v>
      </x:c>
      <x:c r="B400" t="str">
        <x:f>IF(RAND()&lt;'Team_Info'!$E$5,"W","B")</x:f>
        <x:v>W</x:v>
      </x:c>
      <x:c r="C400" t="str">
        <x:f>IF(RAND()&lt;'Team_Info'!$E$5,"W","B")</x:f>
        <x:v>W</x:v>
      </x:c>
      <x:c r="D400" t="str">
        <x:f>IF(RAND()&lt;'Team_Info'!$E$5,"W","B")</x:f>
        <x:v>B</x:v>
      </x:c>
      <x:c r="E400" t="str">
        <x:f>IF(RAND()&lt;'Team_Info'!$E$5,"W","B")</x:f>
        <x:v>W</x:v>
      </x:c>
      <x:c r="F400" t="str">
        <x:f>IF(RAND()&lt;'Team_Info'!$E$5,"W","B")</x:f>
        <x:v>W</x:v>
      </x:c>
      <x:c r="G400" t="str">
        <x:f>IF(RAND()&lt;'Team_Info'!$E$5,"W","B")</x:f>
        <x:v>B</x:v>
      </x:c>
      <x:c r="H400" t="str">
        <x:f>IF(RAND()&lt;'Team_Info'!$E$5,"W","B")</x:f>
        <x:v>B</x:v>
      </x:c>
      <x:c r="I400" t="str">
        <x:f>IF(RAND()&lt;'Team_Info'!$E$5,"W","B")</x:f>
        <x:v>B</x:v>
      </x:c>
      <x:c r="J400" t="str">
        <x:f>IF(RAND()&lt;'Team_Info'!$E$5,"W","B")</x:f>
        <x:v>B</x:v>
      </x:c>
      <x:c r="K400" t="str">
        <x:f>IF(RAND()&lt;'Team_Info'!$E$5,"W","B")</x:f>
        <x:v>B</x:v>
      </x:c>
      <x:c r="L400" t="str">
        <x:f>IF(RAND()&lt;'Team_Info'!$E$5,"W","B")</x:f>
        <x:v>B</x:v>
      </x:c>
      <x:c r="M400" t="str">
        <x:f>IF(RAND()&lt;'Team_Info'!$E$5,"W","B")</x:f>
        <x:v>B</x:v>
      </x:c>
      <x:c r="N400" t="str">
        <x:f>IF(RAND()&lt;'Team_Info'!$E$5,"W","B")</x:f>
        <x:v>B</x:v>
      </x:c>
      <x:c r="O400" t="str">
        <x:f>IF(RAND()&lt;'Team_Info'!$E$5,"W","B")</x:f>
        <x:v>B</x:v>
      </x:c>
      <x:c r="P400" t="str">
        <x:f>IF(RAND()&lt;'Team_Info'!$E$5,"W","B")</x:f>
        <x:v>B</x:v>
      </x:c>
      <x:c r="Q400" t="str">
        <x:f>IF(RAND()&lt;'Team_Info'!$E$5,"W","B")</x:f>
        <x:v>B</x:v>
      </x:c>
      <x:c r="R400" t="str">
        <x:f>IF(RAND()&lt;'Team_Info'!$E$5,"W","B")</x:f>
        <x:v>B</x:v>
      </x:c>
      <x:c r="S400" t="str">
        <x:f>IF(RAND()&lt;'Team_Info'!$E$5,"W","B")</x:f>
        <x:v>B</x:v>
      </x:c>
      <x:c r="T400" t="str">
        <x:f>IF(RAND()&lt;'Team_Info'!$E$5,"W","B")</x:f>
        <x:v>B</x:v>
      </x:c>
      <x:c r="U400" t="str">
        <x:f>IF(RAND()&lt;'Team_Info'!$E$5,"W","B")</x:f>
        <x:v>W</x:v>
      </x:c>
    </x:row>
    <x:row r="401">
      <x:c r="A401" s="1">
        <x:v>400</x:v>
      </x:c>
      <x:c r="B401" t="str">
        <x:f>IF(RAND()&lt;'Team_Info'!$E$5,"W","B")</x:f>
        <x:v>B</x:v>
      </x:c>
      <x:c r="C401" t="str">
        <x:f>IF(RAND()&lt;'Team_Info'!$E$5,"W","B")</x:f>
        <x:v>W</x:v>
      </x:c>
      <x:c r="D401" t="str">
        <x:f>IF(RAND()&lt;'Team_Info'!$E$5,"W","B")</x:f>
        <x:v>W</x:v>
      </x:c>
      <x:c r="E401" t="str">
        <x:f>IF(RAND()&lt;'Team_Info'!$E$5,"W","B")</x:f>
        <x:v>B</x:v>
      </x:c>
      <x:c r="F401" t="str">
        <x:f>IF(RAND()&lt;'Team_Info'!$E$5,"W","B")</x:f>
        <x:v>B</x:v>
      </x:c>
      <x:c r="G401" t="str">
        <x:f>IF(RAND()&lt;'Team_Info'!$E$5,"W","B")</x:f>
        <x:v>B</x:v>
      </x:c>
      <x:c r="H401" t="str">
        <x:f>IF(RAND()&lt;'Team_Info'!$E$5,"W","B")</x:f>
        <x:v>W</x:v>
      </x:c>
      <x:c r="I401" t="str">
        <x:f>IF(RAND()&lt;'Team_Info'!$E$5,"W","B")</x:f>
        <x:v>B</x:v>
      </x:c>
      <x:c r="J401" t="str">
        <x:f>IF(RAND()&lt;'Team_Info'!$E$5,"W","B")</x:f>
        <x:v>B</x:v>
      </x:c>
      <x:c r="K401" t="str">
        <x:f>IF(RAND()&lt;'Team_Info'!$E$5,"W","B")</x:f>
        <x:v>W</x:v>
      </x:c>
      <x:c r="L401" t="str">
        <x:f>IF(RAND()&lt;'Team_Info'!$E$5,"W","B")</x:f>
        <x:v>W</x:v>
      </x:c>
      <x:c r="M401" t="str">
        <x:f>IF(RAND()&lt;'Team_Info'!$E$5,"W","B")</x:f>
        <x:v>W</x:v>
      </x:c>
      <x:c r="N401" t="str">
        <x:f>IF(RAND()&lt;'Team_Info'!$E$5,"W","B")</x:f>
        <x:v>W</x:v>
      </x:c>
      <x:c r="O401" t="str">
        <x:f>IF(RAND()&lt;'Team_Info'!$E$5,"W","B")</x:f>
        <x:v>W</x:v>
      </x:c>
      <x:c r="P401" t="str">
        <x:f>IF(RAND()&lt;'Team_Info'!$E$5,"W","B")</x:f>
        <x:v>B</x:v>
      </x:c>
      <x:c r="Q401" t="str">
        <x:f>IF(RAND()&lt;'Team_Info'!$E$5,"W","B")</x:f>
        <x:v>W</x:v>
      </x:c>
      <x:c r="R401" t="str">
        <x:f>IF(RAND()&lt;'Team_Info'!$E$5,"W","B")</x:f>
        <x:v>W</x:v>
      </x:c>
      <x:c r="S401" t="str">
        <x:f>IF(RAND()&lt;'Team_Info'!$E$5,"W","B")</x:f>
        <x:v>W</x:v>
      </x:c>
      <x:c r="T401" t="str">
        <x:f>IF(RAND()&lt;'Team_Info'!$E$5,"W","B")</x:f>
        <x:v>W</x:v>
      </x:c>
      <x:c r="U401" t="str">
        <x:f>IF(RAND()&lt;'Team_Info'!$E$5,"W","B")</x:f>
        <x:v>W</x:v>
      </x:c>
    </x:row>
    <x:row r="402">
      <x:c r="A402" s="1">
        <x:v>401</x:v>
      </x:c>
      <x:c r="B402" t="str">
        <x:f>IF(RAND()&lt;'Team_Info'!$E$5,"W","B")</x:f>
        <x:v>B</x:v>
      </x:c>
      <x:c r="C402" t="str">
        <x:f>IF(RAND()&lt;'Team_Info'!$E$5,"W","B")</x:f>
        <x:v>B</x:v>
      </x:c>
      <x:c r="D402" t="str">
        <x:f>IF(RAND()&lt;'Team_Info'!$E$5,"W","B")</x:f>
        <x:v>B</x:v>
      </x:c>
      <x:c r="E402" t="str">
        <x:f>IF(RAND()&lt;'Team_Info'!$E$5,"W","B")</x:f>
        <x:v>B</x:v>
      </x:c>
      <x:c r="F402" t="str">
        <x:f>IF(RAND()&lt;'Team_Info'!$E$5,"W","B")</x:f>
        <x:v>B</x:v>
      </x:c>
      <x:c r="G402" t="str">
        <x:f>IF(RAND()&lt;'Team_Info'!$E$5,"W","B")</x:f>
        <x:v>B</x:v>
      </x:c>
      <x:c r="H402" t="str">
        <x:f>IF(RAND()&lt;'Team_Info'!$E$5,"W","B")</x:f>
        <x:v>B</x:v>
      </x:c>
      <x:c r="I402" t="str">
        <x:f>IF(RAND()&lt;'Team_Info'!$E$5,"W","B")</x:f>
        <x:v>B</x:v>
      </x:c>
      <x:c r="J402" t="str">
        <x:f>IF(RAND()&lt;'Team_Info'!$E$5,"W","B")</x:f>
        <x:v>B</x:v>
      </x:c>
      <x:c r="K402" t="str">
        <x:f>IF(RAND()&lt;'Team_Info'!$E$5,"W","B")</x:f>
        <x:v>B</x:v>
      </x:c>
      <x:c r="L402" t="str">
        <x:f>IF(RAND()&lt;'Team_Info'!$E$5,"W","B")</x:f>
        <x:v>B</x:v>
      </x:c>
      <x:c r="M402" t="str">
        <x:f>IF(RAND()&lt;'Team_Info'!$E$5,"W","B")</x:f>
        <x:v>W</x:v>
      </x:c>
      <x:c r="N402" t="str">
        <x:f>IF(RAND()&lt;'Team_Info'!$E$5,"W","B")</x:f>
        <x:v>B</x:v>
      </x:c>
      <x:c r="O402" t="str">
        <x:f>IF(RAND()&lt;'Team_Info'!$E$5,"W","B")</x:f>
        <x:v>B</x:v>
      </x:c>
      <x:c r="P402" t="str">
        <x:f>IF(RAND()&lt;'Team_Info'!$E$5,"W","B")</x:f>
        <x:v>W</x:v>
      </x:c>
      <x:c r="Q402" t="str">
        <x:f>IF(RAND()&lt;'Team_Info'!$E$5,"W","B")</x:f>
        <x:v>W</x:v>
      </x:c>
      <x:c r="R402" t="str">
        <x:f>IF(RAND()&lt;'Team_Info'!$E$5,"W","B")</x:f>
        <x:v>B</x:v>
      </x:c>
      <x:c r="S402" t="str">
        <x:f>IF(RAND()&lt;'Team_Info'!$E$5,"W","B")</x:f>
        <x:v>W</x:v>
      </x:c>
      <x:c r="T402" t="str">
        <x:f>IF(RAND()&lt;'Team_Info'!$E$5,"W","B")</x:f>
        <x:v>B</x:v>
      </x:c>
      <x:c r="U402" t="str">
        <x:f>IF(RAND()&lt;'Team_Info'!$E$5,"W","B")</x:f>
        <x:v>B</x:v>
      </x:c>
    </x:row>
    <x:row r="403">
      <x:c r="A403" s="1">
        <x:v>402</x:v>
      </x:c>
      <x:c r="B403" t="str">
        <x:f>IF(RAND()&lt;'Team_Info'!$E$5,"W","B")</x:f>
        <x:v>W</x:v>
      </x:c>
      <x:c r="C403" t="str">
        <x:f>IF(RAND()&lt;'Team_Info'!$E$5,"W","B")</x:f>
        <x:v>B</x:v>
      </x:c>
      <x:c r="D403" t="str">
        <x:f>IF(RAND()&lt;'Team_Info'!$E$5,"W","B")</x:f>
        <x:v>B</x:v>
      </x:c>
      <x:c r="E403" t="str">
        <x:f>IF(RAND()&lt;'Team_Info'!$E$5,"W","B")</x:f>
        <x:v>B</x:v>
      </x:c>
      <x:c r="F403" t="str">
        <x:f>IF(RAND()&lt;'Team_Info'!$E$5,"W","B")</x:f>
        <x:v>W</x:v>
      </x:c>
      <x:c r="G403" t="str">
        <x:f>IF(RAND()&lt;'Team_Info'!$E$5,"W","B")</x:f>
        <x:v>B</x:v>
      </x:c>
      <x:c r="H403" t="str">
        <x:f>IF(RAND()&lt;'Team_Info'!$E$5,"W","B")</x:f>
        <x:v>W</x:v>
      </x:c>
      <x:c r="I403" t="str">
        <x:f>IF(RAND()&lt;'Team_Info'!$E$5,"W","B")</x:f>
        <x:v>B</x:v>
      </x:c>
      <x:c r="J403" t="str">
        <x:f>IF(RAND()&lt;'Team_Info'!$E$5,"W","B")</x:f>
        <x:v>B</x:v>
      </x:c>
      <x:c r="K403" t="str">
        <x:f>IF(RAND()&lt;'Team_Info'!$E$5,"W","B")</x:f>
        <x:v>B</x:v>
      </x:c>
      <x:c r="L403" t="str">
        <x:f>IF(RAND()&lt;'Team_Info'!$E$5,"W","B")</x:f>
        <x:v>B</x:v>
      </x:c>
      <x:c r="M403" t="str">
        <x:f>IF(RAND()&lt;'Team_Info'!$E$5,"W","B")</x:f>
        <x:v>W</x:v>
      </x:c>
      <x:c r="N403" t="str">
        <x:f>IF(RAND()&lt;'Team_Info'!$E$5,"W","B")</x:f>
        <x:v>W</x:v>
      </x:c>
      <x:c r="O403" t="str">
        <x:f>IF(RAND()&lt;'Team_Info'!$E$5,"W","B")</x:f>
        <x:v>W</x:v>
      </x:c>
      <x:c r="P403" t="str">
        <x:f>IF(RAND()&lt;'Team_Info'!$E$5,"W","B")</x:f>
        <x:v>B</x:v>
      </x:c>
      <x:c r="Q403" t="str">
        <x:f>IF(RAND()&lt;'Team_Info'!$E$5,"W","B")</x:f>
        <x:v>W</x:v>
      </x:c>
      <x:c r="R403" t="str">
        <x:f>IF(RAND()&lt;'Team_Info'!$E$5,"W","B")</x:f>
        <x:v>B</x:v>
      </x:c>
      <x:c r="S403" t="str">
        <x:f>IF(RAND()&lt;'Team_Info'!$E$5,"W","B")</x:f>
        <x:v>W</x:v>
      </x:c>
      <x:c r="T403" t="str">
        <x:f>IF(RAND()&lt;'Team_Info'!$E$5,"W","B")</x:f>
        <x:v>W</x:v>
      </x:c>
      <x:c r="U403" t="str">
        <x:f>IF(RAND()&lt;'Team_Info'!$E$5,"W","B")</x:f>
        <x:v>W</x:v>
      </x:c>
    </x:row>
    <x:row r="404">
      <x:c r="A404" s="1">
        <x:v>403</x:v>
      </x:c>
      <x:c r="B404" t="str">
        <x:f>IF(RAND()&lt;'Team_Info'!$E$5,"W","B")</x:f>
        <x:v>W</x:v>
      </x:c>
      <x:c r="C404" t="str">
        <x:f>IF(RAND()&lt;'Team_Info'!$E$5,"W","B")</x:f>
        <x:v>B</x:v>
      </x:c>
      <x:c r="D404" t="str">
        <x:f>IF(RAND()&lt;'Team_Info'!$E$5,"W","B")</x:f>
        <x:v>W</x:v>
      </x:c>
      <x:c r="E404" t="str">
        <x:f>IF(RAND()&lt;'Team_Info'!$E$5,"W","B")</x:f>
        <x:v>B</x:v>
      </x:c>
      <x:c r="F404" t="str">
        <x:f>IF(RAND()&lt;'Team_Info'!$E$5,"W","B")</x:f>
        <x:v>B</x:v>
      </x:c>
      <x:c r="G404" t="str">
        <x:f>IF(RAND()&lt;'Team_Info'!$E$5,"W","B")</x:f>
        <x:v>W</x:v>
      </x:c>
      <x:c r="H404" t="str">
        <x:f>IF(RAND()&lt;'Team_Info'!$E$5,"W","B")</x:f>
        <x:v>B</x:v>
      </x:c>
      <x:c r="I404" t="str">
        <x:f>IF(RAND()&lt;'Team_Info'!$E$5,"W","B")</x:f>
        <x:v>B</x:v>
      </x:c>
      <x:c r="J404" t="str">
        <x:f>IF(RAND()&lt;'Team_Info'!$E$5,"W","B")</x:f>
        <x:v>W</x:v>
      </x:c>
      <x:c r="K404" t="str">
        <x:f>IF(RAND()&lt;'Team_Info'!$E$5,"W","B")</x:f>
        <x:v>B</x:v>
      </x:c>
      <x:c r="L404" t="str">
        <x:f>IF(RAND()&lt;'Team_Info'!$E$5,"W","B")</x:f>
        <x:v>B</x:v>
      </x:c>
      <x:c r="M404" t="str">
        <x:f>IF(RAND()&lt;'Team_Info'!$E$5,"W","B")</x:f>
        <x:v>B</x:v>
      </x:c>
      <x:c r="N404" t="str">
        <x:f>IF(RAND()&lt;'Team_Info'!$E$5,"W","B")</x:f>
        <x:v>W</x:v>
      </x:c>
      <x:c r="O404" t="str">
        <x:f>IF(RAND()&lt;'Team_Info'!$E$5,"W","B")</x:f>
        <x:v>B</x:v>
      </x:c>
      <x:c r="P404" t="str">
        <x:f>IF(RAND()&lt;'Team_Info'!$E$5,"W","B")</x:f>
        <x:v>W</x:v>
      </x:c>
      <x:c r="Q404" t="str">
        <x:f>IF(RAND()&lt;'Team_Info'!$E$5,"W","B")</x:f>
        <x:v>B</x:v>
      </x:c>
      <x:c r="R404" t="str">
        <x:f>IF(RAND()&lt;'Team_Info'!$E$5,"W","B")</x:f>
        <x:v>B</x:v>
      </x:c>
      <x:c r="S404" t="str">
        <x:f>IF(RAND()&lt;'Team_Info'!$E$5,"W","B")</x:f>
        <x:v>B</x:v>
      </x:c>
      <x:c r="T404" t="str">
        <x:f>IF(RAND()&lt;'Team_Info'!$E$5,"W","B")</x:f>
        <x:v>W</x:v>
      </x:c>
      <x:c r="U404" t="str">
        <x:f>IF(RAND()&lt;'Team_Info'!$E$5,"W","B")</x:f>
        <x:v>B</x:v>
      </x:c>
    </x:row>
    <x:row r="405">
      <x:c r="A405" s="1">
        <x:v>404</x:v>
      </x:c>
      <x:c r="B405" t="str">
        <x:f>IF(RAND()&lt;'Team_Info'!$E$5,"W","B")</x:f>
        <x:v>B</x:v>
      </x:c>
      <x:c r="C405" t="str">
        <x:f>IF(RAND()&lt;'Team_Info'!$E$5,"W","B")</x:f>
        <x:v>W</x:v>
      </x:c>
      <x:c r="D405" t="str">
        <x:f>IF(RAND()&lt;'Team_Info'!$E$5,"W","B")</x:f>
        <x:v>B</x:v>
      </x:c>
      <x:c r="E405" t="str">
        <x:f>IF(RAND()&lt;'Team_Info'!$E$5,"W","B")</x:f>
        <x:v>W</x:v>
      </x:c>
      <x:c r="F405" t="str">
        <x:f>IF(RAND()&lt;'Team_Info'!$E$5,"W","B")</x:f>
        <x:v>B</x:v>
      </x:c>
      <x:c r="G405" t="str">
        <x:f>IF(RAND()&lt;'Team_Info'!$E$5,"W","B")</x:f>
        <x:v>W</x:v>
      </x:c>
      <x:c r="H405" t="str">
        <x:f>IF(RAND()&lt;'Team_Info'!$E$5,"W","B")</x:f>
        <x:v>B</x:v>
      </x:c>
      <x:c r="I405" t="str">
        <x:f>IF(RAND()&lt;'Team_Info'!$E$5,"W","B")</x:f>
        <x:v>B</x:v>
      </x:c>
      <x:c r="J405" t="str">
        <x:f>IF(RAND()&lt;'Team_Info'!$E$5,"W","B")</x:f>
        <x:v>W</x:v>
      </x:c>
      <x:c r="K405" t="str">
        <x:f>IF(RAND()&lt;'Team_Info'!$E$5,"W","B")</x:f>
        <x:v>W</x:v>
      </x:c>
      <x:c r="L405" t="str">
        <x:f>IF(RAND()&lt;'Team_Info'!$E$5,"W","B")</x:f>
        <x:v>W</x:v>
      </x:c>
      <x:c r="M405" t="str">
        <x:f>IF(RAND()&lt;'Team_Info'!$E$5,"W","B")</x:f>
        <x:v>B</x:v>
      </x:c>
      <x:c r="N405" t="str">
        <x:f>IF(RAND()&lt;'Team_Info'!$E$5,"W","B")</x:f>
        <x:v>B</x:v>
      </x:c>
      <x:c r="O405" t="str">
        <x:f>IF(RAND()&lt;'Team_Info'!$E$5,"W","B")</x:f>
        <x:v>W</x:v>
      </x:c>
      <x:c r="P405" t="str">
        <x:f>IF(RAND()&lt;'Team_Info'!$E$5,"W","B")</x:f>
        <x:v>W</x:v>
      </x:c>
      <x:c r="Q405" t="str">
        <x:f>IF(RAND()&lt;'Team_Info'!$E$5,"W","B")</x:f>
        <x:v>B</x:v>
      </x:c>
      <x:c r="R405" t="str">
        <x:f>IF(RAND()&lt;'Team_Info'!$E$5,"W","B")</x:f>
        <x:v>B</x:v>
      </x:c>
      <x:c r="S405" t="str">
        <x:f>IF(RAND()&lt;'Team_Info'!$E$5,"W","B")</x:f>
        <x:v>B</x:v>
      </x:c>
      <x:c r="T405" t="str">
        <x:f>IF(RAND()&lt;'Team_Info'!$E$5,"W","B")</x:f>
        <x:v>B</x:v>
      </x:c>
      <x:c r="U405" t="str">
        <x:f>IF(RAND()&lt;'Team_Info'!$E$5,"W","B")</x:f>
        <x:v>B</x:v>
      </x:c>
    </x:row>
    <x:row r="406">
      <x:c r="A406" s="1">
        <x:v>405</x:v>
      </x:c>
      <x:c r="B406" t="str">
        <x:f>IF(RAND()&lt;'Team_Info'!$E$5,"W","B")</x:f>
        <x:v>B</x:v>
      </x:c>
      <x:c r="C406" t="str">
        <x:f>IF(RAND()&lt;'Team_Info'!$E$5,"W","B")</x:f>
        <x:v>B</x:v>
      </x:c>
      <x:c r="D406" t="str">
        <x:f>IF(RAND()&lt;'Team_Info'!$E$5,"W","B")</x:f>
        <x:v>W</x:v>
      </x:c>
      <x:c r="E406" t="str">
        <x:f>IF(RAND()&lt;'Team_Info'!$E$5,"W","B")</x:f>
        <x:v>B</x:v>
      </x:c>
      <x:c r="F406" t="str">
        <x:f>IF(RAND()&lt;'Team_Info'!$E$5,"W","B")</x:f>
        <x:v>W</x:v>
      </x:c>
      <x:c r="G406" t="str">
        <x:f>IF(RAND()&lt;'Team_Info'!$E$5,"W","B")</x:f>
        <x:v>B</x:v>
      </x:c>
      <x:c r="H406" t="str">
        <x:f>IF(RAND()&lt;'Team_Info'!$E$5,"W","B")</x:f>
        <x:v>W</x:v>
      </x:c>
      <x:c r="I406" t="str">
        <x:f>IF(RAND()&lt;'Team_Info'!$E$5,"W","B")</x:f>
        <x:v>W</x:v>
      </x:c>
      <x:c r="J406" t="str">
        <x:f>IF(RAND()&lt;'Team_Info'!$E$5,"W","B")</x:f>
        <x:v>W</x:v>
      </x:c>
      <x:c r="K406" t="str">
        <x:f>IF(RAND()&lt;'Team_Info'!$E$5,"W","B")</x:f>
        <x:v>W</x:v>
      </x:c>
      <x:c r="L406" t="str">
        <x:f>IF(RAND()&lt;'Team_Info'!$E$5,"W","B")</x:f>
        <x:v>B</x:v>
      </x:c>
      <x:c r="M406" t="str">
        <x:f>IF(RAND()&lt;'Team_Info'!$E$5,"W","B")</x:f>
        <x:v>W</x:v>
      </x:c>
      <x:c r="N406" t="str">
        <x:f>IF(RAND()&lt;'Team_Info'!$E$5,"W","B")</x:f>
        <x:v>W</x:v>
      </x:c>
      <x:c r="O406" t="str">
        <x:f>IF(RAND()&lt;'Team_Info'!$E$5,"W","B")</x:f>
        <x:v>B</x:v>
      </x:c>
      <x:c r="P406" t="str">
        <x:f>IF(RAND()&lt;'Team_Info'!$E$5,"W","B")</x:f>
        <x:v>W</x:v>
      </x:c>
      <x:c r="Q406" t="str">
        <x:f>IF(RAND()&lt;'Team_Info'!$E$5,"W","B")</x:f>
        <x:v>B</x:v>
      </x:c>
      <x:c r="R406" t="str">
        <x:f>IF(RAND()&lt;'Team_Info'!$E$5,"W","B")</x:f>
        <x:v>W</x:v>
      </x:c>
      <x:c r="S406" t="str">
        <x:f>IF(RAND()&lt;'Team_Info'!$E$5,"W","B")</x:f>
        <x:v>B</x:v>
      </x:c>
      <x:c r="T406" t="str">
        <x:f>IF(RAND()&lt;'Team_Info'!$E$5,"W","B")</x:f>
        <x:v>B</x:v>
      </x:c>
      <x:c r="U406" t="str">
        <x:f>IF(RAND()&lt;'Team_Info'!$E$5,"W","B")</x:f>
        <x:v>W</x:v>
      </x:c>
    </x:row>
    <x:row r="407">
      <x:c r="A407" s="1">
        <x:v>406</x:v>
      </x:c>
      <x:c r="B407" t="str">
        <x:f>IF(RAND()&lt;'Team_Info'!$E$5,"W","B")</x:f>
        <x:v>B</x:v>
      </x:c>
      <x:c r="C407" t="str">
        <x:f>IF(RAND()&lt;'Team_Info'!$E$5,"W","B")</x:f>
        <x:v>W</x:v>
      </x:c>
      <x:c r="D407" t="str">
        <x:f>IF(RAND()&lt;'Team_Info'!$E$5,"W","B")</x:f>
        <x:v>B</x:v>
      </x:c>
      <x:c r="E407" t="str">
        <x:f>IF(RAND()&lt;'Team_Info'!$E$5,"W","B")</x:f>
        <x:v>B</x:v>
      </x:c>
      <x:c r="F407" t="str">
        <x:f>IF(RAND()&lt;'Team_Info'!$E$5,"W","B")</x:f>
        <x:v>B</x:v>
      </x:c>
      <x:c r="G407" t="str">
        <x:f>IF(RAND()&lt;'Team_Info'!$E$5,"W","B")</x:f>
        <x:v>W</x:v>
      </x:c>
      <x:c r="H407" t="str">
        <x:f>IF(RAND()&lt;'Team_Info'!$E$5,"W","B")</x:f>
        <x:v>B</x:v>
      </x:c>
      <x:c r="I407" t="str">
        <x:f>IF(RAND()&lt;'Team_Info'!$E$5,"W","B")</x:f>
        <x:v>W</x:v>
      </x:c>
      <x:c r="J407" t="str">
        <x:f>IF(RAND()&lt;'Team_Info'!$E$5,"W","B")</x:f>
        <x:v>B</x:v>
      </x:c>
      <x:c r="K407" t="str">
        <x:f>IF(RAND()&lt;'Team_Info'!$E$5,"W","B")</x:f>
        <x:v>W</x:v>
      </x:c>
      <x:c r="L407" t="str">
        <x:f>IF(RAND()&lt;'Team_Info'!$E$5,"W","B")</x:f>
        <x:v>B</x:v>
      </x:c>
      <x:c r="M407" t="str">
        <x:f>IF(RAND()&lt;'Team_Info'!$E$5,"W","B")</x:f>
        <x:v>B</x:v>
      </x:c>
      <x:c r="N407" t="str">
        <x:f>IF(RAND()&lt;'Team_Info'!$E$5,"W","B")</x:f>
        <x:v>B</x:v>
      </x:c>
      <x:c r="O407" t="str">
        <x:f>IF(RAND()&lt;'Team_Info'!$E$5,"W","B")</x:f>
        <x:v>W</x:v>
      </x:c>
      <x:c r="P407" t="str">
        <x:f>IF(RAND()&lt;'Team_Info'!$E$5,"W","B")</x:f>
        <x:v>B</x:v>
      </x:c>
      <x:c r="Q407" t="str">
        <x:f>IF(RAND()&lt;'Team_Info'!$E$5,"W","B")</x:f>
        <x:v>B</x:v>
      </x:c>
      <x:c r="R407" t="str">
        <x:f>IF(RAND()&lt;'Team_Info'!$E$5,"W","B")</x:f>
        <x:v>B</x:v>
      </x:c>
      <x:c r="S407" t="str">
        <x:f>IF(RAND()&lt;'Team_Info'!$E$5,"W","B")</x:f>
        <x:v>B</x:v>
      </x:c>
      <x:c r="T407" t="str">
        <x:f>IF(RAND()&lt;'Team_Info'!$E$5,"W","B")</x:f>
        <x:v>B</x:v>
      </x:c>
      <x:c r="U407" t="str">
        <x:f>IF(RAND()&lt;'Team_Info'!$E$5,"W","B")</x:f>
        <x:v>B</x:v>
      </x:c>
    </x:row>
    <x:row r="408">
      <x:c r="A408" s="1">
        <x:v>407</x:v>
      </x:c>
      <x:c r="B408" t="str">
        <x:f>IF(RAND()&lt;'Team_Info'!$E$5,"W","B")</x:f>
        <x:v>B</x:v>
      </x:c>
      <x:c r="C408" t="str">
        <x:f>IF(RAND()&lt;'Team_Info'!$E$5,"W","B")</x:f>
        <x:v>W</x:v>
      </x:c>
      <x:c r="D408" t="str">
        <x:f>IF(RAND()&lt;'Team_Info'!$E$5,"W","B")</x:f>
        <x:v>B</x:v>
      </x:c>
      <x:c r="E408" t="str">
        <x:f>IF(RAND()&lt;'Team_Info'!$E$5,"W","B")</x:f>
        <x:v>B</x:v>
      </x:c>
      <x:c r="F408" t="str">
        <x:f>IF(RAND()&lt;'Team_Info'!$E$5,"W","B")</x:f>
        <x:v>B</x:v>
      </x:c>
      <x:c r="G408" t="str">
        <x:f>IF(RAND()&lt;'Team_Info'!$E$5,"W","B")</x:f>
        <x:v>B</x:v>
      </x:c>
      <x:c r="H408" t="str">
        <x:f>IF(RAND()&lt;'Team_Info'!$E$5,"W","B")</x:f>
        <x:v>B</x:v>
      </x:c>
      <x:c r="I408" t="str">
        <x:f>IF(RAND()&lt;'Team_Info'!$E$5,"W","B")</x:f>
        <x:v>W</x:v>
      </x:c>
      <x:c r="J408" t="str">
        <x:f>IF(RAND()&lt;'Team_Info'!$E$5,"W","B")</x:f>
        <x:v>B</x:v>
      </x:c>
      <x:c r="K408" t="str">
        <x:f>IF(RAND()&lt;'Team_Info'!$E$5,"W","B")</x:f>
        <x:v>W</x:v>
      </x:c>
      <x:c r="L408" t="str">
        <x:f>IF(RAND()&lt;'Team_Info'!$E$5,"W","B")</x:f>
        <x:v>W</x:v>
      </x:c>
      <x:c r="M408" t="str">
        <x:f>IF(RAND()&lt;'Team_Info'!$E$5,"W","B")</x:f>
        <x:v>W</x:v>
      </x:c>
      <x:c r="N408" t="str">
        <x:f>IF(RAND()&lt;'Team_Info'!$E$5,"W","B")</x:f>
        <x:v>W</x:v>
      </x:c>
      <x:c r="O408" t="str">
        <x:f>IF(RAND()&lt;'Team_Info'!$E$5,"W","B")</x:f>
        <x:v>W</x:v>
      </x:c>
      <x:c r="P408" t="str">
        <x:f>IF(RAND()&lt;'Team_Info'!$E$5,"W","B")</x:f>
        <x:v>B</x:v>
      </x:c>
      <x:c r="Q408" t="str">
        <x:f>IF(RAND()&lt;'Team_Info'!$E$5,"W","B")</x:f>
        <x:v>B</x:v>
      </x:c>
      <x:c r="R408" t="str">
        <x:f>IF(RAND()&lt;'Team_Info'!$E$5,"W","B")</x:f>
        <x:v>W</x:v>
      </x:c>
      <x:c r="S408" t="str">
        <x:f>IF(RAND()&lt;'Team_Info'!$E$5,"W","B")</x:f>
        <x:v>B</x:v>
      </x:c>
      <x:c r="T408" t="str">
        <x:f>IF(RAND()&lt;'Team_Info'!$E$5,"W","B")</x:f>
        <x:v>B</x:v>
      </x:c>
      <x:c r="U408" t="str">
        <x:f>IF(RAND()&lt;'Team_Info'!$E$5,"W","B")</x:f>
        <x:v>B</x:v>
      </x:c>
    </x:row>
    <x:row r="409">
      <x:c r="A409" s="1">
        <x:v>408</x:v>
      </x:c>
      <x:c r="B409" t="str">
        <x:f>IF(RAND()&lt;'Team_Info'!$E$5,"W","B")</x:f>
        <x:v>B</x:v>
      </x:c>
      <x:c r="C409" t="str">
        <x:f>IF(RAND()&lt;'Team_Info'!$E$5,"W","B")</x:f>
        <x:v>W</x:v>
      </x:c>
      <x:c r="D409" t="str">
        <x:f>IF(RAND()&lt;'Team_Info'!$E$5,"W","B")</x:f>
        <x:v>B</x:v>
      </x:c>
      <x:c r="E409" t="str">
        <x:f>IF(RAND()&lt;'Team_Info'!$E$5,"W","B")</x:f>
        <x:v>W</x:v>
      </x:c>
      <x:c r="F409" t="str">
        <x:f>IF(RAND()&lt;'Team_Info'!$E$5,"W","B")</x:f>
        <x:v>B</x:v>
      </x:c>
      <x:c r="G409" t="str">
        <x:f>IF(RAND()&lt;'Team_Info'!$E$5,"W","B")</x:f>
        <x:v>W</x:v>
      </x:c>
      <x:c r="H409" t="str">
        <x:f>IF(RAND()&lt;'Team_Info'!$E$5,"W","B")</x:f>
        <x:v>W</x:v>
      </x:c>
      <x:c r="I409" t="str">
        <x:f>IF(RAND()&lt;'Team_Info'!$E$5,"W","B")</x:f>
        <x:v>B</x:v>
      </x:c>
      <x:c r="J409" t="str">
        <x:f>IF(RAND()&lt;'Team_Info'!$E$5,"W","B")</x:f>
        <x:v>B</x:v>
      </x:c>
      <x:c r="K409" t="str">
        <x:f>IF(RAND()&lt;'Team_Info'!$E$5,"W","B")</x:f>
        <x:v>B</x:v>
      </x:c>
      <x:c r="L409" t="str">
        <x:f>IF(RAND()&lt;'Team_Info'!$E$5,"W","B")</x:f>
        <x:v>B</x:v>
      </x:c>
      <x:c r="M409" t="str">
        <x:f>IF(RAND()&lt;'Team_Info'!$E$5,"W","B")</x:f>
        <x:v>W</x:v>
      </x:c>
      <x:c r="N409" t="str">
        <x:f>IF(RAND()&lt;'Team_Info'!$E$5,"W","B")</x:f>
        <x:v>B</x:v>
      </x:c>
      <x:c r="O409" t="str">
        <x:f>IF(RAND()&lt;'Team_Info'!$E$5,"W","B")</x:f>
        <x:v>B</x:v>
      </x:c>
      <x:c r="P409" t="str">
        <x:f>IF(RAND()&lt;'Team_Info'!$E$5,"W","B")</x:f>
        <x:v>B</x:v>
      </x:c>
      <x:c r="Q409" t="str">
        <x:f>IF(RAND()&lt;'Team_Info'!$E$5,"W","B")</x:f>
        <x:v>W</x:v>
      </x:c>
      <x:c r="R409" t="str">
        <x:f>IF(RAND()&lt;'Team_Info'!$E$5,"W","B")</x:f>
        <x:v>B</x:v>
      </x:c>
      <x:c r="S409" t="str">
        <x:f>IF(RAND()&lt;'Team_Info'!$E$5,"W","B")</x:f>
        <x:v>B</x:v>
      </x:c>
      <x:c r="T409" t="str">
        <x:f>IF(RAND()&lt;'Team_Info'!$E$5,"W","B")</x:f>
        <x:v>B</x:v>
      </x:c>
      <x:c r="U409" t="str">
        <x:f>IF(RAND()&lt;'Team_Info'!$E$5,"W","B")</x:f>
        <x:v>B</x:v>
      </x:c>
    </x:row>
    <x:row r="410">
      <x:c r="A410" s="1">
        <x:v>409</x:v>
      </x:c>
      <x:c r="B410" t="str">
        <x:f>IF(RAND()&lt;'Team_Info'!$E$5,"W","B")</x:f>
        <x:v>B</x:v>
      </x:c>
      <x:c r="C410" t="str">
        <x:f>IF(RAND()&lt;'Team_Info'!$E$5,"W","B")</x:f>
        <x:v>B</x:v>
      </x:c>
      <x:c r="D410" t="str">
        <x:f>IF(RAND()&lt;'Team_Info'!$E$5,"W","B")</x:f>
        <x:v>B</x:v>
      </x:c>
      <x:c r="E410" t="str">
        <x:f>IF(RAND()&lt;'Team_Info'!$E$5,"W","B")</x:f>
        <x:v>B</x:v>
      </x:c>
      <x:c r="F410" t="str">
        <x:f>IF(RAND()&lt;'Team_Info'!$E$5,"W","B")</x:f>
        <x:v>B</x:v>
      </x:c>
      <x:c r="G410" t="str">
        <x:f>IF(RAND()&lt;'Team_Info'!$E$5,"W","B")</x:f>
        <x:v>B</x:v>
      </x:c>
      <x:c r="H410" t="str">
        <x:f>IF(RAND()&lt;'Team_Info'!$E$5,"W","B")</x:f>
        <x:v>B</x:v>
      </x:c>
      <x:c r="I410" t="str">
        <x:f>IF(RAND()&lt;'Team_Info'!$E$5,"W","B")</x:f>
        <x:v>W</x:v>
      </x:c>
      <x:c r="J410" t="str">
        <x:f>IF(RAND()&lt;'Team_Info'!$E$5,"W","B")</x:f>
        <x:v>W</x:v>
      </x:c>
      <x:c r="K410" t="str">
        <x:f>IF(RAND()&lt;'Team_Info'!$E$5,"W","B")</x:f>
        <x:v>W</x:v>
      </x:c>
      <x:c r="L410" t="str">
        <x:f>IF(RAND()&lt;'Team_Info'!$E$5,"W","B")</x:f>
        <x:v>B</x:v>
      </x:c>
      <x:c r="M410" t="str">
        <x:f>IF(RAND()&lt;'Team_Info'!$E$5,"W","B")</x:f>
        <x:v>B</x:v>
      </x:c>
      <x:c r="N410" t="str">
        <x:f>IF(RAND()&lt;'Team_Info'!$E$5,"W","B")</x:f>
        <x:v>W</x:v>
      </x:c>
      <x:c r="O410" t="str">
        <x:f>IF(RAND()&lt;'Team_Info'!$E$5,"W","B")</x:f>
        <x:v>W</x:v>
      </x:c>
      <x:c r="P410" t="str">
        <x:f>IF(RAND()&lt;'Team_Info'!$E$5,"W","B")</x:f>
        <x:v>B</x:v>
      </x:c>
      <x:c r="Q410" t="str">
        <x:f>IF(RAND()&lt;'Team_Info'!$E$5,"W","B")</x:f>
        <x:v>W</x:v>
      </x:c>
      <x:c r="R410" t="str">
        <x:f>IF(RAND()&lt;'Team_Info'!$E$5,"W","B")</x:f>
        <x:v>W</x:v>
      </x:c>
      <x:c r="S410" t="str">
        <x:f>IF(RAND()&lt;'Team_Info'!$E$5,"W","B")</x:f>
        <x:v>B</x:v>
      </x:c>
      <x:c r="T410" t="str">
        <x:f>IF(RAND()&lt;'Team_Info'!$E$5,"W","B")</x:f>
        <x:v>B</x:v>
      </x:c>
      <x:c r="U410" t="str">
        <x:f>IF(RAND()&lt;'Team_Info'!$E$5,"W","B")</x:f>
        <x:v>B</x:v>
      </x:c>
    </x:row>
    <x:row r="411">
      <x:c r="A411" s="1">
        <x:v>410</x:v>
      </x:c>
      <x:c r="B411" t="str">
        <x:f>IF(RAND()&lt;'Team_Info'!$E$5,"W","B")</x:f>
        <x:v>B</x:v>
      </x:c>
      <x:c r="C411" t="str">
        <x:f>IF(RAND()&lt;'Team_Info'!$E$5,"W","B")</x:f>
        <x:v>B</x:v>
      </x:c>
      <x:c r="D411" t="str">
        <x:f>IF(RAND()&lt;'Team_Info'!$E$5,"W","B")</x:f>
        <x:v>W</x:v>
      </x:c>
      <x:c r="E411" t="str">
        <x:f>IF(RAND()&lt;'Team_Info'!$E$5,"W","B")</x:f>
        <x:v>B</x:v>
      </x:c>
      <x:c r="F411" t="str">
        <x:f>IF(RAND()&lt;'Team_Info'!$E$5,"W","B")</x:f>
        <x:v>B</x:v>
      </x:c>
      <x:c r="G411" t="str">
        <x:f>IF(RAND()&lt;'Team_Info'!$E$5,"W","B")</x:f>
        <x:v>B</x:v>
      </x:c>
      <x:c r="H411" t="str">
        <x:f>IF(RAND()&lt;'Team_Info'!$E$5,"W","B")</x:f>
        <x:v>B</x:v>
      </x:c>
      <x:c r="I411" t="str">
        <x:f>IF(RAND()&lt;'Team_Info'!$E$5,"W","B")</x:f>
        <x:v>B</x:v>
      </x:c>
      <x:c r="J411" t="str">
        <x:f>IF(RAND()&lt;'Team_Info'!$E$5,"W","B")</x:f>
        <x:v>B</x:v>
      </x:c>
      <x:c r="K411" t="str">
        <x:f>IF(RAND()&lt;'Team_Info'!$E$5,"W","B")</x:f>
        <x:v>B</x:v>
      </x:c>
      <x:c r="L411" t="str">
        <x:f>IF(RAND()&lt;'Team_Info'!$E$5,"W","B")</x:f>
        <x:v>B</x:v>
      </x:c>
      <x:c r="M411" t="str">
        <x:f>IF(RAND()&lt;'Team_Info'!$E$5,"W","B")</x:f>
        <x:v>B</x:v>
      </x:c>
      <x:c r="N411" t="str">
        <x:f>IF(RAND()&lt;'Team_Info'!$E$5,"W","B")</x:f>
        <x:v>W</x:v>
      </x:c>
      <x:c r="O411" t="str">
        <x:f>IF(RAND()&lt;'Team_Info'!$E$5,"W","B")</x:f>
        <x:v>B</x:v>
      </x:c>
      <x:c r="P411" t="str">
        <x:f>IF(RAND()&lt;'Team_Info'!$E$5,"W","B")</x:f>
        <x:v>W</x:v>
      </x:c>
      <x:c r="Q411" t="str">
        <x:f>IF(RAND()&lt;'Team_Info'!$E$5,"W","B")</x:f>
        <x:v>W</x:v>
      </x:c>
      <x:c r="R411" t="str">
        <x:f>IF(RAND()&lt;'Team_Info'!$E$5,"W","B")</x:f>
        <x:v>B</x:v>
      </x:c>
      <x:c r="S411" t="str">
        <x:f>IF(RAND()&lt;'Team_Info'!$E$5,"W","B")</x:f>
        <x:v>B</x:v>
      </x:c>
      <x:c r="T411" t="str">
        <x:f>IF(RAND()&lt;'Team_Info'!$E$5,"W","B")</x:f>
        <x:v>B</x:v>
      </x:c>
      <x:c r="U411" t="str">
        <x:f>IF(RAND()&lt;'Team_Info'!$E$5,"W","B")</x:f>
        <x:v>B</x:v>
      </x:c>
    </x:row>
    <x:row r="412">
      <x:c r="A412" s="1">
        <x:v>411</x:v>
      </x:c>
      <x:c r="B412" t="str">
        <x:f>IF(RAND()&lt;'Team_Info'!$E$5,"W","B")</x:f>
        <x:v>B</x:v>
      </x:c>
      <x:c r="C412" t="str">
        <x:f>IF(RAND()&lt;'Team_Info'!$E$5,"W","B")</x:f>
        <x:v>B</x:v>
      </x:c>
      <x:c r="D412" t="str">
        <x:f>IF(RAND()&lt;'Team_Info'!$E$5,"W","B")</x:f>
        <x:v>B</x:v>
      </x:c>
      <x:c r="E412" t="str">
        <x:f>IF(RAND()&lt;'Team_Info'!$E$5,"W","B")</x:f>
        <x:v>B</x:v>
      </x:c>
      <x:c r="F412" t="str">
        <x:f>IF(RAND()&lt;'Team_Info'!$E$5,"W","B")</x:f>
        <x:v>B</x:v>
      </x:c>
      <x:c r="G412" t="str">
        <x:f>IF(RAND()&lt;'Team_Info'!$E$5,"W","B")</x:f>
        <x:v>B</x:v>
      </x:c>
      <x:c r="H412" t="str">
        <x:f>IF(RAND()&lt;'Team_Info'!$E$5,"W","B")</x:f>
        <x:v>W</x:v>
      </x:c>
      <x:c r="I412" t="str">
        <x:f>IF(RAND()&lt;'Team_Info'!$E$5,"W","B")</x:f>
        <x:v>B</x:v>
      </x:c>
      <x:c r="J412" t="str">
        <x:f>IF(RAND()&lt;'Team_Info'!$E$5,"W","B")</x:f>
        <x:v>B</x:v>
      </x:c>
      <x:c r="K412" t="str">
        <x:f>IF(RAND()&lt;'Team_Info'!$E$5,"W","B")</x:f>
        <x:v>W</x:v>
      </x:c>
      <x:c r="L412" t="str">
        <x:f>IF(RAND()&lt;'Team_Info'!$E$5,"W","B")</x:f>
        <x:v>B</x:v>
      </x:c>
      <x:c r="M412" t="str">
        <x:f>IF(RAND()&lt;'Team_Info'!$E$5,"W","B")</x:f>
        <x:v>W</x:v>
      </x:c>
      <x:c r="N412" t="str">
        <x:f>IF(RAND()&lt;'Team_Info'!$E$5,"W","B")</x:f>
        <x:v>W</x:v>
      </x:c>
      <x:c r="O412" t="str">
        <x:f>IF(RAND()&lt;'Team_Info'!$E$5,"W","B")</x:f>
        <x:v>W</x:v>
      </x:c>
      <x:c r="P412" t="str">
        <x:f>IF(RAND()&lt;'Team_Info'!$E$5,"W","B")</x:f>
        <x:v>W</x:v>
      </x:c>
      <x:c r="Q412" t="str">
        <x:f>IF(RAND()&lt;'Team_Info'!$E$5,"W","B")</x:f>
        <x:v>W</x:v>
      </x:c>
      <x:c r="R412" t="str">
        <x:f>IF(RAND()&lt;'Team_Info'!$E$5,"W","B")</x:f>
        <x:v>B</x:v>
      </x:c>
      <x:c r="S412" t="str">
        <x:f>IF(RAND()&lt;'Team_Info'!$E$5,"W","B")</x:f>
        <x:v>W</x:v>
      </x:c>
      <x:c r="T412" t="str">
        <x:f>IF(RAND()&lt;'Team_Info'!$E$5,"W","B")</x:f>
        <x:v>B</x:v>
      </x:c>
      <x:c r="U412" t="str">
        <x:f>IF(RAND()&lt;'Team_Info'!$E$5,"W","B")</x:f>
        <x:v>W</x:v>
      </x:c>
    </x:row>
    <x:row r="413">
      <x:c r="A413" s="1">
        <x:v>412</x:v>
      </x:c>
      <x:c r="B413" t="str">
        <x:f>IF(RAND()&lt;'Team_Info'!$E$5,"W","B")</x:f>
        <x:v>B</x:v>
      </x:c>
      <x:c r="C413" t="str">
        <x:f>IF(RAND()&lt;'Team_Info'!$E$5,"W","B")</x:f>
        <x:v>W</x:v>
      </x:c>
      <x:c r="D413" t="str">
        <x:f>IF(RAND()&lt;'Team_Info'!$E$5,"W","B")</x:f>
        <x:v>W</x:v>
      </x:c>
      <x:c r="E413" t="str">
        <x:f>IF(RAND()&lt;'Team_Info'!$E$5,"W","B")</x:f>
        <x:v>B</x:v>
      </x:c>
      <x:c r="F413" t="str">
        <x:f>IF(RAND()&lt;'Team_Info'!$E$5,"W","B")</x:f>
        <x:v>W</x:v>
      </x:c>
      <x:c r="G413" t="str">
        <x:f>IF(RAND()&lt;'Team_Info'!$E$5,"W","B")</x:f>
        <x:v>B</x:v>
      </x:c>
      <x:c r="H413" t="str">
        <x:f>IF(RAND()&lt;'Team_Info'!$E$5,"W","B")</x:f>
        <x:v>B</x:v>
      </x:c>
      <x:c r="I413" t="str">
        <x:f>IF(RAND()&lt;'Team_Info'!$E$5,"W","B")</x:f>
        <x:v>B</x:v>
      </x:c>
      <x:c r="J413" t="str">
        <x:f>IF(RAND()&lt;'Team_Info'!$E$5,"W","B")</x:f>
        <x:v>B</x:v>
      </x:c>
      <x:c r="K413" t="str">
        <x:f>IF(RAND()&lt;'Team_Info'!$E$5,"W","B")</x:f>
        <x:v>W</x:v>
      </x:c>
      <x:c r="L413" t="str">
        <x:f>IF(RAND()&lt;'Team_Info'!$E$5,"W","B")</x:f>
        <x:v>W</x:v>
      </x:c>
      <x:c r="M413" t="str">
        <x:f>IF(RAND()&lt;'Team_Info'!$E$5,"W","B")</x:f>
        <x:v>B</x:v>
      </x:c>
      <x:c r="N413" t="str">
        <x:f>IF(RAND()&lt;'Team_Info'!$E$5,"W","B")</x:f>
        <x:v>B</x:v>
      </x:c>
      <x:c r="O413" t="str">
        <x:f>IF(RAND()&lt;'Team_Info'!$E$5,"W","B")</x:f>
        <x:v>B</x:v>
      </x:c>
      <x:c r="P413" t="str">
        <x:f>IF(RAND()&lt;'Team_Info'!$E$5,"W","B")</x:f>
        <x:v>B</x:v>
      </x:c>
      <x:c r="Q413" t="str">
        <x:f>IF(RAND()&lt;'Team_Info'!$E$5,"W","B")</x:f>
        <x:v>W</x:v>
      </x:c>
      <x:c r="R413" t="str">
        <x:f>IF(RAND()&lt;'Team_Info'!$E$5,"W","B")</x:f>
        <x:v>B</x:v>
      </x:c>
      <x:c r="S413" t="str">
        <x:f>IF(RAND()&lt;'Team_Info'!$E$5,"W","B")</x:f>
        <x:v>B</x:v>
      </x:c>
      <x:c r="T413" t="str">
        <x:f>IF(RAND()&lt;'Team_Info'!$E$5,"W","B")</x:f>
        <x:v>B</x:v>
      </x:c>
      <x:c r="U413" t="str">
        <x:f>IF(RAND()&lt;'Team_Info'!$E$5,"W","B")</x:f>
        <x:v>B</x:v>
      </x:c>
    </x:row>
    <x:row r="414">
      <x:c r="A414" s="1">
        <x:v>413</x:v>
      </x:c>
      <x:c r="B414" t="str">
        <x:f>IF(RAND()&lt;'Team_Info'!$E$5,"W","B")</x:f>
        <x:v>W</x:v>
      </x:c>
      <x:c r="C414" t="str">
        <x:f>IF(RAND()&lt;'Team_Info'!$E$5,"W","B")</x:f>
        <x:v>B</x:v>
      </x:c>
      <x:c r="D414" t="str">
        <x:f>IF(RAND()&lt;'Team_Info'!$E$5,"W","B")</x:f>
        <x:v>B</x:v>
      </x:c>
      <x:c r="E414" t="str">
        <x:f>IF(RAND()&lt;'Team_Info'!$E$5,"W","B")</x:f>
        <x:v>W</x:v>
      </x:c>
      <x:c r="F414" t="str">
        <x:f>IF(RAND()&lt;'Team_Info'!$E$5,"W","B")</x:f>
        <x:v>B</x:v>
      </x:c>
      <x:c r="G414" t="str">
        <x:f>IF(RAND()&lt;'Team_Info'!$E$5,"W","B")</x:f>
        <x:v>B</x:v>
      </x:c>
      <x:c r="H414" t="str">
        <x:f>IF(RAND()&lt;'Team_Info'!$E$5,"W","B")</x:f>
        <x:v>B</x:v>
      </x:c>
      <x:c r="I414" t="str">
        <x:f>IF(RAND()&lt;'Team_Info'!$E$5,"W","B")</x:f>
        <x:v>B</x:v>
      </x:c>
      <x:c r="J414" t="str">
        <x:f>IF(RAND()&lt;'Team_Info'!$E$5,"W","B")</x:f>
        <x:v>B</x:v>
      </x:c>
      <x:c r="K414" t="str">
        <x:f>IF(RAND()&lt;'Team_Info'!$E$5,"W","B")</x:f>
        <x:v>B</x:v>
      </x:c>
      <x:c r="L414" t="str">
        <x:f>IF(RAND()&lt;'Team_Info'!$E$5,"W","B")</x:f>
        <x:v>B</x:v>
      </x:c>
      <x:c r="M414" t="str">
        <x:f>IF(RAND()&lt;'Team_Info'!$E$5,"W","B")</x:f>
        <x:v>B</x:v>
      </x:c>
      <x:c r="N414" t="str">
        <x:f>IF(RAND()&lt;'Team_Info'!$E$5,"W","B")</x:f>
        <x:v>B</x:v>
      </x:c>
      <x:c r="O414" t="str">
        <x:f>IF(RAND()&lt;'Team_Info'!$E$5,"W","B")</x:f>
        <x:v>B</x:v>
      </x:c>
      <x:c r="P414" t="str">
        <x:f>IF(RAND()&lt;'Team_Info'!$E$5,"W","B")</x:f>
        <x:v>B</x:v>
      </x:c>
      <x:c r="Q414" t="str">
        <x:f>IF(RAND()&lt;'Team_Info'!$E$5,"W","B")</x:f>
        <x:v>B</x:v>
      </x:c>
      <x:c r="R414" t="str">
        <x:f>IF(RAND()&lt;'Team_Info'!$E$5,"W","B")</x:f>
        <x:v>B</x:v>
      </x:c>
      <x:c r="S414" t="str">
        <x:f>IF(RAND()&lt;'Team_Info'!$E$5,"W","B")</x:f>
        <x:v>B</x:v>
      </x:c>
      <x:c r="T414" t="str">
        <x:f>IF(RAND()&lt;'Team_Info'!$E$5,"W","B")</x:f>
        <x:v>B</x:v>
      </x:c>
      <x:c r="U414" t="str">
        <x:f>IF(RAND()&lt;'Team_Info'!$E$5,"W","B")</x:f>
        <x:v>B</x:v>
      </x:c>
    </x:row>
    <x:row r="415">
      <x:c r="A415" s="1">
        <x:v>414</x:v>
      </x:c>
      <x:c r="B415" t="str">
        <x:f>IF(RAND()&lt;'Team_Info'!$E$5,"W","B")</x:f>
        <x:v>W</x:v>
      </x:c>
      <x:c r="C415" t="str">
        <x:f>IF(RAND()&lt;'Team_Info'!$E$5,"W","B")</x:f>
        <x:v>B</x:v>
      </x:c>
      <x:c r="D415" t="str">
        <x:f>IF(RAND()&lt;'Team_Info'!$E$5,"W","B")</x:f>
        <x:v>W</x:v>
      </x:c>
      <x:c r="E415" t="str">
        <x:f>IF(RAND()&lt;'Team_Info'!$E$5,"W","B")</x:f>
        <x:v>B</x:v>
      </x:c>
      <x:c r="F415" t="str">
        <x:f>IF(RAND()&lt;'Team_Info'!$E$5,"W","B")</x:f>
        <x:v>W</x:v>
      </x:c>
      <x:c r="G415" t="str">
        <x:f>IF(RAND()&lt;'Team_Info'!$E$5,"W","B")</x:f>
        <x:v>B</x:v>
      </x:c>
      <x:c r="H415" t="str">
        <x:f>IF(RAND()&lt;'Team_Info'!$E$5,"W","B")</x:f>
        <x:v>W</x:v>
      </x:c>
      <x:c r="I415" t="str">
        <x:f>IF(RAND()&lt;'Team_Info'!$E$5,"W","B")</x:f>
        <x:v>B</x:v>
      </x:c>
      <x:c r="J415" t="str">
        <x:f>IF(RAND()&lt;'Team_Info'!$E$5,"W","B")</x:f>
        <x:v>B</x:v>
      </x:c>
      <x:c r="K415" t="str">
        <x:f>IF(RAND()&lt;'Team_Info'!$E$5,"W","B")</x:f>
        <x:v>W</x:v>
      </x:c>
      <x:c r="L415" t="str">
        <x:f>IF(RAND()&lt;'Team_Info'!$E$5,"W","B")</x:f>
        <x:v>B</x:v>
      </x:c>
      <x:c r="M415" t="str">
        <x:f>IF(RAND()&lt;'Team_Info'!$E$5,"W","B")</x:f>
        <x:v>B</x:v>
      </x:c>
      <x:c r="N415" t="str">
        <x:f>IF(RAND()&lt;'Team_Info'!$E$5,"W","B")</x:f>
        <x:v>W</x:v>
      </x:c>
      <x:c r="O415" t="str">
        <x:f>IF(RAND()&lt;'Team_Info'!$E$5,"W","B")</x:f>
        <x:v>B</x:v>
      </x:c>
      <x:c r="P415" t="str">
        <x:f>IF(RAND()&lt;'Team_Info'!$E$5,"W","B")</x:f>
        <x:v>W</x:v>
      </x:c>
      <x:c r="Q415" t="str">
        <x:f>IF(RAND()&lt;'Team_Info'!$E$5,"W","B")</x:f>
        <x:v>B</x:v>
      </x:c>
      <x:c r="R415" t="str">
        <x:f>IF(RAND()&lt;'Team_Info'!$E$5,"W","B")</x:f>
        <x:v>B</x:v>
      </x:c>
      <x:c r="S415" t="str">
        <x:f>IF(RAND()&lt;'Team_Info'!$E$5,"W","B")</x:f>
        <x:v>B</x:v>
      </x:c>
      <x:c r="T415" t="str">
        <x:f>IF(RAND()&lt;'Team_Info'!$E$5,"W","B")</x:f>
        <x:v>W</x:v>
      </x:c>
      <x:c r="U415" t="str">
        <x:f>IF(RAND()&lt;'Team_Info'!$E$5,"W","B")</x:f>
        <x:v>B</x:v>
      </x:c>
    </x:row>
    <x:row r="416">
      <x:c r="A416" s="1">
        <x:v>415</x:v>
      </x:c>
      <x:c r="B416" t="str">
        <x:f>IF(RAND()&lt;'Team_Info'!$E$5,"W","B")</x:f>
        <x:v>B</x:v>
      </x:c>
      <x:c r="C416" t="str">
        <x:f>IF(RAND()&lt;'Team_Info'!$E$5,"W","B")</x:f>
        <x:v>B</x:v>
      </x:c>
      <x:c r="D416" t="str">
        <x:f>IF(RAND()&lt;'Team_Info'!$E$5,"W","B")</x:f>
        <x:v>W</x:v>
      </x:c>
      <x:c r="E416" t="str">
        <x:f>IF(RAND()&lt;'Team_Info'!$E$5,"W","B")</x:f>
        <x:v>W</x:v>
      </x:c>
      <x:c r="F416" t="str">
        <x:f>IF(RAND()&lt;'Team_Info'!$E$5,"W","B")</x:f>
        <x:v>B</x:v>
      </x:c>
      <x:c r="G416" t="str">
        <x:f>IF(RAND()&lt;'Team_Info'!$E$5,"W","B")</x:f>
        <x:v>B</x:v>
      </x:c>
      <x:c r="H416" t="str">
        <x:f>IF(RAND()&lt;'Team_Info'!$E$5,"W","B")</x:f>
        <x:v>B</x:v>
      </x:c>
      <x:c r="I416" t="str">
        <x:f>IF(RAND()&lt;'Team_Info'!$E$5,"W","B")</x:f>
        <x:v>B</x:v>
      </x:c>
      <x:c r="J416" t="str">
        <x:f>IF(RAND()&lt;'Team_Info'!$E$5,"W","B")</x:f>
        <x:v>B</x:v>
      </x:c>
      <x:c r="K416" t="str">
        <x:f>IF(RAND()&lt;'Team_Info'!$E$5,"W","B")</x:f>
        <x:v>B</x:v>
      </x:c>
      <x:c r="L416" t="str">
        <x:f>IF(RAND()&lt;'Team_Info'!$E$5,"W","B")</x:f>
        <x:v>W</x:v>
      </x:c>
      <x:c r="M416" t="str">
        <x:f>IF(RAND()&lt;'Team_Info'!$E$5,"W","B")</x:f>
        <x:v>W</x:v>
      </x:c>
      <x:c r="N416" t="str">
        <x:f>IF(RAND()&lt;'Team_Info'!$E$5,"W","B")</x:f>
        <x:v>W</x:v>
      </x:c>
      <x:c r="O416" t="str">
        <x:f>IF(RAND()&lt;'Team_Info'!$E$5,"W","B")</x:f>
        <x:v>B</x:v>
      </x:c>
      <x:c r="P416" t="str">
        <x:f>IF(RAND()&lt;'Team_Info'!$E$5,"W","B")</x:f>
        <x:v>B</x:v>
      </x:c>
      <x:c r="Q416" t="str">
        <x:f>IF(RAND()&lt;'Team_Info'!$E$5,"W","B")</x:f>
        <x:v>B</x:v>
      </x:c>
      <x:c r="R416" t="str">
        <x:f>IF(RAND()&lt;'Team_Info'!$E$5,"W","B")</x:f>
        <x:v>B</x:v>
      </x:c>
      <x:c r="S416" t="str">
        <x:f>IF(RAND()&lt;'Team_Info'!$E$5,"W","B")</x:f>
        <x:v>B</x:v>
      </x:c>
      <x:c r="T416" t="str">
        <x:f>IF(RAND()&lt;'Team_Info'!$E$5,"W","B")</x:f>
        <x:v>W</x:v>
      </x:c>
      <x:c r="U416" t="str">
        <x:f>IF(RAND()&lt;'Team_Info'!$E$5,"W","B")</x:f>
        <x:v>B</x:v>
      </x:c>
    </x:row>
    <x:row r="417">
      <x:c r="A417" s="1">
        <x:v>416</x:v>
      </x:c>
      <x:c r="B417" t="str">
        <x:f>IF(RAND()&lt;'Team_Info'!$E$5,"W","B")</x:f>
        <x:v>W</x:v>
      </x:c>
      <x:c r="C417" t="str">
        <x:f>IF(RAND()&lt;'Team_Info'!$E$5,"W","B")</x:f>
        <x:v>B</x:v>
      </x:c>
      <x:c r="D417" t="str">
        <x:f>IF(RAND()&lt;'Team_Info'!$E$5,"W","B")</x:f>
        <x:v>W</x:v>
      </x:c>
      <x:c r="E417" t="str">
        <x:f>IF(RAND()&lt;'Team_Info'!$E$5,"W","B")</x:f>
        <x:v>W</x:v>
      </x:c>
      <x:c r="F417" t="str">
        <x:f>IF(RAND()&lt;'Team_Info'!$E$5,"W","B")</x:f>
        <x:v>W</x:v>
      </x:c>
      <x:c r="G417" t="str">
        <x:f>IF(RAND()&lt;'Team_Info'!$E$5,"W","B")</x:f>
        <x:v>W</x:v>
      </x:c>
      <x:c r="H417" t="str">
        <x:f>IF(RAND()&lt;'Team_Info'!$E$5,"W","B")</x:f>
        <x:v>B</x:v>
      </x:c>
      <x:c r="I417" t="str">
        <x:f>IF(RAND()&lt;'Team_Info'!$E$5,"W","B")</x:f>
        <x:v>B</x:v>
      </x:c>
      <x:c r="J417" t="str">
        <x:f>IF(RAND()&lt;'Team_Info'!$E$5,"W","B")</x:f>
        <x:v>W</x:v>
      </x:c>
      <x:c r="K417" t="str">
        <x:f>IF(RAND()&lt;'Team_Info'!$E$5,"W","B")</x:f>
        <x:v>B</x:v>
      </x:c>
      <x:c r="L417" t="str">
        <x:f>IF(RAND()&lt;'Team_Info'!$E$5,"W","B")</x:f>
        <x:v>W</x:v>
      </x:c>
      <x:c r="M417" t="str">
        <x:f>IF(RAND()&lt;'Team_Info'!$E$5,"W","B")</x:f>
        <x:v>W</x:v>
      </x:c>
      <x:c r="N417" t="str">
        <x:f>IF(RAND()&lt;'Team_Info'!$E$5,"W","B")</x:f>
        <x:v>B</x:v>
      </x:c>
      <x:c r="O417" t="str">
        <x:f>IF(RAND()&lt;'Team_Info'!$E$5,"W","B")</x:f>
        <x:v>B</x:v>
      </x:c>
      <x:c r="P417" t="str">
        <x:f>IF(RAND()&lt;'Team_Info'!$E$5,"W","B")</x:f>
        <x:v>W</x:v>
      </x:c>
      <x:c r="Q417" t="str">
        <x:f>IF(RAND()&lt;'Team_Info'!$E$5,"W","B")</x:f>
        <x:v>W</x:v>
      </x:c>
      <x:c r="R417" t="str">
        <x:f>IF(RAND()&lt;'Team_Info'!$E$5,"W","B")</x:f>
        <x:v>B</x:v>
      </x:c>
      <x:c r="S417" t="str">
        <x:f>IF(RAND()&lt;'Team_Info'!$E$5,"W","B")</x:f>
        <x:v>W</x:v>
      </x:c>
      <x:c r="T417" t="str">
        <x:f>IF(RAND()&lt;'Team_Info'!$E$5,"W","B")</x:f>
        <x:v>W</x:v>
      </x:c>
      <x:c r="U417" t="str">
        <x:f>IF(RAND()&lt;'Team_Info'!$E$5,"W","B")</x:f>
        <x:v>W</x:v>
      </x:c>
    </x:row>
    <x:row r="418">
      <x:c r="A418" s="1">
        <x:v>417</x:v>
      </x:c>
      <x:c r="B418" t="str">
        <x:f>IF(RAND()&lt;'Team_Info'!$E$5,"W","B")</x:f>
        <x:v>W</x:v>
      </x:c>
      <x:c r="C418" t="str">
        <x:f>IF(RAND()&lt;'Team_Info'!$E$5,"W","B")</x:f>
        <x:v>B</x:v>
      </x:c>
      <x:c r="D418" t="str">
        <x:f>IF(RAND()&lt;'Team_Info'!$E$5,"W","B")</x:f>
        <x:v>W</x:v>
      </x:c>
      <x:c r="E418" t="str">
        <x:f>IF(RAND()&lt;'Team_Info'!$E$5,"W","B")</x:f>
        <x:v>B</x:v>
      </x:c>
      <x:c r="F418" t="str">
        <x:f>IF(RAND()&lt;'Team_Info'!$E$5,"W","B")</x:f>
        <x:v>W</x:v>
      </x:c>
      <x:c r="G418" t="str">
        <x:f>IF(RAND()&lt;'Team_Info'!$E$5,"W","B")</x:f>
        <x:v>W</x:v>
      </x:c>
      <x:c r="H418" t="str">
        <x:f>IF(RAND()&lt;'Team_Info'!$E$5,"W","B")</x:f>
        <x:v>W</x:v>
      </x:c>
      <x:c r="I418" t="str">
        <x:f>IF(RAND()&lt;'Team_Info'!$E$5,"W","B")</x:f>
        <x:v>B</x:v>
      </x:c>
      <x:c r="J418" t="str">
        <x:f>IF(RAND()&lt;'Team_Info'!$E$5,"W","B")</x:f>
        <x:v>W</x:v>
      </x:c>
      <x:c r="K418" t="str">
        <x:f>IF(RAND()&lt;'Team_Info'!$E$5,"W","B")</x:f>
        <x:v>B</x:v>
      </x:c>
      <x:c r="L418" t="str">
        <x:f>IF(RAND()&lt;'Team_Info'!$E$5,"W","B")</x:f>
        <x:v>B</x:v>
      </x:c>
      <x:c r="M418" t="str">
        <x:f>IF(RAND()&lt;'Team_Info'!$E$5,"W","B")</x:f>
        <x:v>B</x:v>
      </x:c>
      <x:c r="N418" t="str">
        <x:f>IF(RAND()&lt;'Team_Info'!$E$5,"W","B")</x:f>
        <x:v>B</x:v>
      </x:c>
      <x:c r="O418" t="str">
        <x:f>IF(RAND()&lt;'Team_Info'!$E$5,"W","B")</x:f>
        <x:v>W</x:v>
      </x:c>
      <x:c r="P418" t="str">
        <x:f>IF(RAND()&lt;'Team_Info'!$E$5,"W","B")</x:f>
        <x:v>B</x:v>
      </x:c>
      <x:c r="Q418" t="str">
        <x:f>IF(RAND()&lt;'Team_Info'!$E$5,"W","B")</x:f>
        <x:v>W</x:v>
      </x:c>
      <x:c r="R418" t="str">
        <x:f>IF(RAND()&lt;'Team_Info'!$E$5,"W","B")</x:f>
        <x:v>W</x:v>
      </x:c>
      <x:c r="S418" t="str">
        <x:f>IF(RAND()&lt;'Team_Info'!$E$5,"W","B")</x:f>
        <x:v>B</x:v>
      </x:c>
      <x:c r="T418" t="str">
        <x:f>IF(RAND()&lt;'Team_Info'!$E$5,"W","B")</x:f>
        <x:v>B</x:v>
      </x:c>
      <x:c r="U418" t="str">
        <x:f>IF(RAND()&lt;'Team_Info'!$E$5,"W","B")</x:f>
        <x:v>B</x:v>
      </x:c>
    </x:row>
    <x:row r="419">
      <x:c r="A419" s="1">
        <x:v>418</x:v>
      </x:c>
      <x:c r="B419" t="str">
        <x:f>IF(RAND()&lt;'Team_Info'!$E$5,"W","B")</x:f>
        <x:v>B</x:v>
      </x:c>
      <x:c r="C419" t="str">
        <x:f>IF(RAND()&lt;'Team_Info'!$E$5,"W","B")</x:f>
        <x:v>B</x:v>
      </x:c>
      <x:c r="D419" t="str">
        <x:f>IF(RAND()&lt;'Team_Info'!$E$5,"W","B")</x:f>
        <x:v>B</x:v>
      </x:c>
      <x:c r="E419" t="str">
        <x:f>IF(RAND()&lt;'Team_Info'!$E$5,"W","B")</x:f>
        <x:v>B</x:v>
      </x:c>
      <x:c r="F419" t="str">
        <x:f>IF(RAND()&lt;'Team_Info'!$E$5,"W","B")</x:f>
        <x:v>B</x:v>
      </x:c>
      <x:c r="G419" t="str">
        <x:f>IF(RAND()&lt;'Team_Info'!$E$5,"W","B")</x:f>
        <x:v>B</x:v>
      </x:c>
      <x:c r="H419" t="str">
        <x:f>IF(RAND()&lt;'Team_Info'!$E$5,"W","B")</x:f>
        <x:v>W</x:v>
      </x:c>
      <x:c r="I419" t="str">
        <x:f>IF(RAND()&lt;'Team_Info'!$E$5,"W","B")</x:f>
        <x:v>W</x:v>
      </x:c>
      <x:c r="J419" t="str">
        <x:f>IF(RAND()&lt;'Team_Info'!$E$5,"W","B")</x:f>
        <x:v>W</x:v>
      </x:c>
      <x:c r="K419" t="str">
        <x:f>IF(RAND()&lt;'Team_Info'!$E$5,"W","B")</x:f>
        <x:v>B</x:v>
      </x:c>
      <x:c r="L419" t="str">
        <x:f>IF(RAND()&lt;'Team_Info'!$E$5,"W","B")</x:f>
        <x:v>W</x:v>
      </x:c>
      <x:c r="M419" t="str">
        <x:f>IF(RAND()&lt;'Team_Info'!$E$5,"W","B")</x:f>
        <x:v>W</x:v>
      </x:c>
      <x:c r="N419" t="str">
        <x:f>IF(RAND()&lt;'Team_Info'!$E$5,"W","B")</x:f>
        <x:v>B</x:v>
      </x:c>
      <x:c r="O419" t="str">
        <x:f>IF(RAND()&lt;'Team_Info'!$E$5,"W","B")</x:f>
        <x:v>B</x:v>
      </x:c>
      <x:c r="P419" t="str">
        <x:f>IF(RAND()&lt;'Team_Info'!$E$5,"W","B")</x:f>
        <x:v>B</x:v>
      </x:c>
      <x:c r="Q419" t="str">
        <x:f>IF(RAND()&lt;'Team_Info'!$E$5,"W","B")</x:f>
        <x:v>B</x:v>
      </x:c>
      <x:c r="R419" t="str">
        <x:f>IF(RAND()&lt;'Team_Info'!$E$5,"W","B")</x:f>
        <x:v>W</x:v>
      </x:c>
      <x:c r="S419" t="str">
        <x:f>IF(RAND()&lt;'Team_Info'!$E$5,"W","B")</x:f>
        <x:v>W</x:v>
      </x:c>
      <x:c r="T419" t="str">
        <x:f>IF(RAND()&lt;'Team_Info'!$E$5,"W","B")</x:f>
        <x:v>B</x:v>
      </x:c>
      <x:c r="U419" t="str">
        <x:f>IF(RAND()&lt;'Team_Info'!$E$5,"W","B")</x:f>
        <x:v>W</x:v>
      </x:c>
    </x:row>
    <x:row r="420">
      <x:c r="A420" s="1">
        <x:v>419</x:v>
      </x:c>
      <x:c r="B420" t="str">
        <x:f>IF(RAND()&lt;'Team_Info'!$E$5,"W","B")</x:f>
        <x:v>W</x:v>
      </x:c>
      <x:c r="C420" t="str">
        <x:f>IF(RAND()&lt;'Team_Info'!$E$5,"W","B")</x:f>
        <x:v>W</x:v>
      </x:c>
      <x:c r="D420" t="str">
        <x:f>IF(RAND()&lt;'Team_Info'!$E$5,"W","B")</x:f>
        <x:v>B</x:v>
      </x:c>
      <x:c r="E420" t="str">
        <x:f>IF(RAND()&lt;'Team_Info'!$E$5,"W","B")</x:f>
        <x:v>W</x:v>
      </x:c>
      <x:c r="F420" t="str">
        <x:f>IF(RAND()&lt;'Team_Info'!$E$5,"W","B")</x:f>
        <x:v>W</x:v>
      </x:c>
      <x:c r="G420" t="str">
        <x:f>IF(RAND()&lt;'Team_Info'!$E$5,"W","B")</x:f>
        <x:v>B</x:v>
      </x:c>
      <x:c r="H420" t="str">
        <x:f>IF(RAND()&lt;'Team_Info'!$E$5,"W","B")</x:f>
        <x:v>B</x:v>
      </x:c>
      <x:c r="I420" t="str">
        <x:f>IF(RAND()&lt;'Team_Info'!$E$5,"W","B")</x:f>
        <x:v>B</x:v>
      </x:c>
      <x:c r="J420" t="str">
        <x:f>IF(RAND()&lt;'Team_Info'!$E$5,"W","B")</x:f>
        <x:v>B</x:v>
      </x:c>
      <x:c r="K420" t="str">
        <x:f>IF(RAND()&lt;'Team_Info'!$E$5,"W","B")</x:f>
        <x:v>B</x:v>
      </x:c>
      <x:c r="L420" t="str">
        <x:f>IF(RAND()&lt;'Team_Info'!$E$5,"W","B")</x:f>
        <x:v>W</x:v>
      </x:c>
      <x:c r="M420" t="str">
        <x:f>IF(RAND()&lt;'Team_Info'!$E$5,"W","B")</x:f>
        <x:v>B</x:v>
      </x:c>
      <x:c r="N420" t="str">
        <x:f>IF(RAND()&lt;'Team_Info'!$E$5,"W","B")</x:f>
        <x:v>B</x:v>
      </x:c>
      <x:c r="O420" t="str">
        <x:f>IF(RAND()&lt;'Team_Info'!$E$5,"W","B")</x:f>
        <x:v>W</x:v>
      </x:c>
      <x:c r="P420" t="str">
        <x:f>IF(RAND()&lt;'Team_Info'!$E$5,"W","B")</x:f>
        <x:v>W</x:v>
      </x:c>
      <x:c r="Q420" t="str">
        <x:f>IF(RAND()&lt;'Team_Info'!$E$5,"W","B")</x:f>
        <x:v>W</x:v>
      </x:c>
      <x:c r="R420" t="str">
        <x:f>IF(RAND()&lt;'Team_Info'!$E$5,"W","B")</x:f>
        <x:v>B</x:v>
      </x:c>
      <x:c r="S420" t="str">
        <x:f>IF(RAND()&lt;'Team_Info'!$E$5,"W","B")</x:f>
        <x:v>B</x:v>
      </x:c>
      <x:c r="T420" t="str">
        <x:f>IF(RAND()&lt;'Team_Info'!$E$5,"W","B")</x:f>
        <x:v>B</x:v>
      </x:c>
      <x:c r="U420" t="str">
        <x:f>IF(RAND()&lt;'Team_Info'!$E$5,"W","B")</x:f>
        <x:v>W</x:v>
      </x:c>
    </x:row>
    <x:row r="421">
      <x:c r="A421" s="1">
        <x:v>420</x:v>
      </x:c>
      <x:c r="B421" t="str">
        <x:f>IF(RAND()&lt;'Team_Info'!$E$5,"W","B")</x:f>
        <x:v>W</x:v>
      </x:c>
      <x:c r="C421" t="str">
        <x:f>IF(RAND()&lt;'Team_Info'!$E$5,"W","B")</x:f>
        <x:v>B</x:v>
      </x:c>
      <x:c r="D421" t="str">
        <x:f>IF(RAND()&lt;'Team_Info'!$E$5,"W","B")</x:f>
        <x:v>W</x:v>
      </x:c>
      <x:c r="E421" t="str">
        <x:f>IF(RAND()&lt;'Team_Info'!$E$5,"W","B")</x:f>
        <x:v>B</x:v>
      </x:c>
      <x:c r="F421" t="str">
        <x:f>IF(RAND()&lt;'Team_Info'!$E$5,"W","B")</x:f>
        <x:v>B</x:v>
      </x:c>
      <x:c r="G421" t="str">
        <x:f>IF(RAND()&lt;'Team_Info'!$E$5,"W","B")</x:f>
        <x:v>B</x:v>
      </x:c>
      <x:c r="H421" t="str">
        <x:f>IF(RAND()&lt;'Team_Info'!$E$5,"W","B")</x:f>
        <x:v>W</x:v>
      </x:c>
      <x:c r="I421" t="str">
        <x:f>IF(RAND()&lt;'Team_Info'!$E$5,"W","B")</x:f>
        <x:v>B</x:v>
      </x:c>
      <x:c r="J421" t="str">
        <x:f>IF(RAND()&lt;'Team_Info'!$E$5,"W","B")</x:f>
        <x:v>B</x:v>
      </x:c>
      <x:c r="K421" t="str">
        <x:f>IF(RAND()&lt;'Team_Info'!$E$5,"W","B")</x:f>
        <x:v>W</x:v>
      </x:c>
      <x:c r="L421" t="str">
        <x:f>IF(RAND()&lt;'Team_Info'!$E$5,"W","B")</x:f>
        <x:v>B</x:v>
      </x:c>
      <x:c r="M421" t="str">
        <x:f>IF(RAND()&lt;'Team_Info'!$E$5,"W","B")</x:f>
        <x:v>B</x:v>
      </x:c>
      <x:c r="N421" t="str">
        <x:f>IF(RAND()&lt;'Team_Info'!$E$5,"W","B")</x:f>
        <x:v>W</x:v>
      </x:c>
      <x:c r="O421" t="str">
        <x:f>IF(RAND()&lt;'Team_Info'!$E$5,"W","B")</x:f>
        <x:v>B</x:v>
      </x:c>
      <x:c r="P421" t="str">
        <x:f>IF(RAND()&lt;'Team_Info'!$E$5,"W","B")</x:f>
        <x:v>W</x:v>
      </x:c>
      <x:c r="Q421" t="str">
        <x:f>IF(RAND()&lt;'Team_Info'!$E$5,"W","B")</x:f>
        <x:v>B</x:v>
      </x:c>
      <x:c r="R421" t="str">
        <x:f>IF(RAND()&lt;'Team_Info'!$E$5,"W","B")</x:f>
        <x:v>B</x:v>
      </x:c>
      <x:c r="S421" t="str">
        <x:f>IF(RAND()&lt;'Team_Info'!$E$5,"W","B")</x:f>
        <x:v>B</x:v>
      </x:c>
      <x:c r="T421" t="str">
        <x:f>IF(RAND()&lt;'Team_Info'!$E$5,"W","B")</x:f>
        <x:v>W</x:v>
      </x:c>
      <x:c r="U421" t="str">
        <x:f>IF(RAND()&lt;'Team_Info'!$E$5,"W","B")</x:f>
        <x:v>B</x:v>
      </x:c>
    </x:row>
    <x:row r="422">
      <x:c r="A422" s="1">
        <x:v>421</x:v>
      </x:c>
      <x:c r="B422" t="str">
        <x:f>IF(RAND()&lt;'Team_Info'!$E$5,"W","B")</x:f>
        <x:v>B</x:v>
      </x:c>
      <x:c r="C422" t="str">
        <x:f>IF(RAND()&lt;'Team_Info'!$E$5,"W","B")</x:f>
        <x:v>W</x:v>
      </x:c>
      <x:c r="D422" t="str">
        <x:f>IF(RAND()&lt;'Team_Info'!$E$5,"W","B")</x:f>
        <x:v>B</x:v>
      </x:c>
      <x:c r="E422" t="str">
        <x:f>IF(RAND()&lt;'Team_Info'!$E$5,"W","B")</x:f>
        <x:v>W</x:v>
      </x:c>
      <x:c r="F422" t="str">
        <x:f>IF(RAND()&lt;'Team_Info'!$E$5,"W","B")</x:f>
        <x:v>W</x:v>
      </x:c>
      <x:c r="G422" t="str">
        <x:f>IF(RAND()&lt;'Team_Info'!$E$5,"W","B")</x:f>
        <x:v>B</x:v>
      </x:c>
      <x:c r="H422" t="str">
        <x:f>IF(RAND()&lt;'Team_Info'!$E$5,"W","B")</x:f>
        <x:v>B</x:v>
      </x:c>
      <x:c r="I422" t="str">
        <x:f>IF(RAND()&lt;'Team_Info'!$E$5,"W","B")</x:f>
        <x:v>B</x:v>
      </x:c>
      <x:c r="J422" t="str">
        <x:f>IF(RAND()&lt;'Team_Info'!$E$5,"W","B")</x:f>
        <x:v>B</x:v>
      </x:c>
      <x:c r="K422" t="str">
        <x:f>IF(RAND()&lt;'Team_Info'!$E$5,"W","B")</x:f>
        <x:v>B</x:v>
      </x:c>
      <x:c r="L422" t="str">
        <x:f>IF(RAND()&lt;'Team_Info'!$E$5,"W","B")</x:f>
        <x:v>B</x:v>
      </x:c>
      <x:c r="M422" t="str">
        <x:f>IF(RAND()&lt;'Team_Info'!$E$5,"W","B")</x:f>
        <x:v>B</x:v>
      </x:c>
      <x:c r="N422" t="str">
        <x:f>IF(RAND()&lt;'Team_Info'!$E$5,"W","B")</x:f>
        <x:v>B</x:v>
      </x:c>
      <x:c r="O422" t="str">
        <x:f>IF(RAND()&lt;'Team_Info'!$E$5,"W","B")</x:f>
        <x:v>B</x:v>
      </x:c>
      <x:c r="P422" t="str">
        <x:f>IF(RAND()&lt;'Team_Info'!$E$5,"W","B")</x:f>
        <x:v>W</x:v>
      </x:c>
      <x:c r="Q422" t="str">
        <x:f>IF(RAND()&lt;'Team_Info'!$E$5,"W","B")</x:f>
        <x:v>B</x:v>
      </x:c>
      <x:c r="R422" t="str">
        <x:f>IF(RAND()&lt;'Team_Info'!$E$5,"W","B")</x:f>
        <x:v>W</x:v>
      </x:c>
      <x:c r="S422" t="str">
        <x:f>IF(RAND()&lt;'Team_Info'!$E$5,"W","B")</x:f>
        <x:v>W</x:v>
      </x:c>
      <x:c r="T422" t="str">
        <x:f>IF(RAND()&lt;'Team_Info'!$E$5,"W","B")</x:f>
        <x:v>B</x:v>
      </x:c>
      <x:c r="U422" t="str">
        <x:f>IF(RAND()&lt;'Team_Info'!$E$5,"W","B")</x:f>
        <x:v>W</x:v>
      </x:c>
    </x:row>
    <x:row r="423">
      <x:c r="A423" s="1">
        <x:v>422</x:v>
      </x:c>
      <x:c r="B423" t="str">
        <x:f>IF(RAND()&lt;'Team_Info'!$E$5,"W","B")</x:f>
        <x:v>W</x:v>
      </x:c>
      <x:c r="C423" t="str">
        <x:f>IF(RAND()&lt;'Team_Info'!$E$5,"W","B")</x:f>
        <x:v>W</x:v>
      </x:c>
      <x:c r="D423" t="str">
        <x:f>IF(RAND()&lt;'Team_Info'!$E$5,"W","B")</x:f>
        <x:v>B</x:v>
      </x:c>
      <x:c r="E423" t="str">
        <x:f>IF(RAND()&lt;'Team_Info'!$E$5,"W","B")</x:f>
        <x:v>W</x:v>
      </x:c>
      <x:c r="F423" t="str">
        <x:f>IF(RAND()&lt;'Team_Info'!$E$5,"W","B")</x:f>
        <x:v>W</x:v>
      </x:c>
      <x:c r="G423" t="str">
        <x:f>IF(RAND()&lt;'Team_Info'!$E$5,"W","B")</x:f>
        <x:v>W</x:v>
      </x:c>
      <x:c r="H423" t="str">
        <x:f>IF(RAND()&lt;'Team_Info'!$E$5,"W","B")</x:f>
        <x:v>B</x:v>
      </x:c>
      <x:c r="I423" t="str">
        <x:f>IF(RAND()&lt;'Team_Info'!$E$5,"W","B")</x:f>
        <x:v>B</x:v>
      </x:c>
      <x:c r="J423" t="str">
        <x:f>IF(RAND()&lt;'Team_Info'!$E$5,"W","B")</x:f>
        <x:v>B</x:v>
      </x:c>
      <x:c r="K423" t="str">
        <x:f>IF(RAND()&lt;'Team_Info'!$E$5,"W","B")</x:f>
        <x:v>B</x:v>
      </x:c>
      <x:c r="L423" t="str">
        <x:f>IF(RAND()&lt;'Team_Info'!$E$5,"W","B")</x:f>
        <x:v>B</x:v>
      </x:c>
      <x:c r="M423" t="str">
        <x:f>IF(RAND()&lt;'Team_Info'!$E$5,"W","B")</x:f>
        <x:v>B</x:v>
      </x:c>
      <x:c r="N423" t="str">
        <x:f>IF(RAND()&lt;'Team_Info'!$E$5,"W","B")</x:f>
        <x:v>W</x:v>
      </x:c>
      <x:c r="O423" t="str">
        <x:f>IF(RAND()&lt;'Team_Info'!$E$5,"W","B")</x:f>
        <x:v>B</x:v>
      </x:c>
      <x:c r="P423" t="str">
        <x:f>IF(RAND()&lt;'Team_Info'!$E$5,"W","B")</x:f>
        <x:v>B</x:v>
      </x:c>
      <x:c r="Q423" t="str">
        <x:f>IF(RAND()&lt;'Team_Info'!$E$5,"W","B")</x:f>
        <x:v>W</x:v>
      </x:c>
      <x:c r="R423" t="str">
        <x:f>IF(RAND()&lt;'Team_Info'!$E$5,"W","B")</x:f>
        <x:v>W</x:v>
      </x:c>
      <x:c r="S423" t="str">
        <x:f>IF(RAND()&lt;'Team_Info'!$E$5,"W","B")</x:f>
        <x:v>B</x:v>
      </x:c>
      <x:c r="T423" t="str">
        <x:f>IF(RAND()&lt;'Team_Info'!$E$5,"W","B")</x:f>
        <x:v>B</x:v>
      </x:c>
      <x:c r="U423" t="str">
        <x:f>IF(RAND()&lt;'Team_Info'!$E$5,"W","B")</x:f>
        <x:v>B</x:v>
      </x:c>
    </x:row>
    <x:row r="424">
      <x:c r="A424" s="1">
        <x:v>423</x:v>
      </x:c>
      <x:c r="B424" t="str">
        <x:f>IF(RAND()&lt;'Team_Info'!$E$5,"W","B")</x:f>
        <x:v>W</x:v>
      </x:c>
      <x:c r="C424" t="str">
        <x:f>IF(RAND()&lt;'Team_Info'!$E$5,"W","B")</x:f>
        <x:v>B</x:v>
      </x:c>
      <x:c r="D424" t="str">
        <x:f>IF(RAND()&lt;'Team_Info'!$E$5,"W","B")</x:f>
        <x:v>W</x:v>
      </x:c>
      <x:c r="E424" t="str">
        <x:f>IF(RAND()&lt;'Team_Info'!$E$5,"W","B")</x:f>
        <x:v>B</x:v>
      </x:c>
      <x:c r="F424" t="str">
        <x:f>IF(RAND()&lt;'Team_Info'!$E$5,"W","B")</x:f>
        <x:v>W</x:v>
      </x:c>
      <x:c r="G424" t="str">
        <x:f>IF(RAND()&lt;'Team_Info'!$E$5,"W","B")</x:f>
        <x:v>B</x:v>
      </x:c>
      <x:c r="H424" t="str">
        <x:f>IF(RAND()&lt;'Team_Info'!$E$5,"W","B")</x:f>
        <x:v>B</x:v>
      </x:c>
      <x:c r="I424" t="str">
        <x:f>IF(RAND()&lt;'Team_Info'!$E$5,"W","B")</x:f>
        <x:v>W</x:v>
      </x:c>
      <x:c r="J424" t="str">
        <x:f>IF(RAND()&lt;'Team_Info'!$E$5,"W","B")</x:f>
        <x:v>B</x:v>
      </x:c>
      <x:c r="K424" t="str">
        <x:f>IF(RAND()&lt;'Team_Info'!$E$5,"W","B")</x:f>
        <x:v>W</x:v>
      </x:c>
      <x:c r="L424" t="str">
        <x:f>IF(RAND()&lt;'Team_Info'!$E$5,"W","B")</x:f>
        <x:v>B</x:v>
      </x:c>
      <x:c r="M424" t="str">
        <x:f>IF(RAND()&lt;'Team_Info'!$E$5,"W","B")</x:f>
        <x:v>W</x:v>
      </x:c>
      <x:c r="N424" t="str">
        <x:f>IF(RAND()&lt;'Team_Info'!$E$5,"W","B")</x:f>
        <x:v>B</x:v>
      </x:c>
      <x:c r="O424" t="str">
        <x:f>IF(RAND()&lt;'Team_Info'!$E$5,"W","B")</x:f>
        <x:v>B</x:v>
      </x:c>
      <x:c r="P424" t="str">
        <x:f>IF(RAND()&lt;'Team_Info'!$E$5,"W","B")</x:f>
        <x:v>W</x:v>
      </x:c>
      <x:c r="Q424" t="str">
        <x:f>IF(RAND()&lt;'Team_Info'!$E$5,"W","B")</x:f>
        <x:v>W</x:v>
      </x:c>
      <x:c r="R424" t="str">
        <x:f>IF(RAND()&lt;'Team_Info'!$E$5,"W","B")</x:f>
        <x:v>B</x:v>
      </x:c>
      <x:c r="S424" t="str">
        <x:f>IF(RAND()&lt;'Team_Info'!$E$5,"W","B")</x:f>
        <x:v>B</x:v>
      </x:c>
      <x:c r="T424" t="str">
        <x:f>IF(RAND()&lt;'Team_Info'!$E$5,"W","B")</x:f>
        <x:v>W</x:v>
      </x:c>
      <x:c r="U424" t="str">
        <x:f>IF(RAND()&lt;'Team_Info'!$E$5,"W","B")</x:f>
        <x:v>B</x:v>
      </x:c>
    </x:row>
    <x:row r="425">
      <x:c r="A425" s="1">
        <x:v>424</x:v>
      </x:c>
      <x:c r="B425" t="str">
        <x:f>IF(RAND()&lt;'Team_Info'!$E$5,"W","B")</x:f>
        <x:v>B</x:v>
      </x:c>
      <x:c r="C425" t="str">
        <x:f>IF(RAND()&lt;'Team_Info'!$E$5,"W","B")</x:f>
        <x:v>B</x:v>
      </x:c>
      <x:c r="D425" t="str">
        <x:f>IF(RAND()&lt;'Team_Info'!$E$5,"W","B")</x:f>
        <x:v>W</x:v>
      </x:c>
      <x:c r="E425" t="str">
        <x:f>IF(RAND()&lt;'Team_Info'!$E$5,"W","B")</x:f>
        <x:v>B</x:v>
      </x:c>
      <x:c r="F425" t="str">
        <x:f>IF(RAND()&lt;'Team_Info'!$E$5,"W","B")</x:f>
        <x:v>B</x:v>
      </x:c>
      <x:c r="G425" t="str">
        <x:f>IF(RAND()&lt;'Team_Info'!$E$5,"W","B")</x:f>
        <x:v>B</x:v>
      </x:c>
      <x:c r="H425" t="str">
        <x:f>IF(RAND()&lt;'Team_Info'!$E$5,"W","B")</x:f>
        <x:v>B</x:v>
      </x:c>
      <x:c r="I425" t="str">
        <x:f>IF(RAND()&lt;'Team_Info'!$E$5,"W","B")</x:f>
        <x:v>B</x:v>
      </x:c>
      <x:c r="J425" t="str">
        <x:f>IF(RAND()&lt;'Team_Info'!$E$5,"W","B")</x:f>
        <x:v>B</x:v>
      </x:c>
      <x:c r="K425" t="str">
        <x:f>IF(RAND()&lt;'Team_Info'!$E$5,"W","B")</x:f>
        <x:v>B</x:v>
      </x:c>
      <x:c r="L425" t="str">
        <x:f>IF(RAND()&lt;'Team_Info'!$E$5,"W","B")</x:f>
        <x:v>W</x:v>
      </x:c>
      <x:c r="M425" t="str">
        <x:f>IF(RAND()&lt;'Team_Info'!$E$5,"W","B")</x:f>
        <x:v>B</x:v>
      </x:c>
      <x:c r="N425" t="str">
        <x:f>IF(RAND()&lt;'Team_Info'!$E$5,"W","B")</x:f>
        <x:v>W</x:v>
      </x:c>
      <x:c r="O425" t="str">
        <x:f>IF(RAND()&lt;'Team_Info'!$E$5,"W","B")</x:f>
        <x:v>B</x:v>
      </x:c>
      <x:c r="P425" t="str">
        <x:f>IF(RAND()&lt;'Team_Info'!$E$5,"W","B")</x:f>
        <x:v>B</x:v>
      </x:c>
      <x:c r="Q425" t="str">
        <x:f>IF(RAND()&lt;'Team_Info'!$E$5,"W","B")</x:f>
        <x:v>W</x:v>
      </x:c>
      <x:c r="R425" t="str">
        <x:f>IF(RAND()&lt;'Team_Info'!$E$5,"W","B")</x:f>
        <x:v>B</x:v>
      </x:c>
      <x:c r="S425" t="str">
        <x:f>IF(RAND()&lt;'Team_Info'!$E$5,"W","B")</x:f>
        <x:v>B</x:v>
      </x:c>
      <x:c r="T425" t="str">
        <x:f>IF(RAND()&lt;'Team_Info'!$E$5,"W","B")</x:f>
        <x:v>W</x:v>
      </x:c>
      <x:c r="U425" t="str">
        <x:f>IF(RAND()&lt;'Team_Info'!$E$5,"W","B")</x:f>
        <x:v>B</x:v>
      </x:c>
    </x:row>
    <x:row r="426">
      <x:c r="A426" s="1">
        <x:v>425</x:v>
      </x:c>
      <x:c r="B426" t="str">
        <x:f>IF(RAND()&lt;'Team_Info'!$E$5,"W","B")</x:f>
        <x:v>B</x:v>
      </x:c>
      <x:c r="C426" t="str">
        <x:f>IF(RAND()&lt;'Team_Info'!$E$5,"W","B")</x:f>
        <x:v>B</x:v>
      </x:c>
      <x:c r="D426" t="str">
        <x:f>IF(RAND()&lt;'Team_Info'!$E$5,"W","B")</x:f>
        <x:v>B</x:v>
      </x:c>
      <x:c r="E426" t="str">
        <x:f>IF(RAND()&lt;'Team_Info'!$E$5,"W","B")</x:f>
        <x:v>W</x:v>
      </x:c>
      <x:c r="F426" t="str">
        <x:f>IF(RAND()&lt;'Team_Info'!$E$5,"W","B")</x:f>
        <x:v>B</x:v>
      </x:c>
      <x:c r="G426" t="str">
        <x:f>IF(RAND()&lt;'Team_Info'!$E$5,"W","B")</x:f>
        <x:v>W</x:v>
      </x:c>
      <x:c r="H426" t="str">
        <x:f>IF(RAND()&lt;'Team_Info'!$E$5,"W","B")</x:f>
        <x:v>B</x:v>
      </x:c>
      <x:c r="I426" t="str">
        <x:f>IF(RAND()&lt;'Team_Info'!$E$5,"W","B")</x:f>
        <x:v>W</x:v>
      </x:c>
      <x:c r="J426" t="str">
        <x:f>IF(RAND()&lt;'Team_Info'!$E$5,"W","B")</x:f>
        <x:v>W</x:v>
      </x:c>
      <x:c r="K426" t="str">
        <x:f>IF(RAND()&lt;'Team_Info'!$E$5,"W","B")</x:f>
        <x:v>B</x:v>
      </x:c>
      <x:c r="L426" t="str">
        <x:f>IF(RAND()&lt;'Team_Info'!$E$5,"W","B")</x:f>
        <x:v>B</x:v>
      </x:c>
      <x:c r="M426" t="str">
        <x:f>IF(RAND()&lt;'Team_Info'!$E$5,"W","B")</x:f>
        <x:v>B</x:v>
      </x:c>
      <x:c r="N426" t="str">
        <x:f>IF(RAND()&lt;'Team_Info'!$E$5,"W","B")</x:f>
        <x:v>B</x:v>
      </x:c>
      <x:c r="O426" t="str">
        <x:f>IF(RAND()&lt;'Team_Info'!$E$5,"W","B")</x:f>
        <x:v>B</x:v>
      </x:c>
      <x:c r="P426" t="str">
        <x:f>IF(RAND()&lt;'Team_Info'!$E$5,"W","B")</x:f>
        <x:v>B</x:v>
      </x:c>
      <x:c r="Q426" t="str">
        <x:f>IF(RAND()&lt;'Team_Info'!$E$5,"W","B")</x:f>
        <x:v>B</x:v>
      </x:c>
      <x:c r="R426" t="str">
        <x:f>IF(RAND()&lt;'Team_Info'!$E$5,"W","B")</x:f>
        <x:v>B</x:v>
      </x:c>
      <x:c r="S426" t="str">
        <x:f>IF(RAND()&lt;'Team_Info'!$E$5,"W","B")</x:f>
        <x:v>B</x:v>
      </x:c>
      <x:c r="T426" t="str">
        <x:f>IF(RAND()&lt;'Team_Info'!$E$5,"W","B")</x:f>
        <x:v>W</x:v>
      </x:c>
      <x:c r="U426" t="str">
        <x:f>IF(RAND()&lt;'Team_Info'!$E$5,"W","B")</x:f>
        <x:v>W</x:v>
      </x:c>
    </x:row>
    <x:row r="427">
      <x:c r="A427" s="1">
        <x:v>426</x:v>
      </x:c>
      <x:c r="B427" t="str">
        <x:f>IF(RAND()&lt;'Team_Info'!$E$5,"W","B")</x:f>
        <x:v>B</x:v>
      </x:c>
      <x:c r="C427" t="str">
        <x:f>IF(RAND()&lt;'Team_Info'!$E$5,"W","B")</x:f>
        <x:v>W</x:v>
      </x:c>
      <x:c r="D427" t="str">
        <x:f>IF(RAND()&lt;'Team_Info'!$E$5,"W","B")</x:f>
        <x:v>W</x:v>
      </x:c>
      <x:c r="E427" t="str">
        <x:f>IF(RAND()&lt;'Team_Info'!$E$5,"W","B")</x:f>
        <x:v>B</x:v>
      </x:c>
      <x:c r="F427" t="str">
        <x:f>IF(RAND()&lt;'Team_Info'!$E$5,"W","B")</x:f>
        <x:v>W</x:v>
      </x:c>
      <x:c r="G427" t="str">
        <x:f>IF(RAND()&lt;'Team_Info'!$E$5,"W","B")</x:f>
        <x:v>B</x:v>
      </x:c>
      <x:c r="H427" t="str">
        <x:f>IF(RAND()&lt;'Team_Info'!$E$5,"W","B")</x:f>
        <x:v>B</x:v>
      </x:c>
      <x:c r="I427" t="str">
        <x:f>IF(RAND()&lt;'Team_Info'!$E$5,"W","B")</x:f>
        <x:v>W</x:v>
      </x:c>
      <x:c r="J427" t="str">
        <x:f>IF(RAND()&lt;'Team_Info'!$E$5,"W","B")</x:f>
        <x:v>B</x:v>
      </x:c>
      <x:c r="K427" t="str">
        <x:f>IF(RAND()&lt;'Team_Info'!$E$5,"W","B")</x:f>
        <x:v>W</x:v>
      </x:c>
      <x:c r="L427" t="str">
        <x:f>IF(RAND()&lt;'Team_Info'!$E$5,"W","B")</x:f>
        <x:v>B</x:v>
      </x:c>
      <x:c r="M427" t="str">
        <x:f>IF(RAND()&lt;'Team_Info'!$E$5,"W","B")</x:f>
        <x:v>B</x:v>
      </x:c>
      <x:c r="N427" t="str">
        <x:f>IF(RAND()&lt;'Team_Info'!$E$5,"W","B")</x:f>
        <x:v>W</x:v>
      </x:c>
      <x:c r="O427" t="str">
        <x:f>IF(RAND()&lt;'Team_Info'!$E$5,"W","B")</x:f>
        <x:v>B</x:v>
      </x:c>
      <x:c r="P427" t="str">
        <x:f>IF(RAND()&lt;'Team_Info'!$E$5,"W","B")</x:f>
        <x:v>B</x:v>
      </x:c>
      <x:c r="Q427" t="str">
        <x:f>IF(RAND()&lt;'Team_Info'!$E$5,"W","B")</x:f>
        <x:v>W</x:v>
      </x:c>
      <x:c r="R427" t="str">
        <x:f>IF(RAND()&lt;'Team_Info'!$E$5,"W","B")</x:f>
        <x:v>B</x:v>
      </x:c>
      <x:c r="S427" t="str">
        <x:f>IF(RAND()&lt;'Team_Info'!$E$5,"W","B")</x:f>
        <x:v>B</x:v>
      </x:c>
      <x:c r="T427" t="str">
        <x:f>IF(RAND()&lt;'Team_Info'!$E$5,"W","B")</x:f>
        <x:v>W</x:v>
      </x:c>
      <x:c r="U427" t="str">
        <x:f>IF(RAND()&lt;'Team_Info'!$E$5,"W","B")</x:f>
        <x:v>W</x:v>
      </x:c>
    </x:row>
    <x:row r="428">
      <x:c r="A428" s="1">
        <x:v>427</x:v>
      </x:c>
      <x:c r="B428" t="str">
        <x:f>IF(RAND()&lt;'Team_Info'!$E$5,"W","B")</x:f>
        <x:v>B</x:v>
      </x:c>
      <x:c r="C428" t="str">
        <x:f>IF(RAND()&lt;'Team_Info'!$E$5,"W","B")</x:f>
        <x:v>W</x:v>
      </x:c>
      <x:c r="D428" t="str">
        <x:f>IF(RAND()&lt;'Team_Info'!$E$5,"W","B")</x:f>
        <x:v>W</x:v>
      </x:c>
      <x:c r="E428" t="str">
        <x:f>IF(RAND()&lt;'Team_Info'!$E$5,"W","B")</x:f>
        <x:v>B</x:v>
      </x:c>
      <x:c r="F428" t="str">
        <x:f>IF(RAND()&lt;'Team_Info'!$E$5,"W","B")</x:f>
        <x:v>B</x:v>
      </x:c>
      <x:c r="G428" t="str">
        <x:f>IF(RAND()&lt;'Team_Info'!$E$5,"W","B")</x:f>
        <x:v>B</x:v>
      </x:c>
      <x:c r="H428" t="str">
        <x:f>IF(RAND()&lt;'Team_Info'!$E$5,"W","B")</x:f>
        <x:v>B</x:v>
      </x:c>
      <x:c r="I428" t="str">
        <x:f>IF(RAND()&lt;'Team_Info'!$E$5,"W","B")</x:f>
        <x:v>W</x:v>
      </x:c>
      <x:c r="J428" t="str">
        <x:f>IF(RAND()&lt;'Team_Info'!$E$5,"W","B")</x:f>
        <x:v>W</x:v>
      </x:c>
      <x:c r="K428" t="str">
        <x:f>IF(RAND()&lt;'Team_Info'!$E$5,"W","B")</x:f>
        <x:v>W</x:v>
      </x:c>
      <x:c r="L428" t="str">
        <x:f>IF(RAND()&lt;'Team_Info'!$E$5,"W","B")</x:f>
        <x:v>B</x:v>
      </x:c>
      <x:c r="M428" t="str">
        <x:f>IF(RAND()&lt;'Team_Info'!$E$5,"W","B")</x:f>
        <x:v>B</x:v>
      </x:c>
      <x:c r="N428" t="str">
        <x:f>IF(RAND()&lt;'Team_Info'!$E$5,"W","B")</x:f>
        <x:v>B</x:v>
      </x:c>
      <x:c r="O428" t="str">
        <x:f>IF(RAND()&lt;'Team_Info'!$E$5,"W","B")</x:f>
        <x:v>B</x:v>
      </x:c>
      <x:c r="P428" t="str">
        <x:f>IF(RAND()&lt;'Team_Info'!$E$5,"W","B")</x:f>
        <x:v>B</x:v>
      </x:c>
      <x:c r="Q428" t="str">
        <x:f>IF(RAND()&lt;'Team_Info'!$E$5,"W","B")</x:f>
        <x:v>B</x:v>
      </x:c>
      <x:c r="R428" t="str">
        <x:f>IF(RAND()&lt;'Team_Info'!$E$5,"W","B")</x:f>
        <x:v>W</x:v>
      </x:c>
      <x:c r="S428" t="str">
        <x:f>IF(RAND()&lt;'Team_Info'!$E$5,"W","B")</x:f>
        <x:v>B</x:v>
      </x:c>
      <x:c r="T428" t="str">
        <x:f>IF(RAND()&lt;'Team_Info'!$E$5,"W","B")</x:f>
        <x:v>B</x:v>
      </x:c>
      <x:c r="U428" t="str">
        <x:f>IF(RAND()&lt;'Team_Info'!$E$5,"W","B")</x:f>
        <x:v>B</x:v>
      </x:c>
    </x:row>
    <x:row r="429">
      <x:c r="A429" s="1">
        <x:v>428</x:v>
      </x:c>
      <x:c r="B429" t="str">
        <x:f>IF(RAND()&lt;'Team_Info'!$E$5,"W","B")</x:f>
        <x:v>W</x:v>
      </x:c>
      <x:c r="C429" t="str">
        <x:f>IF(RAND()&lt;'Team_Info'!$E$5,"W","B")</x:f>
        <x:v>B</x:v>
      </x:c>
      <x:c r="D429" t="str">
        <x:f>IF(RAND()&lt;'Team_Info'!$E$5,"W","B")</x:f>
        <x:v>B</x:v>
      </x:c>
      <x:c r="E429" t="str">
        <x:f>IF(RAND()&lt;'Team_Info'!$E$5,"W","B")</x:f>
        <x:v>B</x:v>
      </x:c>
      <x:c r="F429" t="str">
        <x:f>IF(RAND()&lt;'Team_Info'!$E$5,"W","B")</x:f>
        <x:v>W</x:v>
      </x:c>
      <x:c r="G429" t="str">
        <x:f>IF(RAND()&lt;'Team_Info'!$E$5,"W","B")</x:f>
        <x:v>B</x:v>
      </x:c>
      <x:c r="H429" t="str">
        <x:f>IF(RAND()&lt;'Team_Info'!$E$5,"W","B")</x:f>
        <x:v>B</x:v>
      </x:c>
      <x:c r="I429" t="str">
        <x:f>IF(RAND()&lt;'Team_Info'!$E$5,"W","B")</x:f>
        <x:v>W</x:v>
      </x:c>
      <x:c r="J429" t="str">
        <x:f>IF(RAND()&lt;'Team_Info'!$E$5,"W","B")</x:f>
        <x:v>B</x:v>
      </x:c>
      <x:c r="K429" t="str">
        <x:f>IF(RAND()&lt;'Team_Info'!$E$5,"W","B")</x:f>
        <x:v>B</x:v>
      </x:c>
      <x:c r="L429" t="str">
        <x:f>IF(RAND()&lt;'Team_Info'!$E$5,"W","B")</x:f>
        <x:v>B</x:v>
      </x:c>
      <x:c r="M429" t="str">
        <x:f>IF(RAND()&lt;'Team_Info'!$E$5,"W","B")</x:f>
        <x:v>B</x:v>
      </x:c>
      <x:c r="N429" t="str">
        <x:f>IF(RAND()&lt;'Team_Info'!$E$5,"W","B")</x:f>
        <x:v>B</x:v>
      </x:c>
      <x:c r="O429" t="str">
        <x:f>IF(RAND()&lt;'Team_Info'!$E$5,"W","B")</x:f>
        <x:v>W</x:v>
      </x:c>
      <x:c r="P429" t="str">
        <x:f>IF(RAND()&lt;'Team_Info'!$E$5,"W","B")</x:f>
        <x:v>B</x:v>
      </x:c>
      <x:c r="Q429" t="str">
        <x:f>IF(RAND()&lt;'Team_Info'!$E$5,"W","B")</x:f>
        <x:v>W</x:v>
      </x:c>
      <x:c r="R429" t="str">
        <x:f>IF(RAND()&lt;'Team_Info'!$E$5,"W","B")</x:f>
        <x:v>B</x:v>
      </x:c>
      <x:c r="S429" t="str">
        <x:f>IF(RAND()&lt;'Team_Info'!$E$5,"W","B")</x:f>
        <x:v>W</x:v>
      </x:c>
      <x:c r="T429" t="str">
        <x:f>IF(RAND()&lt;'Team_Info'!$E$5,"W","B")</x:f>
        <x:v>B</x:v>
      </x:c>
      <x:c r="U429" t="str">
        <x:f>IF(RAND()&lt;'Team_Info'!$E$5,"W","B")</x:f>
        <x:v>W</x:v>
      </x:c>
    </x:row>
    <x:row r="430">
      <x:c r="A430" s="1">
        <x:v>429</x:v>
      </x:c>
      <x:c r="B430" t="str">
        <x:f>IF(RAND()&lt;'Team_Info'!$E$5,"W","B")</x:f>
        <x:v>B</x:v>
      </x:c>
      <x:c r="C430" t="str">
        <x:f>IF(RAND()&lt;'Team_Info'!$E$5,"W","B")</x:f>
        <x:v>W</x:v>
      </x:c>
      <x:c r="D430" t="str">
        <x:f>IF(RAND()&lt;'Team_Info'!$E$5,"W","B")</x:f>
        <x:v>B</x:v>
      </x:c>
      <x:c r="E430" t="str">
        <x:f>IF(RAND()&lt;'Team_Info'!$E$5,"W","B")</x:f>
        <x:v>B</x:v>
      </x:c>
      <x:c r="F430" t="str">
        <x:f>IF(RAND()&lt;'Team_Info'!$E$5,"W","B")</x:f>
        <x:v>B</x:v>
      </x:c>
      <x:c r="G430" t="str">
        <x:f>IF(RAND()&lt;'Team_Info'!$E$5,"W","B")</x:f>
        <x:v>B</x:v>
      </x:c>
      <x:c r="H430" t="str">
        <x:f>IF(RAND()&lt;'Team_Info'!$E$5,"W","B")</x:f>
        <x:v>B</x:v>
      </x:c>
      <x:c r="I430" t="str">
        <x:f>IF(RAND()&lt;'Team_Info'!$E$5,"W","B")</x:f>
        <x:v>B</x:v>
      </x:c>
      <x:c r="J430" t="str">
        <x:f>IF(RAND()&lt;'Team_Info'!$E$5,"W","B")</x:f>
        <x:v>B</x:v>
      </x:c>
      <x:c r="K430" t="str">
        <x:f>IF(RAND()&lt;'Team_Info'!$E$5,"W","B")</x:f>
        <x:v>W</x:v>
      </x:c>
      <x:c r="L430" t="str">
        <x:f>IF(RAND()&lt;'Team_Info'!$E$5,"W","B")</x:f>
        <x:v>B</x:v>
      </x:c>
      <x:c r="M430" t="str">
        <x:f>IF(RAND()&lt;'Team_Info'!$E$5,"W","B")</x:f>
        <x:v>W</x:v>
      </x:c>
      <x:c r="N430" t="str">
        <x:f>IF(RAND()&lt;'Team_Info'!$E$5,"W","B")</x:f>
        <x:v>W</x:v>
      </x:c>
      <x:c r="O430" t="str">
        <x:f>IF(RAND()&lt;'Team_Info'!$E$5,"W","B")</x:f>
        <x:v>B</x:v>
      </x:c>
      <x:c r="P430" t="str">
        <x:f>IF(RAND()&lt;'Team_Info'!$E$5,"W","B")</x:f>
        <x:v>B</x:v>
      </x:c>
      <x:c r="Q430" t="str">
        <x:f>IF(RAND()&lt;'Team_Info'!$E$5,"W","B")</x:f>
        <x:v>B</x:v>
      </x:c>
      <x:c r="R430" t="str">
        <x:f>IF(RAND()&lt;'Team_Info'!$E$5,"W","B")</x:f>
        <x:v>W</x:v>
      </x:c>
      <x:c r="S430" t="str">
        <x:f>IF(RAND()&lt;'Team_Info'!$E$5,"W","B")</x:f>
        <x:v>B</x:v>
      </x:c>
      <x:c r="T430" t="str">
        <x:f>IF(RAND()&lt;'Team_Info'!$E$5,"W","B")</x:f>
        <x:v>B</x:v>
      </x:c>
      <x:c r="U430" t="str">
        <x:f>IF(RAND()&lt;'Team_Info'!$E$5,"W","B")</x:f>
        <x:v>B</x:v>
      </x:c>
    </x:row>
    <x:row r="431">
      <x:c r="A431" s="1">
        <x:v>430</x:v>
      </x:c>
      <x:c r="B431" t="str">
        <x:f>IF(RAND()&lt;'Team_Info'!$E$5,"W","B")</x:f>
        <x:v>B</x:v>
      </x:c>
      <x:c r="C431" t="str">
        <x:f>IF(RAND()&lt;'Team_Info'!$E$5,"W","B")</x:f>
        <x:v>W</x:v>
      </x:c>
      <x:c r="D431" t="str">
        <x:f>IF(RAND()&lt;'Team_Info'!$E$5,"W","B")</x:f>
        <x:v>B</x:v>
      </x:c>
      <x:c r="E431" t="str">
        <x:f>IF(RAND()&lt;'Team_Info'!$E$5,"W","B")</x:f>
        <x:v>B</x:v>
      </x:c>
      <x:c r="F431" t="str">
        <x:f>IF(RAND()&lt;'Team_Info'!$E$5,"W","B")</x:f>
        <x:v>B</x:v>
      </x:c>
      <x:c r="G431" t="str">
        <x:f>IF(RAND()&lt;'Team_Info'!$E$5,"W","B")</x:f>
        <x:v>W</x:v>
      </x:c>
      <x:c r="H431" t="str">
        <x:f>IF(RAND()&lt;'Team_Info'!$E$5,"W","B")</x:f>
        <x:v>B</x:v>
      </x:c>
      <x:c r="I431" t="str">
        <x:f>IF(RAND()&lt;'Team_Info'!$E$5,"W","B")</x:f>
        <x:v>W</x:v>
      </x:c>
      <x:c r="J431" t="str">
        <x:f>IF(RAND()&lt;'Team_Info'!$E$5,"W","B")</x:f>
        <x:v>W</x:v>
      </x:c>
      <x:c r="K431" t="str">
        <x:f>IF(RAND()&lt;'Team_Info'!$E$5,"W","B")</x:f>
        <x:v>B</x:v>
      </x:c>
      <x:c r="L431" t="str">
        <x:f>IF(RAND()&lt;'Team_Info'!$E$5,"W","B")</x:f>
        <x:v>B</x:v>
      </x:c>
      <x:c r="M431" t="str">
        <x:f>IF(RAND()&lt;'Team_Info'!$E$5,"W","B")</x:f>
        <x:v>B</x:v>
      </x:c>
      <x:c r="N431" t="str">
        <x:f>IF(RAND()&lt;'Team_Info'!$E$5,"W","B")</x:f>
        <x:v>B</x:v>
      </x:c>
      <x:c r="O431" t="str">
        <x:f>IF(RAND()&lt;'Team_Info'!$E$5,"W","B")</x:f>
        <x:v>W</x:v>
      </x:c>
      <x:c r="P431" t="str">
        <x:f>IF(RAND()&lt;'Team_Info'!$E$5,"W","B")</x:f>
        <x:v>B</x:v>
      </x:c>
      <x:c r="Q431" t="str">
        <x:f>IF(RAND()&lt;'Team_Info'!$E$5,"W","B")</x:f>
        <x:v>B</x:v>
      </x:c>
      <x:c r="R431" t="str">
        <x:f>IF(RAND()&lt;'Team_Info'!$E$5,"W","B")</x:f>
        <x:v>W</x:v>
      </x:c>
      <x:c r="S431" t="str">
        <x:f>IF(RAND()&lt;'Team_Info'!$E$5,"W","B")</x:f>
        <x:v>W</x:v>
      </x:c>
      <x:c r="T431" t="str">
        <x:f>IF(RAND()&lt;'Team_Info'!$E$5,"W","B")</x:f>
        <x:v>W</x:v>
      </x:c>
      <x:c r="U431" t="str">
        <x:f>IF(RAND()&lt;'Team_Info'!$E$5,"W","B")</x:f>
        <x:v>W</x:v>
      </x:c>
    </x:row>
    <x:row r="432">
      <x:c r="A432" s="1">
        <x:v>431</x:v>
      </x:c>
      <x:c r="B432" t="str">
        <x:f>IF(RAND()&lt;'Team_Info'!$E$5,"W","B")</x:f>
        <x:v>B</x:v>
      </x:c>
      <x:c r="C432" t="str">
        <x:f>IF(RAND()&lt;'Team_Info'!$E$5,"W","B")</x:f>
        <x:v>W</x:v>
      </x:c>
      <x:c r="D432" t="str">
        <x:f>IF(RAND()&lt;'Team_Info'!$E$5,"W","B")</x:f>
        <x:v>B</x:v>
      </x:c>
      <x:c r="E432" t="str">
        <x:f>IF(RAND()&lt;'Team_Info'!$E$5,"W","B")</x:f>
        <x:v>B</x:v>
      </x:c>
      <x:c r="F432" t="str">
        <x:f>IF(RAND()&lt;'Team_Info'!$E$5,"W","B")</x:f>
        <x:v>W</x:v>
      </x:c>
      <x:c r="G432" t="str">
        <x:f>IF(RAND()&lt;'Team_Info'!$E$5,"W","B")</x:f>
        <x:v>B</x:v>
      </x:c>
      <x:c r="H432" t="str">
        <x:f>IF(RAND()&lt;'Team_Info'!$E$5,"W","B")</x:f>
        <x:v>B</x:v>
      </x:c>
      <x:c r="I432" t="str">
        <x:f>IF(RAND()&lt;'Team_Info'!$E$5,"W","B")</x:f>
        <x:v>B</x:v>
      </x:c>
      <x:c r="J432" t="str">
        <x:f>IF(RAND()&lt;'Team_Info'!$E$5,"W","B")</x:f>
        <x:v>B</x:v>
      </x:c>
      <x:c r="K432" t="str">
        <x:f>IF(RAND()&lt;'Team_Info'!$E$5,"W","B")</x:f>
        <x:v>B</x:v>
      </x:c>
      <x:c r="L432" t="str">
        <x:f>IF(RAND()&lt;'Team_Info'!$E$5,"W","B")</x:f>
        <x:v>B</x:v>
      </x:c>
      <x:c r="M432" t="str">
        <x:f>IF(RAND()&lt;'Team_Info'!$E$5,"W","B")</x:f>
        <x:v>W</x:v>
      </x:c>
      <x:c r="N432" t="str">
        <x:f>IF(RAND()&lt;'Team_Info'!$E$5,"W","B")</x:f>
        <x:v>B</x:v>
      </x:c>
      <x:c r="O432" t="str">
        <x:f>IF(RAND()&lt;'Team_Info'!$E$5,"W","B")</x:f>
        <x:v>W</x:v>
      </x:c>
      <x:c r="P432" t="str">
        <x:f>IF(RAND()&lt;'Team_Info'!$E$5,"W","B")</x:f>
        <x:v>W</x:v>
      </x:c>
      <x:c r="Q432" t="str">
        <x:f>IF(RAND()&lt;'Team_Info'!$E$5,"W","B")</x:f>
        <x:v>W</x:v>
      </x:c>
      <x:c r="R432" t="str">
        <x:f>IF(RAND()&lt;'Team_Info'!$E$5,"W","B")</x:f>
        <x:v>B</x:v>
      </x:c>
      <x:c r="S432" t="str">
        <x:f>IF(RAND()&lt;'Team_Info'!$E$5,"W","B")</x:f>
        <x:v>B</x:v>
      </x:c>
      <x:c r="T432" t="str">
        <x:f>IF(RAND()&lt;'Team_Info'!$E$5,"W","B")</x:f>
        <x:v>W</x:v>
      </x:c>
      <x:c r="U432" t="str">
        <x:f>IF(RAND()&lt;'Team_Info'!$E$5,"W","B")</x:f>
        <x:v>B</x:v>
      </x:c>
    </x:row>
    <x:row r="433">
      <x:c r="A433" s="1">
        <x:v>432</x:v>
      </x:c>
      <x:c r="B433" t="str">
        <x:f>IF(RAND()&lt;'Team_Info'!$E$5,"W","B")</x:f>
        <x:v>B</x:v>
      </x:c>
      <x:c r="C433" t="str">
        <x:f>IF(RAND()&lt;'Team_Info'!$E$5,"W","B")</x:f>
        <x:v>W</x:v>
      </x:c>
      <x:c r="D433" t="str">
        <x:f>IF(RAND()&lt;'Team_Info'!$E$5,"W","B")</x:f>
        <x:v>B</x:v>
      </x:c>
      <x:c r="E433" t="str">
        <x:f>IF(RAND()&lt;'Team_Info'!$E$5,"W","B")</x:f>
        <x:v>B</x:v>
      </x:c>
      <x:c r="F433" t="str">
        <x:f>IF(RAND()&lt;'Team_Info'!$E$5,"W","B")</x:f>
        <x:v>W</x:v>
      </x:c>
      <x:c r="G433" t="str">
        <x:f>IF(RAND()&lt;'Team_Info'!$E$5,"W","B")</x:f>
        <x:v>B</x:v>
      </x:c>
      <x:c r="H433" t="str">
        <x:f>IF(RAND()&lt;'Team_Info'!$E$5,"W","B")</x:f>
        <x:v>B</x:v>
      </x:c>
      <x:c r="I433" t="str">
        <x:f>IF(RAND()&lt;'Team_Info'!$E$5,"W","B")</x:f>
        <x:v>B</x:v>
      </x:c>
      <x:c r="J433" t="str">
        <x:f>IF(RAND()&lt;'Team_Info'!$E$5,"W","B")</x:f>
        <x:v>B</x:v>
      </x:c>
      <x:c r="K433" t="str">
        <x:f>IF(RAND()&lt;'Team_Info'!$E$5,"W","B")</x:f>
        <x:v>B</x:v>
      </x:c>
      <x:c r="L433" t="str">
        <x:f>IF(RAND()&lt;'Team_Info'!$E$5,"W","B")</x:f>
        <x:v>W</x:v>
      </x:c>
      <x:c r="M433" t="str">
        <x:f>IF(RAND()&lt;'Team_Info'!$E$5,"W","B")</x:f>
        <x:v>B</x:v>
      </x:c>
      <x:c r="N433" t="str">
        <x:f>IF(RAND()&lt;'Team_Info'!$E$5,"W","B")</x:f>
        <x:v>B</x:v>
      </x:c>
      <x:c r="O433" t="str">
        <x:f>IF(RAND()&lt;'Team_Info'!$E$5,"W","B")</x:f>
        <x:v>W</x:v>
      </x:c>
      <x:c r="P433" t="str">
        <x:f>IF(RAND()&lt;'Team_Info'!$E$5,"W","B")</x:f>
        <x:v>W</x:v>
      </x:c>
      <x:c r="Q433" t="str">
        <x:f>IF(RAND()&lt;'Team_Info'!$E$5,"W","B")</x:f>
        <x:v>B</x:v>
      </x:c>
      <x:c r="R433" t="str">
        <x:f>IF(RAND()&lt;'Team_Info'!$E$5,"W","B")</x:f>
        <x:v>B</x:v>
      </x:c>
      <x:c r="S433" t="str">
        <x:f>IF(RAND()&lt;'Team_Info'!$E$5,"W","B")</x:f>
        <x:v>W</x:v>
      </x:c>
      <x:c r="T433" t="str">
        <x:f>IF(RAND()&lt;'Team_Info'!$E$5,"W","B")</x:f>
        <x:v>B</x:v>
      </x:c>
      <x:c r="U433" t="str">
        <x:f>IF(RAND()&lt;'Team_Info'!$E$5,"W","B")</x:f>
        <x:v>B</x:v>
      </x:c>
    </x:row>
    <x:row r="434">
      <x:c r="A434" s="1">
        <x:v>433</x:v>
      </x:c>
      <x:c r="B434" t="str">
        <x:f>IF(RAND()&lt;'Team_Info'!$E$5,"W","B")</x:f>
        <x:v>W</x:v>
      </x:c>
      <x:c r="C434" t="str">
        <x:f>IF(RAND()&lt;'Team_Info'!$E$5,"W","B")</x:f>
        <x:v>B</x:v>
      </x:c>
      <x:c r="D434" t="str">
        <x:f>IF(RAND()&lt;'Team_Info'!$E$5,"W","B")</x:f>
        <x:v>W</x:v>
      </x:c>
      <x:c r="E434" t="str">
        <x:f>IF(RAND()&lt;'Team_Info'!$E$5,"W","B")</x:f>
        <x:v>B</x:v>
      </x:c>
      <x:c r="F434" t="str">
        <x:f>IF(RAND()&lt;'Team_Info'!$E$5,"W","B")</x:f>
        <x:v>W</x:v>
      </x:c>
      <x:c r="G434" t="str">
        <x:f>IF(RAND()&lt;'Team_Info'!$E$5,"W","B")</x:f>
        <x:v>B</x:v>
      </x:c>
      <x:c r="H434" t="str">
        <x:f>IF(RAND()&lt;'Team_Info'!$E$5,"W","B")</x:f>
        <x:v>B</x:v>
      </x:c>
      <x:c r="I434" t="str">
        <x:f>IF(RAND()&lt;'Team_Info'!$E$5,"W","B")</x:f>
        <x:v>B</x:v>
      </x:c>
      <x:c r="J434" t="str">
        <x:f>IF(RAND()&lt;'Team_Info'!$E$5,"W","B")</x:f>
        <x:v>B</x:v>
      </x:c>
      <x:c r="K434" t="str">
        <x:f>IF(RAND()&lt;'Team_Info'!$E$5,"W","B")</x:f>
        <x:v>B</x:v>
      </x:c>
      <x:c r="L434" t="str">
        <x:f>IF(RAND()&lt;'Team_Info'!$E$5,"W","B")</x:f>
        <x:v>B</x:v>
      </x:c>
      <x:c r="M434" t="str">
        <x:f>IF(RAND()&lt;'Team_Info'!$E$5,"W","B")</x:f>
        <x:v>B</x:v>
      </x:c>
      <x:c r="N434" t="str">
        <x:f>IF(RAND()&lt;'Team_Info'!$E$5,"W","B")</x:f>
        <x:v>B</x:v>
      </x:c>
      <x:c r="O434" t="str">
        <x:f>IF(RAND()&lt;'Team_Info'!$E$5,"W","B")</x:f>
        <x:v>W</x:v>
      </x:c>
      <x:c r="P434" t="str">
        <x:f>IF(RAND()&lt;'Team_Info'!$E$5,"W","B")</x:f>
        <x:v>B</x:v>
      </x:c>
      <x:c r="Q434" t="str">
        <x:f>IF(RAND()&lt;'Team_Info'!$E$5,"W","B")</x:f>
        <x:v>B</x:v>
      </x:c>
      <x:c r="R434" t="str">
        <x:f>IF(RAND()&lt;'Team_Info'!$E$5,"W","B")</x:f>
        <x:v>B</x:v>
      </x:c>
      <x:c r="S434" t="str">
        <x:f>IF(RAND()&lt;'Team_Info'!$E$5,"W","B")</x:f>
        <x:v>B</x:v>
      </x:c>
      <x:c r="T434" t="str">
        <x:f>IF(RAND()&lt;'Team_Info'!$E$5,"W","B")</x:f>
        <x:v>B</x:v>
      </x:c>
      <x:c r="U434" t="str">
        <x:f>IF(RAND()&lt;'Team_Info'!$E$5,"W","B")</x:f>
        <x:v>B</x:v>
      </x:c>
    </x:row>
    <x:row r="435">
      <x:c r="A435" s="1">
        <x:v>434</x:v>
      </x:c>
      <x:c r="B435" t="str">
        <x:f>IF(RAND()&lt;'Team_Info'!$E$5,"W","B")</x:f>
        <x:v>W</x:v>
      </x:c>
      <x:c r="C435" t="str">
        <x:f>IF(RAND()&lt;'Team_Info'!$E$5,"W","B")</x:f>
        <x:v>W</x:v>
      </x:c>
      <x:c r="D435" t="str">
        <x:f>IF(RAND()&lt;'Team_Info'!$E$5,"W","B")</x:f>
        <x:v>B</x:v>
      </x:c>
      <x:c r="E435" t="str">
        <x:f>IF(RAND()&lt;'Team_Info'!$E$5,"W","B")</x:f>
        <x:v>B</x:v>
      </x:c>
      <x:c r="F435" t="str">
        <x:f>IF(RAND()&lt;'Team_Info'!$E$5,"W","B")</x:f>
        <x:v>B</x:v>
      </x:c>
      <x:c r="G435" t="str">
        <x:f>IF(RAND()&lt;'Team_Info'!$E$5,"W","B")</x:f>
        <x:v>W</x:v>
      </x:c>
      <x:c r="H435" t="str">
        <x:f>IF(RAND()&lt;'Team_Info'!$E$5,"W","B")</x:f>
        <x:v>B</x:v>
      </x:c>
      <x:c r="I435" t="str">
        <x:f>IF(RAND()&lt;'Team_Info'!$E$5,"W","B")</x:f>
        <x:v>B</x:v>
      </x:c>
      <x:c r="J435" t="str">
        <x:f>IF(RAND()&lt;'Team_Info'!$E$5,"W","B")</x:f>
        <x:v>B</x:v>
      </x:c>
      <x:c r="K435" t="str">
        <x:f>IF(RAND()&lt;'Team_Info'!$E$5,"W","B")</x:f>
        <x:v>B</x:v>
      </x:c>
      <x:c r="L435" t="str">
        <x:f>IF(RAND()&lt;'Team_Info'!$E$5,"W","B")</x:f>
        <x:v>W</x:v>
      </x:c>
      <x:c r="M435" t="str">
        <x:f>IF(RAND()&lt;'Team_Info'!$E$5,"W","B")</x:f>
        <x:v>B</x:v>
      </x:c>
      <x:c r="N435" t="str">
        <x:f>IF(RAND()&lt;'Team_Info'!$E$5,"W","B")</x:f>
        <x:v>B</x:v>
      </x:c>
      <x:c r="O435" t="str">
        <x:f>IF(RAND()&lt;'Team_Info'!$E$5,"W","B")</x:f>
        <x:v>B</x:v>
      </x:c>
      <x:c r="P435" t="str">
        <x:f>IF(RAND()&lt;'Team_Info'!$E$5,"W","B")</x:f>
        <x:v>B</x:v>
      </x:c>
      <x:c r="Q435" t="str">
        <x:f>IF(RAND()&lt;'Team_Info'!$E$5,"W","B")</x:f>
        <x:v>W</x:v>
      </x:c>
      <x:c r="R435" t="str">
        <x:f>IF(RAND()&lt;'Team_Info'!$E$5,"W","B")</x:f>
        <x:v>B</x:v>
      </x:c>
      <x:c r="S435" t="str">
        <x:f>IF(RAND()&lt;'Team_Info'!$E$5,"W","B")</x:f>
        <x:v>B</x:v>
      </x:c>
      <x:c r="T435" t="str">
        <x:f>IF(RAND()&lt;'Team_Info'!$E$5,"W","B")</x:f>
        <x:v>B</x:v>
      </x:c>
      <x:c r="U435" t="str">
        <x:f>IF(RAND()&lt;'Team_Info'!$E$5,"W","B")</x:f>
        <x:v>W</x:v>
      </x:c>
    </x:row>
    <x:row r="436">
      <x:c r="A436" s="1">
        <x:v>435</x:v>
      </x:c>
      <x:c r="B436" t="str">
        <x:f>IF(RAND()&lt;'Team_Info'!$E$5,"W","B")</x:f>
        <x:v>W</x:v>
      </x:c>
      <x:c r="C436" t="str">
        <x:f>IF(RAND()&lt;'Team_Info'!$E$5,"W","B")</x:f>
        <x:v>W</x:v>
      </x:c>
      <x:c r="D436" t="str">
        <x:f>IF(RAND()&lt;'Team_Info'!$E$5,"W","B")</x:f>
        <x:v>W</x:v>
      </x:c>
      <x:c r="E436" t="str">
        <x:f>IF(RAND()&lt;'Team_Info'!$E$5,"W","B")</x:f>
        <x:v>B</x:v>
      </x:c>
      <x:c r="F436" t="str">
        <x:f>IF(RAND()&lt;'Team_Info'!$E$5,"W","B")</x:f>
        <x:v>B</x:v>
      </x:c>
      <x:c r="G436" t="str">
        <x:f>IF(RAND()&lt;'Team_Info'!$E$5,"W","B")</x:f>
        <x:v>W</x:v>
      </x:c>
      <x:c r="H436" t="str">
        <x:f>IF(RAND()&lt;'Team_Info'!$E$5,"W","B")</x:f>
        <x:v>B</x:v>
      </x:c>
      <x:c r="I436" t="str">
        <x:f>IF(RAND()&lt;'Team_Info'!$E$5,"W","B")</x:f>
        <x:v>W</x:v>
      </x:c>
      <x:c r="J436" t="str">
        <x:f>IF(RAND()&lt;'Team_Info'!$E$5,"W","B")</x:f>
        <x:v>B</x:v>
      </x:c>
      <x:c r="K436" t="str">
        <x:f>IF(RAND()&lt;'Team_Info'!$E$5,"W","B")</x:f>
        <x:v>W</x:v>
      </x:c>
      <x:c r="L436" t="str">
        <x:f>IF(RAND()&lt;'Team_Info'!$E$5,"W","B")</x:f>
        <x:v>B</x:v>
      </x:c>
      <x:c r="M436" t="str">
        <x:f>IF(RAND()&lt;'Team_Info'!$E$5,"W","B")</x:f>
        <x:v>B</x:v>
      </x:c>
      <x:c r="N436" t="str">
        <x:f>IF(RAND()&lt;'Team_Info'!$E$5,"W","B")</x:f>
        <x:v>W</x:v>
      </x:c>
      <x:c r="O436" t="str">
        <x:f>IF(RAND()&lt;'Team_Info'!$E$5,"W","B")</x:f>
        <x:v>B</x:v>
      </x:c>
      <x:c r="P436" t="str">
        <x:f>IF(RAND()&lt;'Team_Info'!$E$5,"W","B")</x:f>
        <x:v>W</x:v>
      </x:c>
      <x:c r="Q436" t="str">
        <x:f>IF(RAND()&lt;'Team_Info'!$E$5,"W","B")</x:f>
        <x:v>B</x:v>
      </x:c>
      <x:c r="R436" t="str">
        <x:f>IF(RAND()&lt;'Team_Info'!$E$5,"W","B")</x:f>
        <x:v>W</x:v>
      </x:c>
      <x:c r="S436" t="str">
        <x:f>IF(RAND()&lt;'Team_Info'!$E$5,"W","B")</x:f>
        <x:v>W</x:v>
      </x:c>
      <x:c r="T436" t="str">
        <x:f>IF(RAND()&lt;'Team_Info'!$E$5,"W","B")</x:f>
        <x:v>B</x:v>
      </x:c>
      <x:c r="U436" t="str">
        <x:f>IF(RAND()&lt;'Team_Info'!$E$5,"W","B")</x:f>
        <x:v>B</x:v>
      </x:c>
    </x:row>
    <x:row r="437">
      <x:c r="A437" s="1">
        <x:v>436</x:v>
      </x:c>
      <x:c r="B437" t="str">
        <x:f>IF(RAND()&lt;'Team_Info'!$E$5,"W","B")</x:f>
        <x:v>W</x:v>
      </x:c>
      <x:c r="C437" t="str">
        <x:f>IF(RAND()&lt;'Team_Info'!$E$5,"W","B")</x:f>
        <x:v>W</x:v>
      </x:c>
      <x:c r="D437" t="str">
        <x:f>IF(RAND()&lt;'Team_Info'!$E$5,"W","B")</x:f>
        <x:v>B</x:v>
      </x:c>
      <x:c r="E437" t="str">
        <x:f>IF(RAND()&lt;'Team_Info'!$E$5,"W","B")</x:f>
        <x:v>B</x:v>
      </x:c>
      <x:c r="F437" t="str">
        <x:f>IF(RAND()&lt;'Team_Info'!$E$5,"W","B")</x:f>
        <x:v>W</x:v>
      </x:c>
      <x:c r="G437" t="str">
        <x:f>IF(RAND()&lt;'Team_Info'!$E$5,"W","B")</x:f>
        <x:v>W</x:v>
      </x:c>
      <x:c r="H437" t="str">
        <x:f>IF(RAND()&lt;'Team_Info'!$E$5,"W","B")</x:f>
        <x:v>B</x:v>
      </x:c>
      <x:c r="I437" t="str">
        <x:f>IF(RAND()&lt;'Team_Info'!$E$5,"W","B")</x:f>
        <x:v>B</x:v>
      </x:c>
      <x:c r="J437" t="str">
        <x:f>IF(RAND()&lt;'Team_Info'!$E$5,"W","B")</x:f>
        <x:v>W</x:v>
      </x:c>
      <x:c r="K437" t="str">
        <x:f>IF(RAND()&lt;'Team_Info'!$E$5,"W","B")</x:f>
        <x:v>W</x:v>
      </x:c>
      <x:c r="L437" t="str">
        <x:f>IF(RAND()&lt;'Team_Info'!$E$5,"W","B")</x:f>
        <x:v>B</x:v>
      </x:c>
      <x:c r="M437" t="str">
        <x:f>IF(RAND()&lt;'Team_Info'!$E$5,"W","B")</x:f>
        <x:v>B</x:v>
      </x:c>
      <x:c r="N437" t="str">
        <x:f>IF(RAND()&lt;'Team_Info'!$E$5,"W","B")</x:f>
        <x:v>W</x:v>
      </x:c>
      <x:c r="O437" t="str">
        <x:f>IF(RAND()&lt;'Team_Info'!$E$5,"W","B")</x:f>
        <x:v>W</x:v>
      </x:c>
      <x:c r="P437" t="str">
        <x:f>IF(RAND()&lt;'Team_Info'!$E$5,"W","B")</x:f>
        <x:v>W</x:v>
      </x:c>
      <x:c r="Q437" t="str">
        <x:f>IF(RAND()&lt;'Team_Info'!$E$5,"W","B")</x:f>
        <x:v>W</x:v>
      </x:c>
      <x:c r="R437" t="str">
        <x:f>IF(RAND()&lt;'Team_Info'!$E$5,"W","B")</x:f>
        <x:v>B</x:v>
      </x:c>
      <x:c r="S437" t="str">
        <x:f>IF(RAND()&lt;'Team_Info'!$E$5,"W","B")</x:f>
        <x:v>B</x:v>
      </x:c>
      <x:c r="T437" t="str">
        <x:f>IF(RAND()&lt;'Team_Info'!$E$5,"W","B")</x:f>
        <x:v>B</x:v>
      </x:c>
      <x:c r="U437" t="str">
        <x:f>IF(RAND()&lt;'Team_Info'!$E$5,"W","B")</x:f>
        <x:v>B</x:v>
      </x:c>
    </x:row>
    <x:row r="438">
      <x:c r="A438" s="1">
        <x:v>437</x:v>
      </x:c>
      <x:c r="B438" t="str">
        <x:f>IF(RAND()&lt;'Team_Info'!$E$5,"W","B")</x:f>
        <x:v>W</x:v>
      </x:c>
      <x:c r="C438" t="str">
        <x:f>IF(RAND()&lt;'Team_Info'!$E$5,"W","B")</x:f>
        <x:v>B</x:v>
      </x:c>
      <x:c r="D438" t="str">
        <x:f>IF(RAND()&lt;'Team_Info'!$E$5,"W","B")</x:f>
        <x:v>B</x:v>
      </x:c>
      <x:c r="E438" t="str">
        <x:f>IF(RAND()&lt;'Team_Info'!$E$5,"W","B")</x:f>
        <x:v>W</x:v>
      </x:c>
      <x:c r="F438" t="str">
        <x:f>IF(RAND()&lt;'Team_Info'!$E$5,"W","B")</x:f>
        <x:v>B</x:v>
      </x:c>
      <x:c r="G438" t="str">
        <x:f>IF(RAND()&lt;'Team_Info'!$E$5,"W","B")</x:f>
        <x:v>B</x:v>
      </x:c>
      <x:c r="H438" t="str">
        <x:f>IF(RAND()&lt;'Team_Info'!$E$5,"W","B")</x:f>
        <x:v>W</x:v>
      </x:c>
      <x:c r="I438" t="str">
        <x:f>IF(RAND()&lt;'Team_Info'!$E$5,"W","B")</x:f>
        <x:v>W</x:v>
      </x:c>
      <x:c r="J438" t="str">
        <x:f>IF(RAND()&lt;'Team_Info'!$E$5,"W","B")</x:f>
        <x:v>W</x:v>
      </x:c>
      <x:c r="K438" t="str">
        <x:f>IF(RAND()&lt;'Team_Info'!$E$5,"W","B")</x:f>
        <x:v>B</x:v>
      </x:c>
      <x:c r="L438" t="str">
        <x:f>IF(RAND()&lt;'Team_Info'!$E$5,"W","B")</x:f>
        <x:v>W</x:v>
      </x:c>
      <x:c r="M438" t="str">
        <x:f>IF(RAND()&lt;'Team_Info'!$E$5,"W","B")</x:f>
        <x:v>B</x:v>
      </x:c>
      <x:c r="N438" t="str">
        <x:f>IF(RAND()&lt;'Team_Info'!$E$5,"W","B")</x:f>
        <x:v>B</x:v>
      </x:c>
      <x:c r="O438" t="str">
        <x:f>IF(RAND()&lt;'Team_Info'!$E$5,"W","B")</x:f>
        <x:v>B</x:v>
      </x:c>
      <x:c r="P438" t="str">
        <x:f>IF(RAND()&lt;'Team_Info'!$E$5,"W","B")</x:f>
        <x:v>B</x:v>
      </x:c>
      <x:c r="Q438" t="str">
        <x:f>IF(RAND()&lt;'Team_Info'!$E$5,"W","B")</x:f>
        <x:v>W</x:v>
      </x:c>
      <x:c r="R438" t="str">
        <x:f>IF(RAND()&lt;'Team_Info'!$E$5,"W","B")</x:f>
        <x:v>W</x:v>
      </x:c>
      <x:c r="S438" t="str">
        <x:f>IF(RAND()&lt;'Team_Info'!$E$5,"W","B")</x:f>
        <x:v>W</x:v>
      </x:c>
      <x:c r="T438" t="str">
        <x:f>IF(RAND()&lt;'Team_Info'!$E$5,"W","B")</x:f>
        <x:v>B</x:v>
      </x:c>
      <x:c r="U438" t="str">
        <x:f>IF(RAND()&lt;'Team_Info'!$E$5,"W","B")</x:f>
        <x:v>B</x:v>
      </x:c>
    </x:row>
    <x:row r="439">
      <x:c r="A439" s="1">
        <x:v>438</x:v>
      </x:c>
      <x:c r="B439" t="str">
        <x:f>IF(RAND()&lt;'Team_Info'!$E$5,"W","B")</x:f>
        <x:v>W</x:v>
      </x:c>
      <x:c r="C439" t="str">
        <x:f>IF(RAND()&lt;'Team_Info'!$E$5,"W","B")</x:f>
        <x:v>W</x:v>
      </x:c>
      <x:c r="D439" t="str">
        <x:f>IF(RAND()&lt;'Team_Info'!$E$5,"W","B")</x:f>
        <x:v>B</x:v>
      </x:c>
      <x:c r="E439" t="str">
        <x:f>IF(RAND()&lt;'Team_Info'!$E$5,"W","B")</x:f>
        <x:v>W</x:v>
      </x:c>
      <x:c r="F439" t="str">
        <x:f>IF(RAND()&lt;'Team_Info'!$E$5,"W","B")</x:f>
        <x:v>B</x:v>
      </x:c>
      <x:c r="G439" t="str">
        <x:f>IF(RAND()&lt;'Team_Info'!$E$5,"W","B")</x:f>
        <x:v>W</x:v>
      </x:c>
      <x:c r="H439" t="str">
        <x:f>IF(RAND()&lt;'Team_Info'!$E$5,"W","B")</x:f>
        <x:v>B</x:v>
      </x:c>
      <x:c r="I439" t="str">
        <x:f>IF(RAND()&lt;'Team_Info'!$E$5,"W","B")</x:f>
        <x:v>W</x:v>
      </x:c>
      <x:c r="J439" t="str">
        <x:f>IF(RAND()&lt;'Team_Info'!$E$5,"W","B")</x:f>
        <x:v>B</x:v>
      </x:c>
      <x:c r="K439" t="str">
        <x:f>IF(RAND()&lt;'Team_Info'!$E$5,"W","B")</x:f>
        <x:v>B</x:v>
      </x:c>
      <x:c r="L439" t="str">
        <x:f>IF(RAND()&lt;'Team_Info'!$E$5,"W","B")</x:f>
        <x:v>B</x:v>
      </x:c>
      <x:c r="M439" t="str">
        <x:f>IF(RAND()&lt;'Team_Info'!$E$5,"W","B")</x:f>
        <x:v>B</x:v>
      </x:c>
      <x:c r="N439" t="str">
        <x:f>IF(RAND()&lt;'Team_Info'!$E$5,"W","B")</x:f>
        <x:v>B</x:v>
      </x:c>
      <x:c r="O439" t="str">
        <x:f>IF(RAND()&lt;'Team_Info'!$E$5,"W","B")</x:f>
        <x:v>B</x:v>
      </x:c>
      <x:c r="P439" t="str">
        <x:f>IF(RAND()&lt;'Team_Info'!$E$5,"W","B")</x:f>
        <x:v>B</x:v>
      </x:c>
      <x:c r="Q439" t="str">
        <x:f>IF(RAND()&lt;'Team_Info'!$E$5,"W","B")</x:f>
        <x:v>B</x:v>
      </x:c>
      <x:c r="R439" t="str">
        <x:f>IF(RAND()&lt;'Team_Info'!$E$5,"W","B")</x:f>
        <x:v>B</x:v>
      </x:c>
      <x:c r="S439" t="str">
        <x:f>IF(RAND()&lt;'Team_Info'!$E$5,"W","B")</x:f>
        <x:v>W</x:v>
      </x:c>
      <x:c r="T439" t="str">
        <x:f>IF(RAND()&lt;'Team_Info'!$E$5,"W","B")</x:f>
        <x:v>B</x:v>
      </x:c>
      <x:c r="U439" t="str">
        <x:f>IF(RAND()&lt;'Team_Info'!$E$5,"W","B")</x:f>
        <x:v>B</x:v>
      </x:c>
    </x:row>
    <x:row r="440">
      <x:c r="A440" s="1">
        <x:v>439</x:v>
      </x:c>
      <x:c r="B440" t="str">
        <x:f>IF(RAND()&lt;'Team_Info'!$E$5,"W","B")</x:f>
        <x:v>B</x:v>
      </x:c>
      <x:c r="C440" t="str">
        <x:f>IF(RAND()&lt;'Team_Info'!$E$5,"W","B")</x:f>
        <x:v>W</x:v>
      </x:c>
      <x:c r="D440" t="str">
        <x:f>IF(RAND()&lt;'Team_Info'!$E$5,"W","B")</x:f>
        <x:v>B</x:v>
      </x:c>
      <x:c r="E440" t="str">
        <x:f>IF(RAND()&lt;'Team_Info'!$E$5,"W","B")</x:f>
        <x:v>B</x:v>
      </x:c>
      <x:c r="F440" t="str">
        <x:f>IF(RAND()&lt;'Team_Info'!$E$5,"W","B")</x:f>
        <x:v>B</x:v>
      </x:c>
      <x:c r="G440" t="str">
        <x:f>IF(RAND()&lt;'Team_Info'!$E$5,"W","B")</x:f>
        <x:v>B</x:v>
      </x:c>
      <x:c r="H440" t="str">
        <x:f>IF(RAND()&lt;'Team_Info'!$E$5,"W","B")</x:f>
        <x:v>B</x:v>
      </x:c>
      <x:c r="I440" t="str">
        <x:f>IF(RAND()&lt;'Team_Info'!$E$5,"W","B")</x:f>
        <x:v>W</x:v>
      </x:c>
      <x:c r="J440" t="str">
        <x:f>IF(RAND()&lt;'Team_Info'!$E$5,"W","B")</x:f>
        <x:v>W</x:v>
      </x:c>
      <x:c r="K440" t="str">
        <x:f>IF(RAND()&lt;'Team_Info'!$E$5,"W","B")</x:f>
        <x:v>B</x:v>
      </x:c>
      <x:c r="L440" t="str">
        <x:f>IF(RAND()&lt;'Team_Info'!$E$5,"W","B")</x:f>
        <x:v>W</x:v>
      </x:c>
      <x:c r="M440" t="str">
        <x:f>IF(RAND()&lt;'Team_Info'!$E$5,"W","B")</x:f>
        <x:v>B</x:v>
      </x:c>
      <x:c r="N440" t="str">
        <x:f>IF(RAND()&lt;'Team_Info'!$E$5,"W","B")</x:f>
        <x:v>B</x:v>
      </x:c>
      <x:c r="O440" t="str">
        <x:f>IF(RAND()&lt;'Team_Info'!$E$5,"W","B")</x:f>
        <x:v>W</x:v>
      </x:c>
      <x:c r="P440" t="str">
        <x:f>IF(RAND()&lt;'Team_Info'!$E$5,"W","B")</x:f>
        <x:v>W</x:v>
      </x:c>
      <x:c r="Q440" t="str">
        <x:f>IF(RAND()&lt;'Team_Info'!$E$5,"W","B")</x:f>
        <x:v>B</x:v>
      </x:c>
      <x:c r="R440" t="str">
        <x:f>IF(RAND()&lt;'Team_Info'!$E$5,"W","B")</x:f>
        <x:v>B</x:v>
      </x:c>
      <x:c r="S440" t="str">
        <x:f>IF(RAND()&lt;'Team_Info'!$E$5,"W","B")</x:f>
        <x:v>W</x:v>
      </x:c>
      <x:c r="T440" t="str">
        <x:f>IF(RAND()&lt;'Team_Info'!$E$5,"W","B")</x:f>
        <x:v>B</x:v>
      </x:c>
      <x:c r="U440" t="str">
        <x:f>IF(RAND()&lt;'Team_Info'!$E$5,"W","B")</x:f>
        <x:v>B</x:v>
      </x:c>
    </x:row>
    <x:row r="441">
      <x:c r="A441" s="1">
        <x:v>440</x:v>
      </x:c>
      <x:c r="B441" t="str">
        <x:f>IF(RAND()&lt;'Team_Info'!$E$5,"W","B")</x:f>
        <x:v>B</x:v>
      </x:c>
      <x:c r="C441" t="str">
        <x:f>IF(RAND()&lt;'Team_Info'!$E$5,"W","B")</x:f>
        <x:v>W</x:v>
      </x:c>
      <x:c r="D441" t="str">
        <x:f>IF(RAND()&lt;'Team_Info'!$E$5,"W","B")</x:f>
        <x:v>W</x:v>
      </x:c>
      <x:c r="E441" t="str">
        <x:f>IF(RAND()&lt;'Team_Info'!$E$5,"W","B")</x:f>
        <x:v>W</x:v>
      </x:c>
      <x:c r="F441" t="str">
        <x:f>IF(RAND()&lt;'Team_Info'!$E$5,"W","B")</x:f>
        <x:v>W</x:v>
      </x:c>
      <x:c r="G441" t="str">
        <x:f>IF(RAND()&lt;'Team_Info'!$E$5,"W","B")</x:f>
        <x:v>B</x:v>
      </x:c>
      <x:c r="H441" t="str">
        <x:f>IF(RAND()&lt;'Team_Info'!$E$5,"W","B")</x:f>
        <x:v>W</x:v>
      </x:c>
      <x:c r="I441" t="str">
        <x:f>IF(RAND()&lt;'Team_Info'!$E$5,"W","B")</x:f>
        <x:v>B</x:v>
      </x:c>
      <x:c r="J441" t="str">
        <x:f>IF(RAND()&lt;'Team_Info'!$E$5,"W","B")</x:f>
        <x:v>W</x:v>
      </x:c>
      <x:c r="K441" t="str">
        <x:f>IF(RAND()&lt;'Team_Info'!$E$5,"W","B")</x:f>
        <x:v>B</x:v>
      </x:c>
      <x:c r="L441" t="str">
        <x:f>IF(RAND()&lt;'Team_Info'!$E$5,"W","B")</x:f>
        <x:v>B</x:v>
      </x:c>
      <x:c r="M441" t="str">
        <x:f>IF(RAND()&lt;'Team_Info'!$E$5,"W","B")</x:f>
        <x:v>B</x:v>
      </x:c>
      <x:c r="N441" t="str">
        <x:f>IF(RAND()&lt;'Team_Info'!$E$5,"W","B")</x:f>
        <x:v>W</x:v>
      </x:c>
      <x:c r="O441" t="str">
        <x:f>IF(RAND()&lt;'Team_Info'!$E$5,"W","B")</x:f>
        <x:v>B</x:v>
      </x:c>
      <x:c r="P441" t="str">
        <x:f>IF(RAND()&lt;'Team_Info'!$E$5,"W","B")</x:f>
        <x:v>W</x:v>
      </x:c>
      <x:c r="Q441" t="str">
        <x:f>IF(RAND()&lt;'Team_Info'!$E$5,"W","B")</x:f>
        <x:v>B</x:v>
      </x:c>
      <x:c r="R441" t="str">
        <x:f>IF(RAND()&lt;'Team_Info'!$E$5,"W","B")</x:f>
        <x:v>B</x:v>
      </x:c>
      <x:c r="S441" t="str">
        <x:f>IF(RAND()&lt;'Team_Info'!$E$5,"W","B")</x:f>
        <x:v>W</x:v>
      </x:c>
      <x:c r="T441" t="str">
        <x:f>IF(RAND()&lt;'Team_Info'!$E$5,"W","B")</x:f>
        <x:v>B</x:v>
      </x:c>
      <x:c r="U441" t="str">
        <x:f>IF(RAND()&lt;'Team_Info'!$E$5,"W","B")</x:f>
        <x:v>B</x:v>
      </x:c>
    </x:row>
    <x:row r="442">
      <x:c r="A442" s="1">
        <x:v>441</x:v>
      </x:c>
      <x:c r="B442" t="str">
        <x:f>IF(RAND()&lt;'Team_Info'!$E$5,"W","B")</x:f>
        <x:v>W</x:v>
      </x:c>
      <x:c r="C442" t="str">
        <x:f>IF(RAND()&lt;'Team_Info'!$E$5,"W","B")</x:f>
        <x:v>B</x:v>
      </x:c>
      <x:c r="D442" t="str">
        <x:f>IF(RAND()&lt;'Team_Info'!$E$5,"W","B")</x:f>
        <x:v>W</x:v>
      </x:c>
      <x:c r="E442" t="str">
        <x:f>IF(RAND()&lt;'Team_Info'!$E$5,"W","B")</x:f>
        <x:v>W</x:v>
      </x:c>
      <x:c r="F442" t="str">
        <x:f>IF(RAND()&lt;'Team_Info'!$E$5,"W","B")</x:f>
        <x:v>W</x:v>
      </x:c>
      <x:c r="G442" t="str">
        <x:f>IF(RAND()&lt;'Team_Info'!$E$5,"W","B")</x:f>
        <x:v>B</x:v>
      </x:c>
      <x:c r="H442" t="str">
        <x:f>IF(RAND()&lt;'Team_Info'!$E$5,"W","B")</x:f>
        <x:v>W</x:v>
      </x:c>
      <x:c r="I442" t="str">
        <x:f>IF(RAND()&lt;'Team_Info'!$E$5,"W","B")</x:f>
        <x:v>B</x:v>
      </x:c>
      <x:c r="J442" t="str">
        <x:f>IF(RAND()&lt;'Team_Info'!$E$5,"W","B")</x:f>
        <x:v>W</x:v>
      </x:c>
      <x:c r="K442" t="str">
        <x:f>IF(RAND()&lt;'Team_Info'!$E$5,"W","B")</x:f>
        <x:v>B</x:v>
      </x:c>
      <x:c r="L442" t="str">
        <x:f>IF(RAND()&lt;'Team_Info'!$E$5,"W","B")</x:f>
        <x:v>B</x:v>
      </x:c>
      <x:c r="M442" t="str">
        <x:f>IF(RAND()&lt;'Team_Info'!$E$5,"W","B")</x:f>
        <x:v>W</x:v>
      </x:c>
      <x:c r="N442" t="str">
        <x:f>IF(RAND()&lt;'Team_Info'!$E$5,"W","B")</x:f>
        <x:v>W</x:v>
      </x:c>
      <x:c r="O442" t="str">
        <x:f>IF(RAND()&lt;'Team_Info'!$E$5,"W","B")</x:f>
        <x:v>W</x:v>
      </x:c>
      <x:c r="P442" t="str">
        <x:f>IF(RAND()&lt;'Team_Info'!$E$5,"W","B")</x:f>
        <x:v>W</x:v>
      </x:c>
      <x:c r="Q442" t="str">
        <x:f>IF(RAND()&lt;'Team_Info'!$E$5,"W","B")</x:f>
        <x:v>W</x:v>
      </x:c>
      <x:c r="R442" t="str">
        <x:f>IF(RAND()&lt;'Team_Info'!$E$5,"W","B")</x:f>
        <x:v>W</x:v>
      </x:c>
      <x:c r="S442" t="str">
        <x:f>IF(RAND()&lt;'Team_Info'!$E$5,"W","B")</x:f>
        <x:v>W</x:v>
      </x:c>
      <x:c r="T442" t="str">
        <x:f>IF(RAND()&lt;'Team_Info'!$E$5,"W","B")</x:f>
        <x:v>W</x:v>
      </x:c>
      <x:c r="U442" t="str">
        <x:f>IF(RAND()&lt;'Team_Info'!$E$5,"W","B")</x:f>
        <x:v>B</x:v>
      </x:c>
    </x:row>
    <x:row r="443">
      <x:c r="A443" s="1">
        <x:v>442</x:v>
      </x:c>
      <x:c r="B443" t="str">
        <x:f>IF(RAND()&lt;'Team_Info'!$E$5,"W","B")</x:f>
        <x:v>B</x:v>
      </x:c>
      <x:c r="C443" t="str">
        <x:f>IF(RAND()&lt;'Team_Info'!$E$5,"W","B")</x:f>
        <x:v>B</x:v>
      </x:c>
      <x:c r="D443" t="str">
        <x:f>IF(RAND()&lt;'Team_Info'!$E$5,"W","B")</x:f>
        <x:v>B</x:v>
      </x:c>
      <x:c r="E443" t="str">
        <x:f>IF(RAND()&lt;'Team_Info'!$E$5,"W","B")</x:f>
        <x:v>B</x:v>
      </x:c>
      <x:c r="F443" t="str">
        <x:f>IF(RAND()&lt;'Team_Info'!$E$5,"W","B")</x:f>
        <x:v>B</x:v>
      </x:c>
      <x:c r="G443" t="str">
        <x:f>IF(RAND()&lt;'Team_Info'!$E$5,"W","B")</x:f>
        <x:v>B</x:v>
      </x:c>
      <x:c r="H443" t="str">
        <x:f>IF(RAND()&lt;'Team_Info'!$E$5,"W","B")</x:f>
        <x:v>W</x:v>
      </x:c>
      <x:c r="I443" t="str">
        <x:f>IF(RAND()&lt;'Team_Info'!$E$5,"W","B")</x:f>
        <x:v>B</x:v>
      </x:c>
      <x:c r="J443" t="str">
        <x:f>IF(RAND()&lt;'Team_Info'!$E$5,"W","B")</x:f>
        <x:v>B</x:v>
      </x:c>
      <x:c r="K443" t="str">
        <x:f>IF(RAND()&lt;'Team_Info'!$E$5,"W","B")</x:f>
        <x:v>B</x:v>
      </x:c>
      <x:c r="L443" t="str">
        <x:f>IF(RAND()&lt;'Team_Info'!$E$5,"W","B")</x:f>
        <x:v>W</x:v>
      </x:c>
      <x:c r="M443" t="str">
        <x:f>IF(RAND()&lt;'Team_Info'!$E$5,"W","B")</x:f>
        <x:v>B</x:v>
      </x:c>
      <x:c r="N443" t="str">
        <x:f>IF(RAND()&lt;'Team_Info'!$E$5,"W","B")</x:f>
        <x:v>B</x:v>
      </x:c>
      <x:c r="O443" t="str">
        <x:f>IF(RAND()&lt;'Team_Info'!$E$5,"W","B")</x:f>
        <x:v>B</x:v>
      </x:c>
      <x:c r="P443" t="str">
        <x:f>IF(RAND()&lt;'Team_Info'!$E$5,"W","B")</x:f>
        <x:v>B</x:v>
      </x:c>
      <x:c r="Q443" t="str">
        <x:f>IF(RAND()&lt;'Team_Info'!$E$5,"W","B")</x:f>
        <x:v>B</x:v>
      </x:c>
      <x:c r="R443" t="str">
        <x:f>IF(RAND()&lt;'Team_Info'!$E$5,"W","B")</x:f>
        <x:v>B</x:v>
      </x:c>
      <x:c r="S443" t="str">
        <x:f>IF(RAND()&lt;'Team_Info'!$E$5,"W","B")</x:f>
        <x:v>W</x:v>
      </x:c>
      <x:c r="T443" t="str">
        <x:f>IF(RAND()&lt;'Team_Info'!$E$5,"W","B")</x:f>
        <x:v>W</x:v>
      </x:c>
      <x:c r="U443" t="str">
        <x:f>IF(RAND()&lt;'Team_Info'!$E$5,"W","B")</x:f>
        <x:v>B</x:v>
      </x:c>
    </x:row>
    <x:row r="444">
      <x:c r="A444" s="1">
        <x:v>443</x:v>
      </x:c>
      <x:c r="B444" t="str">
        <x:f>IF(RAND()&lt;'Team_Info'!$E$5,"W","B")</x:f>
        <x:v>B</x:v>
      </x:c>
      <x:c r="C444" t="str">
        <x:f>IF(RAND()&lt;'Team_Info'!$E$5,"W","B")</x:f>
        <x:v>B</x:v>
      </x:c>
      <x:c r="D444" t="str">
        <x:f>IF(RAND()&lt;'Team_Info'!$E$5,"W","B")</x:f>
        <x:v>W</x:v>
      </x:c>
      <x:c r="E444" t="str">
        <x:f>IF(RAND()&lt;'Team_Info'!$E$5,"W","B")</x:f>
        <x:v>B</x:v>
      </x:c>
      <x:c r="F444" t="str">
        <x:f>IF(RAND()&lt;'Team_Info'!$E$5,"W","B")</x:f>
        <x:v>B</x:v>
      </x:c>
      <x:c r="G444" t="str">
        <x:f>IF(RAND()&lt;'Team_Info'!$E$5,"W","B")</x:f>
        <x:v>B</x:v>
      </x:c>
      <x:c r="H444" t="str">
        <x:f>IF(RAND()&lt;'Team_Info'!$E$5,"W","B")</x:f>
        <x:v>B</x:v>
      </x:c>
      <x:c r="I444" t="str">
        <x:f>IF(RAND()&lt;'Team_Info'!$E$5,"W","B")</x:f>
        <x:v>B</x:v>
      </x:c>
      <x:c r="J444" t="str">
        <x:f>IF(RAND()&lt;'Team_Info'!$E$5,"W","B")</x:f>
        <x:v>W</x:v>
      </x:c>
      <x:c r="K444" t="str">
        <x:f>IF(RAND()&lt;'Team_Info'!$E$5,"W","B")</x:f>
        <x:v>W</x:v>
      </x:c>
      <x:c r="L444" t="str">
        <x:f>IF(RAND()&lt;'Team_Info'!$E$5,"W","B")</x:f>
        <x:v>W</x:v>
      </x:c>
      <x:c r="M444" t="str">
        <x:f>IF(RAND()&lt;'Team_Info'!$E$5,"W","B")</x:f>
        <x:v>B</x:v>
      </x:c>
      <x:c r="N444" t="str">
        <x:f>IF(RAND()&lt;'Team_Info'!$E$5,"W","B")</x:f>
        <x:v>W</x:v>
      </x:c>
      <x:c r="O444" t="str">
        <x:f>IF(RAND()&lt;'Team_Info'!$E$5,"W","B")</x:f>
        <x:v>B</x:v>
      </x:c>
      <x:c r="P444" t="str">
        <x:f>IF(RAND()&lt;'Team_Info'!$E$5,"W","B")</x:f>
        <x:v>B</x:v>
      </x:c>
      <x:c r="Q444" t="str">
        <x:f>IF(RAND()&lt;'Team_Info'!$E$5,"W","B")</x:f>
        <x:v>B</x:v>
      </x:c>
      <x:c r="R444" t="str">
        <x:f>IF(RAND()&lt;'Team_Info'!$E$5,"W","B")</x:f>
        <x:v>B</x:v>
      </x:c>
      <x:c r="S444" t="str">
        <x:f>IF(RAND()&lt;'Team_Info'!$E$5,"W","B")</x:f>
        <x:v>W</x:v>
      </x:c>
      <x:c r="T444" t="str">
        <x:f>IF(RAND()&lt;'Team_Info'!$E$5,"W","B")</x:f>
        <x:v>W</x:v>
      </x:c>
      <x:c r="U444" t="str">
        <x:f>IF(RAND()&lt;'Team_Info'!$E$5,"W","B")</x:f>
        <x:v>B</x:v>
      </x:c>
    </x:row>
    <x:row r="445">
      <x:c r="A445" s="1">
        <x:v>444</x:v>
      </x:c>
      <x:c r="B445" t="str">
        <x:f>IF(RAND()&lt;'Team_Info'!$E$5,"W","B")</x:f>
        <x:v>W</x:v>
      </x:c>
      <x:c r="C445" t="str">
        <x:f>IF(RAND()&lt;'Team_Info'!$E$5,"W","B")</x:f>
        <x:v>B</x:v>
      </x:c>
      <x:c r="D445" t="str">
        <x:f>IF(RAND()&lt;'Team_Info'!$E$5,"W","B")</x:f>
        <x:v>B</x:v>
      </x:c>
      <x:c r="E445" t="str">
        <x:f>IF(RAND()&lt;'Team_Info'!$E$5,"W","B")</x:f>
        <x:v>B</x:v>
      </x:c>
      <x:c r="F445" t="str">
        <x:f>IF(RAND()&lt;'Team_Info'!$E$5,"W","B")</x:f>
        <x:v>W</x:v>
      </x:c>
      <x:c r="G445" t="str">
        <x:f>IF(RAND()&lt;'Team_Info'!$E$5,"W","B")</x:f>
        <x:v>B</x:v>
      </x:c>
      <x:c r="H445" t="str">
        <x:f>IF(RAND()&lt;'Team_Info'!$E$5,"W","B")</x:f>
        <x:v>B</x:v>
      </x:c>
      <x:c r="I445" t="str">
        <x:f>IF(RAND()&lt;'Team_Info'!$E$5,"W","B")</x:f>
        <x:v>B</x:v>
      </x:c>
      <x:c r="J445" t="str">
        <x:f>IF(RAND()&lt;'Team_Info'!$E$5,"W","B")</x:f>
        <x:v>B</x:v>
      </x:c>
      <x:c r="K445" t="str">
        <x:f>IF(RAND()&lt;'Team_Info'!$E$5,"W","B")</x:f>
        <x:v>B</x:v>
      </x:c>
      <x:c r="L445" t="str">
        <x:f>IF(RAND()&lt;'Team_Info'!$E$5,"W","B")</x:f>
        <x:v>B</x:v>
      </x:c>
      <x:c r="M445" t="str">
        <x:f>IF(RAND()&lt;'Team_Info'!$E$5,"W","B")</x:f>
        <x:v>B</x:v>
      </x:c>
      <x:c r="N445" t="str">
        <x:f>IF(RAND()&lt;'Team_Info'!$E$5,"W","B")</x:f>
        <x:v>B</x:v>
      </x:c>
      <x:c r="O445" t="str">
        <x:f>IF(RAND()&lt;'Team_Info'!$E$5,"W","B")</x:f>
        <x:v>B</x:v>
      </x:c>
      <x:c r="P445" t="str">
        <x:f>IF(RAND()&lt;'Team_Info'!$E$5,"W","B")</x:f>
        <x:v>B</x:v>
      </x:c>
      <x:c r="Q445" t="str">
        <x:f>IF(RAND()&lt;'Team_Info'!$E$5,"W","B")</x:f>
        <x:v>B</x:v>
      </x:c>
      <x:c r="R445" t="str">
        <x:f>IF(RAND()&lt;'Team_Info'!$E$5,"W","B")</x:f>
        <x:v>B</x:v>
      </x:c>
      <x:c r="S445" t="str">
        <x:f>IF(RAND()&lt;'Team_Info'!$E$5,"W","B")</x:f>
        <x:v>B</x:v>
      </x:c>
      <x:c r="T445" t="str">
        <x:f>IF(RAND()&lt;'Team_Info'!$E$5,"W","B")</x:f>
        <x:v>B</x:v>
      </x:c>
      <x:c r="U445" t="str">
        <x:f>IF(RAND()&lt;'Team_Info'!$E$5,"W","B")</x:f>
        <x:v>B</x:v>
      </x:c>
    </x:row>
    <x:row r="446">
      <x:c r="A446" s="1">
        <x:v>445</x:v>
      </x:c>
      <x:c r="B446" t="str">
        <x:f>IF(RAND()&lt;'Team_Info'!$E$5,"W","B")</x:f>
        <x:v>W</x:v>
      </x:c>
      <x:c r="C446" t="str">
        <x:f>IF(RAND()&lt;'Team_Info'!$E$5,"W","B")</x:f>
        <x:v>B</x:v>
      </x:c>
      <x:c r="D446" t="str">
        <x:f>IF(RAND()&lt;'Team_Info'!$E$5,"W","B")</x:f>
        <x:v>B</x:v>
      </x:c>
      <x:c r="E446" t="str">
        <x:f>IF(RAND()&lt;'Team_Info'!$E$5,"W","B")</x:f>
        <x:v>W</x:v>
      </x:c>
      <x:c r="F446" t="str">
        <x:f>IF(RAND()&lt;'Team_Info'!$E$5,"W","B")</x:f>
        <x:v>B</x:v>
      </x:c>
      <x:c r="G446" t="str">
        <x:f>IF(RAND()&lt;'Team_Info'!$E$5,"W","B")</x:f>
        <x:v>B</x:v>
      </x:c>
      <x:c r="H446" t="str">
        <x:f>IF(RAND()&lt;'Team_Info'!$E$5,"W","B")</x:f>
        <x:v>B</x:v>
      </x:c>
      <x:c r="I446" t="str">
        <x:f>IF(RAND()&lt;'Team_Info'!$E$5,"W","B")</x:f>
        <x:v>W</x:v>
      </x:c>
      <x:c r="J446" t="str">
        <x:f>IF(RAND()&lt;'Team_Info'!$E$5,"W","B")</x:f>
        <x:v>B</x:v>
      </x:c>
      <x:c r="K446" t="str">
        <x:f>IF(RAND()&lt;'Team_Info'!$E$5,"W","B")</x:f>
        <x:v>B</x:v>
      </x:c>
      <x:c r="L446" t="str">
        <x:f>IF(RAND()&lt;'Team_Info'!$E$5,"W","B")</x:f>
        <x:v>B</x:v>
      </x:c>
      <x:c r="M446" t="str">
        <x:f>IF(RAND()&lt;'Team_Info'!$E$5,"W","B")</x:f>
        <x:v>W</x:v>
      </x:c>
      <x:c r="N446" t="str">
        <x:f>IF(RAND()&lt;'Team_Info'!$E$5,"W","B")</x:f>
        <x:v>W</x:v>
      </x:c>
      <x:c r="O446" t="str">
        <x:f>IF(RAND()&lt;'Team_Info'!$E$5,"W","B")</x:f>
        <x:v>B</x:v>
      </x:c>
      <x:c r="P446" t="str">
        <x:f>IF(RAND()&lt;'Team_Info'!$E$5,"W","B")</x:f>
        <x:v>W</x:v>
      </x:c>
      <x:c r="Q446" t="str">
        <x:f>IF(RAND()&lt;'Team_Info'!$E$5,"W","B")</x:f>
        <x:v>W</x:v>
      </x:c>
      <x:c r="R446" t="str">
        <x:f>IF(RAND()&lt;'Team_Info'!$E$5,"W","B")</x:f>
        <x:v>B</x:v>
      </x:c>
      <x:c r="S446" t="str">
        <x:f>IF(RAND()&lt;'Team_Info'!$E$5,"W","B")</x:f>
        <x:v>B</x:v>
      </x:c>
      <x:c r="T446" t="str">
        <x:f>IF(RAND()&lt;'Team_Info'!$E$5,"W","B")</x:f>
        <x:v>W</x:v>
      </x:c>
      <x:c r="U446" t="str">
        <x:f>IF(RAND()&lt;'Team_Info'!$E$5,"W","B")</x:f>
        <x:v>B</x:v>
      </x:c>
    </x:row>
    <x:row r="447">
      <x:c r="A447" s="1">
        <x:v>446</x:v>
      </x:c>
      <x:c r="B447" t="str">
        <x:f>IF(RAND()&lt;'Team_Info'!$E$5,"W","B")</x:f>
        <x:v>W</x:v>
      </x:c>
      <x:c r="C447" t="str">
        <x:f>IF(RAND()&lt;'Team_Info'!$E$5,"W","B")</x:f>
        <x:v>W</x:v>
      </x:c>
      <x:c r="D447" t="str">
        <x:f>IF(RAND()&lt;'Team_Info'!$E$5,"W","B")</x:f>
        <x:v>B</x:v>
      </x:c>
      <x:c r="E447" t="str">
        <x:f>IF(RAND()&lt;'Team_Info'!$E$5,"W","B")</x:f>
        <x:v>W</x:v>
      </x:c>
      <x:c r="F447" t="str">
        <x:f>IF(RAND()&lt;'Team_Info'!$E$5,"W","B")</x:f>
        <x:v>B</x:v>
      </x:c>
      <x:c r="G447" t="str">
        <x:f>IF(RAND()&lt;'Team_Info'!$E$5,"W","B")</x:f>
        <x:v>B</x:v>
      </x:c>
      <x:c r="H447" t="str">
        <x:f>IF(RAND()&lt;'Team_Info'!$E$5,"W","B")</x:f>
        <x:v>B</x:v>
      </x:c>
      <x:c r="I447" t="str">
        <x:f>IF(RAND()&lt;'Team_Info'!$E$5,"W","B")</x:f>
        <x:v>B</x:v>
      </x:c>
      <x:c r="J447" t="str">
        <x:f>IF(RAND()&lt;'Team_Info'!$E$5,"W","B")</x:f>
        <x:v>B</x:v>
      </x:c>
      <x:c r="K447" t="str">
        <x:f>IF(RAND()&lt;'Team_Info'!$E$5,"W","B")</x:f>
        <x:v>W</x:v>
      </x:c>
      <x:c r="L447" t="str">
        <x:f>IF(RAND()&lt;'Team_Info'!$E$5,"W","B")</x:f>
        <x:v>B</x:v>
      </x:c>
      <x:c r="M447" t="str">
        <x:f>IF(RAND()&lt;'Team_Info'!$E$5,"W","B")</x:f>
        <x:v>B</x:v>
      </x:c>
      <x:c r="N447" t="str">
        <x:f>IF(RAND()&lt;'Team_Info'!$E$5,"W","B")</x:f>
        <x:v>B</x:v>
      </x:c>
      <x:c r="O447" t="str">
        <x:f>IF(RAND()&lt;'Team_Info'!$E$5,"W","B")</x:f>
        <x:v>B</x:v>
      </x:c>
      <x:c r="P447" t="str">
        <x:f>IF(RAND()&lt;'Team_Info'!$E$5,"W","B")</x:f>
        <x:v>W</x:v>
      </x:c>
      <x:c r="Q447" t="str">
        <x:f>IF(RAND()&lt;'Team_Info'!$E$5,"W","B")</x:f>
        <x:v>W</x:v>
      </x:c>
      <x:c r="R447" t="str">
        <x:f>IF(RAND()&lt;'Team_Info'!$E$5,"W","B")</x:f>
        <x:v>B</x:v>
      </x:c>
      <x:c r="S447" t="str">
        <x:f>IF(RAND()&lt;'Team_Info'!$E$5,"W","B")</x:f>
        <x:v>W</x:v>
      </x:c>
      <x:c r="T447" t="str">
        <x:f>IF(RAND()&lt;'Team_Info'!$E$5,"W","B")</x:f>
        <x:v>W</x:v>
      </x:c>
      <x:c r="U447" t="str">
        <x:f>IF(RAND()&lt;'Team_Info'!$E$5,"W","B")</x:f>
        <x:v>B</x:v>
      </x:c>
    </x:row>
    <x:row r="448">
      <x:c r="A448" s="1">
        <x:v>447</x:v>
      </x:c>
      <x:c r="B448" t="str">
        <x:f>IF(RAND()&lt;'Team_Info'!$E$5,"W","B")</x:f>
        <x:v>B</x:v>
      </x:c>
      <x:c r="C448" t="str">
        <x:f>IF(RAND()&lt;'Team_Info'!$E$5,"W","B")</x:f>
        <x:v>B</x:v>
      </x:c>
      <x:c r="D448" t="str">
        <x:f>IF(RAND()&lt;'Team_Info'!$E$5,"W","B")</x:f>
        <x:v>W</x:v>
      </x:c>
      <x:c r="E448" t="str">
        <x:f>IF(RAND()&lt;'Team_Info'!$E$5,"W","B")</x:f>
        <x:v>B</x:v>
      </x:c>
      <x:c r="F448" t="str">
        <x:f>IF(RAND()&lt;'Team_Info'!$E$5,"W","B")</x:f>
        <x:v>W</x:v>
      </x:c>
      <x:c r="G448" t="str">
        <x:f>IF(RAND()&lt;'Team_Info'!$E$5,"W","B")</x:f>
        <x:v>W</x:v>
      </x:c>
      <x:c r="H448" t="str">
        <x:f>IF(RAND()&lt;'Team_Info'!$E$5,"W","B")</x:f>
        <x:v>W</x:v>
      </x:c>
      <x:c r="I448" t="str">
        <x:f>IF(RAND()&lt;'Team_Info'!$E$5,"W","B")</x:f>
        <x:v>B</x:v>
      </x:c>
      <x:c r="J448" t="str">
        <x:f>IF(RAND()&lt;'Team_Info'!$E$5,"W","B")</x:f>
        <x:v>B</x:v>
      </x:c>
      <x:c r="K448" t="str">
        <x:f>IF(RAND()&lt;'Team_Info'!$E$5,"W","B")</x:f>
        <x:v>B</x:v>
      </x:c>
      <x:c r="L448" t="str">
        <x:f>IF(RAND()&lt;'Team_Info'!$E$5,"W","B")</x:f>
        <x:v>W</x:v>
      </x:c>
      <x:c r="M448" t="str">
        <x:f>IF(RAND()&lt;'Team_Info'!$E$5,"W","B")</x:f>
        <x:v>B</x:v>
      </x:c>
      <x:c r="N448" t="str">
        <x:f>IF(RAND()&lt;'Team_Info'!$E$5,"W","B")</x:f>
        <x:v>B</x:v>
      </x:c>
      <x:c r="O448" t="str">
        <x:f>IF(RAND()&lt;'Team_Info'!$E$5,"W","B")</x:f>
        <x:v>W</x:v>
      </x:c>
      <x:c r="P448" t="str">
        <x:f>IF(RAND()&lt;'Team_Info'!$E$5,"W","B")</x:f>
        <x:v>W</x:v>
      </x:c>
      <x:c r="Q448" t="str">
        <x:f>IF(RAND()&lt;'Team_Info'!$E$5,"W","B")</x:f>
        <x:v>W</x:v>
      </x:c>
      <x:c r="R448" t="str">
        <x:f>IF(RAND()&lt;'Team_Info'!$E$5,"W","B")</x:f>
        <x:v>W</x:v>
      </x:c>
      <x:c r="S448" t="str">
        <x:f>IF(RAND()&lt;'Team_Info'!$E$5,"W","B")</x:f>
        <x:v>W</x:v>
      </x:c>
      <x:c r="T448" t="str">
        <x:f>IF(RAND()&lt;'Team_Info'!$E$5,"W","B")</x:f>
        <x:v>B</x:v>
      </x:c>
      <x:c r="U448" t="str">
        <x:f>IF(RAND()&lt;'Team_Info'!$E$5,"W","B")</x:f>
        <x:v>B</x:v>
      </x:c>
    </x:row>
    <x:row r="449">
      <x:c r="A449" s="1">
        <x:v>448</x:v>
      </x:c>
      <x:c r="B449" t="str">
        <x:f>IF(RAND()&lt;'Team_Info'!$E$5,"W","B")</x:f>
        <x:v>B</x:v>
      </x:c>
      <x:c r="C449" t="str">
        <x:f>IF(RAND()&lt;'Team_Info'!$E$5,"W","B")</x:f>
        <x:v>B</x:v>
      </x:c>
      <x:c r="D449" t="str">
        <x:f>IF(RAND()&lt;'Team_Info'!$E$5,"W","B")</x:f>
        <x:v>B</x:v>
      </x:c>
      <x:c r="E449" t="str">
        <x:f>IF(RAND()&lt;'Team_Info'!$E$5,"W","B")</x:f>
        <x:v>B</x:v>
      </x:c>
      <x:c r="F449" t="str">
        <x:f>IF(RAND()&lt;'Team_Info'!$E$5,"W","B")</x:f>
        <x:v>B</x:v>
      </x:c>
      <x:c r="G449" t="str">
        <x:f>IF(RAND()&lt;'Team_Info'!$E$5,"W","B")</x:f>
        <x:v>B</x:v>
      </x:c>
      <x:c r="H449" t="str">
        <x:f>IF(RAND()&lt;'Team_Info'!$E$5,"W","B")</x:f>
        <x:v>B</x:v>
      </x:c>
      <x:c r="I449" t="str">
        <x:f>IF(RAND()&lt;'Team_Info'!$E$5,"W","B")</x:f>
        <x:v>B</x:v>
      </x:c>
      <x:c r="J449" t="str">
        <x:f>IF(RAND()&lt;'Team_Info'!$E$5,"W","B")</x:f>
        <x:v>B</x:v>
      </x:c>
      <x:c r="K449" t="str">
        <x:f>IF(RAND()&lt;'Team_Info'!$E$5,"W","B")</x:f>
        <x:v>W</x:v>
      </x:c>
      <x:c r="L449" t="str">
        <x:f>IF(RAND()&lt;'Team_Info'!$E$5,"W","B")</x:f>
        <x:v>W</x:v>
      </x:c>
      <x:c r="M449" t="str">
        <x:f>IF(RAND()&lt;'Team_Info'!$E$5,"W","B")</x:f>
        <x:v>B</x:v>
      </x:c>
      <x:c r="N449" t="str">
        <x:f>IF(RAND()&lt;'Team_Info'!$E$5,"W","B")</x:f>
        <x:v>W</x:v>
      </x:c>
      <x:c r="O449" t="str">
        <x:f>IF(RAND()&lt;'Team_Info'!$E$5,"W","B")</x:f>
        <x:v>W</x:v>
      </x:c>
      <x:c r="P449" t="str">
        <x:f>IF(RAND()&lt;'Team_Info'!$E$5,"W","B")</x:f>
        <x:v>W</x:v>
      </x:c>
      <x:c r="Q449" t="str">
        <x:f>IF(RAND()&lt;'Team_Info'!$E$5,"W","B")</x:f>
        <x:v>B</x:v>
      </x:c>
      <x:c r="R449" t="str">
        <x:f>IF(RAND()&lt;'Team_Info'!$E$5,"W","B")</x:f>
        <x:v>W</x:v>
      </x:c>
      <x:c r="S449" t="str">
        <x:f>IF(RAND()&lt;'Team_Info'!$E$5,"W","B")</x:f>
        <x:v>B</x:v>
      </x:c>
      <x:c r="T449" t="str">
        <x:f>IF(RAND()&lt;'Team_Info'!$E$5,"W","B")</x:f>
        <x:v>B</x:v>
      </x:c>
      <x:c r="U449" t="str">
        <x:f>IF(RAND()&lt;'Team_Info'!$E$5,"W","B")</x:f>
        <x:v>B</x:v>
      </x:c>
    </x:row>
    <x:row r="450">
      <x:c r="A450" s="1">
        <x:v>449</x:v>
      </x:c>
      <x:c r="B450" t="str">
        <x:f>IF(RAND()&lt;'Team_Info'!$E$5,"W","B")</x:f>
        <x:v>B</x:v>
      </x:c>
      <x:c r="C450" t="str">
        <x:f>IF(RAND()&lt;'Team_Info'!$E$5,"W","B")</x:f>
        <x:v>B</x:v>
      </x:c>
      <x:c r="D450" t="str">
        <x:f>IF(RAND()&lt;'Team_Info'!$E$5,"W","B")</x:f>
        <x:v>B</x:v>
      </x:c>
      <x:c r="E450" t="str">
        <x:f>IF(RAND()&lt;'Team_Info'!$E$5,"W","B")</x:f>
        <x:v>W</x:v>
      </x:c>
      <x:c r="F450" t="str">
        <x:f>IF(RAND()&lt;'Team_Info'!$E$5,"W","B")</x:f>
        <x:v>B</x:v>
      </x:c>
      <x:c r="G450" t="str">
        <x:f>IF(RAND()&lt;'Team_Info'!$E$5,"W","B")</x:f>
        <x:v>W</x:v>
      </x:c>
      <x:c r="H450" t="str">
        <x:f>IF(RAND()&lt;'Team_Info'!$E$5,"W","B")</x:f>
        <x:v>B</x:v>
      </x:c>
      <x:c r="I450" t="str">
        <x:f>IF(RAND()&lt;'Team_Info'!$E$5,"W","B")</x:f>
        <x:v>W</x:v>
      </x:c>
      <x:c r="J450" t="str">
        <x:f>IF(RAND()&lt;'Team_Info'!$E$5,"W","B")</x:f>
        <x:v>B</x:v>
      </x:c>
      <x:c r="K450" t="str">
        <x:f>IF(RAND()&lt;'Team_Info'!$E$5,"W","B")</x:f>
        <x:v>B</x:v>
      </x:c>
      <x:c r="L450" t="str">
        <x:f>IF(RAND()&lt;'Team_Info'!$E$5,"W","B")</x:f>
        <x:v>W</x:v>
      </x:c>
      <x:c r="M450" t="str">
        <x:f>IF(RAND()&lt;'Team_Info'!$E$5,"W","B")</x:f>
        <x:v>B</x:v>
      </x:c>
      <x:c r="N450" t="str">
        <x:f>IF(RAND()&lt;'Team_Info'!$E$5,"W","B")</x:f>
        <x:v>W</x:v>
      </x:c>
      <x:c r="O450" t="str">
        <x:f>IF(RAND()&lt;'Team_Info'!$E$5,"W","B")</x:f>
        <x:v>B</x:v>
      </x:c>
      <x:c r="P450" t="str">
        <x:f>IF(RAND()&lt;'Team_Info'!$E$5,"W","B")</x:f>
        <x:v>B</x:v>
      </x:c>
      <x:c r="Q450" t="str">
        <x:f>IF(RAND()&lt;'Team_Info'!$E$5,"W","B")</x:f>
        <x:v>B</x:v>
      </x:c>
      <x:c r="R450" t="str">
        <x:f>IF(RAND()&lt;'Team_Info'!$E$5,"W","B")</x:f>
        <x:v>W</x:v>
      </x:c>
      <x:c r="S450" t="str">
        <x:f>IF(RAND()&lt;'Team_Info'!$E$5,"W","B")</x:f>
        <x:v>B</x:v>
      </x:c>
      <x:c r="T450" t="str">
        <x:f>IF(RAND()&lt;'Team_Info'!$E$5,"W","B")</x:f>
        <x:v>B</x:v>
      </x:c>
      <x:c r="U450" t="str">
        <x:f>IF(RAND()&lt;'Team_Info'!$E$5,"W","B")</x:f>
        <x:v>B</x:v>
      </x:c>
    </x:row>
    <x:row r="451">
      <x:c r="A451" s="1">
        <x:v>450</x:v>
      </x:c>
      <x:c r="B451" t="str">
        <x:f>IF(RAND()&lt;'Team_Info'!$E$5,"W","B")</x:f>
        <x:v>B</x:v>
      </x:c>
      <x:c r="C451" t="str">
        <x:f>IF(RAND()&lt;'Team_Info'!$E$5,"W","B")</x:f>
        <x:v>W</x:v>
      </x:c>
      <x:c r="D451" t="str">
        <x:f>IF(RAND()&lt;'Team_Info'!$E$5,"W","B")</x:f>
        <x:v>B</x:v>
      </x:c>
      <x:c r="E451" t="str">
        <x:f>IF(RAND()&lt;'Team_Info'!$E$5,"W","B")</x:f>
        <x:v>W</x:v>
      </x:c>
      <x:c r="F451" t="str">
        <x:f>IF(RAND()&lt;'Team_Info'!$E$5,"W","B")</x:f>
        <x:v>W</x:v>
      </x:c>
      <x:c r="G451" t="str">
        <x:f>IF(RAND()&lt;'Team_Info'!$E$5,"W","B")</x:f>
        <x:v>B</x:v>
      </x:c>
      <x:c r="H451" t="str">
        <x:f>IF(RAND()&lt;'Team_Info'!$E$5,"W","B")</x:f>
        <x:v>W</x:v>
      </x:c>
      <x:c r="I451" t="str">
        <x:f>IF(RAND()&lt;'Team_Info'!$E$5,"W","B")</x:f>
        <x:v>B</x:v>
      </x:c>
      <x:c r="J451" t="str">
        <x:f>IF(RAND()&lt;'Team_Info'!$E$5,"W","B")</x:f>
        <x:v>B</x:v>
      </x:c>
      <x:c r="K451" t="str">
        <x:f>IF(RAND()&lt;'Team_Info'!$E$5,"W","B")</x:f>
        <x:v>W</x:v>
      </x:c>
      <x:c r="L451" t="str">
        <x:f>IF(RAND()&lt;'Team_Info'!$E$5,"W","B")</x:f>
        <x:v>W</x:v>
      </x:c>
      <x:c r="M451" t="str">
        <x:f>IF(RAND()&lt;'Team_Info'!$E$5,"W","B")</x:f>
        <x:v>W</x:v>
      </x:c>
      <x:c r="N451" t="str">
        <x:f>IF(RAND()&lt;'Team_Info'!$E$5,"W","B")</x:f>
        <x:v>W</x:v>
      </x:c>
      <x:c r="O451" t="str">
        <x:f>IF(RAND()&lt;'Team_Info'!$E$5,"W","B")</x:f>
        <x:v>B</x:v>
      </x:c>
      <x:c r="P451" t="str">
        <x:f>IF(RAND()&lt;'Team_Info'!$E$5,"W","B")</x:f>
        <x:v>B</x:v>
      </x:c>
      <x:c r="Q451" t="str">
        <x:f>IF(RAND()&lt;'Team_Info'!$E$5,"W","B")</x:f>
        <x:v>B</x:v>
      </x:c>
      <x:c r="R451" t="str">
        <x:f>IF(RAND()&lt;'Team_Info'!$E$5,"W","B")</x:f>
        <x:v>W</x:v>
      </x:c>
      <x:c r="S451" t="str">
        <x:f>IF(RAND()&lt;'Team_Info'!$E$5,"W","B")</x:f>
        <x:v>B</x:v>
      </x:c>
      <x:c r="T451" t="str">
        <x:f>IF(RAND()&lt;'Team_Info'!$E$5,"W","B")</x:f>
        <x:v>B</x:v>
      </x:c>
      <x:c r="U451" t="str">
        <x:f>IF(RAND()&lt;'Team_Info'!$E$5,"W","B")</x:f>
        <x:v>B</x:v>
      </x:c>
    </x:row>
    <x:row r="452">
      <x:c r="A452" s="1">
        <x:v>451</x:v>
      </x:c>
      <x:c r="B452" t="str">
        <x:f>IF(RAND()&lt;'Team_Info'!$E$5,"W","B")</x:f>
        <x:v>W</x:v>
      </x:c>
      <x:c r="C452" t="str">
        <x:f>IF(RAND()&lt;'Team_Info'!$E$5,"W","B")</x:f>
        <x:v>W</x:v>
      </x:c>
      <x:c r="D452" t="str">
        <x:f>IF(RAND()&lt;'Team_Info'!$E$5,"W","B")</x:f>
        <x:v>W</x:v>
      </x:c>
      <x:c r="E452" t="str">
        <x:f>IF(RAND()&lt;'Team_Info'!$E$5,"W","B")</x:f>
        <x:v>B</x:v>
      </x:c>
      <x:c r="F452" t="str">
        <x:f>IF(RAND()&lt;'Team_Info'!$E$5,"W","B")</x:f>
        <x:v>B</x:v>
      </x:c>
      <x:c r="G452" t="str">
        <x:f>IF(RAND()&lt;'Team_Info'!$E$5,"W","B")</x:f>
        <x:v>W</x:v>
      </x:c>
      <x:c r="H452" t="str">
        <x:f>IF(RAND()&lt;'Team_Info'!$E$5,"W","B")</x:f>
        <x:v>W</x:v>
      </x:c>
      <x:c r="I452" t="str">
        <x:f>IF(RAND()&lt;'Team_Info'!$E$5,"W","B")</x:f>
        <x:v>B</x:v>
      </x:c>
      <x:c r="J452" t="str">
        <x:f>IF(RAND()&lt;'Team_Info'!$E$5,"W","B")</x:f>
        <x:v>B</x:v>
      </x:c>
      <x:c r="K452" t="str">
        <x:f>IF(RAND()&lt;'Team_Info'!$E$5,"W","B")</x:f>
        <x:v>W</x:v>
      </x:c>
      <x:c r="L452" t="str">
        <x:f>IF(RAND()&lt;'Team_Info'!$E$5,"W","B")</x:f>
        <x:v>B</x:v>
      </x:c>
      <x:c r="M452" t="str">
        <x:f>IF(RAND()&lt;'Team_Info'!$E$5,"W","B")</x:f>
        <x:v>B</x:v>
      </x:c>
      <x:c r="N452" t="str">
        <x:f>IF(RAND()&lt;'Team_Info'!$E$5,"W","B")</x:f>
        <x:v>B</x:v>
      </x:c>
      <x:c r="O452" t="str">
        <x:f>IF(RAND()&lt;'Team_Info'!$E$5,"W","B")</x:f>
        <x:v>B</x:v>
      </x:c>
      <x:c r="P452" t="str">
        <x:f>IF(RAND()&lt;'Team_Info'!$E$5,"W","B")</x:f>
        <x:v>B</x:v>
      </x:c>
      <x:c r="Q452" t="str">
        <x:f>IF(RAND()&lt;'Team_Info'!$E$5,"W","B")</x:f>
        <x:v>B</x:v>
      </x:c>
      <x:c r="R452" t="str">
        <x:f>IF(RAND()&lt;'Team_Info'!$E$5,"W","B")</x:f>
        <x:v>W</x:v>
      </x:c>
      <x:c r="S452" t="str">
        <x:f>IF(RAND()&lt;'Team_Info'!$E$5,"W","B")</x:f>
        <x:v>W</x:v>
      </x:c>
      <x:c r="T452" t="str">
        <x:f>IF(RAND()&lt;'Team_Info'!$E$5,"W","B")</x:f>
        <x:v>W</x:v>
      </x:c>
      <x:c r="U452" t="str">
        <x:f>IF(RAND()&lt;'Team_Info'!$E$5,"W","B")</x:f>
        <x:v>B</x:v>
      </x:c>
    </x:row>
    <x:row r="453">
      <x:c r="A453" s="1">
        <x:v>452</x:v>
      </x:c>
      <x:c r="B453" t="str">
        <x:f>IF(RAND()&lt;'Team_Info'!$E$5,"W","B")</x:f>
        <x:v>B</x:v>
      </x:c>
      <x:c r="C453" t="str">
        <x:f>IF(RAND()&lt;'Team_Info'!$E$5,"W","B")</x:f>
        <x:v>B</x:v>
      </x:c>
      <x:c r="D453" t="str">
        <x:f>IF(RAND()&lt;'Team_Info'!$E$5,"W","B")</x:f>
        <x:v>W</x:v>
      </x:c>
      <x:c r="E453" t="str">
        <x:f>IF(RAND()&lt;'Team_Info'!$E$5,"W","B")</x:f>
        <x:v>B</x:v>
      </x:c>
      <x:c r="F453" t="str">
        <x:f>IF(RAND()&lt;'Team_Info'!$E$5,"W","B")</x:f>
        <x:v>B</x:v>
      </x:c>
      <x:c r="G453" t="str">
        <x:f>IF(RAND()&lt;'Team_Info'!$E$5,"W","B")</x:f>
        <x:v>W</x:v>
      </x:c>
      <x:c r="H453" t="str">
        <x:f>IF(RAND()&lt;'Team_Info'!$E$5,"W","B")</x:f>
        <x:v>B</x:v>
      </x:c>
      <x:c r="I453" t="str">
        <x:f>IF(RAND()&lt;'Team_Info'!$E$5,"W","B")</x:f>
        <x:v>W</x:v>
      </x:c>
      <x:c r="J453" t="str">
        <x:f>IF(RAND()&lt;'Team_Info'!$E$5,"W","B")</x:f>
        <x:v>B</x:v>
      </x:c>
      <x:c r="K453" t="str">
        <x:f>IF(RAND()&lt;'Team_Info'!$E$5,"W","B")</x:f>
        <x:v>B</x:v>
      </x:c>
      <x:c r="L453" t="str">
        <x:f>IF(RAND()&lt;'Team_Info'!$E$5,"W","B")</x:f>
        <x:v>W</x:v>
      </x:c>
      <x:c r="M453" t="str">
        <x:f>IF(RAND()&lt;'Team_Info'!$E$5,"W","B")</x:f>
        <x:v>B</x:v>
      </x:c>
      <x:c r="N453" t="str">
        <x:f>IF(RAND()&lt;'Team_Info'!$E$5,"W","B")</x:f>
        <x:v>B</x:v>
      </x:c>
      <x:c r="O453" t="str">
        <x:f>IF(RAND()&lt;'Team_Info'!$E$5,"W","B")</x:f>
        <x:v>B</x:v>
      </x:c>
      <x:c r="P453" t="str">
        <x:f>IF(RAND()&lt;'Team_Info'!$E$5,"W","B")</x:f>
        <x:v>B</x:v>
      </x:c>
      <x:c r="Q453" t="str">
        <x:f>IF(RAND()&lt;'Team_Info'!$E$5,"W","B")</x:f>
        <x:v>B</x:v>
      </x:c>
      <x:c r="R453" t="str">
        <x:f>IF(RAND()&lt;'Team_Info'!$E$5,"W","B")</x:f>
        <x:v>W</x:v>
      </x:c>
      <x:c r="S453" t="str">
        <x:f>IF(RAND()&lt;'Team_Info'!$E$5,"W","B")</x:f>
        <x:v>W</x:v>
      </x:c>
      <x:c r="T453" t="str">
        <x:f>IF(RAND()&lt;'Team_Info'!$E$5,"W","B")</x:f>
        <x:v>B</x:v>
      </x:c>
      <x:c r="U453" t="str">
        <x:f>IF(RAND()&lt;'Team_Info'!$E$5,"W","B")</x:f>
        <x:v>W</x:v>
      </x:c>
    </x:row>
    <x:row r="454">
      <x:c r="A454" s="1">
        <x:v>453</x:v>
      </x:c>
      <x:c r="B454" t="str">
        <x:f>IF(RAND()&lt;'Team_Info'!$E$5,"W","B")</x:f>
        <x:v>W</x:v>
      </x:c>
      <x:c r="C454" t="str">
        <x:f>IF(RAND()&lt;'Team_Info'!$E$5,"W","B")</x:f>
        <x:v>W</x:v>
      </x:c>
      <x:c r="D454" t="str">
        <x:f>IF(RAND()&lt;'Team_Info'!$E$5,"W","B")</x:f>
        <x:v>B</x:v>
      </x:c>
      <x:c r="E454" t="str">
        <x:f>IF(RAND()&lt;'Team_Info'!$E$5,"W","B")</x:f>
        <x:v>W</x:v>
      </x:c>
      <x:c r="F454" t="str">
        <x:f>IF(RAND()&lt;'Team_Info'!$E$5,"W","B")</x:f>
        <x:v>W</x:v>
      </x:c>
      <x:c r="G454" t="str">
        <x:f>IF(RAND()&lt;'Team_Info'!$E$5,"W","B")</x:f>
        <x:v>B</x:v>
      </x:c>
      <x:c r="H454" t="str">
        <x:f>IF(RAND()&lt;'Team_Info'!$E$5,"W","B")</x:f>
        <x:v>W</x:v>
      </x:c>
      <x:c r="I454" t="str">
        <x:f>IF(RAND()&lt;'Team_Info'!$E$5,"W","B")</x:f>
        <x:v>B</x:v>
      </x:c>
      <x:c r="J454" t="str">
        <x:f>IF(RAND()&lt;'Team_Info'!$E$5,"W","B")</x:f>
        <x:v>W</x:v>
      </x:c>
      <x:c r="K454" t="str">
        <x:f>IF(RAND()&lt;'Team_Info'!$E$5,"W","B")</x:f>
        <x:v>B</x:v>
      </x:c>
      <x:c r="L454" t="str">
        <x:f>IF(RAND()&lt;'Team_Info'!$E$5,"W","B")</x:f>
        <x:v>B</x:v>
      </x:c>
      <x:c r="M454" t="str">
        <x:f>IF(RAND()&lt;'Team_Info'!$E$5,"W","B")</x:f>
        <x:v>W</x:v>
      </x:c>
      <x:c r="N454" t="str">
        <x:f>IF(RAND()&lt;'Team_Info'!$E$5,"W","B")</x:f>
        <x:v>B</x:v>
      </x:c>
      <x:c r="O454" t="str">
        <x:f>IF(RAND()&lt;'Team_Info'!$E$5,"W","B")</x:f>
        <x:v>W</x:v>
      </x:c>
      <x:c r="P454" t="str">
        <x:f>IF(RAND()&lt;'Team_Info'!$E$5,"W","B")</x:f>
        <x:v>B</x:v>
      </x:c>
      <x:c r="Q454" t="str">
        <x:f>IF(RAND()&lt;'Team_Info'!$E$5,"W","B")</x:f>
        <x:v>B</x:v>
      </x:c>
      <x:c r="R454" t="str">
        <x:f>IF(RAND()&lt;'Team_Info'!$E$5,"W","B")</x:f>
        <x:v>B</x:v>
      </x:c>
      <x:c r="S454" t="str">
        <x:f>IF(RAND()&lt;'Team_Info'!$E$5,"W","B")</x:f>
        <x:v>B</x:v>
      </x:c>
      <x:c r="T454" t="str">
        <x:f>IF(RAND()&lt;'Team_Info'!$E$5,"W","B")</x:f>
        <x:v>B</x:v>
      </x:c>
      <x:c r="U454" t="str">
        <x:f>IF(RAND()&lt;'Team_Info'!$E$5,"W","B")</x:f>
        <x:v>B</x:v>
      </x:c>
    </x:row>
    <x:row r="455">
      <x:c r="A455" s="1">
        <x:v>454</x:v>
      </x:c>
      <x:c r="B455" t="str">
        <x:f>IF(RAND()&lt;'Team_Info'!$E$5,"W","B")</x:f>
        <x:v>B</x:v>
      </x:c>
      <x:c r="C455" t="str">
        <x:f>IF(RAND()&lt;'Team_Info'!$E$5,"W","B")</x:f>
        <x:v>W</x:v>
      </x:c>
      <x:c r="D455" t="str">
        <x:f>IF(RAND()&lt;'Team_Info'!$E$5,"W","B")</x:f>
        <x:v>B</x:v>
      </x:c>
      <x:c r="E455" t="str">
        <x:f>IF(RAND()&lt;'Team_Info'!$E$5,"W","B")</x:f>
        <x:v>B</x:v>
      </x:c>
      <x:c r="F455" t="str">
        <x:f>IF(RAND()&lt;'Team_Info'!$E$5,"W","B")</x:f>
        <x:v>B</x:v>
      </x:c>
      <x:c r="G455" t="str">
        <x:f>IF(RAND()&lt;'Team_Info'!$E$5,"W","B")</x:f>
        <x:v>W</x:v>
      </x:c>
      <x:c r="H455" t="str">
        <x:f>IF(RAND()&lt;'Team_Info'!$E$5,"W","B")</x:f>
        <x:v>W</x:v>
      </x:c>
      <x:c r="I455" t="str">
        <x:f>IF(RAND()&lt;'Team_Info'!$E$5,"W","B")</x:f>
        <x:v>B</x:v>
      </x:c>
      <x:c r="J455" t="str">
        <x:f>IF(RAND()&lt;'Team_Info'!$E$5,"W","B")</x:f>
        <x:v>W</x:v>
      </x:c>
      <x:c r="K455" t="str">
        <x:f>IF(RAND()&lt;'Team_Info'!$E$5,"W","B")</x:f>
        <x:v>B</x:v>
      </x:c>
      <x:c r="L455" t="str">
        <x:f>IF(RAND()&lt;'Team_Info'!$E$5,"W","B")</x:f>
        <x:v>B</x:v>
      </x:c>
      <x:c r="M455" t="str">
        <x:f>IF(RAND()&lt;'Team_Info'!$E$5,"W","B")</x:f>
        <x:v>B</x:v>
      </x:c>
      <x:c r="N455" t="str">
        <x:f>IF(RAND()&lt;'Team_Info'!$E$5,"W","B")</x:f>
        <x:v>B</x:v>
      </x:c>
      <x:c r="O455" t="str">
        <x:f>IF(RAND()&lt;'Team_Info'!$E$5,"W","B")</x:f>
        <x:v>B</x:v>
      </x:c>
      <x:c r="P455" t="str">
        <x:f>IF(RAND()&lt;'Team_Info'!$E$5,"W","B")</x:f>
        <x:v>B</x:v>
      </x:c>
      <x:c r="Q455" t="str">
        <x:f>IF(RAND()&lt;'Team_Info'!$E$5,"W","B")</x:f>
        <x:v>W</x:v>
      </x:c>
      <x:c r="R455" t="str">
        <x:f>IF(RAND()&lt;'Team_Info'!$E$5,"W","B")</x:f>
        <x:v>B</x:v>
      </x:c>
      <x:c r="S455" t="str">
        <x:f>IF(RAND()&lt;'Team_Info'!$E$5,"W","B")</x:f>
        <x:v>W</x:v>
      </x:c>
      <x:c r="T455" t="str">
        <x:f>IF(RAND()&lt;'Team_Info'!$E$5,"W","B")</x:f>
        <x:v>W</x:v>
      </x:c>
      <x:c r="U455" t="str">
        <x:f>IF(RAND()&lt;'Team_Info'!$E$5,"W","B")</x:f>
        <x:v>W</x:v>
      </x:c>
    </x:row>
    <x:row r="456">
      <x:c r="A456" s="1">
        <x:v>455</x:v>
      </x:c>
      <x:c r="B456" t="str">
        <x:f>IF(RAND()&lt;'Team_Info'!$E$5,"W","B")</x:f>
        <x:v>B</x:v>
      </x:c>
      <x:c r="C456" t="str">
        <x:f>IF(RAND()&lt;'Team_Info'!$E$5,"W","B")</x:f>
        <x:v>B</x:v>
      </x:c>
      <x:c r="D456" t="str">
        <x:f>IF(RAND()&lt;'Team_Info'!$E$5,"W","B")</x:f>
        <x:v>W</x:v>
      </x:c>
      <x:c r="E456" t="str">
        <x:f>IF(RAND()&lt;'Team_Info'!$E$5,"W","B")</x:f>
        <x:v>B</x:v>
      </x:c>
      <x:c r="F456" t="str">
        <x:f>IF(RAND()&lt;'Team_Info'!$E$5,"W","B")</x:f>
        <x:v>W</x:v>
      </x:c>
      <x:c r="G456" t="str">
        <x:f>IF(RAND()&lt;'Team_Info'!$E$5,"W","B")</x:f>
        <x:v>B</x:v>
      </x:c>
      <x:c r="H456" t="str">
        <x:f>IF(RAND()&lt;'Team_Info'!$E$5,"W","B")</x:f>
        <x:v>B</x:v>
      </x:c>
      <x:c r="I456" t="str">
        <x:f>IF(RAND()&lt;'Team_Info'!$E$5,"W","B")</x:f>
        <x:v>W</x:v>
      </x:c>
      <x:c r="J456" t="str">
        <x:f>IF(RAND()&lt;'Team_Info'!$E$5,"W","B")</x:f>
        <x:v>B</x:v>
      </x:c>
      <x:c r="K456" t="str">
        <x:f>IF(RAND()&lt;'Team_Info'!$E$5,"W","B")</x:f>
        <x:v>B</x:v>
      </x:c>
      <x:c r="L456" t="str">
        <x:f>IF(RAND()&lt;'Team_Info'!$E$5,"W","B")</x:f>
        <x:v>W</x:v>
      </x:c>
      <x:c r="M456" t="str">
        <x:f>IF(RAND()&lt;'Team_Info'!$E$5,"W","B")</x:f>
        <x:v>W</x:v>
      </x:c>
      <x:c r="N456" t="str">
        <x:f>IF(RAND()&lt;'Team_Info'!$E$5,"W","B")</x:f>
        <x:v>B</x:v>
      </x:c>
      <x:c r="O456" t="str">
        <x:f>IF(RAND()&lt;'Team_Info'!$E$5,"W","B")</x:f>
        <x:v>B</x:v>
      </x:c>
      <x:c r="P456" t="str">
        <x:f>IF(RAND()&lt;'Team_Info'!$E$5,"W","B")</x:f>
        <x:v>W</x:v>
      </x:c>
      <x:c r="Q456" t="str">
        <x:f>IF(RAND()&lt;'Team_Info'!$E$5,"W","B")</x:f>
        <x:v>B</x:v>
      </x:c>
      <x:c r="R456" t="str">
        <x:f>IF(RAND()&lt;'Team_Info'!$E$5,"W","B")</x:f>
        <x:v>B</x:v>
      </x:c>
      <x:c r="S456" t="str">
        <x:f>IF(RAND()&lt;'Team_Info'!$E$5,"W","B")</x:f>
        <x:v>B</x:v>
      </x:c>
      <x:c r="T456" t="str">
        <x:f>IF(RAND()&lt;'Team_Info'!$E$5,"W","B")</x:f>
        <x:v>W</x:v>
      </x:c>
      <x:c r="U456" t="str">
        <x:f>IF(RAND()&lt;'Team_Info'!$E$5,"W","B")</x:f>
        <x:v>B</x:v>
      </x:c>
    </x:row>
    <x:row r="457">
      <x:c r="A457" s="1">
        <x:v>456</x:v>
      </x:c>
      <x:c r="B457" t="str">
        <x:f>IF(RAND()&lt;'Team_Info'!$E$5,"W","B")</x:f>
        <x:v>B</x:v>
      </x:c>
      <x:c r="C457" t="str">
        <x:f>IF(RAND()&lt;'Team_Info'!$E$5,"W","B")</x:f>
        <x:v>B</x:v>
      </x:c>
      <x:c r="D457" t="str">
        <x:f>IF(RAND()&lt;'Team_Info'!$E$5,"W","B")</x:f>
        <x:v>W</x:v>
      </x:c>
      <x:c r="E457" t="str">
        <x:f>IF(RAND()&lt;'Team_Info'!$E$5,"W","B")</x:f>
        <x:v>B</x:v>
      </x:c>
      <x:c r="F457" t="str">
        <x:f>IF(RAND()&lt;'Team_Info'!$E$5,"W","B")</x:f>
        <x:v>W</x:v>
      </x:c>
      <x:c r="G457" t="str">
        <x:f>IF(RAND()&lt;'Team_Info'!$E$5,"W","B")</x:f>
        <x:v>B</x:v>
      </x:c>
      <x:c r="H457" t="str">
        <x:f>IF(RAND()&lt;'Team_Info'!$E$5,"W","B")</x:f>
        <x:v>B</x:v>
      </x:c>
      <x:c r="I457" t="str">
        <x:f>IF(RAND()&lt;'Team_Info'!$E$5,"W","B")</x:f>
        <x:v>B</x:v>
      </x:c>
      <x:c r="J457" t="str">
        <x:f>IF(RAND()&lt;'Team_Info'!$E$5,"W","B")</x:f>
        <x:v>W</x:v>
      </x:c>
      <x:c r="K457" t="str">
        <x:f>IF(RAND()&lt;'Team_Info'!$E$5,"W","B")</x:f>
        <x:v>B</x:v>
      </x:c>
      <x:c r="L457" t="str">
        <x:f>IF(RAND()&lt;'Team_Info'!$E$5,"W","B")</x:f>
        <x:v>B</x:v>
      </x:c>
      <x:c r="M457" t="str">
        <x:f>IF(RAND()&lt;'Team_Info'!$E$5,"W","B")</x:f>
        <x:v>B</x:v>
      </x:c>
      <x:c r="N457" t="str">
        <x:f>IF(RAND()&lt;'Team_Info'!$E$5,"W","B")</x:f>
        <x:v>B</x:v>
      </x:c>
      <x:c r="O457" t="str">
        <x:f>IF(RAND()&lt;'Team_Info'!$E$5,"W","B")</x:f>
        <x:v>W</x:v>
      </x:c>
      <x:c r="P457" t="str">
        <x:f>IF(RAND()&lt;'Team_Info'!$E$5,"W","B")</x:f>
        <x:v>B</x:v>
      </x:c>
      <x:c r="Q457" t="str">
        <x:f>IF(RAND()&lt;'Team_Info'!$E$5,"W","B")</x:f>
        <x:v>W</x:v>
      </x:c>
      <x:c r="R457" t="str">
        <x:f>IF(RAND()&lt;'Team_Info'!$E$5,"W","B")</x:f>
        <x:v>B</x:v>
      </x:c>
      <x:c r="S457" t="str">
        <x:f>IF(RAND()&lt;'Team_Info'!$E$5,"W","B")</x:f>
        <x:v>B</x:v>
      </x:c>
      <x:c r="T457" t="str">
        <x:f>IF(RAND()&lt;'Team_Info'!$E$5,"W","B")</x:f>
        <x:v>B</x:v>
      </x:c>
      <x:c r="U457" t="str">
        <x:f>IF(RAND()&lt;'Team_Info'!$E$5,"W","B")</x:f>
        <x:v>W</x:v>
      </x:c>
    </x:row>
    <x:row r="458">
      <x:c r="A458" s="1">
        <x:v>457</x:v>
      </x:c>
      <x:c r="B458" t="str">
        <x:f>IF(RAND()&lt;'Team_Info'!$E$5,"W","B")</x:f>
        <x:v>B</x:v>
      </x:c>
      <x:c r="C458" t="str">
        <x:f>IF(RAND()&lt;'Team_Info'!$E$5,"W","B")</x:f>
        <x:v>B</x:v>
      </x:c>
      <x:c r="D458" t="str">
        <x:f>IF(RAND()&lt;'Team_Info'!$E$5,"W","B")</x:f>
        <x:v>B</x:v>
      </x:c>
      <x:c r="E458" t="str">
        <x:f>IF(RAND()&lt;'Team_Info'!$E$5,"W","B")</x:f>
        <x:v>W</x:v>
      </x:c>
      <x:c r="F458" t="str">
        <x:f>IF(RAND()&lt;'Team_Info'!$E$5,"W","B")</x:f>
        <x:v>W</x:v>
      </x:c>
      <x:c r="G458" t="str">
        <x:f>IF(RAND()&lt;'Team_Info'!$E$5,"W","B")</x:f>
        <x:v>W</x:v>
      </x:c>
      <x:c r="H458" t="str">
        <x:f>IF(RAND()&lt;'Team_Info'!$E$5,"W","B")</x:f>
        <x:v>W</x:v>
      </x:c>
      <x:c r="I458" t="str">
        <x:f>IF(RAND()&lt;'Team_Info'!$E$5,"W","B")</x:f>
        <x:v>B</x:v>
      </x:c>
      <x:c r="J458" t="str">
        <x:f>IF(RAND()&lt;'Team_Info'!$E$5,"W","B")</x:f>
        <x:v>W</x:v>
      </x:c>
      <x:c r="K458" t="str">
        <x:f>IF(RAND()&lt;'Team_Info'!$E$5,"W","B")</x:f>
        <x:v>B</x:v>
      </x:c>
      <x:c r="L458" t="str">
        <x:f>IF(RAND()&lt;'Team_Info'!$E$5,"W","B")</x:f>
        <x:v>B</x:v>
      </x:c>
      <x:c r="M458" t="str">
        <x:f>IF(RAND()&lt;'Team_Info'!$E$5,"W","B")</x:f>
        <x:v>W</x:v>
      </x:c>
      <x:c r="N458" t="str">
        <x:f>IF(RAND()&lt;'Team_Info'!$E$5,"W","B")</x:f>
        <x:v>B</x:v>
      </x:c>
      <x:c r="O458" t="str">
        <x:f>IF(RAND()&lt;'Team_Info'!$E$5,"W","B")</x:f>
        <x:v>W</x:v>
      </x:c>
      <x:c r="P458" t="str">
        <x:f>IF(RAND()&lt;'Team_Info'!$E$5,"W","B")</x:f>
        <x:v>B</x:v>
      </x:c>
      <x:c r="Q458" t="str">
        <x:f>IF(RAND()&lt;'Team_Info'!$E$5,"W","B")</x:f>
        <x:v>B</x:v>
      </x:c>
      <x:c r="R458" t="str">
        <x:f>IF(RAND()&lt;'Team_Info'!$E$5,"W","B")</x:f>
        <x:v>B</x:v>
      </x:c>
      <x:c r="S458" t="str">
        <x:f>IF(RAND()&lt;'Team_Info'!$E$5,"W","B")</x:f>
        <x:v>B</x:v>
      </x:c>
      <x:c r="T458" t="str">
        <x:f>IF(RAND()&lt;'Team_Info'!$E$5,"W","B")</x:f>
        <x:v>B</x:v>
      </x:c>
      <x:c r="U458" t="str">
        <x:f>IF(RAND()&lt;'Team_Info'!$E$5,"W","B")</x:f>
        <x:v>B</x:v>
      </x:c>
    </x:row>
    <x:row r="459">
      <x:c r="A459" s="1">
        <x:v>458</x:v>
      </x:c>
      <x:c r="B459" t="str">
        <x:f>IF(RAND()&lt;'Team_Info'!$E$5,"W","B")</x:f>
        <x:v>B</x:v>
      </x:c>
      <x:c r="C459" t="str">
        <x:f>IF(RAND()&lt;'Team_Info'!$E$5,"W","B")</x:f>
        <x:v>B</x:v>
      </x:c>
      <x:c r="D459" t="str">
        <x:f>IF(RAND()&lt;'Team_Info'!$E$5,"W","B")</x:f>
        <x:v>B</x:v>
      </x:c>
      <x:c r="E459" t="str">
        <x:f>IF(RAND()&lt;'Team_Info'!$E$5,"W","B")</x:f>
        <x:v>W</x:v>
      </x:c>
      <x:c r="F459" t="str">
        <x:f>IF(RAND()&lt;'Team_Info'!$E$5,"W","B")</x:f>
        <x:v>B</x:v>
      </x:c>
      <x:c r="G459" t="str">
        <x:f>IF(RAND()&lt;'Team_Info'!$E$5,"W","B")</x:f>
        <x:v>B</x:v>
      </x:c>
      <x:c r="H459" t="str">
        <x:f>IF(RAND()&lt;'Team_Info'!$E$5,"W","B")</x:f>
        <x:v>B</x:v>
      </x:c>
      <x:c r="I459" t="str">
        <x:f>IF(RAND()&lt;'Team_Info'!$E$5,"W","B")</x:f>
        <x:v>B</x:v>
      </x:c>
      <x:c r="J459" t="str">
        <x:f>IF(RAND()&lt;'Team_Info'!$E$5,"W","B")</x:f>
        <x:v>B</x:v>
      </x:c>
      <x:c r="K459" t="str">
        <x:f>IF(RAND()&lt;'Team_Info'!$E$5,"W","B")</x:f>
        <x:v>B</x:v>
      </x:c>
      <x:c r="L459" t="str">
        <x:f>IF(RAND()&lt;'Team_Info'!$E$5,"W","B")</x:f>
        <x:v>B</x:v>
      </x:c>
      <x:c r="M459" t="str">
        <x:f>IF(RAND()&lt;'Team_Info'!$E$5,"W","B")</x:f>
        <x:v>W</x:v>
      </x:c>
      <x:c r="N459" t="str">
        <x:f>IF(RAND()&lt;'Team_Info'!$E$5,"W","B")</x:f>
        <x:v>B</x:v>
      </x:c>
      <x:c r="O459" t="str">
        <x:f>IF(RAND()&lt;'Team_Info'!$E$5,"W","B")</x:f>
        <x:v>B</x:v>
      </x:c>
      <x:c r="P459" t="str">
        <x:f>IF(RAND()&lt;'Team_Info'!$E$5,"W","B")</x:f>
        <x:v>B</x:v>
      </x:c>
      <x:c r="Q459" t="str">
        <x:f>IF(RAND()&lt;'Team_Info'!$E$5,"W","B")</x:f>
        <x:v>W</x:v>
      </x:c>
      <x:c r="R459" t="str">
        <x:f>IF(RAND()&lt;'Team_Info'!$E$5,"W","B")</x:f>
        <x:v>B</x:v>
      </x:c>
      <x:c r="S459" t="str">
        <x:f>IF(RAND()&lt;'Team_Info'!$E$5,"W","B")</x:f>
        <x:v>B</x:v>
      </x:c>
      <x:c r="T459" t="str">
        <x:f>IF(RAND()&lt;'Team_Info'!$E$5,"W","B")</x:f>
        <x:v>B</x:v>
      </x:c>
      <x:c r="U459" t="str">
        <x:f>IF(RAND()&lt;'Team_Info'!$E$5,"W","B")</x:f>
        <x:v>B</x:v>
      </x:c>
    </x:row>
    <x:row r="460">
      <x:c r="A460" s="1">
        <x:v>459</x:v>
      </x:c>
      <x:c r="B460" t="str">
        <x:f>IF(RAND()&lt;'Team_Info'!$E$5,"W","B")</x:f>
        <x:v>B</x:v>
      </x:c>
      <x:c r="C460" t="str">
        <x:f>IF(RAND()&lt;'Team_Info'!$E$5,"W","B")</x:f>
        <x:v>B</x:v>
      </x:c>
      <x:c r="D460" t="str">
        <x:f>IF(RAND()&lt;'Team_Info'!$E$5,"W","B")</x:f>
        <x:v>W</x:v>
      </x:c>
      <x:c r="E460" t="str">
        <x:f>IF(RAND()&lt;'Team_Info'!$E$5,"W","B")</x:f>
        <x:v>W</x:v>
      </x:c>
      <x:c r="F460" t="str">
        <x:f>IF(RAND()&lt;'Team_Info'!$E$5,"W","B")</x:f>
        <x:v>B</x:v>
      </x:c>
      <x:c r="G460" t="str">
        <x:f>IF(RAND()&lt;'Team_Info'!$E$5,"W","B")</x:f>
        <x:v>B</x:v>
      </x:c>
      <x:c r="H460" t="str">
        <x:f>IF(RAND()&lt;'Team_Info'!$E$5,"W","B")</x:f>
        <x:v>B</x:v>
      </x:c>
      <x:c r="I460" t="str">
        <x:f>IF(RAND()&lt;'Team_Info'!$E$5,"W","B")</x:f>
        <x:v>B</x:v>
      </x:c>
      <x:c r="J460" t="str">
        <x:f>IF(RAND()&lt;'Team_Info'!$E$5,"W","B")</x:f>
        <x:v>B</x:v>
      </x:c>
      <x:c r="K460" t="str">
        <x:f>IF(RAND()&lt;'Team_Info'!$E$5,"W","B")</x:f>
        <x:v>B</x:v>
      </x:c>
      <x:c r="L460" t="str">
        <x:f>IF(RAND()&lt;'Team_Info'!$E$5,"W","B")</x:f>
        <x:v>B</x:v>
      </x:c>
      <x:c r="M460" t="str">
        <x:f>IF(RAND()&lt;'Team_Info'!$E$5,"W","B")</x:f>
        <x:v>W</x:v>
      </x:c>
      <x:c r="N460" t="str">
        <x:f>IF(RAND()&lt;'Team_Info'!$E$5,"W","B")</x:f>
        <x:v>B</x:v>
      </x:c>
      <x:c r="O460" t="str">
        <x:f>IF(RAND()&lt;'Team_Info'!$E$5,"W","B")</x:f>
        <x:v>W</x:v>
      </x:c>
      <x:c r="P460" t="str">
        <x:f>IF(RAND()&lt;'Team_Info'!$E$5,"W","B")</x:f>
        <x:v>W</x:v>
      </x:c>
      <x:c r="Q460" t="str">
        <x:f>IF(RAND()&lt;'Team_Info'!$E$5,"W","B")</x:f>
        <x:v>B</x:v>
      </x:c>
      <x:c r="R460" t="str">
        <x:f>IF(RAND()&lt;'Team_Info'!$E$5,"W","B")</x:f>
        <x:v>B</x:v>
      </x:c>
      <x:c r="S460" t="str">
        <x:f>IF(RAND()&lt;'Team_Info'!$E$5,"W","B")</x:f>
        <x:v>W</x:v>
      </x:c>
      <x:c r="T460" t="str">
        <x:f>IF(RAND()&lt;'Team_Info'!$E$5,"W","B")</x:f>
        <x:v>B</x:v>
      </x:c>
      <x:c r="U460" t="str">
        <x:f>IF(RAND()&lt;'Team_Info'!$E$5,"W","B")</x:f>
        <x:v>W</x:v>
      </x:c>
    </x:row>
    <x:row r="461">
      <x:c r="A461" s="1">
        <x:v>460</x:v>
      </x:c>
      <x:c r="B461" t="str">
        <x:f>IF(RAND()&lt;'Team_Info'!$E$5,"W","B")</x:f>
        <x:v>W</x:v>
      </x:c>
      <x:c r="C461" t="str">
        <x:f>IF(RAND()&lt;'Team_Info'!$E$5,"W","B")</x:f>
        <x:v>B</x:v>
      </x:c>
      <x:c r="D461" t="str">
        <x:f>IF(RAND()&lt;'Team_Info'!$E$5,"W","B")</x:f>
        <x:v>W</x:v>
      </x:c>
      <x:c r="E461" t="str">
        <x:f>IF(RAND()&lt;'Team_Info'!$E$5,"W","B")</x:f>
        <x:v>B</x:v>
      </x:c>
      <x:c r="F461" t="str">
        <x:f>IF(RAND()&lt;'Team_Info'!$E$5,"W","B")</x:f>
        <x:v>W</x:v>
      </x:c>
      <x:c r="G461" t="str">
        <x:f>IF(RAND()&lt;'Team_Info'!$E$5,"W","B")</x:f>
        <x:v>B</x:v>
      </x:c>
      <x:c r="H461" t="str">
        <x:f>IF(RAND()&lt;'Team_Info'!$E$5,"W","B")</x:f>
        <x:v>W</x:v>
      </x:c>
      <x:c r="I461" t="str">
        <x:f>IF(RAND()&lt;'Team_Info'!$E$5,"W","B")</x:f>
        <x:v>B</x:v>
      </x:c>
      <x:c r="J461" t="str">
        <x:f>IF(RAND()&lt;'Team_Info'!$E$5,"W","B")</x:f>
        <x:v>B</x:v>
      </x:c>
      <x:c r="K461" t="str">
        <x:f>IF(RAND()&lt;'Team_Info'!$E$5,"W","B")</x:f>
        <x:v>B</x:v>
      </x:c>
      <x:c r="L461" t="str">
        <x:f>IF(RAND()&lt;'Team_Info'!$E$5,"W","B")</x:f>
        <x:v>W</x:v>
      </x:c>
      <x:c r="M461" t="str">
        <x:f>IF(RAND()&lt;'Team_Info'!$E$5,"W","B")</x:f>
        <x:v>B</x:v>
      </x:c>
      <x:c r="N461" t="str">
        <x:f>IF(RAND()&lt;'Team_Info'!$E$5,"W","B")</x:f>
        <x:v>B</x:v>
      </x:c>
      <x:c r="O461" t="str">
        <x:f>IF(RAND()&lt;'Team_Info'!$E$5,"W","B")</x:f>
        <x:v>W</x:v>
      </x:c>
      <x:c r="P461" t="str">
        <x:f>IF(RAND()&lt;'Team_Info'!$E$5,"W","B")</x:f>
        <x:v>B</x:v>
      </x:c>
      <x:c r="Q461" t="str">
        <x:f>IF(RAND()&lt;'Team_Info'!$E$5,"W","B")</x:f>
        <x:v>B</x:v>
      </x:c>
      <x:c r="R461" t="str">
        <x:f>IF(RAND()&lt;'Team_Info'!$E$5,"W","B")</x:f>
        <x:v>W</x:v>
      </x:c>
      <x:c r="S461" t="str">
        <x:f>IF(RAND()&lt;'Team_Info'!$E$5,"W","B")</x:f>
        <x:v>B</x:v>
      </x:c>
      <x:c r="T461" t="str">
        <x:f>IF(RAND()&lt;'Team_Info'!$E$5,"W","B")</x:f>
        <x:v>W</x:v>
      </x:c>
      <x:c r="U461" t="str">
        <x:f>IF(RAND()&lt;'Team_Info'!$E$5,"W","B")</x:f>
        <x:v>W</x:v>
      </x:c>
    </x:row>
    <x:row r="462">
      <x:c r="A462" s="1">
        <x:v>461</x:v>
      </x:c>
      <x:c r="B462" t="str">
        <x:f>IF(RAND()&lt;'Team_Info'!$E$5,"W","B")</x:f>
        <x:v>W</x:v>
      </x:c>
      <x:c r="C462" t="str">
        <x:f>IF(RAND()&lt;'Team_Info'!$E$5,"W","B")</x:f>
        <x:v>W</x:v>
      </x:c>
      <x:c r="D462" t="str">
        <x:f>IF(RAND()&lt;'Team_Info'!$E$5,"W","B")</x:f>
        <x:v>B</x:v>
      </x:c>
      <x:c r="E462" t="str">
        <x:f>IF(RAND()&lt;'Team_Info'!$E$5,"W","B")</x:f>
        <x:v>B</x:v>
      </x:c>
      <x:c r="F462" t="str">
        <x:f>IF(RAND()&lt;'Team_Info'!$E$5,"W","B")</x:f>
        <x:v>W</x:v>
      </x:c>
      <x:c r="G462" t="str">
        <x:f>IF(RAND()&lt;'Team_Info'!$E$5,"W","B")</x:f>
        <x:v>B</x:v>
      </x:c>
      <x:c r="H462" t="str">
        <x:f>IF(RAND()&lt;'Team_Info'!$E$5,"W","B")</x:f>
        <x:v>B</x:v>
      </x:c>
      <x:c r="I462" t="str">
        <x:f>IF(RAND()&lt;'Team_Info'!$E$5,"W","B")</x:f>
        <x:v>B</x:v>
      </x:c>
      <x:c r="J462" t="str">
        <x:f>IF(RAND()&lt;'Team_Info'!$E$5,"W","B")</x:f>
        <x:v>B</x:v>
      </x:c>
      <x:c r="K462" t="str">
        <x:f>IF(RAND()&lt;'Team_Info'!$E$5,"W","B")</x:f>
        <x:v>B</x:v>
      </x:c>
      <x:c r="L462" t="str">
        <x:f>IF(RAND()&lt;'Team_Info'!$E$5,"W","B")</x:f>
        <x:v>W</x:v>
      </x:c>
      <x:c r="M462" t="str">
        <x:f>IF(RAND()&lt;'Team_Info'!$E$5,"W","B")</x:f>
        <x:v>B</x:v>
      </x:c>
      <x:c r="N462" t="str">
        <x:f>IF(RAND()&lt;'Team_Info'!$E$5,"W","B")</x:f>
        <x:v>B</x:v>
      </x:c>
      <x:c r="O462" t="str">
        <x:f>IF(RAND()&lt;'Team_Info'!$E$5,"W","B")</x:f>
        <x:v>B</x:v>
      </x:c>
      <x:c r="P462" t="str">
        <x:f>IF(RAND()&lt;'Team_Info'!$E$5,"W","B")</x:f>
        <x:v>B</x:v>
      </x:c>
      <x:c r="Q462" t="str">
        <x:f>IF(RAND()&lt;'Team_Info'!$E$5,"W","B")</x:f>
        <x:v>B</x:v>
      </x:c>
      <x:c r="R462" t="str">
        <x:f>IF(RAND()&lt;'Team_Info'!$E$5,"W","B")</x:f>
        <x:v>B</x:v>
      </x:c>
      <x:c r="S462" t="str">
        <x:f>IF(RAND()&lt;'Team_Info'!$E$5,"W","B")</x:f>
        <x:v>B</x:v>
      </x:c>
      <x:c r="T462" t="str">
        <x:f>IF(RAND()&lt;'Team_Info'!$E$5,"W","B")</x:f>
        <x:v>B</x:v>
      </x:c>
      <x:c r="U462" t="str">
        <x:f>IF(RAND()&lt;'Team_Info'!$E$5,"W","B")</x:f>
        <x:v>W</x:v>
      </x:c>
    </x:row>
    <x:row r="463">
      <x:c r="A463" s="1">
        <x:v>462</x:v>
      </x:c>
      <x:c r="B463" t="str">
        <x:f>IF(RAND()&lt;'Team_Info'!$E$5,"W","B")</x:f>
        <x:v>W</x:v>
      </x:c>
      <x:c r="C463" t="str">
        <x:f>IF(RAND()&lt;'Team_Info'!$E$5,"W","B")</x:f>
        <x:v>B</x:v>
      </x:c>
      <x:c r="D463" t="str">
        <x:f>IF(RAND()&lt;'Team_Info'!$E$5,"W","B")</x:f>
        <x:v>B</x:v>
      </x:c>
      <x:c r="E463" t="str">
        <x:f>IF(RAND()&lt;'Team_Info'!$E$5,"W","B")</x:f>
        <x:v>W</x:v>
      </x:c>
      <x:c r="F463" t="str">
        <x:f>IF(RAND()&lt;'Team_Info'!$E$5,"W","B")</x:f>
        <x:v>B</x:v>
      </x:c>
      <x:c r="G463" t="str">
        <x:f>IF(RAND()&lt;'Team_Info'!$E$5,"W","B")</x:f>
        <x:v>W</x:v>
      </x:c>
      <x:c r="H463" t="str">
        <x:f>IF(RAND()&lt;'Team_Info'!$E$5,"W","B")</x:f>
        <x:v>B</x:v>
      </x:c>
      <x:c r="I463" t="str">
        <x:f>IF(RAND()&lt;'Team_Info'!$E$5,"W","B")</x:f>
        <x:v>W</x:v>
      </x:c>
      <x:c r="J463" t="str">
        <x:f>IF(RAND()&lt;'Team_Info'!$E$5,"W","B")</x:f>
        <x:v>B</x:v>
      </x:c>
      <x:c r="K463" t="str">
        <x:f>IF(RAND()&lt;'Team_Info'!$E$5,"W","B")</x:f>
        <x:v>W</x:v>
      </x:c>
      <x:c r="L463" t="str">
        <x:f>IF(RAND()&lt;'Team_Info'!$E$5,"W","B")</x:f>
        <x:v>B</x:v>
      </x:c>
      <x:c r="M463" t="str">
        <x:f>IF(RAND()&lt;'Team_Info'!$E$5,"W","B")</x:f>
        <x:v>B</x:v>
      </x:c>
      <x:c r="N463" t="str">
        <x:f>IF(RAND()&lt;'Team_Info'!$E$5,"W","B")</x:f>
        <x:v>W</x:v>
      </x:c>
      <x:c r="O463" t="str">
        <x:f>IF(RAND()&lt;'Team_Info'!$E$5,"W","B")</x:f>
        <x:v>B</x:v>
      </x:c>
      <x:c r="P463" t="str">
        <x:f>IF(RAND()&lt;'Team_Info'!$E$5,"W","B")</x:f>
        <x:v>W</x:v>
      </x:c>
      <x:c r="Q463" t="str">
        <x:f>IF(RAND()&lt;'Team_Info'!$E$5,"W","B")</x:f>
        <x:v>B</x:v>
      </x:c>
      <x:c r="R463" t="str">
        <x:f>IF(RAND()&lt;'Team_Info'!$E$5,"W","B")</x:f>
        <x:v>B</x:v>
      </x:c>
      <x:c r="S463" t="str">
        <x:f>IF(RAND()&lt;'Team_Info'!$E$5,"W","B")</x:f>
        <x:v>W</x:v>
      </x:c>
      <x:c r="T463" t="str">
        <x:f>IF(RAND()&lt;'Team_Info'!$E$5,"W","B")</x:f>
        <x:v>B</x:v>
      </x:c>
      <x:c r="U463" t="str">
        <x:f>IF(RAND()&lt;'Team_Info'!$E$5,"W","B")</x:f>
        <x:v>W</x:v>
      </x:c>
    </x:row>
    <x:row r="464">
      <x:c r="A464" s="1">
        <x:v>463</x:v>
      </x:c>
      <x:c r="B464" t="str">
        <x:f>IF(RAND()&lt;'Team_Info'!$E$5,"W","B")</x:f>
        <x:v>W</x:v>
      </x:c>
      <x:c r="C464" t="str">
        <x:f>IF(RAND()&lt;'Team_Info'!$E$5,"W","B")</x:f>
        <x:v>B</x:v>
      </x:c>
      <x:c r="D464" t="str">
        <x:f>IF(RAND()&lt;'Team_Info'!$E$5,"W","B")</x:f>
        <x:v>W</x:v>
      </x:c>
      <x:c r="E464" t="str">
        <x:f>IF(RAND()&lt;'Team_Info'!$E$5,"W","B")</x:f>
        <x:v>W</x:v>
      </x:c>
      <x:c r="F464" t="str">
        <x:f>IF(RAND()&lt;'Team_Info'!$E$5,"W","B")</x:f>
        <x:v>W</x:v>
      </x:c>
      <x:c r="G464" t="str">
        <x:f>IF(RAND()&lt;'Team_Info'!$E$5,"W","B")</x:f>
        <x:v>B</x:v>
      </x:c>
      <x:c r="H464" t="str">
        <x:f>IF(RAND()&lt;'Team_Info'!$E$5,"W","B")</x:f>
        <x:v>B</x:v>
      </x:c>
      <x:c r="I464" t="str">
        <x:f>IF(RAND()&lt;'Team_Info'!$E$5,"W","B")</x:f>
        <x:v>B</x:v>
      </x:c>
      <x:c r="J464" t="str">
        <x:f>IF(RAND()&lt;'Team_Info'!$E$5,"W","B")</x:f>
        <x:v>B</x:v>
      </x:c>
      <x:c r="K464" t="str">
        <x:f>IF(RAND()&lt;'Team_Info'!$E$5,"W","B")</x:f>
        <x:v>B</x:v>
      </x:c>
      <x:c r="L464" t="str">
        <x:f>IF(RAND()&lt;'Team_Info'!$E$5,"W","B")</x:f>
        <x:v>B</x:v>
      </x:c>
      <x:c r="M464" t="str">
        <x:f>IF(RAND()&lt;'Team_Info'!$E$5,"W","B")</x:f>
        <x:v>B</x:v>
      </x:c>
      <x:c r="N464" t="str">
        <x:f>IF(RAND()&lt;'Team_Info'!$E$5,"W","B")</x:f>
        <x:v>W</x:v>
      </x:c>
      <x:c r="O464" t="str">
        <x:f>IF(RAND()&lt;'Team_Info'!$E$5,"W","B")</x:f>
        <x:v>B</x:v>
      </x:c>
      <x:c r="P464" t="str">
        <x:f>IF(RAND()&lt;'Team_Info'!$E$5,"W","B")</x:f>
        <x:v>W</x:v>
      </x:c>
      <x:c r="Q464" t="str">
        <x:f>IF(RAND()&lt;'Team_Info'!$E$5,"W","B")</x:f>
        <x:v>W</x:v>
      </x:c>
      <x:c r="R464" t="str">
        <x:f>IF(RAND()&lt;'Team_Info'!$E$5,"W","B")</x:f>
        <x:v>B</x:v>
      </x:c>
      <x:c r="S464" t="str">
        <x:f>IF(RAND()&lt;'Team_Info'!$E$5,"W","B")</x:f>
        <x:v>B</x:v>
      </x:c>
      <x:c r="T464" t="str">
        <x:f>IF(RAND()&lt;'Team_Info'!$E$5,"W","B")</x:f>
        <x:v>W</x:v>
      </x:c>
      <x:c r="U464" t="str">
        <x:f>IF(RAND()&lt;'Team_Info'!$E$5,"W","B")</x:f>
        <x:v>B</x:v>
      </x:c>
    </x:row>
    <x:row r="465">
      <x:c r="A465" s="1">
        <x:v>464</x:v>
      </x:c>
      <x:c r="B465" t="str">
        <x:f>IF(RAND()&lt;'Team_Info'!$E$5,"W","B")</x:f>
        <x:v>B</x:v>
      </x:c>
      <x:c r="C465" t="str">
        <x:f>IF(RAND()&lt;'Team_Info'!$E$5,"W","B")</x:f>
        <x:v>W</x:v>
      </x:c>
      <x:c r="D465" t="str">
        <x:f>IF(RAND()&lt;'Team_Info'!$E$5,"W","B")</x:f>
        <x:v>W</x:v>
      </x:c>
      <x:c r="E465" t="str">
        <x:f>IF(RAND()&lt;'Team_Info'!$E$5,"W","B")</x:f>
        <x:v>B</x:v>
      </x:c>
      <x:c r="F465" t="str">
        <x:f>IF(RAND()&lt;'Team_Info'!$E$5,"W","B")</x:f>
        <x:v>B</x:v>
      </x:c>
      <x:c r="G465" t="str">
        <x:f>IF(RAND()&lt;'Team_Info'!$E$5,"W","B")</x:f>
        <x:v>B</x:v>
      </x:c>
      <x:c r="H465" t="str">
        <x:f>IF(RAND()&lt;'Team_Info'!$E$5,"W","B")</x:f>
        <x:v>B</x:v>
      </x:c>
      <x:c r="I465" t="str">
        <x:f>IF(RAND()&lt;'Team_Info'!$E$5,"W","B")</x:f>
        <x:v>W</x:v>
      </x:c>
      <x:c r="J465" t="str">
        <x:f>IF(RAND()&lt;'Team_Info'!$E$5,"W","B")</x:f>
        <x:v>W</x:v>
      </x:c>
      <x:c r="K465" t="str">
        <x:f>IF(RAND()&lt;'Team_Info'!$E$5,"W","B")</x:f>
        <x:v>B</x:v>
      </x:c>
      <x:c r="L465" t="str">
        <x:f>IF(RAND()&lt;'Team_Info'!$E$5,"W","B")</x:f>
        <x:v>W</x:v>
      </x:c>
      <x:c r="M465" t="str">
        <x:f>IF(RAND()&lt;'Team_Info'!$E$5,"W","B")</x:f>
        <x:v>W</x:v>
      </x:c>
      <x:c r="N465" t="str">
        <x:f>IF(RAND()&lt;'Team_Info'!$E$5,"W","B")</x:f>
        <x:v>W</x:v>
      </x:c>
      <x:c r="O465" t="str">
        <x:f>IF(RAND()&lt;'Team_Info'!$E$5,"W","B")</x:f>
        <x:v>B</x:v>
      </x:c>
      <x:c r="P465" t="str">
        <x:f>IF(RAND()&lt;'Team_Info'!$E$5,"W","B")</x:f>
        <x:v>W</x:v>
      </x:c>
      <x:c r="Q465" t="str">
        <x:f>IF(RAND()&lt;'Team_Info'!$E$5,"W","B")</x:f>
        <x:v>W</x:v>
      </x:c>
      <x:c r="R465" t="str">
        <x:f>IF(RAND()&lt;'Team_Info'!$E$5,"W","B")</x:f>
        <x:v>W</x:v>
      </x:c>
      <x:c r="S465" t="str">
        <x:f>IF(RAND()&lt;'Team_Info'!$E$5,"W","B")</x:f>
        <x:v>B</x:v>
      </x:c>
      <x:c r="T465" t="str">
        <x:f>IF(RAND()&lt;'Team_Info'!$E$5,"W","B")</x:f>
        <x:v>W</x:v>
      </x:c>
      <x:c r="U465" t="str">
        <x:f>IF(RAND()&lt;'Team_Info'!$E$5,"W","B")</x:f>
        <x:v>B</x:v>
      </x:c>
    </x:row>
    <x:row r="466">
      <x:c r="A466" s="1">
        <x:v>465</x:v>
      </x:c>
      <x:c r="B466" t="str">
        <x:f>IF(RAND()&lt;'Team_Info'!$E$5,"W","B")</x:f>
        <x:v>B</x:v>
      </x:c>
      <x:c r="C466" t="str">
        <x:f>IF(RAND()&lt;'Team_Info'!$E$5,"W","B")</x:f>
        <x:v>W</x:v>
      </x:c>
      <x:c r="D466" t="str">
        <x:f>IF(RAND()&lt;'Team_Info'!$E$5,"W","B")</x:f>
        <x:v>W</x:v>
      </x:c>
      <x:c r="E466" t="str">
        <x:f>IF(RAND()&lt;'Team_Info'!$E$5,"W","B")</x:f>
        <x:v>W</x:v>
      </x:c>
      <x:c r="F466" t="str">
        <x:f>IF(RAND()&lt;'Team_Info'!$E$5,"W","B")</x:f>
        <x:v>B</x:v>
      </x:c>
      <x:c r="G466" t="str">
        <x:f>IF(RAND()&lt;'Team_Info'!$E$5,"W","B")</x:f>
        <x:v>B</x:v>
      </x:c>
      <x:c r="H466" t="str">
        <x:f>IF(RAND()&lt;'Team_Info'!$E$5,"W","B")</x:f>
        <x:v>W</x:v>
      </x:c>
      <x:c r="I466" t="str">
        <x:f>IF(RAND()&lt;'Team_Info'!$E$5,"W","B")</x:f>
        <x:v>W</x:v>
      </x:c>
      <x:c r="J466" t="str">
        <x:f>IF(RAND()&lt;'Team_Info'!$E$5,"W","B")</x:f>
        <x:v>W</x:v>
      </x:c>
      <x:c r="K466" t="str">
        <x:f>IF(RAND()&lt;'Team_Info'!$E$5,"W","B")</x:f>
        <x:v>W</x:v>
      </x:c>
      <x:c r="L466" t="str">
        <x:f>IF(RAND()&lt;'Team_Info'!$E$5,"W","B")</x:f>
        <x:v>W</x:v>
      </x:c>
      <x:c r="M466" t="str">
        <x:f>IF(RAND()&lt;'Team_Info'!$E$5,"W","B")</x:f>
        <x:v>B</x:v>
      </x:c>
      <x:c r="N466" t="str">
        <x:f>IF(RAND()&lt;'Team_Info'!$E$5,"W","B")</x:f>
        <x:v>W</x:v>
      </x:c>
      <x:c r="O466" t="str">
        <x:f>IF(RAND()&lt;'Team_Info'!$E$5,"W","B")</x:f>
        <x:v>B</x:v>
      </x:c>
      <x:c r="P466" t="str">
        <x:f>IF(RAND()&lt;'Team_Info'!$E$5,"W","B")</x:f>
        <x:v>W</x:v>
      </x:c>
      <x:c r="Q466" t="str">
        <x:f>IF(RAND()&lt;'Team_Info'!$E$5,"W","B")</x:f>
        <x:v>B</x:v>
      </x:c>
      <x:c r="R466" t="str">
        <x:f>IF(RAND()&lt;'Team_Info'!$E$5,"W","B")</x:f>
        <x:v>W</x:v>
      </x:c>
      <x:c r="S466" t="str">
        <x:f>IF(RAND()&lt;'Team_Info'!$E$5,"W","B")</x:f>
        <x:v>B</x:v>
      </x:c>
      <x:c r="T466" t="str">
        <x:f>IF(RAND()&lt;'Team_Info'!$E$5,"W","B")</x:f>
        <x:v>B</x:v>
      </x:c>
      <x:c r="U466" t="str">
        <x:f>IF(RAND()&lt;'Team_Info'!$E$5,"W","B")</x:f>
        <x:v>B</x:v>
      </x:c>
    </x:row>
    <x:row r="467">
      <x:c r="A467" s="1">
        <x:v>466</x:v>
      </x:c>
      <x:c r="B467" t="str">
        <x:f>IF(RAND()&lt;'Team_Info'!$E$5,"W","B")</x:f>
        <x:v>B</x:v>
      </x:c>
      <x:c r="C467" t="str">
        <x:f>IF(RAND()&lt;'Team_Info'!$E$5,"W","B")</x:f>
        <x:v>B</x:v>
      </x:c>
      <x:c r="D467" t="str">
        <x:f>IF(RAND()&lt;'Team_Info'!$E$5,"W","B")</x:f>
        <x:v>B</x:v>
      </x:c>
      <x:c r="E467" t="str">
        <x:f>IF(RAND()&lt;'Team_Info'!$E$5,"W","B")</x:f>
        <x:v>B</x:v>
      </x:c>
      <x:c r="F467" t="str">
        <x:f>IF(RAND()&lt;'Team_Info'!$E$5,"W","B")</x:f>
        <x:v>W</x:v>
      </x:c>
      <x:c r="G467" t="str">
        <x:f>IF(RAND()&lt;'Team_Info'!$E$5,"W","B")</x:f>
        <x:v>B</x:v>
      </x:c>
      <x:c r="H467" t="str">
        <x:f>IF(RAND()&lt;'Team_Info'!$E$5,"W","B")</x:f>
        <x:v>W</x:v>
      </x:c>
      <x:c r="I467" t="str">
        <x:f>IF(RAND()&lt;'Team_Info'!$E$5,"W","B")</x:f>
        <x:v>B</x:v>
      </x:c>
      <x:c r="J467" t="str">
        <x:f>IF(RAND()&lt;'Team_Info'!$E$5,"W","B")</x:f>
        <x:v>B</x:v>
      </x:c>
      <x:c r="K467" t="str">
        <x:f>IF(RAND()&lt;'Team_Info'!$E$5,"W","B")</x:f>
        <x:v>W</x:v>
      </x:c>
      <x:c r="L467" t="str">
        <x:f>IF(RAND()&lt;'Team_Info'!$E$5,"W","B")</x:f>
        <x:v>W</x:v>
      </x:c>
      <x:c r="M467" t="str">
        <x:f>IF(RAND()&lt;'Team_Info'!$E$5,"W","B")</x:f>
        <x:v>W</x:v>
      </x:c>
      <x:c r="N467" t="str">
        <x:f>IF(RAND()&lt;'Team_Info'!$E$5,"W","B")</x:f>
        <x:v>B</x:v>
      </x:c>
      <x:c r="O467" t="str">
        <x:f>IF(RAND()&lt;'Team_Info'!$E$5,"W","B")</x:f>
        <x:v>B</x:v>
      </x:c>
      <x:c r="P467" t="str">
        <x:f>IF(RAND()&lt;'Team_Info'!$E$5,"W","B")</x:f>
        <x:v>W</x:v>
      </x:c>
      <x:c r="Q467" t="str">
        <x:f>IF(RAND()&lt;'Team_Info'!$E$5,"W","B")</x:f>
        <x:v>W</x:v>
      </x:c>
      <x:c r="R467" t="str">
        <x:f>IF(RAND()&lt;'Team_Info'!$E$5,"W","B")</x:f>
        <x:v>W</x:v>
      </x:c>
      <x:c r="S467" t="str">
        <x:f>IF(RAND()&lt;'Team_Info'!$E$5,"W","B")</x:f>
        <x:v>B</x:v>
      </x:c>
      <x:c r="T467" t="str">
        <x:f>IF(RAND()&lt;'Team_Info'!$E$5,"W","B")</x:f>
        <x:v>B</x:v>
      </x:c>
      <x:c r="U467" t="str">
        <x:f>IF(RAND()&lt;'Team_Info'!$E$5,"W","B")</x:f>
        <x:v>B</x:v>
      </x:c>
    </x:row>
    <x:row r="468">
      <x:c r="A468" s="1">
        <x:v>467</x:v>
      </x:c>
      <x:c r="B468" t="str">
        <x:f>IF(RAND()&lt;'Team_Info'!$E$5,"W","B")</x:f>
        <x:v>W</x:v>
      </x:c>
      <x:c r="C468" t="str">
        <x:f>IF(RAND()&lt;'Team_Info'!$E$5,"W","B")</x:f>
        <x:v>B</x:v>
      </x:c>
      <x:c r="D468" t="str">
        <x:f>IF(RAND()&lt;'Team_Info'!$E$5,"W","B")</x:f>
        <x:v>B</x:v>
      </x:c>
      <x:c r="E468" t="str">
        <x:f>IF(RAND()&lt;'Team_Info'!$E$5,"W","B")</x:f>
        <x:v>B</x:v>
      </x:c>
      <x:c r="F468" t="str">
        <x:f>IF(RAND()&lt;'Team_Info'!$E$5,"W","B")</x:f>
        <x:v>W</x:v>
      </x:c>
      <x:c r="G468" t="str">
        <x:f>IF(RAND()&lt;'Team_Info'!$E$5,"W","B")</x:f>
        <x:v>B</x:v>
      </x:c>
      <x:c r="H468" t="str">
        <x:f>IF(RAND()&lt;'Team_Info'!$E$5,"W","B")</x:f>
        <x:v>B</x:v>
      </x:c>
      <x:c r="I468" t="str">
        <x:f>IF(RAND()&lt;'Team_Info'!$E$5,"W","B")</x:f>
        <x:v>B</x:v>
      </x:c>
      <x:c r="J468" t="str">
        <x:f>IF(RAND()&lt;'Team_Info'!$E$5,"W","B")</x:f>
        <x:v>W</x:v>
      </x:c>
      <x:c r="K468" t="str">
        <x:f>IF(RAND()&lt;'Team_Info'!$E$5,"W","B")</x:f>
        <x:v>W</x:v>
      </x:c>
      <x:c r="L468" t="str">
        <x:f>IF(RAND()&lt;'Team_Info'!$E$5,"W","B")</x:f>
        <x:v>B</x:v>
      </x:c>
      <x:c r="M468" t="str">
        <x:f>IF(RAND()&lt;'Team_Info'!$E$5,"W","B")</x:f>
        <x:v>B</x:v>
      </x:c>
      <x:c r="N468" t="str">
        <x:f>IF(RAND()&lt;'Team_Info'!$E$5,"W","B")</x:f>
        <x:v>W</x:v>
      </x:c>
      <x:c r="O468" t="str">
        <x:f>IF(RAND()&lt;'Team_Info'!$E$5,"W","B")</x:f>
        <x:v>B</x:v>
      </x:c>
      <x:c r="P468" t="str">
        <x:f>IF(RAND()&lt;'Team_Info'!$E$5,"W","B")</x:f>
        <x:v>W</x:v>
      </x:c>
      <x:c r="Q468" t="str">
        <x:f>IF(RAND()&lt;'Team_Info'!$E$5,"W","B")</x:f>
        <x:v>W</x:v>
      </x:c>
      <x:c r="R468" t="str">
        <x:f>IF(RAND()&lt;'Team_Info'!$E$5,"W","B")</x:f>
        <x:v>W</x:v>
      </x:c>
      <x:c r="S468" t="str">
        <x:f>IF(RAND()&lt;'Team_Info'!$E$5,"W","B")</x:f>
        <x:v>B</x:v>
      </x:c>
      <x:c r="T468" t="str">
        <x:f>IF(RAND()&lt;'Team_Info'!$E$5,"W","B")</x:f>
        <x:v>B</x:v>
      </x:c>
      <x:c r="U468" t="str">
        <x:f>IF(RAND()&lt;'Team_Info'!$E$5,"W","B")</x:f>
        <x:v>B</x:v>
      </x:c>
    </x:row>
    <x:row r="469">
      <x:c r="A469" s="1">
        <x:v>468</x:v>
      </x:c>
      <x:c r="B469" t="str">
        <x:f>IF(RAND()&lt;'Team_Info'!$E$5,"W","B")</x:f>
        <x:v>W</x:v>
      </x:c>
      <x:c r="C469" t="str">
        <x:f>IF(RAND()&lt;'Team_Info'!$E$5,"W","B")</x:f>
        <x:v>B</x:v>
      </x:c>
      <x:c r="D469" t="str">
        <x:f>IF(RAND()&lt;'Team_Info'!$E$5,"W","B")</x:f>
        <x:v>B</x:v>
      </x:c>
      <x:c r="E469" t="str">
        <x:f>IF(RAND()&lt;'Team_Info'!$E$5,"W","B")</x:f>
        <x:v>W</x:v>
      </x:c>
      <x:c r="F469" t="str">
        <x:f>IF(RAND()&lt;'Team_Info'!$E$5,"W","B")</x:f>
        <x:v>B</x:v>
      </x:c>
      <x:c r="G469" t="str">
        <x:f>IF(RAND()&lt;'Team_Info'!$E$5,"W","B")</x:f>
        <x:v>B</x:v>
      </x:c>
      <x:c r="H469" t="str">
        <x:f>IF(RAND()&lt;'Team_Info'!$E$5,"W","B")</x:f>
        <x:v>B</x:v>
      </x:c>
      <x:c r="I469" t="str">
        <x:f>IF(RAND()&lt;'Team_Info'!$E$5,"W","B")</x:f>
        <x:v>W</x:v>
      </x:c>
      <x:c r="J469" t="str">
        <x:f>IF(RAND()&lt;'Team_Info'!$E$5,"W","B")</x:f>
        <x:v>B</x:v>
      </x:c>
      <x:c r="K469" t="str">
        <x:f>IF(RAND()&lt;'Team_Info'!$E$5,"W","B")</x:f>
        <x:v>B</x:v>
      </x:c>
      <x:c r="L469" t="str">
        <x:f>IF(RAND()&lt;'Team_Info'!$E$5,"W","B")</x:f>
        <x:v>B</x:v>
      </x:c>
      <x:c r="M469" t="str">
        <x:f>IF(RAND()&lt;'Team_Info'!$E$5,"W","B")</x:f>
        <x:v>W</x:v>
      </x:c>
      <x:c r="N469" t="str">
        <x:f>IF(RAND()&lt;'Team_Info'!$E$5,"W","B")</x:f>
        <x:v>B</x:v>
      </x:c>
      <x:c r="O469" t="str">
        <x:f>IF(RAND()&lt;'Team_Info'!$E$5,"W","B")</x:f>
        <x:v>B</x:v>
      </x:c>
      <x:c r="P469" t="str">
        <x:f>IF(RAND()&lt;'Team_Info'!$E$5,"W","B")</x:f>
        <x:v>B</x:v>
      </x:c>
      <x:c r="Q469" t="str">
        <x:f>IF(RAND()&lt;'Team_Info'!$E$5,"W","B")</x:f>
        <x:v>B</x:v>
      </x:c>
      <x:c r="R469" t="str">
        <x:f>IF(RAND()&lt;'Team_Info'!$E$5,"W","B")</x:f>
        <x:v>W</x:v>
      </x:c>
      <x:c r="S469" t="str">
        <x:f>IF(RAND()&lt;'Team_Info'!$E$5,"W","B")</x:f>
        <x:v>B</x:v>
      </x:c>
      <x:c r="T469" t="str">
        <x:f>IF(RAND()&lt;'Team_Info'!$E$5,"W","B")</x:f>
        <x:v>B</x:v>
      </x:c>
      <x:c r="U469" t="str">
        <x:f>IF(RAND()&lt;'Team_Info'!$E$5,"W","B")</x:f>
        <x:v>B</x:v>
      </x:c>
    </x:row>
    <x:row r="470">
      <x:c r="A470" s="1">
        <x:v>469</x:v>
      </x:c>
      <x:c r="B470" t="str">
        <x:f>IF(RAND()&lt;'Team_Info'!$E$5,"W","B")</x:f>
        <x:v>B</x:v>
      </x:c>
      <x:c r="C470" t="str">
        <x:f>IF(RAND()&lt;'Team_Info'!$E$5,"W","B")</x:f>
        <x:v>B</x:v>
      </x:c>
      <x:c r="D470" t="str">
        <x:f>IF(RAND()&lt;'Team_Info'!$E$5,"W","B")</x:f>
        <x:v>W</x:v>
      </x:c>
      <x:c r="E470" t="str">
        <x:f>IF(RAND()&lt;'Team_Info'!$E$5,"W","B")</x:f>
        <x:v>B</x:v>
      </x:c>
      <x:c r="F470" t="str">
        <x:f>IF(RAND()&lt;'Team_Info'!$E$5,"W","B")</x:f>
        <x:v>B</x:v>
      </x:c>
      <x:c r="G470" t="str">
        <x:f>IF(RAND()&lt;'Team_Info'!$E$5,"W","B")</x:f>
        <x:v>B</x:v>
      </x:c>
      <x:c r="H470" t="str">
        <x:f>IF(RAND()&lt;'Team_Info'!$E$5,"W","B")</x:f>
        <x:v>B</x:v>
      </x:c>
      <x:c r="I470" t="str">
        <x:f>IF(RAND()&lt;'Team_Info'!$E$5,"W","B")</x:f>
        <x:v>W</x:v>
      </x:c>
      <x:c r="J470" t="str">
        <x:f>IF(RAND()&lt;'Team_Info'!$E$5,"W","B")</x:f>
        <x:v>W</x:v>
      </x:c>
      <x:c r="K470" t="str">
        <x:f>IF(RAND()&lt;'Team_Info'!$E$5,"W","B")</x:f>
        <x:v>B</x:v>
      </x:c>
      <x:c r="L470" t="str">
        <x:f>IF(RAND()&lt;'Team_Info'!$E$5,"W","B")</x:f>
        <x:v>B</x:v>
      </x:c>
      <x:c r="M470" t="str">
        <x:f>IF(RAND()&lt;'Team_Info'!$E$5,"W","B")</x:f>
        <x:v>B</x:v>
      </x:c>
      <x:c r="N470" t="str">
        <x:f>IF(RAND()&lt;'Team_Info'!$E$5,"W","B")</x:f>
        <x:v>B</x:v>
      </x:c>
      <x:c r="O470" t="str">
        <x:f>IF(RAND()&lt;'Team_Info'!$E$5,"W","B")</x:f>
        <x:v>B</x:v>
      </x:c>
      <x:c r="P470" t="str">
        <x:f>IF(RAND()&lt;'Team_Info'!$E$5,"W","B")</x:f>
        <x:v>B</x:v>
      </x:c>
      <x:c r="Q470" t="str">
        <x:f>IF(RAND()&lt;'Team_Info'!$E$5,"W","B")</x:f>
        <x:v>W</x:v>
      </x:c>
      <x:c r="R470" t="str">
        <x:f>IF(RAND()&lt;'Team_Info'!$E$5,"W","B")</x:f>
        <x:v>B</x:v>
      </x:c>
      <x:c r="S470" t="str">
        <x:f>IF(RAND()&lt;'Team_Info'!$E$5,"W","B")</x:f>
        <x:v>W</x:v>
      </x:c>
      <x:c r="T470" t="str">
        <x:f>IF(RAND()&lt;'Team_Info'!$E$5,"W","B")</x:f>
        <x:v>B</x:v>
      </x:c>
      <x:c r="U470" t="str">
        <x:f>IF(RAND()&lt;'Team_Info'!$E$5,"W","B")</x:f>
        <x:v>B</x:v>
      </x:c>
    </x:row>
    <x:row r="471">
      <x:c r="A471" s="1">
        <x:v>470</x:v>
      </x:c>
      <x:c r="B471" t="str">
        <x:f>IF(RAND()&lt;'Team_Info'!$E$5,"W","B")</x:f>
        <x:v>B</x:v>
      </x:c>
      <x:c r="C471" t="str">
        <x:f>IF(RAND()&lt;'Team_Info'!$E$5,"W","B")</x:f>
        <x:v>W</x:v>
      </x:c>
      <x:c r="D471" t="str">
        <x:f>IF(RAND()&lt;'Team_Info'!$E$5,"W","B")</x:f>
        <x:v>B</x:v>
      </x:c>
      <x:c r="E471" t="str">
        <x:f>IF(RAND()&lt;'Team_Info'!$E$5,"W","B")</x:f>
        <x:v>W</x:v>
      </x:c>
      <x:c r="F471" t="str">
        <x:f>IF(RAND()&lt;'Team_Info'!$E$5,"W","B")</x:f>
        <x:v>B</x:v>
      </x:c>
      <x:c r="G471" t="str">
        <x:f>IF(RAND()&lt;'Team_Info'!$E$5,"W","B")</x:f>
        <x:v>B</x:v>
      </x:c>
      <x:c r="H471" t="str">
        <x:f>IF(RAND()&lt;'Team_Info'!$E$5,"W","B")</x:f>
        <x:v>W</x:v>
      </x:c>
      <x:c r="I471" t="str">
        <x:f>IF(RAND()&lt;'Team_Info'!$E$5,"W","B")</x:f>
        <x:v>B</x:v>
      </x:c>
      <x:c r="J471" t="str">
        <x:f>IF(RAND()&lt;'Team_Info'!$E$5,"W","B")</x:f>
        <x:v>W</x:v>
      </x:c>
      <x:c r="K471" t="str">
        <x:f>IF(RAND()&lt;'Team_Info'!$E$5,"W","B")</x:f>
        <x:v>B</x:v>
      </x:c>
      <x:c r="L471" t="str">
        <x:f>IF(RAND()&lt;'Team_Info'!$E$5,"W","B")</x:f>
        <x:v>W</x:v>
      </x:c>
      <x:c r="M471" t="str">
        <x:f>IF(RAND()&lt;'Team_Info'!$E$5,"W","B")</x:f>
        <x:v>B</x:v>
      </x:c>
      <x:c r="N471" t="str">
        <x:f>IF(RAND()&lt;'Team_Info'!$E$5,"W","B")</x:f>
        <x:v>B</x:v>
      </x:c>
      <x:c r="O471" t="str">
        <x:f>IF(RAND()&lt;'Team_Info'!$E$5,"W","B")</x:f>
        <x:v>B</x:v>
      </x:c>
      <x:c r="P471" t="str">
        <x:f>IF(RAND()&lt;'Team_Info'!$E$5,"W","B")</x:f>
        <x:v>B</x:v>
      </x:c>
      <x:c r="Q471" t="str">
        <x:f>IF(RAND()&lt;'Team_Info'!$E$5,"W","B")</x:f>
        <x:v>W</x:v>
      </x:c>
      <x:c r="R471" t="str">
        <x:f>IF(RAND()&lt;'Team_Info'!$E$5,"W","B")</x:f>
        <x:v>B</x:v>
      </x:c>
      <x:c r="S471" t="str">
        <x:f>IF(RAND()&lt;'Team_Info'!$E$5,"W","B")</x:f>
        <x:v>B</x:v>
      </x:c>
      <x:c r="T471" t="str">
        <x:f>IF(RAND()&lt;'Team_Info'!$E$5,"W","B")</x:f>
        <x:v>W</x:v>
      </x:c>
      <x:c r="U471" t="str">
        <x:f>IF(RAND()&lt;'Team_Info'!$E$5,"W","B")</x:f>
        <x:v>B</x:v>
      </x:c>
    </x:row>
    <x:row r="472">
      <x:c r="A472" s="1">
        <x:v>471</x:v>
      </x:c>
      <x:c r="B472" t="str">
        <x:f>IF(RAND()&lt;'Team_Info'!$E$5,"W","B")</x:f>
        <x:v>W</x:v>
      </x:c>
      <x:c r="C472" t="str">
        <x:f>IF(RAND()&lt;'Team_Info'!$E$5,"W","B")</x:f>
        <x:v>B</x:v>
      </x:c>
      <x:c r="D472" t="str">
        <x:f>IF(RAND()&lt;'Team_Info'!$E$5,"W","B")</x:f>
        <x:v>B</x:v>
      </x:c>
      <x:c r="E472" t="str">
        <x:f>IF(RAND()&lt;'Team_Info'!$E$5,"W","B")</x:f>
        <x:v>W</x:v>
      </x:c>
      <x:c r="F472" t="str">
        <x:f>IF(RAND()&lt;'Team_Info'!$E$5,"W","B")</x:f>
        <x:v>W</x:v>
      </x:c>
      <x:c r="G472" t="str">
        <x:f>IF(RAND()&lt;'Team_Info'!$E$5,"W","B")</x:f>
        <x:v>B</x:v>
      </x:c>
      <x:c r="H472" t="str">
        <x:f>IF(RAND()&lt;'Team_Info'!$E$5,"W","B")</x:f>
        <x:v>B</x:v>
      </x:c>
      <x:c r="I472" t="str">
        <x:f>IF(RAND()&lt;'Team_Info'!$E$5,"W","B")</x:f>
        <x:v>B</x:v>
      </x:c>
      <x:c r="J472" t="str">
        <x:f>IF(RAND()&lt;'Team_Info'!$E$5,"W","B")</x:f>
        <x:v>B</x:v>
      </x:c>
      <x:c r="K472" t="str">
        <x:f>IF(RAND()&lt;'Team_Info'!$E$5,"W","B")</x:f>
        <x:v>B</x:v>
      </x:c>
      <x:c r="L472" t="str">
        <x:f>IF(RAND()&lt;'Team_Info'!$E$5,"W","B")</x:f>
        <x:v>B</x:v>
      </x:c>
      <x:c r="M472" t="str">
        <x:f>IF(RAND()&lt;'Team_Info'!$E$5,"W","B")</x:f>
        <x:v>W</x:v>
      </x:c>
      <x:c r="N472" t="str">
        <x:f>IF(RAND()&lt;'Team_Info'!$E$5,"W","B")</x:f>
        <x:v>B</x:v>
      </x:c>
      <x:c r="O472" t="str">
        <x:f>IF(RAND()&lt;'Team_Info'!$E$5,"W","B")</x:f>
        <x:v>B</x:v>
      </x:c>
      <x:c r="P472" t="str">
        <x:f>IF(RAND()&lt;'Team_Info'!$E$5,"W","B")</x:f>
        <x:v>W</x:v>
      </x:c>
      <x:c r="Q472" t="str">
        <x:f>IF(RAND()&lt;'Team_Info'!$E$5,"W","B")</x:f>
        <x:v>W</x:v>
      </x:c>
      <x:c r="R472" t="str">
        <x:f>IF(RAND()&lt;'Team_Info'!$E$5,"W","B")</x:f>
        <x:v>B</x:v>
      </x:c>
      <x:c r="S472" t="str">
        <x:f>IF(RAND()&lt;'Team_Info'!$E$5,"W","B")</x:f>
        <x:v>B</x:v>
      </x:c>
      <x:c r="T472" t="str">
        <x:f>IF(RAND()&lt;'Team_Info'!$E$5,"W","B")</x:f>
        <x:v>B</x:v>
      </x:c>
      <x:c r="U472" t="str">
        <x:f>IF(RAND()&lt;'Team_Info'!$E$5,"W","B")</x:f>
        <x:v>B</x:v>
      </x:c>
    </x:row>
    <x:row r="473">
      <x:c r="A473" s="1">
        <x:v>472</x:v>
      </x:c>
      <x:c r="B473" t="str">
        <x:f>IF(RAND()&lt;'Team_Info'!$E$5,"W","B")</x:f>
        <x:v>W</x:v>
      </x:c>
      <x:c r="C473" t="str">
        <x:f>IF(RAND()&lt;'Team_Info'!$E$5,"W","B")</x:f>
        <x:v>B</x:v>
      </x:c>
      <x:c r="D473" t="str">
        <x:f>IF(RAND()&lt;'Team_Info'!$E$5,"W","B")</x:f>
        <x:v>B</x:v>
      </x:c>
      <x:c r="E473" t="str">
        <x:f>IF(RAND()&lt;'Team_Info'!$E$5,"W","B")</x:f>
        <x:v>B</x:v>
      </x:c>
      <x:c r="F473" t="str">
        <x:f>IF(RAND()&lt;'Team_Info'!$E$5,"W","B")</x:f>
        <x:v>W</x:v>
      </x:c>
      <x:c r="G473" t="str">
        <x:f>IF(RAND()&lt;'Team_Info'!$E$5,"W","B")</x:f>
        <x:v>B</x:v>
      </x:c>
      <x:c r="H473" t="str">
        <x:f>IF(RAND()&lt;'Team_Info'!$E$5,"W","B")</x:f>
        <x:v>B</x:v>
      </x:c>
      <x:c r="I473" t="str">
        <x:f>IF(RAND()&lt;'Team_Info'!$E$5,"W","B")</x:f>
        <x:v>B</x:v>
      </x:c>
      <x:c r="J473" t="str">
        <x:f>IF(RAND()&lt;'Team_Info'!$E$5,"W","B")</x:f>
        <x:v>B</x:v>
      </x:c>
      <x:c r="K473" t="str">
        <x:f>IF(RAND()&lt;'Team_Info'!$E$5,"W","B")</x:f>
        <x:v>W</x:v>
      </x:c>
      <x:c r="L473" t="str">
        <x:f>IF(RAND()&lt;'Team_Info'!$E$5,"W","B")</x:f>
        <x:v>B</x:v>
      </x:c>
      <x:c r="M473" t="str">
        <x:f>IF(RAND()&lt;'Team_Info'!$E$5,"W","B")</x:f>
        <x:v>W</x:v>
      </x:c>
      <x:c r="N473" t="str">
        <x:f>IF(RAND()&lt;'Team_Info'!$E$5,"W","B")</x:f>
        <x:v>B</x:v>
      </x:c>
      <x:c r="O473" t="str">
        <x:f>IF(RAND()&lt;'Team_Info'!$E$5,"W","B")</x:f>
        <x:v>W</x:v>
      </x:c>
      <x:c r="P473" t="str">
        <x:f>IF(RAND()&lt;'Team_Info'!$E$5,"W","B")</x:f>
        <x:v>B</x:v>
      </x:c>
      <x:c r="Q473" t="str">
        <x:f>IF(RAND()&lt;'Team_Info'!$E$5,"W","B")</x:f>
        <x:v>B</x:v>
      </x:c>
      <x:c r="R473" t="str">
        <x:f>IF(RAND()&lt;'Team_Info'!$E$5,"W","B")</x:f>
        <x:v>W</x:v>
      </x:c>
      <x:c r="S473" t="str">
        <x:f>IF(RAND()&lt;'Team_Info'!$E$5,"W","B")</x:f>
        <x:v>B</x:v>
      </x:c>
      <x:c r="T473" t="str">
        <x:f>IF(RAND()&lt;'Team_Info'!$E$5,"W","B")</x:f>
        <x:v>W</x:v>
      </x:c>
      <x:c r="U473" t="str">
        <x:f>IF(RAND()&lt;'Team_Info'!$E$5,"W","B")</x:f>
        <x:v>B</x:v>
      </x:c>
    </x:row>
    <x:row r="474">
      <x:c r="A474" s="1">
        <x:v>473</x:v>
      </x:c>
      <x:c r="B474" t="str">
        <x:f>IF(RAND()&lt;'Team_Info'!$E$5,"W","B")</x:f>
        <x:v>W</x:v>
      </x:c>
      <x:c r="C474" t="str">
        <x:f>IF(RAND()&lt;'Team_Info'!$E$5,"W","B")</x:f>
        <x:v>B</x:v>
      </x:c>
      <x:c r="D474" t="str">
        <x:f>IF(RAND()&lt;'Team_Info'!$E$5,"W","B")</x:f>
        <x:v>W</x:v>
      </x:c>
      <x:c r="E474" t="str">
        <x:f>IF(RAND()&lt;'Team_Info'!$E$5,"W","B")</x:f>
        <x:v>W</x:v>
      </x:c>
      <x:c r="F474" t="str">
        <x:f>IF(RAND()&lt;'Team_Info'!$E$5,"W","B")</x:f>
        <x:v>B</x:v>
      </x:c>
      <x:c r="G474" t="str">
        <x:f>IF(RAND()&lt;'Team_Info'!$E$5,"W","B")</x:f>
        <x:v>B</x:v>
      </x:c>
      <x:c r="H474" t="str">
        <x:f>IF(RAND()&lt;'Team_Info'!$E$5,"W","B")</x:f>
        <x:v>B</x:v>
      </x:c>
      <x:c r="I474" t="str">
        <x:f>IF(RAND()&lt;'Team_Info'!$E$5,"W","B")</x:f>
        <x:v>W</x:v>
      </x:c>
      <x:c r="J474" t="str">
        <x:f>IF(RAND()&lt;'Team_Info'!$E$5,"W","B")</x:f>
        <x:v>B</x:v>
      </x:c>
      <x:c r="K474" t="str">
        <x:f>IF(RAND()&lt;'Team_Info'!$E$5,"W","B")</x:f>
        <x:v>W</x:v>
      </x:c>
      <x:c r="L474" t="str">
        <x:f>IF(RAND()&lt;'Team_Info'!$E$5,"W","B")</x:f>
        <x:v>B</x:v>
      </x:c>
      <x:c r="M474" t="str">
        <x:f>IF(RAND()&lt;'Team_Info'!$E$5,"W","B")</x:f>
        <x:v>B</x:v>
      </x:c>
      <x:c r="N474" t="str">
        <x:f>IF(RAND()&lt;'Team_Info'!$E$5,"W","B")</x:f>
        <x:v>B</x:v>
      </x:c>
      <x:c r="O474" t="str">
        <x:f>IF(RAND()&lt;'Team_Info'!$E$5,"W","B")</x:f>
        <x:v>B</x:v>
      </x:c>
      <x:c r="P474" t="str">
        <x:f>IF(RAND()&lt;'Team_Info'!$E$5,"W","B")</x:f>
        <x:v>B</x:v>
      </x:c>
      <x:c r="Q474" t="str">
        <x:f>IF(RAND()&lt;'Team_Info'!$E$5,"W","B")</x:f>
        <x:v>B</x:v>
      </x:c>
      <x:c r="R474" t="str">
        <x:f>IF(RAND()&lt;'Team_Info'!$E$5,"W","B")</x:f>
        <x:v>W</x:v>
      </x:c>
      <x:c r="S474" t="str">
        <x:f>IF(RAND()&lt;'Team_Info'!$E$5,"W","B")</x:f>
        <x:v>B</x:v>
      </x:c>
      <x:c r="T474" t="str">
        <x:f>IF(RAND()&lt;'Team_Info'!$E$5,"W","B")</x:f>
        <x:v>B</x:v>
      </x:c>
      <x:c r="U474" t="str">
        <x:f>IF(RAND()&lt;'Team_Info'!$E$5,"W","B")</x:f>
        <x:v>B</x:v>
      </x:c>
    </x:row>
    <x:row r="475">
      <x:c r="A475" s="1">
        <x:v>474</x:v>
      </x:c>
      <x:c r="B475" t="str">
        <x:f>IF(RAND()&lt;'Team_Info'!$E$5,"W","B")</x:f>
        <x:v>W</x:v>
      </x:c>
      <x:c r="C475" t="str">
        <x:f>IF(RAND()&lt;'Team_Info'!$E$5,"W","B")</x:f>
        <x:v>B</x:v>
      </x:c>
      <x:c r="D475" t="str">
        <x:f>IF(RAND()&lt;'Team_Info'!$E$5,"W","B")</x:f>
        <x:v>B</x:v>
      </x:c>
      <x:c r="E475" t="str">
        <x:f>IF(RAND()&lt;'Team_Info'!$E$5,"W","B")</x:f>
        <x:v>W</x:v>
      </x:c>
      <x:c r="F475" t="str">
        <x:f>IF(RAND()&lt;'Team_Info'!$E$5,"W","B")</x:f>
        <x:v>B</x:v>
      </x:c>
      <x:c r="G475" t="str">
        <x:f>IF(RAND()&lt;'Team_Info'!$E$5,"W","B")</x:f>
        <x:v>W</x:v>
      </x:c>
      <x:c r="H475" t="str">
        <x:f>IF(RAND()&lt;'Team_Info'!$E$5,"W","B")</x:f>
        <x:v>B</x:v>
      </x:c>
      <x:c r="I475" t="str">
        <x:f>IF(RAND()&lt;'Team_Info'!$E$5,"W","B")</x:f>
        <x:v>B</x:v>
      </x:c>
      <x:c r="J475" t="str">
        <x:f>IF(RAND()&lt;'Team_Info'!$E$5,"W","B")</x:f>
        <x:v>B</x:v>
      </x:c>
      <x:c r="K475" t="str">
        <x:f>IF(RAND()&lt;'Team_Info'!$E$5,"W","B")</x:f>
        <x:v>B</x:v>
      </x:c>
      <x:c r="L475" t="str">
        <x:f>IF(RAND()&lt;'Team_Info'!$E$5,"W","B")</x:f>
        <x:v>B</x:v>
      </x:c>
      <x:c r="M475" t="str">
        <x:f>IF(RAND()&lt;'Team_Info'!$E$5,"W","B")</x:f>
        <x:v>B</x:v>
      </x:c>
      <x:c r="N475" t="str">
        <x:f>IF(RAND()&lt;'Team_Info'!$E$5,"W","B")</x:f>
        <x:v>W</x:v>
      </x:c>
      <x:c r="O475" t="str">
        <x:f>IF(RAND()&lt;'Team_Info'!$E$5,"W","B")</x:f>
        <x:v>B</x:v>
      </x:c>
      <x:c r="P475" t="str">
        <x:f>IF(RAND()&lt;'Team_Info'!$E$5,"W","B")</x:f>
        <x:v>W</x:v>
      </x:c>
      <x:c r="Q475" t="str">
        <x:f>IF(RAND()&lt;'Team_Info'!$E$5,"W","B")</x:f>
        <x:v>B</x:v>
      </x:c>
      <x:c r="R475" t="str">
        <x:f>IF(RAND()&lt;'Team_Info'!$E$5,"W","B")</x:f>
        <x:v>B</x:v>
      </x:c>
      <x:c r="S475" t="str">
        <x:f>IF(RAND()&lt;'Team_Info'!$E$5,"W","B")</x:f>
        <x:v>B</x:v>
      </x:c>
      <x:c r="T475" t="str">
        <x:f>IF(RAND()&lt;'Team_Info'!$E$5,"W","B")</x:f>
        <x:v>W</x:v>
      </x:c>
      <x:c r="U475" t="str">
        <x:f>IF(RAND()&lt;'Team_Info'!$E$5,"W","B")</x:f>
        <x:v>B</x:v>
      </x:c>
    </x:row>
    <x:row r="476">
      <x:c r="A476" s="1">
        <x:v>475</x:v>
      </x:c>
      <x:c r="B476" t="str">
        <x:f>IF(RAND()&lt;'Team_Info'!$E$5,"W","B")</x:f>
        <x:v>B</x:v>
      </x:c>
      <x:c r="C476" t="str">
        <x:f>IF(RAND()&lt;'Team_Info'!$E$5,"W","B")</x:f>
        <x:v>B</x:v>
      </x:c>
      <x:c r="D476" t="str">
        <x:f>IF(RAND()&lt;'Team_Info'!$E$5,"W","B")</x:f>
        <x:v>W</x:v>
      </x:c>
      <x:c r="E476" t="str">
        <x:f>IF(RAND()&lt;'Team_Info'!$E$5,"W","B")</x:f>
        <x:v>W</x:v>
      </x:c>
      <x:c r="F476" t="str">
        <x:f>IF(RAND()&lt;'Team_Info'!$E$5,"W","B")</x:f>
        <x:v>B</x:v>
      </x:c>
      <x:c r="G476" t="str">
        <x:f>IF(RAND()&lt;'Team_Info'!$E$5,"W","B")</x:f>
        <x:v>B</x:v>
      </x:c>
      <x:c r="H476" t="str">
        <x:f>IF(RAND()&lt;'Team_Info'!$E$5,"W","B")</x:f>
        <x:v>B</x:v>
      </x:c>
      <x:c r="I476" t="str">
        <x:f>IF(RAND()&lt;'Team_Info'!$E$5,"W","B")</x:f>
        <x:v>B</x:v>
      </x:c>
      <x:c r="J476" t="str">
        <x:f>IF(RAND()&lt;'Team_Info'!$E$5,"W","B")</x:f>
        <x:v>W</x:v>
      </x:c>
      <x:c r="K476" t="str">
        <x:f>IF(RAND()&lt;'Team_Info'!$E$5,"W","B")</x:f>
        <x:v>B</x:v>
      </x:c>
      <x:c r="L476" t="str">
        <x:f>IF(RAND()&lt;'Team_Info'!$E$5,"W","B")</x:f>
        <x:v>B</x:v>
      </x:c>
      <x:c r="M476" t="str">
        <x:f>IF(RAND()&lt;'Team_Info'!$E$5,"W","B")</x:f>
        <x:v>B</x:v>
      </x:c>
      <x:c r="N476" t="str">
        <x:f>IF(RAND()&lt;'Team_Info'!$E$5,"W","B")</x:f>
        <x:v>W</x:v>
      </x:c>
      <x:c r="O476" t="str">
        <x:f>IF(RAND()&lt;'Team_Info'!$E$5,"W","B")</x:f>
        <x:v>B</x:v>
      </x:c>
      <x:c r="P476" t="str">
        <x:f>IF(RAND()&lt;'Team_Info'!$E$5,"W","B")</x:f>
        <x:v>B</x:v>
      </x:c>
      <x:c r="Q476" t="str">
        <x:f>IF(RAND()&lt;'Team_Info'!$E$5,"W","B")</x:f>
        <x:v>W</x:v>
      </x:c>
      <x:c r="R476" t="str">
        <x:f>IF(RAND()&lt;'Team_Info'!$E$5,"W","B")</x:f>
        <x:v>B</x:v>
      </x:c>
      <x:c r="S476" t="str">
        <x:f>IF(RAND()&lt;'Team_Info'!$E$5,"W","B")</x:f>
        <x:v>W</x:v>
      </x:c>
      <x:c r="T476" t="str">
        <x:f>IF(RAND()&lt;'Team_Info'!$E$5,"W","B")</x:f>
        <x:v>B</x:v>
      </x:c>
      <x:c r="U476" t="str">
        <x:f>IF(RAND()&lt;'Team_Info'!$E$5,"W","B")</x:f>
        <x:v>W</x:v>
      </x:c>
    </x:row>
    <x:row r="477">
      <x:c r="A477" s="1">
        <x:v>476</x:v>
      </x:c>
      <x:c r="B477" t="str">
        <x:f>IF(RAND()&lt;'Team_Info'!$E$5,"W","B")</x:f>
        <x:v>B</x:v>
      </x:c>
      <x:c r="C477" t="str">
        <x:f>IF(RAND()&lt;'Team_Info'!$E$5,"W","B")</x:f>
        <x:v>B</x:v>
      </x:c>
      <x:c r="D477" t="str">
        <x:f>IF(RAND()&lt;'Team_Info'!$E$5,"W","B")</x:f>
        <x:v>B</x:v>
      </x:c>
      <x:c r="E477" t="str">
        <x:f>IF(RAND()&lt;'Team_Info'!$E$5,"W","B")</x:f>
        <x:v>B</x:v>
      </x:c>
      <x:c r="F477" t="str">
        <x:f>IF(RAND()&lt;'Team_Info'!$E$5,"W","B")</x:f>
        <x:v>W</x:v>
      </x:c>
      <x:c r="G477" t="str">
        <x:f>IF(RAND()&lt;'Team_Info'!$E$5,"W","B")</x:f>
        <x:v>W</x:v>
      </x:c>
      <x:c r="H477" t="str">
        <x:f>IF(RAND()&lt;'Team_Info'!$E$5,"W","B")</x:f>
        <x:v>B</x:v>
      </x:c>
      <x:c r="I477" t="str">
        <x:f>IF(RAND()&lt;'Team_Info'!$E$5,"W","B")</x:f>
        <x:v>B</x:v>
      </x:c>
      <x:c r="J477" t="str">
        <x:f>IF(RAND()&lt;'Team_Info'!$E$5,"W","B")</x:f>
        <x:v>B</x:v>
      </x:c>
      <x:c r="K477" t="str">
        <x:f>IF(RAND()&lt;'Team_Info'!$E$5,"W","B")</x:f>
        <x:v>W</x:v>
      </x:c>
      <x:c r="L477" t="str">
        <x:f>IF(RAND()&lt;'Team_Info'!$E$5,"W","B")</x:f>
        <x:v>W</x:v>
      </x:c>
      <x:c r="M477" t="str">
        <x:f>IF(RAND()&lt;'Team_Info'!$E$5,"W","B")</x:f>
        <x:v>W</x:v>
      </x:c>
      <x:c r="N477" t="str">
        <x:f>IF(RAND()&lt;'Team_Info'!$E$5,"W","B")</x:f>
        <x:v>B</x:v>
      </x:c>
      <x:c r="O477" t="str">
        <x:f>IF(RAND()&lt;'Team_Info'!$E$5,"W","B")</x:f>
        <x:v>B</x:v>
      </x:c>
      <x:c r="P477" t="str">
        <x:f>IF(RAND()&lt;'Team_Info'!$E$5,"W","B")</x:f>
        <x:v>B</x:v>
      </x:c>
      <x:c r="Q477" t="str">
        <x:f>IF(RAND()&lt;'Team_Info'!$E$5,"W","B")</x:f>
        <x:v>B</x:v>
      </x:c>
      <x:c r="R477" t="str">
        <x:f>IF(RAND()&lt;'Team_Info'!$E$5,"W","B")</x:f>
        <x:v>B</x:v>
      </x:c>
      <x:c r="S477" t="str">
        <x:f>IF(RAND()&lt;'Team_Info'!$E$5,"W","B")</x:f>
        <x:v>W</x:v>
      </x:c>
      <x:c r="T477" t="str">
        <x:f>IF(RAND()&lt;'Team_Info'!$E$5,"W","B")</x:f>
        <x:v>B</x:v>
      </x:c>
      <x:c r="U477" t="str">
        <x:f>IF(RAND()&lt;'Team_Info'!$E$5,"W","B")</x:f>
        <x:v>B</x:v>
      </x:c>
    </x:row>
    <x:row r="478">
      <x:c r="A478" s="1">
        <x:v>477</x:v>
      </x:c>
      <x:c r="B478" t="str">
        <x:f>IF(RAND()&lt;'Team_Info'!$E$5,"W","B")</x:f>
        <x:v>B</x:v>
      </x:c>
      <x:c r="C478" t="str">
        <x:f>IF(RAND()&lt;'Team_Info'!$E$5,"W","B")</x:f>
        <x:v>W</x:v>
      </x:c>
      <x:c r="D478" t="str">
        <x:f>IF(RAND()&lt;'Team_Info'!$E$5,"W","B")</x:f>
        <x:v>W</x:v>
      </x:c>
      <x:c r="E478" t="str">
        <x:f>IF(RAND()&lt;'Team_Info'!$E$5,"W","B")</x:f>
        <x:v>W</x:v>
      </x:c>
      <x:c r="F478" t="str">
        <x:f>IF(RAND()&lt;'Team_Info'!$E$5,"W","B")</x:f>
        <x:v>B</x:v>
      </x:c>
      <x:c r="G478" t="str">
        <x:f>IF(RAND()&lt;'Team_Info'!$E$5,"W","B")</x:f>
        <x:v>B</x:v>
      </x:c>
      <x:c r="H478" t="str">
        <x:f>IF(RAND()&lt;'Team_Info'!$E$5,"W","B")</x:f>
        <x:v>B</x:v>
      </x:c>
      <x:c r="I478" t="str">
        <x:f>IF(RAND()&lt;'Team_Info'!$E$5,"W","B")</x:f>
        <x:v>W</x:v>
      </x:c>
      <x:c r="J478" t="str">
        <x:f>IF(RAND()&lt;'Team_Info'!$E$5,"W","B")</x:f>
        <x:v>B</x:v>
      </x:c>
      <x:c r="K478" t="str">
        <x:f>IF(RAND()&lt;'Team_Info'!$E$5,"W","B")</x:f>
        <x:v>B</x:v>
      </x:c>
      <x:c r="L478" t="str">
        <x:f>IF(RAND()&lt;'Team_Info'!$E$5,"W","B")</x:f>
        <x:v>B</x:v>
      </x:c>
      <x:c r="M478" t="str">
        <x:f>IF(RAND()&lt;'Team_Info'!$E$5,"W","B")</x:f>
        <x:v>B</x:v>
      </x:c>
      <x:c r="N478" t="str">
        <x:f>IF(RAND()&lt;'Team_Info'!$E$5,"W","B")</x:f>
        <x:v>B</x:v>
      </x:c>
      <x:c r="O478" t="str">
        <x:f>IF(RAND()&lt;'Team_Info'!$E$5,"W","B")</x:f>
        <x:v>W</x:v>
      </x:c>
      <x:c r="P478" t="str">
        <x:f>IF(RAND()&lt;'Team_Info'!$E$5,"W","B")</x:f>
        <x:v>W</x:v>
      </x:c>
      <x:c r="Q478" t="str">
        <x:f>IF(RAND()&lt;'Team_Info'!$E$5,"W","B")</x:f>
        <x:v>W</x:v>
      </x:c>
      <x:c r="R478" t="str">
        <x:f>IF(RAND()&lt;'Team_Info'!$E$5,"W","B")</x:f>
        <x:v>W</x:v>
      </x:c>
      <x:c r="S478" t="str">
        <x:f>IF(RAND()&lt;'Team_Info'!$E$5,"W","B")</x:f>
        <x:v>B</x:v>
      </x:c>
      <x:c r="T478" t="str">
        <x:f>IF(RAND()&lt;'Team_Info'!$E$5,"W","B")</x:f>
        <x:v>B</x:v>
      </x:c>
      <x:c r="U478" t="str">
        <x:f>IF(RAND()&lt;'Team_Info'!$E$5,"W","B")</x:f>
        <x:v>W</x:v>
      </x:c>
    </x:row>
    <x:row r="479">
      <x:c r="A479" s="1">
        <x:v>478</x:v>
      </x:c>
      <x:c r="B479" t="str">
        <x:f>IF(RAND()&lt;'Team_Info'!$E$5,"W","B")</x:f>
        <x:v>B</x:v>
      </x:c>
      <x:c r="C479" t="str">
        <x:f>IF(RAND()&lt;'Team_Info'!$E$5,"W","B")</x:f>
        <x:v>B</x:v>
      </x:c>
      <x:c r="D479" t="str">
        <x:f>IF(RAND()&lt;'Team_Info'!$E$5,"W","B")</x:f>
        <x:v>B</x:v>
      </x:c>
      <x:c r="E479" t="str">
        <x:f>IF(RAND()&lt;'Team_Info'!$E$5,"W","B")</x:f>
        <x:v>B</x:v>
      </x:c>
      <x:c r="F479" t="str">
        <x:f>IF(RAND()&lt;'Team_Info'!$E$5,"W","B")</x:f>
        <x:v>W</x:v>
      </x:c>
      <x:c r="G479" t="str">
        <x:f>IF(RAND()&lt;'Team_Info'!$E$5,"W","B")</x:f>
        <x:v>B</x:v>
      </x:c>
      <x:c r="H479" t="str">
        <x:f>IF(RAND()&lt;'Team_Info'!$E$5,"W","B")</x:f>
        <x:v>B</x:v>
      </x:c>
      <x:c r="I479" t="str">
        <x:f>IF(RAND()&lt;'Team_Info'!$E$5,"W","B")</x:f>
        <x:v>W</x:v>
      </x:c>
      <x:c r="J479" t="str">
        <x:f>IF(RAND()&lt;'Team_Info'!$E$5,"W","B")</x:f>
        <x:v>W</x:v>
      </x:c>
      <x:c r="K479" t="str">
        <x:f>IF(RAND()&lt;'Team_Info'!$E$5,"W","B")</x:f>
        <x:v>B</x:v>
      </x:c>
      <x:c r="L479" t="str">
        <x:f>IF(RAND()&lt;'Team_Info'!$E$5,"W","B")</x:f>
        <x:v>B</x:v>
      </x:c>
      <x:c r="M479" t="str">
        <x:f>IF(RAND()&lt;'Team_Info'!$E$5,"W","B")</x:f>
        <x:v>W</x:v>
      </x:c>
      <x:c r="N479" t="str">
        <x:f>IF(RAND()&lt;'Team_Info'!$E$5,"W","B")</x:f>
        <x:v>W</x:v>
      </x:c>
      <x:c r="O479" t="str">
        <x:f>IF(RAND()&lt;'Team_Info'!$E$5,"W","B")</x:f>
        <x:v>W</x:v>
      </x:c>
      <x:c r="P479" t="str">
        <x:f>IF(RAND()&lt;'Team_Info'!$E$5,"W","B")</x:f>
        <x:v>B</x:v>
      </x:c>
      <x:c r="Q479" t="str">
        <x:f>IF(RAND()&lt;'Team_Info'!$E$5,"W","B")</x:f>
        <x:v>B</x:v>
      </x:c>
      <x:c r="R479" t="str">
        <x:f>IF(RAND()&lt;'Team_Info'!$E$5,"W","B")</x:f>
        <x:v>B</x:v>
      </x:c>
      <x:c r="S479" t="str">
        <x:f>IF(RAND()&lt;'Team_Info'!$E$5,"W","B")</x:f>
        <x:v>B</x:v>
      </x:c>
      <x:c r="T479" t="str">
        <x:f>IF(RAND()&lt;'Team_Info'!$E$5,"W","B")</x:f>
        <x:v>B</x:v>
      </x:c>
      <x:c r="U479" t="str">
        <x:f>IF(RAND()&lt;'Team_Info'!$E$5,"W","B")</x:f>
        <x:v>B</x:v>
      </x:c>
    </x:row>
    <x:row r="480">
      <x:c r="A480" s="1">
        <x:v>479</x:v>
      </x:c>
      <x:c r="B480" t="str">
        <x:f>IF(RAND()&lt;'Team_Info'!$E$5,"W","B")</x:f>
        <x:v>B</x:v>
      </x:c>
      <x:c r="C480" t="str">
        <x:f>IF(RAND()&lt;'Team_Info'!$E$5,"W","B")</x:f>
        <x:v>B</x:v>
      </x:c>
      <x:c r="D480" t="str">
        <x:f>IF(RAND()&lt;'Team_Info'!$E$5,"W","B")</x:f>
        <x:v>B</x:v>
      </x:c>
      <x:c r="E480" t="str">
        <x:f>IF(RAND()&lt;'Team_Info'!$E$5,"W","B")</x:f>
        <x:v>B</x:v>
      </x:c>
      <x:c r="F480" t="str">
        <x:f>IF(RAND()&lt;'Team_Info'!$E$5,"W","B")</x:f>
        <x:v>W</x:v>
      </x:c>
      <x:c r="G480" t="str">
        <x:f>IF(RAND()&lt;'Team_Info'!$E$5,"W","B")</x:f>
        <x:v>W</x:v>
      </x:c>
      <x:c r="H480" t="str">
        <x:f>IF(RAND()&lt;'Team_Info'!$E$5,"W","B")</x:f>
        <x:v>W</x:v>
      </x:c>
      <x:c r="I480" t="str">
        <x:f>IF(RAND()&lt;'Team_Info'!$E$5,"W","B")</x:f>
        <x:v>W</x:v>
      </x:c>
      <x:c r="J480" t="str">
        <x:f>IF(RAND()&lt;'Team_Info'!$E$5,"W","B")</x:f>
        <x:v>B</x:v>
      </x:c>
      <x:c r="K480" t="str">
        <x:f>IF(RAND()&lt;'Team_Info'!$E$5,"W","B")</x:f>
        <x:v>B</x:v>
      </x:c>
      <x:c r="L480" t="str">
        <x:f>IF(RAND()&lt;'Team_Info'!$E$5,"W","B")</x:f>
        <x:v>W</x:v>
      </x:c>
      <x:c r="M480" t="str">
        <x:f>IF(RAND()&lt;'Team_Info'!$E$5,"W","B")</x:f>
        <x:v>B</x:v>
      </x:c>
      <x:c r="N480" t="str">
        <x:f>IF(RAND()&lt;'Team_Info'!$E$5,"W","B")</x:f>
        <x:v>B</x:v>
      </x:c>
      <x:c r="O480" t="str">
        <x:f>IF(RAND()&lt;'Team_Info'!$E$5,"W","B")</x:f>
        <x:v>B</x:v>
      </x:c>
      <x:c r="P480" t="str">
        <x:f>IF(RAND()&lt;'Team_Info'!$E$5,"W","B")</x:f>
        <x:v>W</x:v>
      </x:c>
      <x:c r="Q480" t="str">
        <x:f>IF(RAND()&lt;'Team_Info'!$E$5,"W","B")</x:f>
        <x:v>W</x:v>
      </x:c>
      <x:c r="R480" t="str">
        <x:f>IF(RAND()&lt;'Team_Info'!$E$5,"W","B")</x:f>
        <x:v>W</x:v>
      </x:c>
      <x:c r="S480" t="str">
        <x:f>IF(RAND()&lt;'Team_Info'!$E$5,"W","B")</x:f>
        <x:v>B</x:v>
      </x:c>
      <x:c r="T480" t="str">
        <x:f>IF(RAND()&lt;'Team_Info'!$E$5,"W","B")</x:f>
        <x:v>B</x:v>
      </x:c>
      <x:c r="U480" t="str">
        <x:f>IF(RAND()&lt;'Team_Info'!$E$5,"W","B")</x:f>
        <x:v>B</x:v>
      </x:c>
    </x:row>
    <x:row r="481">
      <x:c r="A481" s="1">
        <x:v>480</x:v>
      </x:c>
      <x:c r="B481" t="str">
        <x:f>IF(RAND()&lt;'Team_Info'!$E$5,"W","B")</x:f>
        <x:v>W</x:v>
      </x:c>
      <x:c r="C481" t="str">
        <x:f>IF(RAND()&lt;'Team_Info'!$E$5,"W","B")</x:f>
        <x:v>W</x:v>
      </x:c>
      <x:c r="D481" t="str">
        <x:f>IF(RAND()&lt;'Team_Info'!$E$5,"W","B")</x:f>
        <x:v>B</x:v>
      </x:c>
      <x:c r="E481" t="str">
        <x:f>IF(RAND()&lt;'Team_Info'!$E$5,"W","B")</x:f>
        <x:v>B</x:v>
      </x:c>
      <x:c r="F481" t="str">
        <x:f>IF(RAND()&lt;'Team_Info'!$E$5,"W","B")</x:f>
        <x:v>W</x:v>
      </x:c>
      <x:c r="G481" t="str">
        <x:f>IF(RAND()&lt;'Team_Info'!$E$5,"W","B")</x:f>
        <x:v>W</x:v>
      </x:c>
      <x:c r="H481" t="str">
        <x:f>IF(RAND()&lt;'Team_Info'!$E$5,"W","B")</x:f>
        <x:v>B</x:v>
      </x:c>
      <x:c r="I481" t="str">
        <x:f>IF(RAND()&lt;'Team_Info'!$E$5,"W","B")</x:f>
        <x:v>W</x:v>
      </x:c>
      <x:c r="J481" t="str">
        <x:f>IF(RAND()&lt;'Team_Info'!$E$5,"W","B")</x:f>
        <x:v>B</x:v>
      </x:c>
      <x:c r="K481" t="str">
        <x:f>IF(RAND()&lt;'Team_Info'!$E$5,"W","B")</x:f>
        <x:v>W</x:v>
      </x:c>
      <x:c r="L481" t="str">
        <x:f>IF(RAND()&lt;'Team_Info'!$E$5,"W","B")</x:f>
        <x:v>W</x:v>
      </x:c>
      <x:c r="M481" t="str">
        <x:f>IF(RAND()&lt;'Team_Info'!$E$5,"W","B")</x:f>
        <x:v>B</x:v>
      </x:c>
      <x:c r="N481" t="str">
        <x:f>IF(RAND()&lt;'Team_Info'!$E$5,"W","B")</x:f>
        <x:v>W</x:v>
      </x:c>
      <x:c r="O481" t="str">
        <x:f>IF(RAND()&lt;'Team_Info'!$E$5,"W","B")</x:f>
        <x:v>B</x:v>
      </x:c>
      <x:c r="P481" t="str">
        <x:f>IF(RAND()&lt;'Team_Info'!$E$5,"W","B")</x:f>
        <x:v>W</x:v>
      </x:c>
      <x:c r="Q481" t="str">
        <x:f>IF(RAND()&lt;'Team_Info'!$E$5,"W","B")</x:f>
        <x:v>B</x:v>
      </x:c>
      <x:c r="R481" t="str">
        <x:f>IF(RAND()&lt;'Team_Info'!$E$5,"W","B")</x:f>
        <x:v>B</x:v>
      </x:c>
      <x:c r="S481" t="str">
        <x:f>IF(RAND()&lt;'Team_Info'!$E$5,"W","B")</x:f>
        <x:v>B</x:v>
      </x:c>
      <x:c r="T481" t="str">
        <x:f>IF(RAND()&lt;'Team_Info'!$E$5,"W","B")</x:f>
        <x:v>W</x:v>
      </x:c>
      <x:c r="U481" t="str">
        <x:f>IF(RAND()&lt;'Team_Info'!$E$5,"W","B")</x:f>
        <x:v>B</x:v>
      </x:c>
    </x:row>
    <x:row r="482">
      <x:c r="A482" s="1">
        <x:v>481</x:v>
      </x:c>
      <x:c r="B482" t="str">
        <x:f>IF(RAND()&lt;'Team_Info'!$E$5,"W","B")</x:f>
        <x:v>W</x:v>
      </x:c>
      <x:c r="C482" t="str">
        <x:f>IF(RAND()&lt;'Team_Info'!$E$5,"W","B")</x:f>
        <x:v>W</x:v>
      </x:c>
      <x:c r="D482" t="str">
        <x:f>IF(RAND()&lt;'Team_Info'!$E$5,"W","B")</x:f>
        <x:v>W</x:v>
      </x:c>
      <x:c r="E482" t="str">
        <x:f>IF(RAND()&lt;'Team_Info'!$E$5,"W","B")</x:f>
        <x:v>B</x:v>
      </x:c>
      <x:c r="F482" t="str">
        <x:f>IF(RAND()&lt;'Team_Info'!$E$5,"W","B")</x:f>
        <x:v>B</x:v>
      </x:c>
      <x:c r="G482" t="str">
        <x:f>IF(RAND()&lt;'Team_Info'!$E$5,"W","B")</x:f>
        <x:v>B</x:v>
      </x:c>
      <x:c r="H482" t="str">
        <x:f>IF(RAND()&lt;'Team_Info'!$E$5,"W","B")</x:f>
        <x:v>B</x:v>
      </x:c>
      <x:c r="I482" t="str">
        <x:f>IF(RAND()&lt;'Team_Info'!$E$5,"W","B")</x:f>
        <x:v>B</x:v>
      </x:c>
      <x:c r="J482" t="str">
        <x:f>IF(RAND()&lt;'Team_Info'!$E$5,"W","B")</x:f>
        <x:v>B</x:v>
      </x:c>
      <x:c r="K482" t="str">
        <x:f>IF(RAND()&lt;'Team_Info'!$E$5,"W","B")</x:f>
        <x:v>B</x:v>
      </x:c>
      <x:c r="L482" t="str">
        <x:f>IF(RAND()&lt;'Team_Info'!$E$5,"W","B")</x:f>
        <x:v>B</x:v>
      </x:c>
      <x:c r="M482" t="str">
        <x:f>IF(RAND()&lt;'Team_Info'!$E$5,"W","B")</x:f>
        <x:v>B</x:v>
      </x:c>
      <x:c r="N482" t="str">
        <x:f>IF(RAND()&lt;'Team_Info'!$E$5,"W","B")</x:f>
        <x:v>W</x:v>
      </x:c>
      <x:c r="O482" t="str">
        <x:f>IF(RAND()&lt;'Team_Info'!$E$5,"W","B")</x:f>
        <x:v>W</x:v>
      </x:c>
      <x:c r="P482" t="str">
        <x:f>IF(RAND()&lt;'Team_Info'!$E$5,"W","B")</x:f>
        <x:v>B</x:v>
      </x:c>
      <x:c r="Q482" t="str">
        <x:f>IF(RAND()&lt;'Team_Info'!$E$5,"W","B")</x:f>
        <x:v>W</x:v>
      </x:c>
      <x:c r="R482" t="str">
        <x:f>IF(RAND()&lt;'Team_Info'!$E$5,"W","B")</x:f>
        <x:v>B</x:v>
      </x:c>
      <x:c r="S482" t="str">
        <x:f>IF(RAND()&lt;'Team_Info'!$E$5,"W","B")</x:f>
        <x:v>B</x:v>
      </x:c>
      <x:c r="T482" t="str">
        <x:f>IF(RAND()&lt;'Team_Info'!$E$5,"W","B")</x:f>
        <x:v>W</x:v>
      </x:c>
      <x:c r="U482" t="str">
        <x:f>IF(RAND()&lt;'Team_Info'!$E$5,"W","B")</x:f>
        <x:v>B</x:v>
      </x:c>
    </x:row>
    <x:row r="483">
      <x:c r="A483" s="1">
        <x:v>482</x:v>
      </x:c>
      <x:c r="B483" t="str">
        <x:f>IF(RAND()&lt;'Team_Info'!$E$5,"W","B")</x:f>
        <x:v>B</x:v>
      </x:c>
      <x:c r="C483" t="str">
        <x:f>IF(RAND()&lt;'Team_Info'!$E$5,"W","B")</x:f>
        <x:v>B</x:v>
      </x:c>
      <x:c r="D483" t="str">
        <x:f>IF(RAND()&lt;'Team_Info'!$E$5,"W","B")</x:f>
        <x:v>W</x:v>
      </x:c>
      <x:c r="E483" t="str">
        <x:f>IF(RAND()&lt;'Team_Info'!$E$5,"W","B")</x:f>
        <x:v>W</x:v>
      </x:c>
      <x:c r="F483" t="str">
        <x:f>IF(RAND()&lt;'Team_Info'!$E$5,"W","B")</x:f>
        <x:v>B</x:v>
      </x:c>
      <x:c r="G483" t="str">
        <x:f>IF(RAND()&lt;'Team_Info'!$E$5,"W","B")</x:f>
        <x:v>B</x:v>
      </x:c>
      <x:c r="H483" t="str">
        <x:f>IF(RAND()&lt;'Team_Info'!$E$5,"W","B")</x:f>
        <x:v>B</x:v>
      </x:c>
      <x:c r="I483" t="str">
        <x:f>IF(RAND()&lt;'Team_Info'!$E$5,"W","B")</x:f>
        <x:v>B</x:v>
      </x:c>
      <x:c r="J483" t="str">
        <x:f>IF(RAND()&lt;'Team_Info'!$E$5,"W","B")</x:f>
        <x:v>B</x:v>
      </x:c>
      <x:c r="K483" t="str">
        <x:f>IF(RAND()&lt;'Team_Info'!$E$5,"W","B")</x:f>
        <x:v>B</x:v>
      </x:c>
      <x:c r="L483" t="str">
        <x:f>IF(RAND()&lt;'Team_Info'!$E$5,"W","B")</x:f>
        <x:v>W</x:v>
      </x:c>
      <x:c r="M483" t="str">
        <x:f>IF(RAND()&lt;'Team_Info'!$E$5,"W","B")</x:f>
        <x:v>W</x:v>
      </x:c>
      <x:c r="N483" t="str">
        <x:f>IF(RAND()&lt;'Team_Info'!$E$5,"W","B")</x:f>
        <x:v>B</x:v>
      </x:c>
      <x:c r="O483" t="str">
        <x:f>IF(RAND()&lt;'Team_Info'!$E$5,"W","B")</x:f>
        <x:v>W</x:v>
      </x:c>
      <x:c r="P483" t="str">
        <x:f>IF(RAND()&lt;'Team_Info'!$E$5,"W","B")</x:f>
        <x:v>B</x:v>
      </x:c>
      <x:c r="Q483" t="str">
        <x:f>IF(RAND()&lt;'Team_Info'!$E$5,"W","B")</x:f>
        <x:v>W</x:v>
      </x:c>
      <x:c r="R483" t="str">
        <x:f>IF(RAND()&lt;'Team_Info'!$E$5,"W","B")</x:f>
        <x:v>B</x:v>
      </x:c>
      <x:c r="S483" t="str">
        <x:f>IF(RAND()&lt;'Team_Info'!$E$5,"W","B")</x:f>
        <x:v>B</x:v>
      </x:c>
      <x:c r="T483" t="str">
        <x:f>IF(RAND()&lt;'Team_Info'!$E$5,"W","B")</x:f>
        <x:v>W</x:v>
      </x:c>
      <x:c r="U483" t="str">
        <x:f>IF(RAND()&lt;'Team_Info'!$E$5,"W","B")</x:f>
        <x:v>B</x:v>
      </x:c>
    </x:row>
    <x:row r="484">
      <x:c r="A484" s="1">
        <x:v>483</x:v>
      </x:c>
      <x:c r="B484" t="str">
        <x:f>IF(RAND()&lt;'Team_Info'!$E$5,"W","B")</x:f>
        <x:v>B</x:v>
      </x:c>
      <x:c r="C484" t="str">
        <x:f>IF(RAND()&lt;'Team_Info'!$E$5,"W","B")</x:f>
        <x:v>B</x:v>
      </x:c>
      <x:c r="D484" t="str">
        <x:f>IF(RAND()&lt;'Team_Info'!$E$5,"W","B")</x:f>
        <x:v>B</x:v>
      </x:c>
      <x:c r="E484" t="str">
        <x:f>IF(RAND()&lt;'Team_Info'!$E$5,"W","B")</x:f>
        <x:v>B</x:v>
      </x:c>
      <x:c r="F484" t="str">
        <x:f>IF(RAND()&lt;'Team_Info'!$E$5,"W","B")</x:f>
        <x:v>B</x:v>
      </x:c>
      <x:c r="G484" t="str">
        <x:f>IF(RAND()&lt;'Team_Info'!$E$5,"W","B")</x:f>
        <x:v>W</x:v>
      </x:c>
      <x:c r="H484" t="str">
        <x:f>IF(RAND()&lt;'Team_Info'!$E$5,"W","B")</x:f>
        <x:v>B</x:v>
      </x:c>
      <x:c r="I484" t="str">
        <x:f>IF(RAND()&lt;'Team_Info'!$E$5,"W","B")</x:f>
        <x:v>B</x:v>
      </x:c>
      <x:c r="J484" t="str">
        <x:f>IF(RAND()&lt;'Team_Info'!$E$5,"W","B")</x:f>
        <x:v>B</x:v>
      </x:c>
      <x:c r="K484" t="str">
        <x:f>IF(RAND()&lt;'Team_Info'!$E$5,"W","B")</x:f>
        <x:v>B</x:v>
      </x:c>
      <x:c r="L484" t="str">
        <x:f>IF(RAND()&lt;'Team_Info'!$E$5,"W","B")</x:f>
        <x:v>B</x:v>
      </x:c>
      <x:c r="M484" t="str">
        <x:f>IF(RAND()&lt;'Team_Info'!$E$5,"W","B")</x:f>
        <x:v>B</x:v>
      </x:c>
      <x:c r="N484" t="str">
        <x:f>IF(RAND()&lt;'Team_Info'!$E$5,"W","B")</x:f>
        <x:v>B</x:v>
      </x:c>
      <x:c r="O484" t="str">
        <x:f>IF(RAND()&lt;'Team_Info'!$E$5,"W","B")</x:f>
        <x:v>W</x:v>
      </x:c>
      <x:c r="P484" t="str">
        <x:f>IF(RAND()&lt;'Team_Info'!$E$5,"W","B")</x:f>
        <x:v>B</x:v>
      </x:c>
      <x:c r="Q484" t="str">
        <x:f>IF(RAND()&lt;'Team_Info'!$E$5,"W","B")</x:f>
        <x:v>W</x:v>
      </x:c>
      <x:c r="R484" t="str">
        <x:f>IF(RAND()&lt;'Team_Info'!$E$5,"W","B")</x:f>
        <x:v>B</x:v>
      </x:c>
      <x:c r="S484" t="str">
        <x:f>IF(RAND()&lt;'Team_Info'!$E$5,"W","B")</x:f>
        <x:v>B</x:v>
      </x:c>
      <x:c r="T484" t="str">
        <x:f>IF(RAND()&lt;'Team_Info'!$E$5,"W","B")</x:f>
        <x:v>B</x:v>
      </x:c>
      <x:c r="U484" t="str">
        <x:f>IF(RAND()&lt;'Team_Info'!$E$5,"W","B")</x:f>
        <x:v>B</x:v>
      </x:c>
    </x:row>
    <x:row r="485">
      <x:c r="A485" s="1">
        <x:v>484</x:v>
      </x:c>
      <x:c r="B485" t="str">
        <x:f>IF(RAND()&lt;'Team_Info'!$E$5,"W","B")</x:f>
        <x:v>B</x:v>
      </x:c>
      <x:c r="C485" t="str">
        <x:f>IF(RAND()&lt;'Team_Info'!$E$5,"W","B")</x:f>
        <x:v>B</x:v>
      </x:c>
      <x:c r="D485" t="str">
        <x:f>IF(RAND()&lt;'Team_Info'!$E$5,"W","B")</x:f>
        <x:v>B</x:v>
      </x:c>
      <x:c r="E485" t="str">
        <x:f>IF(RAND()&lt;'Team_Info'!$E$5,"W","B")</x:f>
        <x:v>B</x:v>
      </x:c>
      <x:c r="F485" t="str">
        <x:f>IF(RAND()&lt;'Team_Info'!$E$5,"W","B")</x:f>
        <x:v>W</x:v>
      </x:c>
      <x:c r="G485" t="str">
        <x:f>IF(RAND()&lt;'Team_Info'!$E$5,"W","B")</x:f>
        <x:v>B</x:v>
      </x:c>
      <x:c r="H485" t="str">
        <x:f>IF(RAND()&lt;'Team_Info'!$E$5,"W","B")</x:f>
        <x:v>W</x:v>
      </x:c>
      <x:c r="I485" t="str">
        <x:f>IF(RAND()&lt;'Team_Info'!$E$5,"W","B")</x:f>
        <x:v>B</x:v>
      </x:c>
      <x:c r="J485" t="str">
        <x:f>IF(RAND()&lt;'Team_Info'!$E$5,"W","B")</x:f>
        <x:v>W</x:v>
      </x:c>
      <x:c r="K485" t="str">
        <x:f>IF(RAND()&lt;'Team_Info'!$E$5,"W","B")</x:f>
        <x:v>W</x:v>
      </x:c>
      <x:c r="L485" t="str">
        <x:f>IF(RAND()&lt;'Team_Info'!$E$5,"W","B")</x:f>
        <x:v>B</x:v>
      </x:c>
      <x:c r="M485" t="str">
        <x:f>IF(RAND()&lt;'Team_Info'!$E$5,"W","B")</x:f>
        <x:v>W</x:v>
      </x:c>
      <x:c r="N485" t="str">
        <x:f>IF(RAND()&lt;'Team_Info'!$E$5,"W","B")</x:f>
        <x:v>W</x:v>
      </x:c>
      <x:c r="O485" t="str">
        <x:f>IF(RAND()&lt;'Team_Info'!$E$5,"W","B")</x:f>
        <x:v>W</x:v>
      </x:c>
      <x:c r="P485" t="str">
        <x:f>IF(RAND()&lt;'Team_Info'!$E$5,"W","B")</x:f>
        <x:v>B</x:v>
      </x:c>
      <x:c r="Q485" t="str">
        <x:f>IF(RAND()&lt;'Team_Info'!$E$5,"W","B")</x:f>
        <x:v>B</x:v>
      </x:c>
      <x:c r="R485" t="str">
        <x:f>IF(RAND()&lt;'Team_Info'!$E$5,"W","B")</x:f>
        <x:v>W</x:v>
      </x:c>
      <x:c r="S485" t="str">
        <x:f>IF(RAND()&lt;'Team_Info'!$E$5,"W","B")</x:f>
        <x:v>B</x:v>
      </x:c>
      <x:c r="T485" t="str">
        <x:f>IF(RAND()&lt;'Team_Info'!$E$5,"W","B")</x:f>
        <x:v>B</x:v>
      </x:c>
      <x:c r="U485" t="str">
        <x:f>IF(RAND()&lt;'Team_Info'!$E$5,"W","B")</x:f>
        <x:v>W</x:v>
      </x:c>
    </x:row>
    <x:row r="486">
      <x:c r="A486" s="1">
        <x:v>485</x:v>
      </x:c>
      <x:c r="B486" t="str">
        <x:f>IF(RAND()&lt;'Team_Info'!$E$5,"W","B")</x:f>
        <x:v>W</x:v>
      </x:c>
      <x:c r="C486" t="str">
        <x:f>IF(RAND()&lt;'Team_Info'!$E$5,"W","B")</x:f>
        <x:v>B</x:v>
      </x:c>
      <x:c r="D486" t="str">
        <x:f>IF(RAND()&lt;'Team_Info'!$E$5,"W","B")</x:f>
        <x:v>B</x:v>
      </x:c>
      <x:c r="E486" t="str">
        <x:f>IF(RAND()&lt;'Team_Info'!$E$5,"W","B")</x:f>
        <x:v>B</x:v>
      </x:c>
      <x:c r="F486" t="str">
        <x:f>IF(RAND()&lt;'Team_Info'!$E$5,"W","B")</x:f>
        <x:v>W</x:v>
      </x:c>
      <x:c r="G486" t="str">
        <x:f>IF(RAND()&lt;'Team_Info'!$E$5,"W","B")</x:f>
        <x:v>W</x:v>
      </x:c>
      <x:c r="H486" t="str">
        <x:f>IF(RAND()&lt;'Team_Info'!$E$5,"W","B")</x:f>
        <x:v>W</x:v>
      </x:c>
      <x:c r="I486" t="str">
        <x:f>IF(RAND()&lt;'Team_Info'!$E$5,"W","B")</x:f>
        <x:v>B</x:v>
      </x:c>
      <x:c r="J486" t="str">
        <x:f>IF(RAND()&lt;'Team_Info'!$E$5,"W","B")</x:f>
        <x:v>W</x:v>
      </x:c>
      <x:c r="K486" t="str">
        <x:f>IF(RAND()&lt;'Team_Info'!$E$5,"W","B")</x:f>
        <x:v>B</x:v>
      </x:c>
      <x:c r="L486" t="str">
        <x:f>IF(RAND()&lt;'Team_Info'!$E$5,"W","B")</x:f>
        <x:v>W</x:v>
      </x:c>
      <x:c r="M486" t="str">
        <x:f>IF(RAND()&lt;'Team_Info'!$E$5,"W","B")</x:f>
        <x:v>W</x:v>
      </x:c>
      <x:c r="N486" t="str">
        <x:f>IF(RAND()&lt;'Team_Info'!$E$5,"W","B")</x:f>
        <x:v>B</x:v>
      </x:c>
      <x:c r="O486" t="str">
        <x:f>IF(RAND()&lt;'Team_Info'!$E$5,"W","B")</x:f>
        <x:v>B</x:v>
      </x:c>
      <x:c r="P486" t="str">
        <x:f>IF(RAND()&lt;'Team_Info'!$E$5,"W","B")</x:f>
        <x:v>W</x:v>
      </x:c>
      <x:c r="Q486" t="str">
        <x:f>IF(RAND()&lt;'Team_Info'!$E$5,"W","B")</x:f>
        <x:v>B</x:v>
      </x:c>
      <x:c r="R486" t="str">
        <x:f>IF(RAND()&lt;'Team_Info'!$E$5,"W","B")</x:f>
        <x:v>W</x:v>
      </x:c>
      <x:c r="S486" t="str">
        <x:f>IF(RAND()&lt;'Team_Info'!$E$5,"W","B")</x:f>
        <x:v>W</x:v>
      </x:c>
      <x:c r="T486" t="str">
        <x:f>IF(RAND()&lt;'Team_Info'!$E$5,"W","B")</x:f>
        <x:v>B</x:v>
      </x:c>
      <x:c r="U486" t="str">
        <x:f>IF(RAND()&lt;'Team_Info'!$E$5,"W","B")</x:f>
        <x:v>B</x:v>
      </x:c>
    </x:row>
    <x:row r="487">
      <x:c r="A487" s="1">
        <x:v>486</x:v>
      </x:c>
      <x:c r="B487" t="str">
        <x:f>IF(RAND()&lt;'Team_Info'!$E$5,"W","B")</x:f>
        <x:v>W</x:v>
      </x:c>
      <x:c r="C487" t="str">
        <x:f>IF(RAND()&lt;'Team_Info'!$E$5,"W","B")</x:f>
        <x:v>W</x:v>
      </x:c>
      <x:c r="D487" t="str">
        <x:f>IF(RAND()&lt;'Team_Info'!$E$5,"W","B")</x:f>
        <x:v>W</x:v>
      </x:c>
      <x:c r="E487" t="str">
        <x:f>IF(RAND()&lt;'Team_Info'!$E$5,"W","B")</x:f>
        <x:v>B</x:v>
      </x:c>
      <x:c r="F487" t="str">
        <x:f>IF(RAND()&lt;'Team_Info'!$E$5,"W","B")</x:f>
        <x:v>B</x:v>
      </x:c>
      <x:c r="G487" t="str">
        <x:f>IF(RAND()&lt;'Team_Info'!$E$5,"W","B")</x:f>
        <x:v>B</x:v>
      </x:c>
      <x:c r="H487" t="str">
        <x:f>IF(RAND()&lt;'Team_Info'!$E$5,"W","B")</x:f>
        <x:v>W</x:v>
      </x:c>
      <x:c r="I487" t="str">
        <x:f>IF(RAND()&lt;'Team_Info'!$E$5,"W","B")</x:f>
        <x:v>W</x:v>
      </x:c>
      <x:c r="J487" t="str">
        <x:f>IF(RAND()&lt;'Team_Info'!$E$5,"W","B")</x:f>
        <x:v>W</x:v>
      </x:c>
      <x:c r="K487" t="str">
        <x:f>IF(RAND()&lt;'Team_Info'!$E$5,"W","B")</x:f>
        <x:v>W</x:v>
      </x:c>
      <x:c r="L487" t="str">
        <x:f>IF(RAND()&lt;'Team_Info'!$E$5,"W","B")</x:f>
        <x:v>B</x:v>
      </x:c>
      <x:c r="M487" t="str">
        <x:f>IF(RAND()&lt;'Team_Info'!$E$5,"W","B")</x:f>
        <x:v>B</x:v>
      </x:c>
      <x:c r="N487" t="str">
        <x:f>IF(RAND()&lt;'Team_Info'!$E$5,"W","B")</x:f>
        <x:v>W</x:v>
      </x:c>
      <x:c r="O487" t="str">
        <x:f>IF(RAND()&lt;'Team_Info'!$E$5,"W","B")</x:f>
        <x:v>B</x:v>
      </x:c>
      <x:c r="P487" t="str">
        <x:f>IF(RAND()&lt;'Team_Info'!$E$5,"W","B")</x:f>
        <x:v>W</x:v>
      </x:c>
      <x:c r="Q487" t="str">
        <x:f>IF(RAND()&lt;'Team_Info'!$E$5,"W","B")</x:f>
        <x:v>W</x:v>
      </x:c>
      <x:c r="R487" t="str">
        <x:f>IF(RAND()&lt;'Team_Info'!$E$5,"W","B")</x:f>
        <x:v>W</x:v>
      </x:c>
      <x:c r="S487" t="str">
        <x:f>IF(RAND()&lt;'Team_Info'!$E$5,"W","B")</x:f>
        <x:v>B</x:v>
      </x:c>
      <x:c r="T487" t="str">
        <x:f>IF(RAND()&lt;'Team_Info'!$E$5,"W","B")</x:f>
        <x:v>B</x:v>
      </x:c>
      <x:c r="U487" t="str">
        <x:f>IF(RAND()&lt;'Team_Info'!$E$5,"W","B")</x:f>
        <x:v>B</x:v>
      </x:c>
    </x:row>
    <x:row r="488">
      <x:c r="A488" s="1">
        <x:v>487</x:v>
      </x:c>
      <x:c r="B488" t="str">
        <x:f>IF(RAND()&lt;'Team_Info'!$E$5,"W","B")</x:f>
        <x:v>W</x:v>
      </x:c>
      <x:c r="C488" t="str">
        <x:f>IF(RAND()&lt;'Team_Info'!$E$5,"W","B")</x:f>
        <x:v>B</x:v>
      </x:c>
      <x:c r="D488" t="str">
        <x:f>IF(RAND()&lt;'Team_Info'!$E$5,"W","B")</x:f>
        <x:v>B</x:v>
      </x:c>
      <x:c r="E488" t="str">
        <x:f>IF(RAND()&lt;'Team_Info'!$E$5,"W","B")</x:f>
        <x:v>W</x:v>
      </x:c>
      <x:c r="F488" t="str">
        <x:f>IF(RAND()&lt;'Team_Info'!$E$5,"W","B")</x:f>
        <x:v>B</x:v>
      </x:c>
      <x:c r="G488" t="str">
        <x:f>IF(RAND()&lt;'Team_Info'!$E$5,"W","B")</x:f>
        <x:v>B</x:v>
      </x:c>
      <x:c r="H488" t="str">
        <x:f>IF(RAND()&lt;'Team_Info'!$E$5,"W","B")</x:f>
        <x:v>W</x:v>
      </x:c>
      <x:c r="I488" t="str">
        <x:f>IF(RAND()&lt;'Team_Info'!$E$5,"W","B")</x:f>
        <x:v>B</x:v>
      </x:c>
      <x:c r="J488" t="str">
        <x:f>IF(RAND()&lt;'Team_Info'!$E$5,"W","B")</x:f>
        <x:v>W</x:v>
      </x:c>
      <x:c r="K488" t="str">
        <x:f>IF(RAND()&lt;'Team_Info'!$E$5,"W","B")</x:f>
        <x:v>B</x:v>
      </x:c>
      <x:c r="L488" t="str">
        <x:f>IF(RAND()&lt;'Team_Info'!$E$5,"W","B")</x:f>
        <x:v>B</x:v>
      </x:c>
      <x:c r="M488" t="str">
        <x:f>IF(RAND()&lt;'Team_Info'!$E$5,"W","B")</x:f>
        <x:v>W</x:v>
      </x:c>
      <x:c r="N488" t="str">
        <x:f>IF(RAND()&lt;'Team_Info'!$E$5,"W","B")</x:f>
        <x:v>B</x:v>
      </x:c>
      <x:c r="O488" t="str">
        <x:f>IF(RAND()&lt;'Team_Info'!$E$5,"W","B")</x:f>
        <x:v>B</x:v>
      </x:c>
      <x:c r="P488" t="str">
        <x:f>IF(RAND()&lt;'Team_Info'!$E$5,"W","B")</x:f>
        <x:v>B</x:v>
      </x:c>
      <x:c r="Q488" t="str">
        <x:f>IF(RAND()&lt;'Team_Info'!$E$5,"W","B")</x:f>
        <x:v>B</x:v>
      </x:c>
      <x:c r="R488" t="str">
        <x:f>IF(RAND()&lt;'Team_Info'!$E$5,"W","B")</x:f>
        <x:v>B</x:v>
      </x:c>
      <x:c r="S488" t="str">
        <x:f>IF(RAND()&lt;'Team_Info'!$E$5,"W","B")</x:f>
        <x:v>W</x:v>
      </x:c>
      <x:c r="T488" t="str">
        <x:f>IF(RAND()&lt;'Team_Info'!$E$5,"W","B")</x:f>
        <x:v>B</x:v>
      </x:c>
      <x:c r="U488" t="str">
        <x:f>IF(RAND()&lt;'Team_Info'!$E$5,"W","B")</x:f>
        <x:v>B</x:v>
      </x:c>
    </x:row>
    <x:row r="489">
      <x:c r="A489" s="1">
        <x:v>488</x:v>
      </x:c>
      <x:c r="B489" t="str">
        <x:f>IF(RAND()&lt;'Team_Info'!$E$5,"W","B")</x:f>
        <x:v>W</x:v>
      </x:c>
      <x:c r="C489" t="str">
        <x:f>IF(RAND()&lt;'Team_Info'!$E$5,"W","B")</x:f>
        <x:v>W</x:v>
      </x:c>
      <x:c r="D489" t="str">
        <x:f>IF(RAND()&lt;'Team_Info'!$E$5,"W","B")</x:f>
        <x:v>W</x:v>
      </x:c>
      <x:c r="E489" t="str">
        <x:f>IF(RAND()&lt;'Team_Info'!$E$5,"W","B")</x:f>
        <x:v>W</x:v>
      </x:c>
      <x:c r="F489" t="str">
        <x:f>IF(RAND()&lt;'Team_Info'!$E$5,"W","B")</x:f>
        <x:v>W</x:v>
      </x:c>
      <x:c r="G489" t="str">
        <x:f>IF(RAND()&lt;'Team_Info'!$E$5,"W","B")</x:f>
        <x:v>B</x:v>
      </x:c>
      <x:c r="H489" t="str">
        <x:f>IF(RAND()&lt;'Team_Info'!$E$5,"W","B")</x:f>
        <x:v>W</x:v>
      </x:c>
      <x:c r="I489" t="str">
        <x:f>IF(RAND()&lt;'Team_Info'!$E$5,"W","B")</x:f>
        <x:v>B</x:v>
      </x:c>
      <x:c r="J489" t="str">
        <x:f>IF(RAND()&lt;'Team_Info'!$E$5,"W","B")</x:f>
        <x:v>B</x:v>
      </x:c>
      <x:c r="K489" t="str">
        <x:f>IF(RAND()&lt;'Team_Info'!$E$5,"W","B")</x:f>
        <x:v>B</x:v>
      </x:c>
      <x:c r="L489" t="str">
        <x:f>IF(RAND()&lt;'Team_Info'!$E$5,"W","B")</x:f>
        <x:v>W</x:v>
      </x:c>
      <x:c r="M489" t="str">
        <x:f>IF(RAND()&lt;'Team_Info'!$E$5,"W","B")</x:f>
        <x:v>W</x:v>
      </x:c>
      <x:c r="N489" t="str">
        <x:f>IF(RAND()&lt;'Team_Info'!$E$5,"W","B")</x:f>
        <x:v>B</x:v>
      </x:c>
      <x:c r="O489" t="str">
        <x:f>IF(RAND()&lt;'Team_Info'!$E$5,"W","B")</x:f>
        <x:v>B</x:v>
      </x:c>
      <x:c r="P489" t="str">
        <x:f>IF(RAND()&lt;'Team_Info'!$E$5,"W","B")</x:f>
        <x:v>B</x:v>
      </x:c>
      <x:c r="Q489" t="str">
        <x:f>IF(RAND()&lt;'Team_Info'!$E$5,"W","B")</x:f>
        <x:v>W</x:v>
      </x:c>
      <x:c r="R489" t="str">
        <x:f>IF(RAND()&lt;'Team_Info'!$E$5,"W","B")</x:f>
        <x:v>B</x:v>
      </x:c>
      <x:c r="S489" t="str">
        <x:f>IF(RAND()&lt;'Team_Info'!$E$5,"W","B")</x:f>
        <x:v>B</x:v>
      </x:c>
      <x:c r="T489" t="str">
        <x:f>IF(RAND()&lt;'Team_Info'!$E$5,"W","B")</x:f>
        <x:v>W</x:v>
      </x:c>
      <x:c r="U489" t="str">
        <x:f>IF(RAND()&lt;'Team_Info'!$E$5,"W","B")</x:f>
        <x:v>B</x:v>
      </x:c>
    </x:row>
    <x:row r="490">
      <x:c r="A490" s="1">
        <x:v>489</x:v>
      </x:c>
      <x:c r="B490" t="str">
        <x:f>IF(RAND()&lt;'Team_Info'!$E$5,"W","B")</x:f>
        <x:v>B</x:v>
      </x:c>
      <x:c r="C490" t="str">
        <x:f>IF(RAND()&lt;'Team_Info'!$E$5,"W","B")</x:f>
        <x:v>B</x:v>
      </x:c>
      <x:c r="D490" t="str">
        <x:f>IF(RAND()&lt;'Team_Info'!$E$5,"W","B")</x:f>
        <x:v>B</x:v>
      </x:c>
      <x:c r="E490" t="str">
        <x:f>IF(RAND()&lt;'Team_Info'!$E$5,"W","B")</x:f>
        <x:v>B</x:v>
      </x:c>
      <x:c r="F490" t="str">
        <x:f>IF(RAND()&lt;'Team_Info'!$E$5,"W","B")</x:f>
        <x:v>B</x:v>
      </x:c>
      <x:c r="G490" t="str">
        <x:f>IF(RAND()&lt;'Team_Info'!$E$5,"W","B")</x:f>
        <x:v>W</x:v>
      </x:c>
      <x:c r="H490" t="str">
        <x:f>IF(RAND()&lt;'Team_Info'!$E$5,"W","B")</x:f>
        <x:v>B</x:v>
      </x:c>
      <x:c r="I490" t="str">
        <x:f>IF(RAND()&lt;'Team_Info'!$E$5,"W","B")</x:f>
        <x:v>B</x:v>
      </x:c>
      <x:c r="J490" t="str">
        <x:f>IF(RAND()&lt;'Team_Info'!$E$5,"W","B")</x:f>
        <x:v>W</x:v>
      </x:c>
      <x:c r="K490" t="str">
        <x:f>IF(RAND()&lt;'Team_Info'!$E$5,"W","B")</x:f>
        <x:v>B</x:v>
      </x:c>
      <x:c r="L490" t="str">
        <x:f>IF(RAND()&lt;'Team_Info'!$E$5,"W","B")</x:f>
        <x:v>W</x:v>
      </x:c>
      <x:c r="M490" t="str">
        <x:f>IF(RAND()&lt;'Team_Info'!$E$5,"W","B")</x:f>
        <x:v>W</x:v>
      </x:c>
      <x:c r="N490" t="str">
        <x:f>IF(RAND()&lt;'Team_Info'!$E$5,"W","B")</x:f>
        <x:v>B</x:v>
      </x:c>
      <x:c r="O490" t="str">
        <x:f>IF(RAND()&lt;'Team_Info'!$E$5,"W","B")</x:f>
        <x:v>B</x:v>
      </x:c>
      <x:c r="P490" t="str">
        <x:f>IF(RAND()&lt;'Team_Info'!$E$5,"W","B")</x:f>
        <x:v>B</x:v>
      </x:c>
      <x:c r="Q490" t="str">
        <x:f>IF(RAND()&lt;'Team_Info'!$E$5,"W","B")</x:f>
        <x:v>B</x:v>
      </x:c>
      <x:c r="R490" t="str">
        <x:f>IF(RAND()&lt;'Team_Info'!$E$5,"W","B")</x:f>
        <x:v>B</x:v>
      </x:c>
      <x:c r="S490" t="str">
        <x:f>IF(RAND()&lt;'Team_Info'!$E$5,"W","B")</x:f>
        <x:v>B</x:v>
      </x:c>
      <x:c r="T490" t="str">
        <x:f>IF(RAND()&lt;'Team_Info'!$E$5,"W","B")</x:f>
        <x:v>B</x:v>
      </x:c>
      <x:c r="U490" t="str">
        <x:f>IF(RAND()&lt;'Team_Info'!$E$5,"W","B")</x:f>
        <x:v>W</x:v>
      </x:c>
    </x:row>
    <x:row r="491">
      <x:c r="A491" s="1">
        <x:v>490</x:v>
      </x:c>
      <x:c r="B491" t="str">
        <x:f>IF(RAND()&lt;'Team_Info'!$E$5,"W","B")</x:f>
        <x:v>B</x:v>
      </x:c>
      <x:c r="C491" t="str">
        <x:f>IF(RAND()&lt;'Team_Info'!$E$5,"W","B")</x:f>
        <x:v>W</x:v>
      </x:c>
      <x:c r="D491" t="str">
        <x:f>IF(RAND()&lt;'Team_Info'!$E$5,"W","B")</x:f>
        <x:v>B</x:v>
      </x:c>
      <x:c r="E491" t="str">
        <x:f>IF(RAND()&lt;'Team_Info'!$E$5,"W","B")</x:f>
        <x:v>B</x:v>
      </x:c>
      <x:c r="F491" t="str">
        <x:f>IF(RAND()&lt;'Team_Info'!$E$5,"W","B")</x:f>
        <x:v>W</x:v>
      </x:c>
      <x:c r="G491" t="str">
        <x:f>IF(RAND()&lt;'Team_Info'!$E$5,"W","B")</x:f>
        <x:v>B</x:v>
      </x:c>
      <x:c r="H491" t="str">
        <x:f>IF(RAND()&lt;'Team_Info'!$E$5,"W","B")</x:f>
        <x:v>W</x:v>
      </x:c>
      <x:c r="I491" t="str">
        <x:f>IF(RAND()&lt;'Team_Info'!$E$5,"W","B")</x:f>
        <x:v>B</x:v>
      </x:c>
      <x:c r="J491" t="str">
        <x:f>IF(RAND()&lt;'Team_Info'!$E$5,"W","B")</x:f>
        <x:v>B</x:v>
      </x:c>
      <x:c r="K491" t="str">
        <x:f>IF(RAND()&lt;'Team_Info'!$E$5,"W","B")</x:f>
        <x:v>W</x:v>
      </x:c>
      <x:c r="L491" t="str">
        <x:f>IF(RAND()&lt;'Team_Info'!$E$5,"W","B")</x:f>
        <x:v>W</x:v>
      </x:c>
      <x:c r="M491" t="str">
        <x:f>IF(RAND()&lt;'Team_Info'!$E$5,"W","B")</x:f>
        <x:v>B</x:v>
      </x:c>
      <x:c r="N491" t="str">
        <x:f>IF(RAND()&lt;'Team_Info'!$E$5,"W","B")</x:f>
        <x:v>B</x:v>
      </x:c>
      <x:c r="O491" t="str">
        <x:f>IF(RAND()&lt;'Team_Info'!$E$5,"W","B")</x:f>
        <x:v>B</x:v>
      </x:c>
      <x:c r="P491" t="str">
        <x:f>IF(RAND()&lt;'Team_Info'!$E$5,"W","B")</x:f>
        <x:v>B</x:v>
      </x:c>
      <x:c r="Q491" t="str">
        <x:f>IF(RAND()&lt;'Team_Info'!$E$5,"W","B")</x:f>
        <x:v>W</x:v>
      </x:c>
      <x:c r="R491" t="str">
        <x:f>IF(RAND()&lt;'Team_Info'!$E$5,"W","B")</x:f>
        <x:v>W</x:v>
      </x:c>
      <x:c r="S491" t="str">
        <x:f>IF(RAND()&lt;'Team_Info'!$E$5,"W","B")</x:f>
        <x:v>B</x:v>
      </x:c>
      <x:c r="T491" t="str">
        <x:f>IF(RAND()&lt;'Team_Info'!$E$5,"W","B")</x:f>
        <x:v>W</x:v>
      </x:c>
      <x:c r="U491" t="str">
        <x:f>IF(RAND()&lt;'Team_Info'!$E$5,"W","B")</x:f>
        <x:v>W</x:v>
      </x:c>
    </x:row>
    <x:row r="492">
      <x:c r="A492" s="1">
        <x:v>491</x:v>
      </x:c>
      <x:c r="B492" t="str">
        <x:f>IF(RAND()&lt;'Team_Info'!$E$5,"W","B")</x:f>
        <x:v>B</x:v>
      </x:c>
      <x:c r="C492" t="str">
        <x:f>IF(RAND()&lt;'Team_Info'!$E$5,"W","B")</x:f>
        <x:v>B</x:v>
      </x:c>
      <x:c r="D492" t="str">
        <x:f>IF(RAND()&lt;'Team_Info'!$E$5,"W","B")</x:f>
        <x:v>W</x:v>
      </x:c>
      <x:c r="E492" t="str">
        <x:f>IF(RAND()&lt;'Team_Info'!$E$5,"W","B")</x:f>
        <x:v>W</x:v>
      </x:c>
      <x:c r="F492" t="str">
        <x:f>IF(RAND()&lt;'Team_Info'!$E$5,"W","B")</x:f>
        <x:v>W</x:v>
      </x:c>
      <x:c r="G492" t="str">
        <x:f>IF(RAND()&lt;'Team_Info'!$E$5,"W","B")</x:f>
        <x:v>B</x:v>
      </x:c>
      <x:c r="H492" t="str">
        <x:f>IF(RAND()&lt;'Team_Info'!$E$5,"W","B")</x:f>
        <x:v>W</x:v>
      </x:c>
      <x:c r="I492" t="str">
        <x:f>IF(RAND()&lt;'Team_Info'!$E$5,"W","B")</x:f>
        <x:v>B</x:v>
      </x:c>
      <x:c r="J492" t="str">
        <x:f>IF(RAND()&lt;'Team_Info'!$E$5,"W","B")</x:f>
        <x:v>W</x:v>
      </x:c>
      <x:c r="K492" t="str">
        <x:f>IF(RAND()&lt;'Team_Info'!$E$5,"W","B")</x:f>
        <x:v>W</x:v>
      </x:c>
      <x:c r="L492" t="str">
        <x:f>IF(RAND()&lt;'Team_Info'!$E$5,"W","B")</x:f>
        <x:v>B</x:v>
      </x:c>
      <x:c r="M492" t="str">
        <x:f>IF(RAND()&lt;'Team_Info'!$E$5,"W","B")</x:f>
        <x:v>W</x:v>
      </x:c>
      <x:c r="N492" t="str">
        <x:f>IF(RAND()&lt;'Team_Info'!$E$5,"W","B")</x:f>
        <x:v>B</x:v>
      </x:c>
      <x:c r="O492" t="str">
        <x:f>IF(RAND()&lt;'Team_Info'!$E$5,"W","B")</x:f>
        <x:v>B</x:v>
      </x:c>
      <x:c r="P492" t="str">
        <x:f>IF(RAND()&lt;'Team_Info'!$E$5,"W","B")</x:f>
        <x:v>B</x:v>
      </x:c>
      <x:c r="Q492" t="str">
        <x:f>IF(RAND()&lt;'Team_Info'!$E$5,"W","B")</x:f>
        <x:v>B</x:v>
      </x:c>
      <x:c r="R492" t="str">
        <x:f>IF(RAND()&lt;'Team_Info'!$E$5,"W","B")</x:f>
        <x:v>W</x:v>
      </x:c>
      <x:c r="S492" t="str">
        <x:f>IF(RAND()&lt;'Team_Info'!$E$5,"W","B")</x:f>
        <x:v>B</x:v>
      </x:c>
      <x:c r="T492" t="str">
        <x:f>IF(RAND()&lt;'Team_Info'!$E$5,"W","B")</x:f>
        <x:v>W</x:v>
      </x:c>
      <x:c r="U492" t="str">
        <x:f>IF(RAND()&lt;'Team_Info'!$E$5,"W","B")</x:f>
        <x:v>W</x:v>
      </x:c>
    </x:row>
    <x:row r="493">
      <x:c r="A493" s="1">
        <x:v>492</x:v>
      </x:c>
      <x:c r="B493" t="str">
        <x:f>IF(RAND()&lt;'Team_Info'!$E$5,"W","B")</x:f>
        <x:v>B</x:v>
      </x:c>
      <x:c r="C493" t="str">
        <x:f>IF(RAND()&lt;'Team_Info'!$E$5,"W","B")</x:f>
        <x:v>W</x:v>
      </x:c>
      <x:c r="D493" t="str">
        <x:f>IF(RAND()&lt;'Team_Info'!$E$5,"W","B")</x:f>
        <x:v>B</x:v>
      </x:c>
      <x:c r="E493" t="str">
        <x:f>IF(RAND()&lt;'Team_Info'!$E$5,"W","B")</x:f>
        <x:v>W</x:v>
      </x:c>
      <x:c r="F493" t="str">
        <x:f>IF(RAND()&lt;'Team_Info'!$E$5,"W","B")</x:f>
        <x:v>B</x:v>
      </x:c>
      <x:c r="G493" t="str">
        <x:f>IF(RAND()&lt;'Team_Info'!$E$5,"W","B")</x:f>
        <x:v>B</x:v>
      </x:c>
      <x:c r="H493" t="str">
        <x:f>IF(RAND()&lt;'Team_Info'!$E$5,"W","B")</x:f>
        <x:v>W</x:v>
      </x:c>
      <x:c r="I493" t="str">
        <x:f>IF(RAND()&lt;'Team_Info'!$E$5,"W","B")</x:f>
        <x:v>W</x:v>
      </x:c>
      <x:c r="J493" t="str">
        <x:f>IF(RAND()&lt;'Team_Info'!$E$5,"W","B")</x:f>
        <x:v>W</x:v>
      </x:c>
      <x:c r="K493" t="str">
        <x:f>IF(RAND()&lt;'Team_Info'!$E$5,"W","B")</x:f>
        <x:v>B</x:v>
      </x:c>
      <x:c r="L493" t="str">
        <x:f>IF(RAND()&lt;'Team_Info'!$E$5,"W","B")</x:f>
        <x:v>B</x:v>
      </x:c>
      <x:c r="M493" t="str">
        <x:f>IF(RAND()&lt;'Team_Info'!$E$5,"W","B")</x:f>
        <x:v>B</x:v>
      </x:c>
      <x:c r="N493" t="str">
        <x:f>IF(RAND()&lt;'Team_Info'!$E$5,"W","B")</x:f>
        <x:v>W</x:v>
      </x:c>
      <x:c r="O493" t="str">
        <x:f>IF(RAND()&lt;'Team_Info'!$E$5,"W","B")</x:f>
        <x:v>B</x:v>
      </x:c>
      <x:c r="P493" t="str">
        <x:f>IF(RAND()&lt;'Team_Info'!$E$5,"W","B")</x:f>
        <x:v>W</x:v>
      </x:c>
      <x:c r="Q493" t="str">
        <x:f>IF(RAND()&lt;'Team_Info'!$E$5,"W","B")</x:f>
        <x:v>B</x:v>
      </x:c>
      <x:c r="R493" t="str">
        <x:f>IF(RAND()&lt;'Team_Info'!$E$5,"W","B")</x:f>
        <x:v>B</x:v>
      </x:c>
      <x:c r="S493" t="str">
        <x:f>IF(RAND()&lt;'Team_Info'!$E$5,"W","B")</x:f>
        <x:v>W</x:v>
      </x:c>
      <x:c r="T493" t="str">
        <x:f>IF(RAND()&lt;'Team_Info'!$E$5,"W","B")</x:f>
        <x:v>W</x:v>
      </x:c>
      <x:c r="U493" t="str">
        <x:f>IF(RAND()&lt;'Team_Info'!$E$5,"W","B")</x:f>
        <x:v>B</x:v>
      </x:c>
    </x:row>
    <x:row r="494">
      <x:c r="A494" s="1">
        <x:v>493</x:v>
      </x:c>
      <x:c r="B494" t="str">
        <x:f>IF(RAND()&lt;'Team_Info'!$E$5,"W","B")</x:f>
        <x:v>B</x:v>
      </x:c>
      <x:c r="C494" t="str">
        <x:f>IF(RAND()&lt;'Team_Info'!$E$5,"W","B")</x:f>
        <x:v>B</x:v>
      </x:c>
      <x:c r="D494" t="str">
        <x:f>IF(RAND()&lt;'Team_Info'!$E$5,"W","B")</x:f>
        <x:v>B</x:v>
      </x:c>
      <x:c r="E494" t="str">
        <x:f>IF(RAND()&lt;'Team_Info'!$E$5,"W","B")</x:f>
        <x:v>W</x:v>
      </x:c>
      <x:c r="F494" t="str">
        <x:f>IF(RAND()&lt;'Team_Info'!$E$5,"W","B")</x:f>
        <x:v>W</x:v>
      </x:c>
      <x:c r="G494" t="str">
        <x:f>IF(RAND()&lt;'Team_Info'!$E$5,"W","B")</x:f>
        <x:v>B</x:v>
      </x:c>
      <x:c r="H494" t="str">
        <x:f>IF(RAND()&lt;'Team_Info'!$E$5,"W","B")</x:f>
        <x:v>B</x:v>
      </x:c>
      <x:c r="I494" t="str">
        <x:f>IF(RAND()&lt;'Team_Info'!$E$5,"W","B")</x:f>
        <x:v>W</x:v>
      </x:c>
      <x:c r="J494" t="str">
        <x:f>IF(RAND()&lt;'Team_Info'!$E$5,"W","B")</x:f>
        <x:v>B</x:v>
      </x:c>
      <x:c r="K494" t="str">
        <x:f>IF(RAND()&lt;'Team_Info'!$E$5,"W","B")</x:f>
        <x:v>W</x:v>
      </x:c>
      <x:c r="L494" t="str">
        <x:f>IF(RAND()&lt;'Team_Info'!$E$5,"W","B")</x:f>
        <x:v>W</x:v>
      </x:c>
      <x:c r="M494" t="str">
        <x:f>IF(RAND()&lt;'Team_Info'!$E$5,"W","B")</x:f>
        <x:v>B</x:v>
      </x:c>
      <x:c r="N494" t="str">
        <x:f>IF(RAND()&lt;'Team_Info'!$E$5,"W","B")</x:f>
        <x:v>B</x:v>
      </x:c>
      <x:c r="O494" t="str">
        <x:f>IF(RAND()&lt;'Team_Info'!$E$5,"W","B")</x:f>
        <x:v>B</x:v>
      </x:c>
      <x:c r="P494" t="str">
        <x:f>IF(RAND()&lt;'Team_Info'!$E$5,"W","B")</x:f>
        <x:v>B</x:v>
      </x:c>
      <x:c r="Q494" t="str">
        <x:f>IF(RAND()&lt;'Team_Info'!$E$5,"W","B")</x:f>
        <x:v>B</x:v>
      </x:c>
      <x:c r="R494" t="str">
        <x:f>IF(RAND()&lt;'Team_Info'!$E$5,"W","B")</x:f>
        <x:v>B</x:v>
      </x:c>
      <x:c r="S494" t="str">
        <x:f>IF(RAND()&lt;'Team_Info'!$E$5,"W","B")</x:f>
        <x:v>B</x:v>
      </x:c>
      <x:c r="T494" t="str">
        <x:f>IF(RAND()&lt;'Team_Info'!$E$5,"W","B")</x:f>
        <x:v>B</x:v>
      </x:c>
      <x:c r="U494" t="str">
        <x:f>IF(RAND()&lt;'Team_Info'!$E$5,"W","B")</x:f>
        <x:v>B</x:v>
      </x:c>
    </x:row>
    <x:row r="495">
      <x:c r="A495" s="1">
        <x:v>494</x:v>
      </x:c>
      <x:c r="B495" t="str">
        <x:f>IF(RAND()&lt;'Team_Info'!$E$5,"W","B")</x:f>
        <x:v>B</x:v>
      </x:c>
      <x:c r="C495" t="str">
        <x:f>IF(RAND()&lt;'Team_Info'!$E$5,"W","B")</x:f>
        <x:v>B</x:v>
      </x:c>
      <x:c r="D495" t="str">
        <x:f>IF(RAND()&lt;'Team_Info'!$E$5,"W","B")</x:f>
        <x:v>B</x:v>
      </x:c>
      <x:c r="E495" t="str">
        <x:f>IF(RAND()&lt;'Team_Info'!$E$5,"W","B")</x:f>
        <x:v>W</x:v>
      </x:c>
      <x:c r="F495" t="str">
        <x:f>IF(RAND()&lt;'Team_Info'!$E$5,"W","B")</x:f>
        <x:v>W</x:v>
      </x:c>
      <x:c r="G495" t="str">
        <x:f>IF(RAND()&lt;'Team_Info'!$E$5,"W","B")</x:f>
        <x:v>B</x:v>
      </x:c>
      <x:c r="H495" t="str">
        <x:f>IF(RAND()&lt;'Team_Info'!$E$5,"W","B")</x:f>
        <x:v>B</x:v>
      </x:c>
      <x:c r="I495" t="str">
        <x:f>IF(RAND()&lt;'Team_Info'!$E$5,"W","B")</x:f>
        <x:v>B</x:v>
      </x:c>
      <x:c r="J495" t="str">
        <x:f>IF(RAND()&lt;'Team_Info'!$E$5,"W","B")</x:f>
        <x:v>B</x:v>
      </x:c>
      <x:c r="K495" t="str">
        <x:f>IF(RAND()&lt;'Team_Info'!$E$5,"W","B")</x:f>
        <x:v>W</x:v>
      </x:c>
      <x:c r="L495" t="str">
        <x:f>IF(RAND()&lt;'Team_Info'!$E$5,"W","B")</x:f>
        <x:v>B</x:v>
      </x:c>
      <x:c r="M495" t="str">
        <x:f>IF(RAND()&lt;'Team_Info'!$E$5,"W","B")</x:f>
        <x:v>W</x:v>
      </x:c>
      <x:c r="N495" t="str">
        <x:f>IF(RAND()&lt;'Team_Info'!$E$5,"W","B")</x:f>
        <x:v>B</x:v>
      </x:c>
      <x:c r="O495" t="str">
        <x:f>IF(RAND()&lt;'Team_Info'!$E$5,"W","B")</x:f>
        <x:v>B</x:v>
      </x:c>
      <x:c r="P495" t="str">
        <x:f>IF(RAND()&lt;'Team_Info'!$E$5,"W","B")</x:f>
        <x:v>B</x:v>
      </x:c>
      <x:c r="Q495" t="str">
        <x:f>IF(RAND()&lt;'Team_Info'!$E$5,"W","B")</x:f>
        <x:v>B</x:v>
      </x:c>
      <x:c r="R495" t="str">
        <x:f>IF(RAND()&lt;'Team_Info'!$E$5,"W","B")</x:f>
        <x:v>W</x:v>
      </x:c>
      <x:c r="S495" t="str">
        <x:f>IF(RAND()&lt;'Team_Info'!$E$5,"W","B")</x:f>
        <x:v>B</x:v>
      </x:c>
      <x:c r="T495" t="str">
        <x:f>IF(RAND()&lt;'Team_Info'!$E$5,"W","B")</x:f>
        <x:v>W</x:v>
      </x:c>
      <x:c r="U495" t="str">
        <x:f>IF(RAND()&lt;'Team_Info'!$E$5,"W","B")</x:f>
        <x:v>B</x:v>
      </x:c>
    </x:row>
    <x:row r="496">
      <x:c r="A496" s="1">
        <x:v>495</x:v>
      </x:c>
      <x:c r="B496" t="str">
        <x:f>IF(RAND()&lt;'Team_Info'!$E$5,"W","B")</x:f>
        <x:v>B</x:v>
      </x:c>
      <x:c r="C496" t="str">
        <x:f>IF(RAND()&lt;'Team_Info'!$E$5,"W","B")</x:f>
        <x:v>B</x:v>
      </x:c>
      <x:c r="D496" t="str">
        <x:f>IF(RAND()&lt;'Team_Info'!$E$5,"W","B")</x:f>
        <x:v>W</x:v>
      </x:c>
      <x:c r="E496" t="str">
        <x:f>IF(RAND()&lt;'Team_Info'!$E$5,"W","B")</x:f>
        <x:v>W</x:v>
      </x:c>
      <x:c r="F496" t="str">
        <x:f>IF(RAND()&lt;'Team_Info'!$E$5,"W","B")</x:f>
        <x:v>B</x:v>
      </x:c>
      <x:c r="G496" t="str">
        <x:f>IF(RAND()&lt;'Team_Info'!$E$5,"W","B")</x:f>
        <x:v>B</x:v>
      </x:c>
      <x:c r="H496" t="str">
        <x:f>IF(RAND()&lt;'Team_Info'!$E$5,"W","B")</x:f>
        <x:v>B</x:v>
      </x:c>
      <x:c r="I496" t="str">
        <x:f>IF(RAND()&lt;'Team_Info'!$E$5,"W","B")</x:f>
        <x:v>B</x:v>
      </x:c>
      <x:c r="J496" t="str">
        <x:f>IF(RAND()&lt;'Team_Info'!$E$5,"W","B")</x:f>
        <x:v>B</x:v>
      </x:c>
      <x:c r="K496" t="str">
        <x:f>IF(RAND()&lt;'Team_Info'!$E$5,"W","B")</x:f>
        <x:v>W</x:v>
      </x:c>
      <x:c r="L496" t="str">
        <x:f>IF(RAND()&lt;'Team_Info'!$E$5,"W","B")</x:f>
        <x:v>B</x:v>
      </x:c>
      <x:c r="M496" t="str">
        <x:f>IF(RAND()&lt;'Team_Info'!$E$5,"W","B")</x:f>
        <x:v>W</x:v>
      </x:c>
      <x:c r="N496" t="str">
        <x:f>IF(RAND()&lt;'Team_Info'!$E$5,"W","B")</x:f>
        <x:v>B</x:v>
      </x:c>
      <x:c r="O496" t="str">
        <x:f>IF(RAND()&lt;'Team_Info'!$E$5,"W","B")</x:f>
        <x:v>W</x:v>
      </x:c>
      <x:c r="P496" t="str">
        <x:f>IF(RAND()&lt;'Team_Info'!$E$5,"W","B")</x:f>
        <x:v>B</x:v>
      </x:c>
      <x:c r="Q496" t="str">
        <x:f>IF(RAND()&lt;'Team_Info'!$E$5,"W","B")</x:f>
        <x:v>W</x:v>
      </x:c>
      <x:c r="R496" t="str">
        <x:f>IF(RAND()&lt;'Team_Info'!$E$5,"W","B")</x:f>
        <x:v>W</x:v>
      </x:c>
      <x:c r="S496" t="str">
        <x:f>IF(RAND()&lt;'Team_Info'!$E$5,"W","B")</x:f>
        <x:v>W</x:v>
      </x:c>
      <x:c r="T496" t="str">
        <x:f>IF(RAND()&lt;'Team_Info'!$E$5,"W","B")</x:f>
        <x:v>B</x:v>
      </x:c>
      <x:c r="U496" t="str">
        <x:f>IF(RAND()&lt;'Team_Info'!$E$5,"W","B")</x:f>
        <x:v>B</x:v>
      </x:c>
    </x:row>
    <x:row r="497">
      <x:c r="A497" s="1">
        <x:v>496</x:v>
      </x:c>
      <x:c r="B497" t="str">
        <x:f>IF(RAND()&lt;'Team_Info'!$E$5,"W","B")</x:f>
        <x:v>W</x:v>
      </x:c>
      <x:c r="C497" t="str">
        <x:f>IF(RAND()&lt;'Team_Info'!$E$5,"W","B")</x:f>
        <x:v>W</x:v>
      </x:c>
      <x:c r="D497" t="str">
        <x:f>IF(RAND()&lt;'Team_Info'!$E$5,"W","B")</x:f>
        <x:v>B</x:v>
      </x:c>
      <x:c r="E497" t="str">
        <x:f>IF(RAND()&lt;'Team_Info'!$E$5,"W","B")</x:f>
        <x:v>W</x:v>
      </x:c>
      <x:c r="F497" t="str">
        <x:f>IF(RAND()&lt;'Team_Info'!$E$5,"W","B")</x:f>
        <x:v>B</x:v>
      </x:c>
      <x:c r="G497" t="str">
        <x:f>IF(RAND()&lt;'Team_Info'!$E$5,"W","B")</x:f>
        <x:v>B</x:v>
      </x:c>
      <x:c r="H497" t="str">
        <x:f>IF(RAND()&lt;'Team_Info'!$E$5,"W","B")</x:f>
        <x:v>B</x:v>
      </x:c>
      <x:c r="I497" t="str">
        <x:f>IF(RAND()&lt;'Team_Info'!$E$5,"W","B")</x:f>
        <x:v>W</x:v>
      </x:c>
      <x:c r="J497" t="str">
        <x:f>IF(RAND()&lt;'Team_Info'!$E$5,"W","B")</x:f>
        <x:v>B</x:v>
      </x:c>
      <x:c r="K497" t="str">
        <x:f>IF(RAND()&lt;'Team_Info'!$E$5,"W","B")</x:f>
        <x:v>B</x:v>
      </x:c>
      <x:c r="L497" t="str">
        <x:f>IF(RAND()&lt;'Team_Info'!$E$5,"W","B")</x:f>
        <x:v>W</x:v>
      </x:c>
      <x:c r="M497" t="str">
        <x:f>IF(RAND()&lt;'Team_Info'!$E$5,"W","B")</x:f>
        <x:v>B</x:v>
      </x:c>
      <x:c r="N497" t="str">
        <x:f>IF(RAND()&lt;'Team_Info'!$E$5,"W","B")</x:f>
        <x:v>B</x:v>
      </x:c>
      <x:c r="O497" t="str">
        <x:f>IF(RAND()&lt;'Team_Info'!$E$5,"W","B")</x:f>
        <x:v>B</x:v>
      </x:c>
      <x:c r="P497" t="str">
        <x:f>IF(RAND()&lt;'Team_Info'!$E$5,"W","B")</x:f>
        <x:v>B</x:v>
      </x:c>
      <x:c r="Q497" t="str">
        <x:f>IF(RAND()&lt;'Team_Info'!$E$5,"W","B")</x:f>
        <x:v>W</x:v>
      </x:c>
      <x:c r="R497" t="str">
        <x:f>IF(RAND()&lt;'Team_Info'!$E$5,"W","B")</x:f>
        <x:v>B</x:v>
      </x:c>
      <x:c r="S497" t="str">
        <x:f>IF(RAND()&lt;'Team_Info'!$E$5,"W","B")</x:f>
        <x:v>B</x:v>
      </x:c>
      <x:c r="T497" t="str">
        <x:f>IF(RAND()&lt;'Team_Info'!$E$5,"W","B")</x:f>
        <x:v>B</x:v>
      </x:c>
      <x:c r="U497" t="str">
        <x:f>IF(RAND()&lt;'Team_Info'!$E$5,"W","B")</x:f>
        <x:v>B</x:v>
      </x:c>
    </x:row>
    <x:row r="498">
      <x:c r="A498" s="1">
        <x:v>497</x:v>
      </x:c>
      <x:c r="B498" t="str">
        <x:f>IF(RAND()&lt;'Team_Info'!$E$5,"W","B")</x:f>
        <x:v>B</x:v>
      </x:c>
      <x:c r="C498" t="str">
        <x:f>IF(RAND()&lt;'Team_Info'!$E$5,"W","B")</x:f>
        <x:v>W</x:v>
      </x:c>
      <x:c r="D498" t="str">
        <x:f>IF(RAND()&lt;'Team_Info'!$E$5,"W","B")</x:f>
        <x:v>B</x:v>
      </x:c>
      <x:c r="E498" t="str">
        <x:f>IF(RAND()&lt;'Team_Info'!$E$5,"W","B")</x:f>
        <x:v>B</x:v>
      </x:c>
      <x:c r="F498" t="str">
        <x:f>IF(RAND()&lt;'Team_Info'!$E$5,"W","B")</x:f>
        <x:v>B</x:v>
      </x:c>
      <x:c r="G498" t="str">
        <x:f>IF(RAND()&lt;'Team_Info'!$E$5,"W","B")</x:f>
        <x:v>B</x:v>
      </x:c>
      <x:c r="H498" t="str">
        <x:f>IF(RAND()&lt;'Team_Info'!$E$5,"W","B")</x:f>
        <x:v>B</x:v>
      </x:c>
      <x:c r="I498" t="str">
        <x:f>IF(RAND()&lt;'Team_Info'!$E$5,"W","B")</x:f>
        <x:v>W</x:v>
      </x:c>
      <x:c r="J498" t="str">
        <x:f>IF(RAND()&lt;'Team_Info'!$E$5,"W","B")</x:f>
        <x:v>B</x:v>
      </x:c>
      <x:c r="K498" t="str">
        <x:f>IF(RAND()&lt;'Team_Info'!$E$5,"W","B")</x:f>
        <x:v>B</x:v>
      </x:c>
      <x:c r="L498" t="str">
        <x:f>IF(RAND()&lt;'Team_Info'!$E$5,"W","B")</x:f>
        <x:v>B</x:v>
      </x:c>
      <x:c r="M498" t="str">
        <x:f>IF(RAND()&lt;'Team_Info'!$E$5,"W","B")</x:f>
        <x:v>B</x:v>
      </x:c>
      <x:c r="N498" t="str">
        <x:f>IF(RAND()&lt;'Team_Info'!$E$5,"W","B")</x:f>
        <x:v>W</x:v>
      </x:c>
      <x:c r="O498" t="str">
        <x:f>IF(RAND()&lt;'Team_Info'!$E$5,"W","B")</x:f>
        <x:v>B</x:v>
      </x:c>
      <x:c r="P498" t="str">
        <x:f>IF(RAND()&lt;'Team_Info'!$E$5,"W","B")</x:f>
        <x:v>B</x:v>
      </x:c>
      <x:c r="Q498" t="str">
        <x:f>IF(RAND()&lt;'Team_Info'!$E$5,"W","B")</x:f>
        <x:v>W</x:v>
      </x:c>
      <x:c r="R498" t="str">
        <x:f>IF(RAND()&lt;'Team_Info'!$E$5,"W","B")</x:f>
        <x:v>B</x:v>
      </x:c>
      <x:c r="S498" t="str">
        <x:f>IF(RAND()&lt;'Team_Info'!$E$5,"W","B")</x:f>
        <x:v>B</x:v>
      </x:c>
      <x:c r="T498" t="str">
        <x:f>IF(RAND()&lt;'Team_Info'!$E$5,"W","B")</x:f>
        <x:v>B</x:v>
      </x:c>
      <x:c r="U498" t="str">
        <x:f>IF(RAND()&lt;'Team_Info'!$E$5,"W","B")</x:f>
        <x:v>B</x:v>
      </x:c>
    </x:row>
    <x:row r="499">
      <x:c r="A499" s="1">
        <x:v>498</x:v>
      </x:c>
      <x:c r="B499" t="str">
        <x:f>IF(RAND()&lt;'Team_Info'!$E$5,"W","B")</x:f>
        <x:v>W</x:v>
      </x:c>
      <x:c r="C499" t="str">
        <x:f>IF(RAND()&lt;'Team_Info'!$E$5,"W","B")</x:f>
        <x:v>B</x:v>
      </x:c>
      <x:c r="D499" t="str">
        <x:f>IF(RAND()&lt;'Team_Info'!$E$5,"W","B")</x:f>
        <x:v>W</x:v>
      </x:c>
      <x:c r="E499" t="str">
        <x:f>IF(RAND()&lt;'Team_Info'!$E$5,"W","B")</x:f>
        <x:v>B</x:v>
      </x:c>
      <x:c r="F499" t="str">
        <x:f>IF(RAND()&lt;'Team_Info'!$E$5,"W","B")</x:f>
        <x:v>W</x:v>
      </x:c>
      <x:c r="G499" t="str">
        <x:f>IF(RAND()&lt;'Team_Info'!$E$5,"W","B")</x:f>
        <x:v>W</x:v>
      </x:c>
      <x:c r="H499" t="str">
        <x:f>IF(RAND()&lt;'Team_Info'!$E$5,"W","B")</x:f>
        <x:v>B</x:v>
      </x:c>
      <x:c r="I499" t="str">
        <x:f>IF(RAND()&lt;'Team_Info'!$E$5,"W","B")</x:f>
        <x:v>B</x:v>
      </x:c>
      <x:c r="J499" t="str">
        <x:f>IF(RAND()&lt;'Team_Info'!$E$5,"W","B")</x:f>
        <x:v>W</x:v>
      </x:c>
      <x:c r="K499" t="str">
        <x:f>IF(RAND()&lt;'Team_Info'!$E$5,"W","B")</x:f>
        <x:v>W</x:v>
      </x:c>
      <x:c r="L499" t="str">
        <x:f>IF(RAND()&lt;'Team_Info'!$E$5,"W","B")</x:f>
        <x:v>B</x:v>
      </x:c>
      <x:c r="M499" t="str">
        <x:f>IF(RAND()&lt;'Team_Info'!$E$5,"W","B")</x:f>
        <x:v>B</x:v>
      </x:c>
      <x:c r="N499" t="str">
        <x:f>IF(RAND()&lt;'Team_Info'!$E$5,"W","B")</x:f>
        <x:v>B</x:v>
      </x:c>
      <x:c r="O499" t="str">
        <x:f>IF(RAND()&lt;'Team_Info'!$E$5,"W","B")</x:f>
        <x:v>B</x:v>
      </x:c>
      <x:c r="P499" t="str">
        <x:f>IF(RAND()&lt;'Team_Info'!$E$5,"W","B")</x:f>
        <x:v>B</x:v>
      </x:c>
      <x:c r="Q499" t="str">
        <x:f>IF(RAND()&lt;'Team_Info'!$E$5,"W","B")</x:f>
        <x:v>W</x:v>
      </x:c>
      <x:c r="R499" t="str">
        <x:f>IF(RAND()&lt;'Team_Info'!$E$5,"W","B")</x:f>
        <x:v>W</x:v>
      </x:c>
      <x:c r="S499" t="str">
        <x:f>IF(RAND()&lt;'Team_Info'!$E$5,"W","B")</x:f>
        <x:v>B</x:v>
      </x:c>
      <x:c r="T499" t="str">
        <x:f>IF(RAND()&lt;'Team_Info'!$E$5,"W","B")</x:f>
        <x:v>W</x:v>
      </x:c>
      <x:c r="U499" t="str">
        <x:f>IF(RAND()&lt;'Team_Info'!$E$5,"W","B")</x:f>
        <x:v>W</x:v>
      </x:c>
    </x:row>
    <x:row r="500">
      <x:c r="A500" s="1">
        <x:v>499</x:v>
      </x:c>
      <x:c r="B500" t="str">
        <x:f>IF(RAND()&lt;'Team_Info'!$E$5,"W","B")</x:f>
        <x:v>W</x:v>
      </x:c>
      <x:c r="C500" t="str">
        <x:f>IF(RAND()&lt;'Team_Info'!$E$5,"W","B")</x:f>
        <x:v>B</x:v>
      </x:c>
      <x:c r="D500" t="str">
        <x:f>IF(RAND()&lt;'Team_Info'!$E$5,"W","B")</x:f>
        <x:v>B</x:v>
      </x:c>
      <x:c r="E500" t="str">
        <x:f>IF(RAND()&lt;'Team_Info'!$E$5,"W","B")</x:f>
        <x:v>W</x:v>
      </x:c>
      <x:c r="F500" t="str">
        <x:f>IF(RAND()&lt;'Team_Info'!$E$5,"W","B")</x:f>
        <x:v>W</x:v>
      </x:c>
      <x:c r="G500" t="str">
        <x:f>IF(RAND()&lt;'Team_Info'!$E$5,"W","B")</x:f>
        <x:v>B</x:v>
      </x:c>
      <x:c r="H500" t="str">
        <x:f>IF(RAND()&lt;'Team_Info'!$E$5,"W","B")</x:f>
        <x:v>B</x:v>
      </x:c>
      <x:c r="I500" t="str">
        <x:f>IF(RAND()&lt;'Team_Info'!$E$5,"W","B")</x:f>
        <x:v>W</x:v>
      </x:c>
      <x:c r="J500" t="str">
        <x:f>IF(RAND()&lt;'Team_Info'!$E$5,"W","B")</x:f>
        <x:v>B</x:v>
      </x:c>
      <x:c r="K500" t="str">
        <x:f>IF(RAND()&lt;'Team_Info'!$E$5,"W","B")</x:f>
        <x:v>W</x:v>
      </x:c>
      <x:c r="L500" t="str">
        <x:f>IF(RAND()&lt;'Team_Info'!$E$5,"W","B")</x:f>
        <x:v>B</x:v>
      </x:c>
      <x:c r="M500" t="str">
        <x:f>IF(RAND()&lt;'Team_Info'!$E$5,"W","B")</x:f>
        <x:v>B</x:v>
      </x:c>
      <x:c r="N500" t="str">
        <x:f>IF(RAND()&lt;'Team_Info'!$E$5,"W","B")</x:f>
        <x:v>W</x:v>
      </x:c>
      <x:c r="O500" t="str">
        <x:f>IF(RAND()&lt;'Team_Info'!$E$5,"W","B")</x:f>
        <x:v>B</x:v>
      </x:c>
      <x:c r="P500" t="str">
        <x:f>IF(RAND()&lt;'Team_Info'!$E$5,"W","B")</x:f>
        <x:v>B</x:v>
      </x:c>
      <x:c r="Q500" t="str">
        <x:f>IF(RAND()&lt;'Team_Info'!$E$5,"W","B")</x:f>
        <x:v>B</x:v>
      </x:c>
      <x:c r="R500" t="str">
        <x:f>IF(RAND()&lt;'Team_Info'!$E$5,"W","B")</x:f>
        <x:v>W</x:v>
      </x:c>
      <x:c r="S500" t="str">
        <x:f>IF(RAND()&lt;'Team_Info'!$E$5,"W","B")</x:f>
        <x:v>B</x:v>
      </x:c>
      <x:c r="T500" t="str">
        <x:f>IF(RAND()&lt;'Team_Info'!$E$5,"W","B")</x:f>
        <x:v>B</x:v>
      </x:c>
      <x:c r="U500" t="str">
        <x:f>IF(RAND()&lt;'Team_Info'!$E$5,"W","B")</x:f>
        <x:v>W</x:v>
      </x:c>
    </x:row>
    <x:row r="501">
      <x:c r="A501" s="1">
        <x:v>500</x:v>
      </x:c>
      <x:c r="B501" t="str">
        <x:f>IF(RAND()&lt;'Team_Info'!$E$5,"W","B")</x:f>
        <x:v>W</x:v>
      </x:c>
      <x:c r="C501" t="str">
        <x:f>IF(RAND()&lt;'Team_Info'!$E$5,"W","B")</x:f>
        <x:v>B</x:v>
      </x:c>
      <x:c r="D501" t="str">
        <x:f>IF(RAND()&lt;'Team_Info'!$E$5,"W","B")</x:f>
        <x:v>B</x:v>
      </x:c>
      <x:c r="E501" t="str">
        <x:f>IF(RAND()&lt;'Team_Info'!$E$5,"W","B")</x:f>
        <x:v>B</x:v>
      </x:c>
      <x:c r="F501" t="str">
        <x:f>IF(RAND()&lt;'Team_Info'!$E$5,"W","B")</x:f>
        <x:v>W</x:v>
      </x:c>
      <x:c r="G501" t="str">
        <x:f>IF(RAND()&lt;'Team_Info'!$E$5,"W","B")</x:f>
        <x:v>B</x:v>
      </x:c>
      <x:c r="H501" t="str">
        <x:f>IF(RAND()&lt;'Team_Info'!$E$5,"W","B")</x:f>
        <x:v>W</x:v>
      </x:c>
      <x:c r="I501" t="str">
        <x:f>IF(RAND()&lt;'Team_Info'!$E$5,"W","B")</x:f>
        <x:v>B</x:v>
      </x:c>
      <x:c r="J501" t="str">
        <x:f>IF(RAND()&lt;'Team_Info'!$E$5,"W","B")</x:f>
        <x:v>W</x:v>
      </x:c>
      <x:c r="K501" t="str">
        <x:f>IF(RAND()&lt;'Team_Info'!$E$5,"W","B")</x:f>
        <x:v>W</x:v>
      </x:c>
      <x:c r="L501" t="str">
        <x:f>IF(RAND()&lt;'Team_Info'!$E$5,"W","B")</x:f>
        <x:v>B</x:v>
      </x:c>
      <x:c r="M501" t="str">
        <x:f>IF(RAND()&lt;'Team_Info'!$E$5,"W","B")</x:f>
        <x:v>B</x:v>
      </x:c>
      <x:c r="N501" t="str">
        <x:f>IF(RAND()&lt;'Team_Info'!$E$5,"W","B")</x:f>
        <x:v>W</x:v>
      </x:c>
      <x:c r="O501" t="str">
        <x:f>IF(RAND()&lt;'Team_Info'!$E$5,"W","B")</x:f>
        <x:v>B</x:v>
      </x:c>
      <x:c r="P501" t="str">
        <x:f>IF(RAND()&lt;'Team_Info'!$E$5,"W","B")</x:f>
        <x:v>W</x:v>
      </x:c>
      <x:c r="Q501" t="str">
        <x:f>IF(RAND()&lt;'Team_Info'!$E$5,"W","B")</x:f>
        <x:v>B</x:v>
      </x:c>
      <x:c r="R501" t="str">
        <x:f>IF(RAND()&lt;'Team_Info'!$E$5,"W","B")</x:f>
        <x:v>B</x:v>
      </x:c>
      <x:c r="S501" t="str">
        <x:f>IF(RAND()&lt;'Team_Info'!$E$5,"W","B")</x:f>
        <x:v>B</x:v>
      </x:c>
      <x:c r="T501" t="str">
        <x:f>IF(RAND()&lt;'Team_Info'!$E$5,"W","B")</x:f>
        <x:v>W</x:v>
      </x:c>
      <x:c r="U501" t="str">
        <x:f>IF(RAND()&lt;'Team_Info'!$E$5,"W","B")</x:f>
        <x:v>B</x:v>
      </x:c>
    </x:row>
  </x:sheetData>
  <x:mergeCells>
    <x:mergeCell ref="W1:Y1"/>
    <x:mergeCell ref="W2:Y2"/>
    <x:mergeCell ref="W3:Y3"/>
  </x:mergeCells>
  <x:pageMargins left="0.7" right="0.7" top="0.75" bottom="0.75" header="0.3" footer="0.3"/>
  <x:tableParts count="1">
    <x:tablePart xmlns:r="http://schemas.openxmlformats.org/officeDocument/2006/relationships" r:id="R86cf71ace0a542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2.44140625" style="1" customWidth="1"/>
    <x:col min="2" max="16" width="8.77734375" style="1" customWidth="1"/>
    <x:col min="17" max="21" width="8.88671875" style="1" customWidth="0"/>
    <x:col min="22" max="22" width="14.6640625" style="1" customWidth="1"/>
    <x:col min="23" max="23" width="14.44140625" style="1" customWidth="1"/>
    <x:col min="24" max="24" width="8.88671875" style="1" customWidth="0"/>
    <x:col min="25" max="25" width="31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30" hidden="0" customWidth="1"/>
  </x:cols>
  <x:sheetData>
    <x:row r="1" ht="86.4000015258789">
      <x:c r="A1" s="6" t="s">
        <x:v>1</x:v>
      </x:c>
      <x:c r="B1" s="7" t="s">
        <x:v>2</x:v>
      </x:c>
      <x:c r="C1" s="7" t="s">
        <x:v>3</x:v>
      </x:c>
      <x:c r="D1" s="7" t="s">
        <x:v>4</x:v>
      </x:c>
      <x:c r="E1" s="7" t="s">
        <x:v>5</x:v>
      </x:c>
      <x:c r="F1" s="7" t="s">
        <x:v>6</x:v>
      </x:c>
      <x:c r="G1" s="7" t="s">
        <x:v>7</x:v>
      </x:c>
      <x:c r="H1" s="7" t="s">
        <x:v>8</x:v>
      </x:c>
      <x:c r="I1" s="7" t="s">
        <x:v>9</x:v>
      </x:c>
      <x:c r="J1" s="7" t="s">
        <x:v>10</x:v>
      </x:c>
      <x:c r="K1" s="7" t="s">
        <x:v>11</x:v>
      </x:c>
      <x:c r="L1" s="7" t="s">
        <x:v>12</x:v>
      </x:c>
      <x:c r="M1" s="7" t="s">
        <x:v>13</x:v>
      </x:c>
      <x:c r="N1" s="7" t="s">
        <x:v>14</x:v>
      </x:c>
      <x:c r="O1" s="7" t="s">
        <x:v>15</x:v>
      </x:c>
      <x:c r="P1" s="7" t="s">
        <x:v>16</x:v>
      </x:c>
      <x:c r="Q1" s="7" t="s">
        <x:v>17</x:v>
      </x:c>
      <x:c r="R1" s="7" t="s">
        <x:v>18</x:v>
      </x:c>
      <x:c r="S1" s="7" t="s">
        <x:v>19</x:v>
      </x:c>
      <x:c r="T1" s="7" t="s">
        <x:v>20</x:v>
      </x:c>
      <x:c r="U1" s="7" t="s">
        <x:v>21</x:v>
      </x:c>
      <x:c r="V1" s="7" t="s">
        <x:v>22</x:v>
      </x:c>
      <x:c r="W1" s="6" t="s">
        <x:v>23</x:v>
      </x:c>
      <x:c r="X1" s="6" t="s">
        <x:v>24</x:v>
      </x:c>
      <x:c r="Y1" s="19" t="str">
        <x:v>Problem 1 - Theoretical and Empirical Summary</x:v>
      </x:c>
      <x:c r="Z1" s="19"/>
      <x:c r="AA1" s="19"/>
      <x:c r="AB1" s="19"/>
      <x:c r="AC1" s="19"/>
      <x:c r="AD1" s="19"/>
      <x:c r="AE1" s="19"/>
    </x:row>
    <x:row r="2">
      <x:c r="A2" s="1">
        <x:v>1</x:v>
      </x:c>
      <x:c r="B2" t="str">
        <x:v>W</x:v>
      </x:c>
      <x:c r="C2" t="str">
        <x:v>W</x:v>
      </x:c>
      <x:c r="D2" t="str">
        <x:v>B</x:v>
      </x:c>
      <x:c r="E2" t="str">
        <x:v>B</x:v>
      </x:c>
      <x:c r="F2" t="str">
        <x:v>W</x:v>
      </x:c>
      <x:c r="G2" t="str">
        <x:v>B</x:v>
      </x:c>
      <x:c r="H2" t="str">
        <x:v>B</x:v>
      </x:c>
      <x:c r="I2" t="str">
        <x:v>W</x:v>
      </x:c>
      <x:c r="J2" t="str">
        <x:v>B</x:v>
      </x:c>
      <x:c r="K2" t="str">
        <x:v>W</x:v>
      </x:c>
      <x:c r="L2" t="str">
        <x:v>W</x:v>
      </x:c>
      <x:c r="M2" t="str">
        <x:v>W</x:v>
      </x:c>
      <x:c r="N2" t="str">
        <x:v>B</x:v>
      </x:c>
      <x:c r="O2" t="str">
        <x:v>B</x:v>
      </x:c>
      <x:c r="P2" t="str">
        <x:v>W</x:v>
      </x:c>
      <x:c r="Q2" t="str">
        <x:v>B</x:v>
      </x:c>
      <x:c r="R2" t="str">
        <x:v>B</x:v>
      </x:c>
      <x:c r="S2" t="str">
        <x:v>W</x:v>
      </x:c>
      <x:c r="T2" t="str">
        <x:v>B</x:v>
      </x:c>
      <x:c r="U2" t="str">
        <x:v>B</x:v>
      </x:c>
      <x:c r="V2" t="n">
        <x:f>COUNTIF(B2:U2,"W")</x:f>
        <x:v>9</x:v>
      </x:c>
      <x:c r="W2" s="5" t="str">
        <x:f>IF(COUNTIF(B2:D2,"W")&gt;0,"Y","N")</x:f>
        <x:v>Y</x:v>
      </x:c>
      <x:c r="X2" s="5" t="str">
        <x:f>IF(COUNTIF(B2:I2,"W")&gt;=4,"Y","N")</x:f>
        <x:v>Y</x:v>
      </x:c>
      <x:c r="Y2" s="34" t="str">
        <x:v>Metric</x:v>
      </x:c>
      <x:c r="Z2" s="34" t="str">
        <x:v>Theoretical / Reference</x:v>
      </x:c>
      <x:c r="AA2" s="34" t="str">
        <x:v>Empirical / Approximation</x:v>
      </x:c>
      <x:c r="AB2" s="34" t="str">
        <x:v>Absolute deviation</x:v>
      </x:c>
      <x:c r="AC2" s="34" t="str">
        <x:v>Relative error</x:v>
      </x:c>
      <x:c r="AD2" s="34" t="str">
        <x:v>Units</x:v>
      </x:c>
      <x:c r="AE2" s="34" t="str">
        <x:v>Notes</x:v>
      </x:c>
    </x:row>
    <x:row r="3">
      <x:c r="A3" s="1">
        <x:v>2</x:v>
      </x:c>
      <x:c r="B3" t="str">
        <x:v>B</x:v>
      </x:c>
      <x:c r="C3" t="str">
        <x:v>B</x:v>
      </x:c>
      <x:c r="D3" t="str">
        <x:v>B</x:v>
      </x:c>
      <x:c r="E3" t="str">
        <x:v>W</x:v>
      </x:c>
      <x:c r="F3" t="str">
        <x:v>B</x:v>
      </x:c>
      <x:c r="G3" t="str">
        <x:v>W</x:v>
      </x:c>
      <x:c r="H3" t="str">
        <x:v>B</x:v>
      </x:c>
      <x:c r="I3" t="str">
        <x:v>W</x:v>
      </x:c>
      <x:c r="J3" t="str">
        <x:v>B</x:v>
      </x:c>
      <x:c r="K3" t="str">
        <x:v>B</x:v>
      </x:c>
      <x:c r="L3" t="str">
        <x:v>B</x:v>
      </x:c>
      <x:c r="M3" t="str">
        <x:v>B</x:v>
      </x:c>
      <x:c r="N3" t="str">
        <x:v>B</x:v>
      </x:c>
      <x:c r="O3" t="str">
        <x:v>B</x:v>
      </x:c>
      <x:c r="P3" t="str">
        <x:v>B</x:v>
      </x:c>
      <x:c r="Q3" t="str">
        <x:v>B</x:v>
      </x:c>
      <x:c r="R3" t="str">
        <x:v>B</x:v>
      </x:c>
      <x:c r="S3" t="str">
        <x:v>W</x:v>
      </x:c>
      <x:c r="T3" t="str">
        <x:v>W</x:v>
      </x:c>
      <x:c r="U3" t="str">
        <x:v>W</x:v>
      </x:c>
      <x:c r="V3" t="n">
        <x:f>COUNTIF(B3:U3,"W")</x:f>
        <x:v>6</x:v>
      </x:c>
      <x:c r="W3" s="5" t="str">
        <x:f>IF(COUNTIF(B3:D3,"W")&gt;0,"Y","N")</x:f>
        <x:v>N</x:v>
      </x:c>
      <x:c r="X3" s="5" t="str">
        <x:f>IF(COUNTIF(B3:I3,"W")&gt;=4,"Y","N")</x:f>
        <x:v>N</x:v>
      </x:c>
      <x:c r="Y3" s="36" t="str">
        <x:v>White proportion</x:v>
      </x:c>
      <x:c r="Z3" s="37" t="n">
        <x:f>'Team_Info'!E5</x:f>
        <x:v>0.37987012987012986</x:v>
      </x:c>
      <x:c r="AA3" s="37" t="n">
        <x:f>COUNTIF(B2:U501,"W")/10000</x:f>
        <x:v>0.3784</x:v>
      </x:c>
      <x:c r="AB3" s="37" t="n">
        <x:f>ABS(AA3-Z3)</x:f>
        <x:v>0.0014701298701298438</x:v>
      </x:c>
      <x:c r="AC3" s="37" t="n">
        <x:f>AB3/Z3</x:f>
        <x:v>0.003870085470085401</x:v>
      </x:c>
      <x:c r="AD3" s="38" t="str">
        <x:f>"proportion"</x:f>
        <x:v>proportion</x:v>
      </x:c>
      <x:c r="AE3" s="35" t="str">
        <x:v>10,000 total draws</x:v>
      </x:c>
    </x:row>
    <x:row r="4">
      <x:c r="A4" s="1">
        <x:v>3</x:v>
      </x:c>
      <x:c r="B4" t="str">
        <x:v>B</x:v>
      </x:c>
      <x:c r="C4" t="str">
        <x:v>B</x:v>
      </x:c>
      <x:c r="D4" t="str">
        <x:v>W</x:v>
      </x:c>
      <x:c r="E4" t="str">
        <x:v>B</x:v>
      </x:c>
      <x:c r="F4" t="str">
        <x:v>W</x:v>
      </x:c>
      <x:c r="G4" t="str">
        <x:v>W</x:v>
      </x:c>
      <x:c r="H4" t="str">
        <x:v>W</x:v>
      </x:c>
      <x:c r="I4" t="str">
        <x:v>B</x:v>
      </x:c>
      <x:c r="J4" t="str">
        <x:v>B</x:v>
      </x:c>
      <x:c r="K4" t="str">
        <x:v>W</x:v>
      </x:c>
      <x:c r="L4" t="str">
        <x:v>W</x:v>
      </x:c>
      <x:c r="M4" t="str">
        <x:v>B</x:v>
      </x:c>
      <x:c r="N4" t="str">
        <x:v>W</x:v>
      </x:c>
      <x:c r="O4" t="str">
        <x:v>B</x:v>
      </x:c>
      <x:c r="P4" t="str">
        <x:v>B</x:v>
      </x:c>
      <x:c r="Q4" t="str">
        <x:v>B</x:v>
      </x:c>
      <x:c r="R4" t="str">
        <x:v>W</x:v>
      </x:c>
      <x:c r="S4" t="str">
        <x:v>W</x:v>
      </x:c>
      <x:c r="T4" t="str">
        <x:v>B</x:v>
      </x:c>
      <x:c r="U4" t="str">
        <x:v>B</x:v>
      </x:c>
      <x:c r="V4" t="n">
        <x:f>COUNTIF(B4:U4,"W")</x:f>
        <x:v>9</x:v>
      </x:c>
      <x:c r="W4" s="5" t="str">
        <x:f>IF(COUNTIF(B4:D4,"W")&gt;0,"Y","N")</x:f>
        <x:v>Y</x:v>
      </x:c>
      <x:c r="X4" s="5" t="str">
        <x:f>IF(COUNTIF(B4:I4,"W")&gt;=4,"Y","N")</x:f>
        <x:v>Y</x:v>
      </x:c>
      <x:c r="Y4" s="36" t="str">
        <x:v>Mean number of white balls</x:v>
      </x:c>
      <x:c r="Z4" s="37" t="n">
        <x:f>20*'Team_Info'!E5</x:f>
        <x:v>7.597402597402597</x:v>
      </x:c>
      <x:c r="AA4" s="37" t="n">
        <x:f>AVERAGE(V2:V501)</x:f>
        <x:v>7.568</x:v>
      </x:c>
      <x:c r="AB4" s="37" t="n">
        <x:f>ABS(AA4-Z4)</x:f>
        <x:v>0.029402597402597763</x:v>
      </x:c>
      <x:c r="AC4" s="37" t="n">
        <x:f>AB4/Z4</x:f>
        <x:v>0.0038700854700855175</x:v>
      </x:c>
      <x:c r="AD4" s="38" t="str">
        <x:f>"balls"</x:f>
        <x:v>balls</x:v>
      </x:c>
      <x:c r="AE4" s="35" t="str">
        <x:v>500 experiments</x:v>
      </x:c>
    </x:row>
    <x:row r="5">
      <x:c r="A5" s="1">
        <x:v>4</x:v>
      </x:c>
      <x:c r="B5" t="str">
        <x:v>B</x:v>
      </x:c>
      <x:c r="C5" t="str">
        <x:v>B</x:v>
      </x:c>
      <x:c r="D5" t="str">
        <x:v>W</x:v>
      </x:c>
      <x:c r="E5" t="str">
        <x:v>B</x:v>
      </x:c>
      <x:c r="F5" t="str">
        <x:v>W</x:v>
      </x:c>
      <x:c r="G5" t="str">
        <x:v>W</x:v>
      </x:c>
      <x:c r="H5" t="str">
        <x:v>B</x:v>
      </x:c>
      <x:c r="I5" t="str">
        <x:v>B</x:v>
      </x:c>
      <x:c r="J5" t="str">
        <x:v>B</x:v>
      </x:c>
      <x:c r="K5" t="str">
        <x:v>B</x:v>
      </x:c>
      <x:c r="L5" t="str">
        <x:v>B</x:v>
      </x:c>
      <x:c r="M5" t="str">
        <x:v>W</x:v>
      </x:c>
      <x:c r="N5" t="str">
        <x:v>B</x:v>
      </x:c>
      <x:c r="O5" t="str">
        <x:v>W</x:v>
      </x:c>
      <x:c r="P5" t="str">
        <x:v>B</x:v>
      </x:c>
      <x:c r="Q5" t="str">
        <x:v>B</x:v>
      </x:c>
      <x:c r="R5" t="str">
        <x:v>W</x:v>
      </x:c>
      <x:c r="S5" t="str">
        <x:v>W</x:v>
      </x:c>
      <x:c r="T5" t="str">
        <x:v>B</x:v>
      </x:c>
      <x:c r="U5" t="str">
        <x:v>B</x:v>
      </x:c>
      <x:c r="V5" t="n">
        <x:f>COUNTIF(B5:U5,"W")</x:f>
        <x:v>7</x:v>
      </x:c>
      <x:c r="W5" s="5" t="str">
        <x:f>IF(COUNTIF(B5:D5,"W")&gt;0,"Y","N")</x:f>
        <x:v>Y</x:v>
      </x:c>
      <x:c r="X5" s="5" t="str">
        <x:f>IF(COUNTIF(B5:I5,"W")&gt;=4,"Y","N")</x:f>
        <x:v>N</x:v>
      </x:c>
      <x:c r="Y5" s="36" t="str">
        <x:v>No white among first 3</x:v>
      </x:c>
      <x:c r="Z5" s="37" t="n">
        <x:f>(1-'Team_Info'!E5)^3</x:f>
        <x:v>0.2384777976071828</x:v>
      </x:c>
      <x:c r="AA5" s="37" t="n">
        <x:f>COUNTIF(W2:W501,"N")/500</x:f>
        <x:v>0.228</x:v>
      </x:c>
      <x:c r="AB5" s="37" t="n">
        <x:f>ABS(AA5-Z5)</x:f>
        <x:v>0.010477797607182787</x:v>
      </x:c>
      <x:c r="AC5" s="37" t="n">
        <x:f>AB5/Z5</x:f>
        <x:v>0.04393615553445216</x:v>
      </x:c>
      <x:c r="AD5" s="38" t="str">
        <x:f>"probability"</x:f>
        <x:v>probability</x:v>
      </x:c>
      <x:c r="AE5" s="35" t="str">
        <x:v>N in column W</x:v>
      </x:c>
    </x:row>
    <x:row r="6">
      <x:c r="A6" s="1">
        <x:v>5</x:v>
      </x:c>
      <x:c r="B6" t="str">
        <x:v>W</x:v>
      </x:c>
      <x:c r="C6" t="str">
        <x:v>B</x:v>
      </x:c>
      <x:c r="D6" t="str">
        <x:v>W</x:v>
      </x:c>
      <x:c r="E6" t="str">
        <x:v>W</x:v>
      </x:c>
      <x:c r="F6" t="str">
        <x:v>B</x:v>
      </x:c>
      <x:c r="G6" t="str">
        <x:v>B</x:v>
      </x:c>
      <x:c r="H6" t="str">
        <x:v>B</x:v>
      </x:c>
      <x:c r="I6" t="str">
        <x:v>B</x:v>
      </x:c>
      <x:c r="J6" t="str">
        <x:v>W</x:v>
      </x:c>
      <x:c r="K6" t="str">
        <x:v>B</x:v>
      </x:c>
      <x:c r="L6" t="str">
        <x:v>W</x:v>
      </x:c>
      <x:c r="M6" t="str">
        <x:v>W</x:v>
      </x:c>
      <x:c r="N6" t="str">
        <x:v>B</x:v>
      </x:c>
      <x:c r="O6" t="str">
        <x:v>W</x:v>
      </x:c>
      <x:c r="P6" t="str">
        <x:v>W</x:v>
      </x:c>
      <x:c r="Q6" t="str">
        <x:v>B</x:v>
      </x:c>
      <x:c r="R6" t="str">
        <x:v>W</x:v>
      </x:c>
      <x:c r="S6" t="str">
        <x:v>W</x:v>
      </x:c>
      <x:c r="T6" t="str">
        <x:v>W</x:v>
      </x:c>
      <x:c r="U6" t="str">
        <x:v>W</x:v>
      </x:c>
      <x:c r="V6" t="n">
        <x:f>COUNTIF(B6:U6,"W")</x:f>
        <x:v>12</x:v>
      </x:c>
      <x:c r="W6" s="5" t="str">
        <x:f>IF(COUNTIF(B6:D6,"W")&gt;0,"Y","N")</x:f>
        <x:v>Y</x:v>
      </x:c>
      <x:c r="X6" s="5" t="str">
        <x:f>IF(COUNTIF(B6:I6,"W")&gt;=4,"Y","N")</x:f>
        <x:v>N</x:v>
      </x:c>
      <x:c r="Y6" s="36" t="str">
        <x:v>4 white before 5 black</x:v>
      </x:c>
      <x:c r="Z6" s="37" t="n">
        <x:f>COMBIN(3,3)*'Team_Info'!E5^4+COMBIN(4,3)*'Team_Info'!E5^4*(1-'Team_Info'!E5)+COMBIN(5,3)*'Team_Info'!E5^4*(1-'Team_Info'!E5)^2+COMBIN(6,3)*'Team_Info'!E5^4*(1-'Team_Info'!E5)^3+COMBIN(7,3)*'Team_Info'!E5^4*(1-'Team_Info'!E5)^4</x:f>
        <x:v>0.3596471533620926</x:v>
      </x:c>
      <x:c r="AA6" s="37" t="n">
        <x:f>COUNTIF(X2:X501,"Y")/500</x:f>
        <x:v>0.372</x:v>
      </x:c>
      <x:c r="AB6" s="37" t="n">
        <x:f>ABS(AA6-Z6)</x:f>
        <x:v>0.012352846637907422</x:v>
      </x:c>
      <x:c r="AC6" s="37" t="n">
        <x:f>AB6/Z6</x:f>
        <x:v>0.03434712751770506</x:v>
      </x:c>
      <x:c r="AD6" s="38" t="str">
        <x:f>"probability"</x:f>
        <x:v>probability</x:v>
      </x:c>
      <x:c r="AE6" s="35" t="str">
        <x:v>Equivalent to &gt;=4 W in first 8</x:v>
      </x:c>
    </x:row>
    <x:row r="7">
      <x:c r="A7" s="1">
        <x:v>6</x:v>
      </x:c>
      <x:c r="B7" t="str">
        <x:v>B</x:v>
      </x:c>
      <x:c r="C7" t="str">
        <x:v>W</x:v>
      </x:c>
      <x:c r="D7" t="str">
        <x:v>B</x:v>
      </x:c>
      <x:c r="E7" t="str">
        <x:v>B</x:v>
      </x:c>
      <x:c r="F7" t="str">
        <x:v>B</x:v>
      </x:c>
      <x:c r="G7" t="str">
        <x:v>B</x:v>
      </x:c>
      <x:c r="H7" t="str">
        <x:v>W</x:v>
      </x:c>
      <x:c r="I7" t="str">
        <x:v>B</x:v>
      </x:c>
      <x:c r="J7" t="str">
        <x:v>B</x:v>
      </x:c>
      <x:c r="K7" t="str">
        <x:v>B</x:v>
      </x:c>
      <x:c r="L7" t="str">
        <x:v>B</x:v>
      </x:c>
      <x:c r="M7" t="str">
        <x:v>B</x:v>
      </x:c>
      <x:c r="N7" t="str">
        <x:v>W</x:v>
      </x:c>
      <x:c r="O7" t="str">
        <x:v>W</x:v>
      </x:c>
      <x:c r="P7" t="str">
        <x:v>B</x:v>
      </x:c>
      <x:c r="Q7" t="str">
        <x:v>B</x:v>
      </x:c>
      <x:c r="R7" t="str">
        <x:v>W</x:v>
      </x:c>
      <x:c r="S7" t="str">
        <x:v>W</x:v>
      </x:c>
      <x:c r="T7" t="str">
        <x:v>B</x:v>
      </x:c>
      <x:c r="U7" t="str">
        <x:v>W</x:v>
      </x:c>
      <x:c r="V7" t="n">
        <x:f>COUNTIF(B7:U7,"W")</x:f>
        <x:v>7</x:v>
      </x:c>
      <x:c r="W7" s="5" t="str">
        <x:f>IF(COUNTIF(B7:D7,"W")&gt;0,"Y","N")</x:f>
        <x:v>Y</x:v>
      </x:c>
      <x:c r="X7" s="5" t="str">
        <x:f>IF(COUNTIF(B7:I7,"W")&gt;=4,"Y","N")</x:f>
        <x:v>N</x:v>
      </x:c>
      <x:c r="Y7" s="36" t="str">
        <x:v>P(X&lt;6), exact binomial</x:v>
      </x:c>
      <x:c r="Z7" s="37" t="n">
        <x:f>BINOM.DIST(5,20,'Team_Info'!E5,TRUE)</x:f>
        <x:v>0.1673662659</x:v>
      </x:c>
      <x:c r="AA7" s="37" t="n">
        <x:f>COUNTIF(V2:V501,"&lt;6")/500</x:f>
        <x:v>0.168</x:v>
      </x:c>
      <x:c r="AB7" s="37" t="n">
        <x:f>ABS(AA7-Z7)</x:f>
        <x:v>0.0006337341000000052</x:v>
      </x:c>
      <x:c r="AC7" s="37" t="n">
        <x:f>AB7/Z7</x:f>
        <x:v>0.0037865103615244435</x:v>
      </x:c>
      <x:c r="AD7" s="38" t="str">
        <x:f>"probability"</x:f>
        <x:v>probability</x:v>
      </x:c>
      <x:c r="AE7" s="35" t="str">
        <x:v>Exact versus simulation</x:v>
      </x:c>
    </x:row>
    <x:row r="8">
      <x:c r="A8" s="1">
        <x:v>7</x:v>
      </x:c>
      <x:c r="B8" t="str">
        <x:v>B</x:v>
      </x:c>
      <x:c r="C8" t="str">
        <x:v>W</x:v>
      </x:c>
      <x:c r="D8" t="str">
        <x:v>B</x:v>
      </x:c>
      <x:c r="E8" t="str">
        <x:v>B</x:v>
      </x:c>
      <x:c r="F8" t="str">
        <x:v>W</x:v>
      </x:c>
      <x:c r="G8" t="str">
        <x:v>B</x:v>
      </x:c>
      <x:c r="H8" t="str">
        <x:v>B</x:v>
      </x:c>
      <x:c r="I8" t="str">
        <x:v>B</x:v>
      </x:c>
      <x:c r="J8" t="str">
        <x:v>B</x:v>
      </x:c>
      <x:c r="K8" t="str">
        <x:v>B</x:v>
      </x:c>
      <x:c r="L8" t="str">
        <x:v>W</x:v>
      </x:c>
      <x:c r="M8" t="str">
        <x:v>B</x:v>
      </x:c>
      <x:c r="N8" t="str">
        <x:v>W</x:v>
      </x:c>
      <x:c r="O8" t="str">
        <x:v>W</x:v>
      </x:c>
      <x:c r="P8" t="str">
        <x:v>W</x:v>
      </x:c>
      <x:c r="Q8" t="str">
        <x:v>B</x:v>
      </x:c>
      <x:c r="R8" t="str">
        <x:v>B</x:v>
      </x:c>
      <x:c r="S8" t="str">
        <x:v>B</x:v>
      </x:c>
      <x:c r="T8" t="str">
        <x:v>B</x:v>
      </x:c>
      <x:c r="U8" t="str">
        <x:v>W</x:v>
      </x:c>
      <x:c r="V8" t="n">
        <x:f>COUNTIF(B8:U8,"W")</x:f>
        <x:v>7</x:v>
      </x:c>
      <x:c r="W8" s="5" t="str">
        <x:f>IF(COUNTIF(B8:D8,"W")&gt;0,"Y","N")</x:f>
        <x:v>Y</x:v>
      </x:c>
      <x:c r="X8" s="5" t="str">
        <x:f>IF(COUNTIF(B8:I8,"W")&gt;=4,"Y","N")</x:f>
        <x:v>N</x:v>
      </x:c>
      <x:c r="Y8" s="36" t="str">
        <x:v>P(X&lt;6), Poisson</x:v>
      </x:c>
      <x:c r="Z8" s="37" t="n">
        <x:f>BINOM.DIST(5,20,'Team_Info'!E5,TRUE)</x:f>
        <x:v>0.1673662659</x:v>
      </x:c>
      <x:c r="AA8" s="37" t="n">
        <x:f>POISSON.DIST(5,20*'Team_Info'!E5,TRUE)</x:f>
        <x:v>0.23095562085131194</x:v>
      </x:c>
      <x:c r="AB8" s="37" t="n">
        <x:f>ABS(AA8-Z8)</x:f>
        <x:v>0.06358935495131193</x:v>
      </x:c>
      <x:c r="AC8" s="37" t="n">
        <x:f>AB8/Z8</x:f>
        <x:v>0.37994128989712933</x:v>
      </x:c>
      <x:c r="AD8" s="38" t="str">
        <x:f>"probability"</x:f>
        <x:v>probability</x:v>
      </x:c>
      <x:c r="AE8" s="35" t="str">
        <x:v>lambda = 20p</x:v>
      </x:c>
    </x:row>
    <x:row r="9">
      <x:c r="A9" s="1">
        <x:v>8</x:v>
      </x:c>
      <x:c r="B9" t="str">
        <x:v>B</x:v>
      </x:c>
      <x:c r="C9" t="str">
        <x:v>W</x:v>
      </x:c>
      <x:c r="D9" t="str">
        <x:v>W</x:v>
      </x:c>
      <x:c r="E9" t="str">
        <x:v>W</x:v>
      </x:c>
      <x:c r="F9" t="str">
        <x:v>B</x:v>
      </x:c>
      <x:c r="G9" t="str">
        <x:v>B</x:v>
      </x:c>
      <x:c r="H9" t="str">
        <x:v>B</x:v>
      </x:c>
      <x:c r="I9" t="str">
        <x:v>B</x:v>
      </x:c>
      <x:c r="J9" t="str">
        <x:v>W</x:v>
      </x:c>
      <x:c r="K9" t="str">
        <x:v>B</x:v>
      </x:c>
      <x:c r="L9" t="str">
        <x:v>B</x:v>
      </x:c>
      <x:c r="M9" t="str">
        <x:v>B</x:v>
      </x:c>
      <x:c r="N9" t="str">
        <x:v>B</x:v>
      </x:c>
      <x:c r="O9" t="str">
        <x:v>W</x:v>
      </x:c>
      <x:c r="P9" t="str">
        <x:v>W</x:v>
      </x:c>
      <x:c r="Q9" t="str">
        <x:v>W</x:v>
      </x:c>
      <x:c r="R9" t="str">
        <x:v>B</x:v>
      </x:c>
      <x:c r="S9" t="str">
        <x:v>W</x:v>
      </x:c>
      <x:c r="T9" t="str">
        <x:v>B</x:v>
      </x:c>
      <x:c r="U9" t="str">
        <x:v>B</x:v>
      </x:c>
      <x:c r="V9" t="n">
        <x:f>COUNTIF(B9:U9,"W")</x:f>
        <x:v>8</x:v>
      </x:c>
      <x:c r="W9" s="5" t="str">
        <x:f>IF(COUNTIF(B9:D9,"W")&gt;0,"Y","N")</x:f>
        <x:v>Y</x:v>
      </x:c>
      <x:c r="X9" s="5" t="str">
        <x:f>IF(COUNTIF(B9:I9,"W")&gt;=4,"Y","N")</x:f>
        <x:v>N</x:v>
      </x:c>
      <x:c r="Y9" s="36" t="str">
        <x:v>P(X&lt;6), normal CDF</x:v>
      </x:c>
      <x:c r="Z9" s="37" t="n">
        <x:f>BINOM.DIST(5,20,'Team_Info'!E5,TRUE)</x:f>
        <x:v>0.1673662659</x:v>
      </x:c>
      <x:c r="AA9" s="37" t="n">
        <x:f>NORM.DIST(5.5,20*'Team_Info'!E5,SQRT(20*'Team_Info'!E5*(1-'Team_Info'!E5)),TRUE)</x:f>
        <x:v>0.1669493102189592</x:v>
      </x:c>
      <x:c r="AB9" s="37" t="n">
        <x:f>ABS(AA9-Z9)</x:f>
        <x:v>0.0004169556810408037</x:v>
      </x:c>
      <x:c r="AC9" s="37" t="n">
        <x:f>AB9/Z9</x:f>
        <x:v>0.002491276714567626</x:v>
      </x:c>
      <x:c r="AD9" s="38" t="str">
        <x:f>"probability"</x:f>
        <x:v>probability</x:v>
      </x:c>
      <x:c r="AE9" s="35" t="str">
        <x:v>Continuity correction at 5.5</x:v>
      </x:c>
    </x:row>
    <x:row r="10">
      <x:c r="A10" s="1">
        <x:v>9</x:v>
      </x:c>
      <x:c r="B10" t="str">
        <x:v>W</x:v>
      </x:c>
      <x:c r="C10" t="str">
        <x:v>B</x:v>
      </x:c>
      <x:c r="D10" t="str">
        <x:v>B</x:v>
      </x:c>
      <x:c r="E10" t="str">
        <x:v>W</x:v>
      </x:c>
      <x:c r="F10" t="str">
        <x:v>B</x:v>
      </x:c>
      <x:c r="G10" t="str">
        <x:v>B</x:v>
      </x:c>
      <x:c r="H10" t="str">
        <x:v>B</x:v>
      </x:c>
      <x:c r="I10" t="str">
        <x:v>W</x:v>
      </x:c>
      <x:c r="J10" t="str">
        <x:v>B</x:v>
      </x:c>
      <x:c r="K10" t="str">
        <x:v>W</x:v>
      </x:c>
      <x:c r="L10" t="str">
        <x:v>B</x:v>
      </x:c>
      <x:c r="M10" t="str">
        <x:v>B</x:v>
      </x:c>
      <x:c r="N10" t="str">
        <x:v>B</x:v>
      </x:c>
      <x:c r="O10" t="str">
        <x:v>B</x:v>
      </x:c>
      <x:c r="P10" t="str">
        <x:v>W</x:v>
      </x:c>
      <x:c r="Q10" t="str">
        <x:v>B</x:v>
      </x:c>
      <x:c r="R10" t="str">
        <x:v>B</x:v>
      </x:c>
      <x:c r="S10" t="str">
        <x:v>B</x:v>
      </x:c>
      <x:c r="T10" t="str">
        <x:v>W</x:v>
      </x:c>
      <x:c r="U10" t="str">
        <x:v>B</x:v>
      </x:c>
      <x:c r="V10" t="n">
        <x:f>COUNTIF(B10:U10,"W")</x:f>
        <x:v>6</x:v>
      </x:c>
      <x:c r="W10" s="5" t="str">
        <x:f>IF(COUNTIF(B10:D10,"W")&gt;0,"Y","N")</x:f>
        <x:v>Y</x:v>
      </x:c>
      <x:c r="X10" s="5" t="str">
        <x:f>IF(COUNTIF(B10:I10,"W")&gt;=4,"Y","N")</x:f>
        <x:v>N</x:v>
      </x:c>
      <x:c r="Y10" s="36" t="str">
        <x:v>Normal z value</x:v>
      </x:c>
      <x:c r="Z10" s="37" t="n">
        <x:f>(5.5-20*'Team_Info'!E5)/SQRT(20*'Team_Info'!E5*(1-'Team_Info'!E5))</x:f>
        <x:v>-0.9662909357236193</x:v>
      </x:c>
      <x:c r="AA10" s="37" t="n">
        <x:f>ROUND(Z10,2)</x:f>
        <x:v>-0.97</x:v>
      </x:c>
      <x:c r="AB10" s="37" t="n">
        <x:f>ABS(AA10-Z10)</x:f>
        <x:v>0.0037090642763806247</x:v>
      </x:c>
      <x:c r="AC10" s="37" t="n">
        <x:f>AB10/ABS(Z10)</x:f>
        <x:v>0.003838455002791726</x:v>
      </x:c>
      <x:c r="AD10" s="38" t="str">
        <x:f>"z-score"</x:f>
        <x:v>z-score</x:v>
      </x:c>
      <x:c r="AE10" s="35" t="str">
        <x:v>Rounded for table lookup</x:v>
      </x:c>
    </x:row>
    <x:row r="11">
      <x:c r="A11" s="1">
        <x:v>10</x:v>
      </x:c>
      <x:c r="B11" t="str">
        <x:v>B</x:v>
      </x:c>
      <x:c r="C11" t="str">
        <x:v>B</x:v>
      </x:c>
      <x:c r="D11" t="str">
        <x:v>W</x:v>
      </x:c>
      <x:c r="E11" t="str">
        <x:v>B</x:v>
      </x:c>
      <x:c r="F11" t="str">
        <x:v>B</x:v>
      </x:c>
      <x:c r="G11" t="str">
        <x:v>B</x:v>
      </x:c>
      <x:c r="H11" t="str">
        <x:v>B</x:v>
      </x:c>
      <x:c r="I11" t="str">
        <x:v>W</x:v>
      </x:c>
      <x:c r="J11" t="str">
        <x:v>W</x:v>
      </x:c>
      <x:c r="K11" t="str">
        <x:v>B</x:v>
      </x:c>
      <x:c r="L11" t="str">
        <x:v>B</x:v>
      </x:c>
      <x:c r="M11" t="str">
        <x:v>B</x:v>
      </x:c>
      <x:c r="N11" t="str">
        <x:v>W</x:v>
      </x:c>
      <x:c r="O11" t="str">
        <x:v>B</x:v>
      </x:c>
      <x:c r="P11" t="str">
        <x:v>W</x:v>
      </x:c>
      <x:c r="Q11" t="str">
        <x:v>B</x:v>
      </x:c>
      <x:c r="R11" t="str">
        <x:v>B</x:v>
      </x:c>
      <x:c r="S11" t="str">
        <x:v>W</x:v>
      </x:c>
      <x:c r="T11" t="str">
        <x:v>B</x:v>
      </x:c>
      <x:c r="U11" t="str">
        <x:v>B</x:v>
      </x:c>
      <x:c r="V11" t="n">
        <x:f>COUNTIF(B11:U11,"W")</x:f>
        <x:v>6</x:v>
      </x:c>
      <x:c r="W11" s="5" t="str">
        <x:f>IF(COUNTIF(B11:D11,"W")&gt;0,"Y","N")</x:f>
        <x:v>Y</x:v>
      </x:c>
      <x:c r="X11" s="5" t="str">
        <x:f>IF(COUNTIF(B11:I11,"W")&gt;=4,"Y","N")</x:f>
        <x:v>N</x:v>
      </x:c>
      <x:c r="Y11" s="36" t="str">
        <x:v>P(X&lt;6), z-table</x:v>
      </x:c>
      <x:c r="Z11" s="37" t="n">
        <x:f>BINOM.DIST(5,20,'Team_Info'!E5,TRUE)</x:f>
        <x:v>0.1673662659</x:v>
      </x:c>
      <x:c r="AA11" s="37" t="n">
        <x:f>ROUND(NORM.DIST(AA10,0,1,TRUE),4)</x:f>
        <x:v>0.166</x:v>
      </x:c>
      <x:c r="AB11" s="37" t="n">
        <x:f>ABS(AA11-Z11)</x:f>
        <x:v>0.0013662658999999966</x:v>
      </x:c>
      <x:c r="AC11" s="37" t="n">
        <x:f>AB11/Z11</x:f>
        <x:v>0.008163329047541334</x:v>
      </x:c>
      <x:c r="AD11" s="38" t="str">
        <x:f>"probability"</x:f>
        <x:v>probability</x:v>
      </x:c>
      <x:c r="AE11" s="35" t="str">
        <x:v>Table value for rounded z</x:v>
      </x:c>
    </x:row>
    <x:row r="12">
      <x:c r="A12" s="1">
        <x:v>11</x:v>
      </x:c>
      <x:c r="B12" t="str">
        <x:v>W</x:v>
      </x:c>
      <x:c r="C12" t="str">
        <x:v>W</x:v>
      </x:c>
      <x:c r="D12" t="str">
        <x:v>W</x:v>
      </x:c>
      <x:c r="E12" t="str">
        <x:v>B</x:v>
      </x:c>
      <x:c r="F12" t="str">
        <x:v>B</x:v>
      </x:c>
      <x:c r="G12" t="str">
        <x:v>W</x:v>
      </x:c>
      <x:c r="H12" t="str">
        <x:v>W</x:v>
      </x:c>
      <x:c r="I12" t="str">
        <x:v>B</x:v>
      </x:c>
      <x:c r="J12" t="str">
        <x:v>B</x:v>
      </x:c>
      <x:c r="K12" t="str">
        <x:v>W</x:v>
      </x:c>
      <x:c r="L12" t="str">
        <x:v>W</x:v>
      </x:c>
      <x:c r="M12" t="str">
        <x:v>B</x:v>
      </x:c>
      <x:c r="N12" t="str">
        <x:v>W</x:v>
      </x:c>
      <x:c r="O12" t="str">
        <x:v>W</x:v>
      </x:c>
      <x:c r="P12" t="str">
        <x:v>B</x:v>
      </x:c>
      <x:c r="Q12" t="str">
        <x:v>B</x:v>
      </x:c>
      <x:c r="R12" t="str">
        <x:v>W</x:v>
      </x:c>
      <x:c r="S12" t="str">
        <x:v>B</x:v>
      </x:c>
      <x:c r="T12" t="str">
        <x:v>B</x:v>
      </x:c>
      <x:c r="U12" t="str">
        <x:v>W</x:v>
      </x:c>
      <x:c r="V12" t="n">
        <x:f>COUNTIF(B12:U12,"W")</x:f>
        <x:v>11</x:v>
      </x:c>
      <x:c r="W12" s="5" t="str">
        <x:f>IF(COUNTIF(B12:D12,"W")&gt;0,"Y","N")</x:f>
        <x:v>Y</x:v>
      </x:c>
      <x:c r="X12" s="5" t="str">
        <x:f>IF(COUNTIF(B12:I12,"W")&gt;=4,"Y","N")</x:f>
        <x:v>Y</x:v>
      </x:c>
      <x:c r="Y12" s="42"/>
      <x:c r="Z12" s="42"/>
      <x:c r="AA12" s="42"/>
      <x:c r="AB12" s="42"/>
      <x:c r="AC12" s="42"/>
      <x:c r="AD12" s="42"/>
      <x:c r="AE12" s="42"/>
    </x:row>
    <x:row r="13">
      <x:c r="A13" s="1">
        <x:v>12</x:v>
      </x:c>
      <x:c r="B13" t="str">
        <x:v>B</x:v>
      </x:c>
      <x:c r="C13" t="str">
        <x:v>B</x:v>
      </x:c>
      <x:c r="D13" t="str">
        <x:v>B</x:v>
      </x:c>
      <x:c r="E13" t="str">
        <x:v>W</x:v>
      </x:c>
      <x:c r="F13" t="str">
        <x:v>W</x:v>
      </x:c>
      <x:c r="G13" t="str">
        <x:v>W</x:v>
      </x:c>
      <x:c r="H13" t="str">
        <x:v>B</x:v>
      </x:c>
      <x:c r="I13" t="str">
        <x:v>B</x:v>
      </x:c>
      <x:c r="J13" t="str">
        <x:v>W</x:v>
      </x:c>
      <x:c r="K13" t="str">
        <x:v>B</x:v>
      </x:c>
      <x:c r="L13" t="str">
        <x:v>B</x:v>
      </x:c>
      <x:c r="M13" t="str">
        <x:v>B</x:v>
      </x:c>
      <x:c r="N13" t="str">
        <x:v>B</x:v>
      </x:c>
      <x:c r="O13" t="str">
        <x:v>W</x:v>
      </x:c>
      <x:c r="P13" t="str">
        <x:v>B</x:v>
      </x:c>
      <x:c r="Q13" t="str">
        <x:v>B</x:v>
      </x:c>
      <x:c r="R13" t="str">
        <x:v>W</x:v>
      </x:c>
      <x:c r="S13" t="str">
        <x:v>W</x:v>
      </x:c>
      <x:c r="T13" t="str">
        <x:v>B</x:v>
      </x:c>
      <x:c r="U13" t="str">
        <x:v>B</x:v>
      </x:c>
      <x:c r="V13" t="n">
        <x:f>COUNTIF(B13:U13,"W")</x:f>
        <x:v>7</x:v>
      </x:c>
      <x:c r="W13" s="5" t="str">
        <x:f>IF(COUNTIF(B13:D13,"W")&gt;0,"Y","N")</x:f>
        <x:v>N</x:v>
      </x:c>
      <x:c r="X13" s="5" t="str">
        <x:f>IF(COUNTIF(B13:I13,"W")&gt;=4,"Y","N")</x:f>
        <x:v>N</x:v>
      </x:c>
      <x:c r="Y13" s="34" t="str">
        <x:v>x</x:v>
      </x:c>
      <x:c r="Z13" s="34" t="str">
        <x:v>Binomial PMF</x:v>
      </x:c>
      <x:c r="AA13" s="34" t="str">
        <x:v>Relative frequency</x:v>
      </x:c>
      <x:c r="AB13" s="34" t="str">
        <x:v>Absolute deviation</x:v>
      </x:c>
      <x:c r="AC13" s="34" t="str">
        <x:v>Relative error</x:v>
      </x:c>
      <x:c r="AD13" s="42"/>
      <x:c r="AE13" s="42"/>
    </x:row>
    <x:row r="14">
      <x:c r="A14" s="1">
        <x:v>13</x:v>
      </x:c>
      <x:c r="B14" t="str">
        <x:v>W</x:v>
      </x:c>
      <x:c r="C14" t="str">
        <x:v>B</x:v>
      </x:c>
      <x:c r="D14" t="str">
        <x:v>B</x:v>
      </x:c>
      <x:c r="E14" t="str">
        <x:v>B</x:v>
      </x:c>
      <x:c r="F14" t="str">
        <x:v>W</x:v>
      </x:c>
      <x:c r="G14" t="str">
        <x:v>W</x:v>
      </x:c>
      <x:c r="H14" t="str">
        <x:v>W</x:v>
      </x:c>
      <x:c r="I14" t="str">
        <x:v>B</x:v>
      </x:c>
      <x:c r="J14" t="str">
        <x:v>W</x:v>
      </x:c>
      <x:c r="K14" t="str">
        <x:v>W</x:v>
      </x:c>
      <x:c r="L14" t="str">
        <x:v>B</x:v>
      </x:c>
      <x:c r="M14" t="str">
        <x:v>B</x:v>
      </x:c>
      <x:c r="N14" t="str">
        <x:v>B</x:v>
      </x:c>
      <x:c r="O14" t="str">
        <x:v>B</x:v>
      </x:c>
      <x:c r="P14" t="str">
        <x:v>B</x:v>
      </x:c>
      <x:c r="Q14" t="str">
        <x:v>W</x:v>
      </x:c>
      <x:c r="R14" t="str">
        <x:v>B</x:v>
      </x:c>
      <x:c r="S14" t="str">
        <x:v>B</x:v>
      </x:c>
      <x:c r="T14" t="str">
        <x:v>W</x:v>
      </x:c>
      <x:c r="U14" t="str">
        <x:v>B</x:v>
      </x:c>
      <x:c r="V14" t="n">
        <x:f>COUNTIF(B14:U14,"W")</x:f>
        <x:v>8</x:v>
      </x:c>
      <x:c r="W14" s="5" t="str">
        <x:f>IF(COUNTIF(B14:D14,"W")&gt;0,"Y","N")</x:f>
        <x:v>Y</x:v>
      </x:c>
      <x:c r="X14" s="5" t="str">
        <x:f>IF(COUNTIF(B14:I14,"W")&gt;=4,"Y","N")</x:f>
        <x:v>Y</x:v>
      </x:c>
      <x:c r="Y14" s="35" t="n">
        <x:v>0</x:v>
      </x:c>
      <x:c r="Z14" s="37" t="n">
        <x:f>BINOM.DIST(Y14,20,'Team_Info'!$E$5,FALSE)</x:f>
        <x:v>0.00007073803880652933</x:v>
      </x:c>
      <x:c r="AA14" s="37" t="n">
        <x:f>COUNTIF($V$2:$V$501,Y14)/500</x:f>
        <x:v>0</x:v>
      </x:c>
      <x:c r="AB14" s="37" t="n">
        <x:f>ABS(AA14-Z14)</x:f>
        <x:v>0.00007073803880652933</x:v>
      </x:c>
      <x:c r="AC14" s="38" t="n">
        <x:f>IF(Z14=0,0,AB14/Z14)</x:f>
        <x:v>1</x:v>
      </x:c>
      <x:c r="AD14" s="42"/>
      <x:c r="AE14" s="42"/>
    </x:row>
    <x:row r="15">
      <x:c r="A15" s="1">
        <x:v>14</x:v>
      </x:c>
      <x:c r="B15" t="str">
        <x:v>B</x:v>
      </x:c>
      <x:c r="C15" t="str">
        <x:v>B</x:v>
      </x:c>
      <x:c r="D15" t="str">
        <x:v>W</x:v>
      </x:c>
      <x:c r="E15" t="str">
        <x:v>B</x:v>
      </x:c>
      <x:c r="F15" t="str">
        <x:v>W</x:v>
      </x:c>
      <x:c r="G15" t="str">
        <x:v>W</x:v>
      </x:c>
      <x:c r="H15" t="str">
        <x:v>B</x:v>
      </x:c>
      <x:c r="I15" t="str">
        <x:v>W</x:v>
      </x:c>
      <x:c r="J15" t="str">
        <x:v>B</x:v>
      </x:c>
      <x:c r="K15" t="str">
        <x:v>B</x:v>
      </x:c>
      <x:c r="L15" t="str">
        <x:v>B</x:v>
      </x:c>
      <x:c r="M15" t="str">
        <x:v>B</x:v>
      </x:c>
      <x:c r="N15" t="str">
        <x:v>W</x:v>
      </x:c>
      <x:c r="O15" t="str">
        <x:v>B</x:v>
      </x:c>
      <x:c r="P15" t="str">
        <x:v>W</x:v>
      </x:c>
      <x:c r="Q15" t="str">
        <x:v>W</x:v>
      </x:c>
      <x:c r="R15" t="str">
        <x:v>W</x:v>
      </x:c>
      <x:c r="S15" t="str">
        <x:v>B</x:v>
      </x:c>
      <x:c r="T15" t="str">
        <x:v>W</x:v>
      </x:c>
      <x:c r="U15" t="str">
        <x:v>B</x:v>
      </x:c>
      <x:c r="V15" t="n">
        <x:f>COUNTIF(B15:U15,"W")</x:f>
        <x:v>9</x:v>
      </x:c>
      <x:c r="W15" s="5" t="str">
        <x:f>IF(COUNTIF(B15:D15,"W")&gt;0,"Y","N")</x:f>
        <x:v>Y</x:v>
      </x:c>
      <x:c r="X15" s="5" t="str">
        <x:f>IF(COUNTIF(B15:I15,"W")&gt;=4,"Y","N")</x:f>
        <x:v>Y</x:v>
      </x:c>
      <x:c r="Y15" s="35" t="n">
        <x:v>1</x:v>
      </x:c>
      <x:c r="Z15" s="37" t="n">
        <x:f>BINOM.DIST(Y15,20,'Team_Info'!$E$5,FALSE)</x:f>
        <x:v>0.0008666335644360138</x:v>
      </x:c>
      <x:c r="AA15" s="37" t="n">
        <x:f>COUNTIF($V$2:$V$501,Y15)/500</x:f>
        <x:v>0</x:v>
      </x:c>
      <x:c r="AB15" s="37" t="n">
        <x:f>ABS(AA15-Z15)</x:f>
        <x:v>0.0008666335644360138</x:v>
      </x:c>
      <x:c r="AC15" s="38" t="n">
        <x:f>IF(Z15=0,0,AB15/Z15)</x:f>
        <x:v>1</x:v>
      </x:c>
      <x:c r="AD15" s="42"/>
      <x:c r="AE15" s="42"/>
    </x:row>
    <x:row r="16">
      <x:c r="A16" s="1">
        <x:v>15</x:v>
      </x:c>
      <x:c r="B16" t="str">
        <x:v>W</x:v>
      </x:c>
      <x:c r="C16" t="str">
        <x:v>B</x:v>
      </x:c>
      <x:c r="D16" t="str">
        <x:v>B</x:v>
      </x:c>
      <x:c r="E16" t="str">
        <x:v>B</x:v>
      </x:c>
      <x:c r="F16" t="str">
        <x:v>B</x:v>
      </x:c>
      <x:c r="G16" t="str">
        <x:v>B</x:v>
      </x:c>
      <x:c r="H16" t="str">
        <x:v>W</x:v>
      </x:c>
      <x:c r="I16" t="str">
        <x:v>B</x:v>
      </x:c>
      <x:c r="J16" t="str">
        <x:v>W</x:v>
      </x:c>
      <x:c r="K16" t="str">
        <x:v>B</x:v>
      </x:c>
      <x:c r="L16" t="str">
        <x:v>B</x:v>
      </x:c>
      <x:c r="M16" t="str">
        <x:v>B</x:v>
      </x:c>
      <x:c r="N16" t="str">
        <x:v>B</x:v>
      </x:c>
      <x:c r="O16" t="str">
        <x:v>W</x:v>
      </x:c>
      <x:c r="P16" t="str">
        <x:v>B</x:v>
      </x:c>
      <x:c r="Q16" t="str">
        <x:v>W</x:v>
      </x:c>
      <x:c r="R16" t="str">
        <x:v>W</x:v>
      </x:c>
      <x:c r="S16" t="str">
        <x:v>B</x:v>
      </x:c>
      <x:c r="T16" t="str">
        <x:v>B</x:v>
      </x:c>
      <x:c r="U16" t="str">
        <x:v>B</x:v>
      </x:c>
      <x:c r="V16" t="n">
        <x:f>COUNTIF(B16:U16,"W")</x:f>
        <x:v>6</x:v>
      </x:c>
      <x:c r="W16" s="5" t="str">
        <x:f>IF(COUNTIF(B16:D16,"W")&gt;0,"Y","N")</x:f>
        <x:v>Y</x:v>
      </x:c>
      <x:c r="X16" s="5" t="str">
        <x:f>IF(COUNTIF(B16:I16,"W")&gt;=4,"Y","N")</x:f>
        <x:v>N</x:v>
      </x:c>
      <x:c r="Y16" s="35" t="n">
        <x:v>2</x:v>
      </x:c>
      <x:c r="Z16" s="37" t="n">
        <x:f>BINOM.DIST(Y16,20,'Team_Info'!$E$5,FALSE)</x:f>
        <x:v>0.005043262863197013</x:v>
      </x:c>
      <x:c r="AA16" s="37" t="n">
        <x:f>COUNTIF($V$2:$V$501,Y16)/500</x:f>
        <x:v>0.008</x:v>
      </x:c>
      <x:c r="AB16" s="37" t="n">
        <x:f>ABS(AA16-Z16)</x:f>
        <x:v>0.0029567371368029874</x:v>
      </x:c>
      <x:c r="AC16" s="38" t="n">
        <x:f>IF(Z16=0,0,AB16/Z16)</x:f>
        <x:v>0.586274643421751</x:v>
      </x:c>
      <x:c r="AD16" s="42"/>
      <x:c r="AE16" s="42"/>
    </x:row>
    <x:row r="17">
      <x:c r="A17" s="1">
        <x:v>16</x:v>
      </x:c>
      <x:c r="B17" t="str">
        <x:v>B</x:v>
      </x:c>
      <x:c r="C17" t="str">
        <x:v>B</x:v>
      </x:c>
      <x:c r="D17" t="str">
        <x:v>B</x:v>
      </x:c>
      <x:c r="E17" t="str">
        <x:v>B</x:v>
      </x:c>
      <x:c r="F17" t="str">
        <x:v>W</x:v>
      </x:c>
      <x:c r="G17" t="str">
        <x:v>B</x:v>
      </x:c>
      <x:c r="H17" t="str">
        <x:v>B</x:v>
      </x:c>
      <x:c r="I17" t="str">
        <x:v>W</x:v>
      </x:c>
      <x:c r="J17" t="str">
        <x:v>W</x:v>
      </x:c>
      <x:c r="K17" t="str">
        <x:v>W</x:v>
      </x:c>
      <x:c r="L17" t="str">
        <x:v>B</x:v>
      </x:c>
      <x:c r="M17" t="str">
        <x:v>B</x:v>
      </x:c>
      <x:c r="N17" t="str">
        <x:v>B</x:v>
      </x:c>
      <x:c r="O17" t="str">
        <x:v>B</x:v>
      </x:c>
      <x:c r="P17" t="str">
        <x:v>B</x:v>
      </x:c>
      <x:c r="Q17" t="str">
        <x:v>B</x:v>
      </x:c>
      <x:c r="R17" t="str">
        <x:v>B</x:v>
      </x:c>
      <x:c r="S17" t="str">
        <x:v>W</x:v>
      </x:c>
      <x:c r="T17" t="str">
        <x:v>B</x:v>
      </x:c>
      <x:c r="U17" t="str">
        <x:v>B</x:v>
      </x:c>
      <x:c r="V17" t="n">
        <x:f>COUNTIF(B17:U17,"W")</x:f>
        <x:v>5</x:v>
      </x:c>
      <x:c r="W17" s="5" t="str">
        <x:f>IF(COUNTIF(B17:D17,"W")&gt;0,"Y","N")</x:f>
        <x:v>N</x:v>
      </x:c>
      <x:c r="X17" s="5" t="str">
        <x:f>IF(COUNTIF(B17:I17,"W")&gt;=4,"Y","N")</x:f>
        <x:v>N</x:v>
      </x:c>
      <x:c r="Y17" s="35" t="n">
        <x:v>3</x:v>
      </x:c>
      <x:c r="Z17" s="37" t="n">
        <x:f>BINOM.DIST(Y17,20,'Team_Info'!$E$5,FALSE)</x:f>
        <x:v>0.018535971361069648</x:v>
      </x:c>
      <x:c r="AA17" s="37" t="n">
        <x:f>COUNTIF($V$2:$V$501,Y17)/500</x:f>
        <x:v>0.018</x:v>
      </x:c>
      <x:c r="AB17" s="37" t="n">
        <x:f>ABS(AA17-Z17)</x:f>
        <x:v>0.0005359713610696495</x:v>
      </x:c>
      <x:c r="AC17" s="38" t="n">
        <x:f>IF(Z17=0,0,AB17/Z17)</x:f>
        <x:v>0.02891520226424867</x:v>
      </x:c>
      <x:c r="AD17" s="42"/>
      <x:c r="AE17" s="42"/>
    </x:row>
    <x:row r="18">
      <x:c r="A18" s="1">
        <x:v>17</x:v>
      </x:c>
      <x:c r="B18" t="str">
        <x:v>B</x:v>
      </x:c>
      <x:c r="C18" t="str">
        <x:v>B</x:v>
      </x:c>
      <x:c r="D18" t="str">
        <x:v>W</x:v>
      </x:c>
      <x:c r="E18" t="str">
        <x:v>B</x:v>
      </x:c>
      <x:c r="F18" t="str">
        <x:v>B</x:v>
      </x:c>
      <x:c r="G18" t="str">
        <x:v>B</x:v>
      </x:c>
      <x:c r="H18" t="str">
        <x:v>W</x:v>
      </x:c>
      <x:c r="I18" t="str">
        <x:v>B</x:v>
      </x:c>
      <x:c r="J18" t="str">
        <x:v>B</x:v>
      </x:c>
      <x:c r="K18" t="str">
        <x:v>B</x:v>
      </x:c>
      <x:c r="L18" t="str">
        <x:v>W</x:v>
      </x:c>
      <x:c r="M18" t="str">
        <x:v>B</x:v>
      </x:c>
      <x:c r="N18" t="str">
        <x:v>B</x:v>
      </x:c>
      <x:c r="O18" t="str">
        <x:v>W</x:v>
      </x:c>
      <x:c r="P18" t="str">
        <x:v>B</x:v>
      </x:c>
      <x:c r="Q18" t="str">
        <x:v>W</x:v>
      </x:c>
      <x:c r="R18" t="str">
        <x:v>W</x:v>
      </x:c>
      <x:c r="S18" t="str">
        <x:v>B</x:v>
      </x:c>
      <x:c r="T18" t="str">
        <x:v>B</x:v>
      </x:c>
      <x:c r="U18" t="str">
        <x:v>B</x:v>
      </x:c>
      <x:c r="V18" t="n">
        <x:f>COUNTIF(B18:U18,"W")</x:f>
        <x:v>6</x:v>
      </x:c>
      <x:c r="W18" s="5" t="str">
        <x:f>IF(COUNTIF(B18:D18,"W")&gt;0,"Y","N")</x:f>
        <x:v>Y</x:v>
      </x:c>
      <x:c r="X18" s="5" t="str">
        <x:f>IF(COUNTIF(B18:I18,"W")&gt;=4,"Y","N")</x:f>
        <x:v>N</x:v>
      </x:c>
      <x:c r="Y18" s="35" t="n">
        <x:v>4</x:v>
      </x:c>
      <x:c r="Z18" s="37" t="n">
        <x:f>BINOM.DIST(Y18,20,'Team_Info'!$E$5,FALSE)</x:f>
        <x:v>0.04825660606959101</x:v>
      </x:c>
      <x:c r="AA18" s="37" t="n">
        <x:f>COUNTIF($V$2:$V$501,Y18)/500</x:f>
        <x:v>0.036</x:v>
      </x:c>
      <x:c r="AB18" s="37" t="n">
        <x:f>ABS(AA18-Z18)</x:f>
        <x:v>0.01225660606959101</x:v>
      </x:c>
      <x:c r="AC18" s="38" t="n">
        <x:f>IF(Z18=0,0,AB18/Z18)</x:f>
        <x:v>0.2539881493513182</x:v>
      </x:c>
      <x:c r="AD18" s="42"/>
      <x:c r="AE18" s="42"/>
    </x:row>
    <x:row r="19">
      <x:c r="A19" s="1">
        <x:v>18</x:v>
      </x:c>
      <x:c r="B19" t="str">
        <x:v>B</x:v>
      </x:c>
      <x:c r="C19" t="str">
        <x:v>B</x:v>
      </x:c>
      <x:c r="D19" t="str">
        <x:v>W</x:v>
      </x:c>
      <x:c r="E19" t="str">
        <x:v>B</x:v>
      </x:c>
      <x:c r="F19" t="str">
        <x:v>B</x:v>
      </x:c>
      <x:c r="G19" t="str">
        <x:v>B</x:v>
      </x:c>
      <x:c r="H19" t="str">
        <x:v>B</x:v>
      </x:c>
      <x:c r="I19" t="str">
        <x:v>B</x:v>
      </x:c>
      <x:c r="J19" t="str">
        <x:v>W</x:v>
      </x:c>
      <x:c r="K19" t="str">
        <x:v>W</x:v>
      </x:c>
      <x:c r="L19" t="str">
        <x:v>B</x:v>
      </x:c>
      <x:c r="M19" t="str">
        <x:v>W</x:v>
      </x:c>
      <x:c r="N19" t="str">
        <x:v>W</x:v>
      </x:c>
      <x:c r="O19" t="str">
        <x:v>B</x:v>
      </x:c>
      <x:c r="P19" t="str">
        <x:v>B</x:v>
      </x:c>
      <x:c r="Q19" t="str">
        <x:v>B</x:v>
      </x:c>
      <x:c r="R19" t="str">
        <x:v>B</x:v>
      </x:c>
      <x:c r="S19" t="str">
        <x:v>B</x:v>
      </x:c>
      <x:c r="T19" t="str">
        <x:v>B</x:v>
      </x:c>
      <x:c r="U19" t="str">
        <x:v>B</x:v>
      </x:c>
      <x:c r="V19" t="n">
        <x:f>COUNTIF(B19:U19,"W")</x:f>
        <x:v>5</x:v>
      </x:c>
      <x:c r="W19" s="5" t="str">
        <x:f>IF(COUNTIF(B19:D19,"W")&gt;0,"Y","N")</x:f>
        <x:v>Y</x:v>
      </x:c>
      <x:c r="X19" s="5" t="str">
        <x:f>IF(COUNTIF(B19:I19,"W")&gt;=4,"Y","N")</x:f>
        <x:v>N</x:v>
      </x:c>
      <x:c r="Y19" s="35" t="n">
        <x:v>5</x:v>
      </x:c>
      <x:c r="Z19" s="37" t="n">
        <x:f>BINOM.DIST(Y19,20,'Team_Info'!$E$5,FALSE)</x:f>
        <x:v>0.09459305399191033</x:v>
      </x:c>
      <x:c r="AA19" s="37" t="n">
        <x:f>COUNTIF($V$2:$V$501,Y19)/500</x:f>
        <x:v>0.106</x:v>
      </x:c>
      <x:c r="AB19" s="37" t="n">
        <x:f>ABS(AA19-Z19)</x:f>
        <x:v>0.011406946008089669</x:v>
      </x:c>
      <x:c r="AC19" s="38" t="n">
        <x:f>IF(Z19=0,0,AB19/Z19)</x:f>
        <x:v>0.12058967891093991</x:v>
      </x:c>
      <x:c r="AD19" s="42"/>
      <x:c r="AE19" s="42"/>
    </x:row>
    <x:row r="20">
      <x:c r="A20" s="1">
        <x:v>19</x:v>
      </x:c>
      <x:c r="B20" t="str">
        <x:v>W</x:v>
      </x:c>
      <x:c r="C20" t="str">
        <x:v>W</x:v>
      </x:c>
      <x:c r="D20" t="str">
        <x:v>B</x:v>
      </x:c>
      <x:c r="E20" t="str">
        <x:v>W</x:v>
      </x:c>
      <x:c r="F20" t="str">
        <x:v>W</x:v>
      </x:c>
      <x:c r="G20" t="str">
        <x:v>B</x:v>
      </x:c>
      <x:c r="H20" t="str">
        <x:v>B</x:v>
      </x:c>
      <x:c r="I20" t="str">
        <x:v>B</x:v>
      </x:c>
      <x:c r="J20" t="str">
        <x:v>B</x:v>
      </x:c>
      <x:c r="K20" t="str">
        <x:v>B</x:v>
      </x:c>
      <x:c r="L20" t="str">
        <x:v>B</x:v>
      </x:c>
      <x:c r="M20" t="str">
        <x:v>B</x:v>
      </x:c>
      <x:c r="N20" t="str">
        <x:v>B</x:v>
      </x:c>
      <x:c r="O20" t="str">
        <x:v>W</x:v>
      </x:c>
      <x:c r="P20" t="str">
        <x:v>B</x:v>
      </x:c>
      <x:c r="Q20" t="str">
        <x:v>B</x:v>
      </x:c>
      <x:c r="R20" t="str">
        <x:v>B</x:v>
      </x:c>
      <x:c r="S20" t="str">
        <x:v>W</x:v>
      </x:c>
      <x:c r="T20" t="str">
        <x:v>W</x:v>
      </x:c>
      <x:c r="U20" t="str">
        <x:v>W</x:v>
      </x:c>
      <x:c r="V20" t="n">
        <x:f>COUNTIF(B20:U20,"W")</x:f>
        <x:v>8</x:v>
      </x:c>
      <x:c r="W20" s="5" t="str">
        <x:f>IF(COUNTIF(B20:D20,"W")&gt;0,"Y","N")</x:f>
        <x:v>Y</x:v>
      </x:c>
      <x:c r="X20" s="5" t="str">
        <x:f>IF(COUNTIF(B20:I20,"W")&gt;=4,"Y","N")</x:f>
        <x:v>Y</x:v>
      </x:c>
      <x:c r="Y20" s="35" t="n">
        <x:v>6</x:v>
      </x:c>
      <x:c r="Z20" s="37" t="n">
        <x:f>BINOM.DIST(Y20,20,'Team_Info'!$E$5,FALSE)</x:f>
        <x:v>0.14486109053734963</x:v>
      </x:c>
      <x:c r="AA20" s="37" t="n">
        <x:f>COUNTIF($V$2:$V$501,Y20)/500</x:f>
        <x:v>0.164</x:v>
      </x:c>
      <x:c r="AB20" s="37" t="n">
        <x:f>ABS(AA20-Z20)</x:f>
        <x:v>0.019138909462650372</x:v>
      </x:c>
      <x:c r="AC20" s="38" t="n">
        <x:f>IF(Z20=0,0,AB20/Z20)</x:f>
        <x:v>0.13211904861171658</x:v>
      </x:c>
      <x:c r="AD20" s="42"/>
      <x:c r="AE20" s="42"/>
    </x:row>
    <x:row r="21">
      <x:c r="A21" s="1">
        <x:v>20</x:v>
      </x:c>
      <x:c r="B21" t="str">
        <x:v>B</x:v>
      </x:c>
      <x:c r="C21" t="str">
        <x:v>W</x:v>
      </x:c>
      <x:c r="D21" t="str">
        <x:v>B</x:v>
      </x:c>
      <x:c r="E21" t="str">
        <x:v>B</x:v>
      </x:c>
      <x:c r="F21" t="str">
        <x:v>B</x:v>
      </x:c>
      <x:c r="G21" t="str">
        <x:v>W</x:v>
      </x:c>
      <x:c r="H21" t="str">
        <x:v>B</x:v>
      </x:c>
      <x:c r="I21" t="str">
        <x:v>B</x:v>
      </x:c>
      <x:c r="J21" t="str">
        <x:v>W</x:v>
      </x:c>
      <x:c r="K21" t="str">
        <x:v>B</x:v>
      </x:c>
      <x:c r="L21" t="str">
        <x:v>B</x:v>
      </x:c>
      <x:c r="M21" t="str">
        <x:v>B</x:v>
      </x:c>
      <x:c r="N21" t="str">
        <x:v>B</x:v>
      </x:c>
      <x:c r="O21" t="str">
        <x:v>B</x:v>
      </x:c>
      <x:c r="P21" t="str">
        <x:v>B</x:v>
      </x:c>
      <x:c r="Q21" t="str">
        <x:v>B</x:v>
      </x:c>
      <x:c r="R21" t="str">
        <x:v>B</x:v>
      </x:c>
      <x:c r="S21" t="str">
        <x:v>W</x:v>
      </x:c>
      <x:c r="T21" t="str">
        <x:v>B</x:v>
      </x:c>
      <x:c r="U21" t="str">
        <x:v>W</x:v>
      </x:c>
      <x:c r="V21" t="n">
        <x:f>COUNTIF(B21:U21,"W")</x:f>
        <x:v>5</x:v>
      </x:c>
      <x:c r="W21" s="5" t="str">
        <x:f>IF(COUNTIF(B21:D21,"W")&gt;0,"Y","N")</x:f>
        <x:v>Y</x:v>
      </x:c>
      <x:c r="X21" s="5" t="str">
        <x:f>IF(COUNTIF(B21:I21,"W")&gt;=4,"Y","N")</x:f>
        <x:v>N</x:v>
      </x:c>
      <x:c r="Y21" s="35" t="n">
        <x:v>7</x:v>
      </x:c>
      <x:c r="Z21" s="37" t="n">
        <x:f>BINOM.DIST(Y21,20,'Team_Info'!$E$5,FALSE)</x:f>
        <x:v>0.17747379678397804</x:v>
      </x:c>
      <x:c r="AA21" s="37" t="n">
        <x:f>COUNTIF($V$2:$V$501,Y21)/500</x:f>
        <x:v>0.178</x:v>
      </x:c>
      <x:c r="AB21" s="37" t="n">
        <x:f>ABS(AA21-Z21)</x:f>
        <x:v>0.0005262032160219532</x:v>
      </x:c>
      <x:c r="AC21" s="38" t="n">
        <x:f>IF(Z21=0,0,AB21/Z21)</x:f>
        <x:v>0.0029649628596296403</x:v>
      </x:c>
      <x:c r="AD21" s="42"/>
      <x:c r="AE21" s="42"/>
    </x:row>
    <x:row r="22">
      <x:c r="A22" s="1">
        <x:v>21</x:v>
      </x:c>
      <x:c r="B22" t="str">
        <x:v>B</x:v>
      </x:c>
      <x:c r="C22" t="str">
        <x:v>B</x:v>
      </x:c>
      <x:c r="D22" t="str">
        <x:v>W</x:v>
      </x:c>
      <x:c r="E22" t="str">
        <x:v>W</x:v>
      </x:c>
      <x:c r="F22" t="str">
        <x:v>B</x:v>
      </x:c>
      <x:c r="G22" t="str">
        <x:v>B</x:v>
      </x:c>
      <x:c r="H22" t="str">
        <x:v>B</x:v>
      </x:c>
      <x:c r="I22" t="str">
        <x:v>B</x:v>
      </x:c>
      <x:c r="J22" t="str">
        <x:v>W</x:v>
      </x:c>
      <x:c r="K22" t="str">
        <x:v>B</x:v>
      </x:c>
      <x:c r="L22" t="str">
        <x:v>W</x:v>
      </x:c>
      <x:c r="M22" t="str">
        <x:v>B</x:v>
      </x:c>
      <x:c r="N22" t="str">
        <x:v>B</x:v>
      </x:c>
      <x:c r="O22" t="str">
        <x:v>B</x:v>
      </x:c>
      <x:c r="P22" t="str">
        <x:v>B</x:v>
      </x:c>
      <x:c r="Q22" t="str">
        <x:v>B</x:v>
      </x:c>
      <x:c r="R22" t="str">
        <x:v>W</x:v>
      </x:c>
      <x:c r="S22" t="str">
        <x:v>B</x:v>
      </x:c>
      <x:c r="T22" t="str">
        <x:v>W</x:v>
      </x:c>
      <x:c r="U22" t="str">
        <x:v>W</x:v>
      </x:c>
      <x:c r="V22" t="n">
        <x:f>COUNTIF(B22:U22,"W")</x:f>
        <x:v>7</x:v>
      </x:c>
      <x:c r="W22" s="5" t="str">
        <x:f>IF(COUNTIF(B22:D22,"W")&gt;0,"Y","N")</x:f>
        <x:v>Y</x:v>
      </x:c>
      <x:c r="X22" s="5" t="str">
        <x:f>IF(COUNTIF(B22:I22,"W")&gt;=4,"Y","N")</x:f>
        <x:v>N</x:v>
      </x:c>
      <x:c r="Y22" s="35" t="n">
        <x:v>8</x:v>
      </x:c>
      <x:c r="Z22" s="37" t="n">
        <x:f>BINOM.DIST(Y22,20,'Team_Info'!$E$5,FALSE)</x:f>
        <x:v>0.17666076237462738</x:v>
      </x:c>
      <x:c r="AA22" s="37" t="n">
        <x:f>COUNTIF($V$2:$V$501,Y22)/500</x:f>
        <x:v>0.158</x:v>
      </x:c>
      <x:c r="AB22" s="37" t="n">
        <x:f>ABS(AA22-Z22)</x:f>
        <x:v>0.018660762374627382</x:v>
      </x:c>
      <x:c r="AC22" s="38" t="n">
        <x:f>IF(Z22=0,0,AB22/Z22)</x:f>
        <x:v>0.10563048706342221</x:v>
      </x:c>
      <x:c r="AD22" s="42"/>
      <x:c r="AE22" s="42"/>
    </x:row>
    <x:row r="23">
      <x:c r="A23" s="1">
        <x:v>22</x:v>
      </x:c>
      <x:c r="B23" t="str">
        <x:v>W</x:v>
      </x:c>
      <x:c r="C23" t="str">
        <x:v>B</x:v>
      </x:c>
      <x:c r="D23" t="str">
        <x:v>B</x:v>
      </x:c>
      <x:c r="E23" t="str">
        <x:v>B</x:v>
      </x:c>
      <x:c r="F23" t="str">
        <x:v>W</x:v>
      </x:c>
      <x:c r="G23" t="str">
        <x:v>B</x:v>
      </x:c>
      <x:c r="H23" t="str">
        <x:v>B</x:v>
      </x:c>
      <x:c r="I23" t="str">
        <x:v>B</x:v>
      </x:c>
      <x:c r="J23" t="str">
        <x:v>B</x:v>
      </x:c>
      <x:c r="K23" t="str">
        <x:v>B</x:v>
      </x:c>
      <x:c r="L23" t="str">
        <x:v>B</x:v>
      </x:c>
      <x:c r="M23" t="str">
        <x:v>B</x:v>
      </x:c>
      <x:c r="N23" t="str">
        <x:v>W</x:v>
      </x:c>
      <x:c r="O23" t="str">
        <x:v>W</x:v>
      </x:c>
      <x:c r="P23" t="str">
        <x:v>W</x:v>
      </x:c>
      <x:c r="Q23" t="str">
        <x:v>B</x:v>
      </x:c>
      <x:c r="R23" t="str">
        <x:v>B</x:v>
      </x:c>
      <x:c r="S23" t="str">
        <x:v>B</x:v>
      </x:c>
      <x:c r="T23" t="str">
        <x:v>B</x:v>
      </x:c>
      <x:c r="U23" t="str">
        <x:v>W</x:v>
      </x:c>
      <x:c r="V23" t="n">
        <x:f>COUNTIF(B23:U23,"W")</x:f>
        <x:v>6</x:v>
      </x:c>
      <x:c r="W23" s="5" t="str">
        <x:f>IF(COUNTIF(B23:D23,"W")&gt;0,"Y","N")</x:f>
        <x:v>Y</x:v>
      </x:c>
      <x:c r="X23" s="5" t="str">
        <x:f>IF(COUNTIF(B23:I23,"W")&gt;=4,"Y","N")</x:f>
        <x:v>N</x:v>
      </x:c>
      <x:c r="Y23" s="35" t="n">
        <x:v>9</x:v>
      </x:c>
      <x:c r="Z23" s="37" t="n">
        <x:f>BINOM.DIST(Y23,20,'Team_Info'!$E$5,FALSE)</x:f>
        <x:v>0.14428837136357003</x:v>
      </x:c>
      <x:c r="AA23" s="37" t="n">
        <x:f>COUNTIF($V$2:$V$501,Y23)/500</x:f>
        <x:v>0.166</x:v>
      </x:c>
      <x:c r="AB23" s="37" t="n">
        <x:f>ABS(AA23-Z23)</x:f>
        <x:v>0.021711628636429975</x:v>
      </x:c>
      <x:c r="AC23" s="38" t="n">
        <x:f>IF(Z23=0,0,AB23/Z23)</x:f>
        <x:v>0.15047386307883528</x:v>
      </x:c>
      <x:c r="AD23" s="42"/>
      <x:c r="AE23" s="42"/>
    </x:row>
    <x:row r="24">
      <x:c r="A24" s="1">
        <x:v>23</x:v>
      </x:c>
      <x:c r="B24" t="str">
        <x:v>B</x:v>
      </x:c>
      <x:c r="C24" t="str">
        <x:v>B</x:v>
      </x:c>
      <x:c r="D24" t="str">
        <x:v>B</x:v>
      </x:c>
      <x:c r="E24" t="str">
        <x:v>B</x:v>
      </x:c>
      <x:c r="F24" t="str">
        <x:v>B</x:v>
      </x:c>
      <x:c r="G24" t="str">
        <x:v>B</x:v>
      </x:c>
      <x:c r="H24" t="str">
        <x:v>B</x:v>
      </x:c>
      <x:c r="I24" t="str">
        <x:v>B</x:v>
      </x:c>
      <x:c r="J24" t="str">
        <x:v>B</x:v>
      </x:c>
      <x:c r="K24" t="str">
        <x:v>B</x:v>
      </x:c>
      <x:c r="L24" t="str">
        <x:v>B</x:v>
      </x:c>
      <x:c r="M24" t="str">
        <x:v>B</x:v>
      </x:c>
      <x:c r="N24" t="str">
        <x:v>B</x:v>
      </x:c>
      <x:c r="O24" t="str">
        <x:v>B</x:v>
      </x:c>
      <x:c r="P24" t="str">
        <x:v>B</x:v>
      </x:c>
      <x:c r="Q24" t="str">
        <x:v>W</x:v>
      </x:c>
      <x:c r="R24" t="str">
        <x:v>B</x:v>
      </x:c>
      <x:c r="S24" t="str">
        <x:v>B</x:v>
      </x:c>
      <x:c r="T24" t="str">
        <x:v>B</x:v>
      </x:c>
      <x:c r="U24" t="str">
        <x:v>W</x:v>
      </x:c>
      <x:c r="V24" t="n">
        <x:f>COUNTIF(B24:U24,"W")</x:f>
        <x:v>2</x:v>
      </x:c>
      <x:c r="W24" s="5" t="str">
        <x:f>IF(COUNTIF(B24:D24,"W")&gt;0,"Y","N")</x:f>
        <x:v>N</x:v>
      </x:c>
      <x:c r="X24" s="5" t="str">
        <x:f>IF(COUNTIF(B24:I24,"W")&gt;=4,"Y","N")</x:f>
        <x:v>N</x:v>
      </x:c>
      <x:c r="Y24" s="35" t="n">
        <x:v>10</x:v>
      </x:c>
      <x:c r="Z24" s="37" t="n">
        <x:f>BINOM.DIST(Y24,20,'Team_Info'!$E$5,FALSE)</x:f>
        <x:v>0.09722467745807048</x:v>
      </x:c>
      <x:c r="AA24" s="37" t="n">
        <x:f>COUNTIF($V$2:$V$501,Y24)/500</x:f>
        <x:v>0.056</x:v>
      </x:c>
      <x:c r="AB24" s="37" t="n">
        <x:f>ABS(AA24-Z24)</x:f>
        <x:v>0.04122467745807048</x:v>
      </x:c>
      <x:c r="AC24" s="38" t="n">
        <x:f>IF(Z24=0,0,AB24/Z24)</x:f>
        <x:v>0.4240145458528181</x:v>
      </x:c>
      <x:c r="AD24" s="42"/>
      <x:c r="AE24" s="42"/>
    </x:row>
    <x:row r="25">
      <x:c r="A25" s="1">
        <x:v>24</x:v>
      </x:c>
      <x:c r="B25" t="str">
        <x:v>B</x:v>
      </x:c>
      <x:c r="C25" t="str">
        <x:v>B</x:v>
      </x:c>
      <x:c r="D25" t="str">
        <x:v>W</x:v>
      </x:c>
      <x:c r="E25" t="str">
        <x:v>B</x:v>
      </x:c>
      <x:c r="F25" t="str">
        <x:v>B</x:v>
      </x:c>
      <x:c r="G25" t="str">
        <x:v>W</x:v>
      </x:c>
      <x:c r="H25" t="str">
        <x:v>W</x:v>
      </x:c>
      <x:c r="I25" t="str">
        <x:v>B</x:v>
      </x:c>
      <x:c r="J25" t="str">
        <x:v>B</x:v>
      </x:c>
      <x:c r="K25" t="str">
        <x:v>B</x:v>
      </x:c>
      <x:c r="L25" t="str">
        <x:v>B</x:v>
      </x:c>
      <x:c r="M25" t="str">
        <x:v>B</x:v>
      </x:c>
      <x:c r="N25" t="str">
        <x:v>B</x:v>
      </x:c>
      <x:c r="O25" t="str">
        <x:v>B</x:v>
      </x:c>
      <x:c r="P25" t="str">
        <x:v>B</x:v>
      </x:c>
      <x:c r="Q25" t="str">
        <x:v>B</x:v>
      </x:c>
      <x:c r="R25" t="str">
        <x:v>B</x:v>
      </x:c>
      <x:c r="S25" t="str">
        <x:v>W</x:v>
      </x:c>
      <x:c r="T25" t="str">
        <x:v>W</x:v>
      </x:c>
      <x:c r="U25" t="str">
        <x:v>B</x:v>
      </x:c>
      <x:c r="V25" t="n">
        <x:f>COUNTIF(B25:U25,"W")</x:f>
        <x:v>5</x:v>
      </x:c>
      <x:c r="W25" s="5" t="str">
        <x:f>IF(COUNTIF(B25:D25,"W")&gt;0,"Y","N")</x:f>
        <x:v>Y</x:v>
      </x:c>
      <x:c r="X25" s="5" t="str">
        <x:f>IF(COUNTIF(B25:I25,"W")&gt;=4,"Y","N")</x:f>
        <x:v>N</x:v>
      </x:c>
      <x:c r="Y25" s="35" t="n">
        <x:v>11</x:v>
      </x:c>
      <x:c r="Z25" s="37" t="n">
        <x:f>BINOM.DIST(Y25,20,'Team_Info'!$E$5,FALSE)</x:f>
        <x:v>0.05414225255875415</x:v>
      </x:c>
      <x:c r="AA25" s="37" t="n">
        <x:f>COUNTIF($V$2:$V$501,Y25)/500</x:f>
        <x:v>0.062</x:v>
      </x:c>
      <x:c r="AB25" s="37" t="n">
        <x:f>ABS(AA25-Z25)</x:f>
        <x:v>0.00785774744124585</x:v>
      </x:c>
      <x:c r="AC25" s="38" t="n">
        <x:f>IF(Z25=0,0,AB25/Z25)</x:f>
        <x:v>0.1451315205757051</x:v>
      </x:c>
      <x:c r="AD25" s="42"/>
      <x:c r="AE25" s="42"/>
    </x:row>
    <x:row r="26">
      <x:c r="A26" s="1">
        <x:v>25</x:v>
      </x:c>
      <x:c r="B26" t="str">
        <x:v>W</x:v>
      </x:c>
      <x:c r="C26" t="str">
        <x:v>B</x:v>
      </x:c>
      <x:c r="D26" t="str">
        <x:v>B</x:v>
      </x:c>
      <x:c r="E26" t="str">
        <x:v>W</x:v>
      </x:c>
      <x:c r="F26" t="str">
        <x:v>B</x:v>
      </x:c>
      <x:c r="G26" t="str">
        <x:v>W</x:v>
      </x:c>
      <x:c r="H26" t="str">
        <x:v>W</x:v>
      </x:c>
      <x:c r="I26" t="str">
        <x:v>W</x:v>
      </x:c>
      <x:c r="J26" t="str">
        <x:v>W</x:v>
      </x:c>
      <x:c r="K26" t="str">
        <x:v>B</x:v>
      </x:c>
      <x:c r="L26" t="str">
        <x:v>W</x:v>
      </x:c>
      <x:c r="M26" t="str">
        <x:v>W</x:v>
      </x:c>
      <x:c r="N26" t="str">
        <x:v>B</x:v>
      </x:c>
      <x:c r="O26" t="str">
        <x:v>B</x:v>
      </x:c>
      <x:c r="P26" t="str">
        <x:v>B</x:v>
      </x:c>
      <x:c r="Q26" t="str">
        <x:v>B</x:v>
      </x:c>
      <x:c r="R26" t="str">
        <x:v>B</x:v>
      </x:c>
      <x:c r="S26" t="str">
        <x:v>W</x:v>
      </x:c>
      <x:c r="T26" t="str">
        <x:v>B</x:v>
      </x:c>
      <x:c r="U26" t="str">
        <x:v>B</x:v>
      </x:c>
      <x:c r="V26" t="n">
        <x:f>COUNTIF(B26:U26,"W")</x:f>
        <x:v>9</x:v>
      </x:c>
      <x:c r="W26" s="5" t="str">
        <x:f>IF(COUNTIF(B26:D26,"W")&gt;0,"Y","N")</x:f>
        <x:v>Y</x:v>
      </x:c>
      <x:c r="X26" s="5" t="str">
        <x:f>IF(COUNTIF(B26:I26,"W")&gt;=4,"Y","N")</x:f>
        <x:v>Y</x:v>
      </x:c>
      <x:c r="Y26" s="35" t="n">
        <x:v>12</x:v>
      </x:c>
      <x:c r="Z26" s="37" t="n">
        <x:f>BINOM.DIST(Y26,20,'Team_Info'!$E$5,FALSE)</x:f>
        <x:v>0.024874254775029726</x:v>
      </x:c>
      <x:c r="AA26" s="37" t="n">
        <x:f>COUNTIF($V$2:$V$501,Y26)/500</x:f>
        <x:v>0.034</x:v>
      </x:c>
      <x:c r="AB26" s="37" t="n">
        <x:f>ABS(AA26-Z26)</x:f>
        <x:v>0.009125745224970276</x:v>
      </x:c>
      <x:c r="AC26" s="38" t="n">
        <x:f>IF(Z26=0,0,AB26/Z26)</x:f>
        <x:v>0.366875120782764</x:v>
      </x:c>
      <x:c r="AD26" s="42"/>
      <x:c r="AE26" s="42"/>
    </x:row>
    <x:row r="27">
      <x:c r="A27" s="1">
        <x:v>26</x:v>
      </x:c>
      <x:c r="B27" t="str">
        <x:v>B</x:v>
      </x:c>
      <x:c r="C27" t="str">
        <x:v>W</x:v>
      </x:c>
      <x:c r="D27" t="str">
        <x:v>W</x:v>
      </x:c>
      <x:c r="E27" t="str">
        <x:v>W</x:v>
      </x:c>
      <x:c r="F27" t="str">
        <x:v>B</x:v>
      </x:c>
      <x:c r="G27" t="str">
        <x:v>B</x:v>
      </x:c>
      <x:c r="H27" t="str">
        <x:v>B</x:v>
      </x:c>
      <x:c r="I27" t="str">
        <x:v>B</x:v>
      </x:c>
      <x:c r="J27" t="str">
        <x:v>W</x:v>
      </x:c>
      <x:c r="K27" t="str">
        <x:v>W</x:v>
      </x:c>
      <x:c r="L27" t="str">
        <x:v>B</x:v>
      </x:c>
      <x:c r="M27" t="str">
        <x:v>B</x:v>
      </x:c>
      <x:c r="N27" t="str">
        <x:v>W</x:v>
      </x:c>
      <x:c r="O27" t="str">
        <x:v>W</x:v>
      </x:c>
      <x:c r="P27" t="str">
        <x:v>B</x:v>
      </x:c>
      <x:c r="Q27" t="str">
        <x:v>B</x:v>
      </x:c>
      <x:c r="R27" t="str">
        <x:v>B</x:v>
      </x:c>
      <x:c r="S27" t="str">
        <x:v>B</x:v>
      </x:c>
      <x:c r="T27" t="str">
        <x:v>W</x:v>
      </x:c>
      <x:c r="U27" t="str">
        <x:v>B</x:v>
      </x:c>
      <x:c r="V27" t="n">
        <x:f>COUNTIF(B27:U27,"W")</x:f>
        <x:v>8</x:v>
      </x:c>
      <x:c r="W27" s="5" t="str">
        <x:f>IF(COUNTIF(B27:D27,"W")&gt;0,"Y","N")</x:f>
        <x:v>Y</x:v>
      </x:c>
      <x:c r="X27" s="5" t="str">
        <x:f>IF(COUNTIF(B27:I27,"W")&gt;=4,"Y","N")</x:f>
        <x:v>N</x:v>
      </x:c>
      <x:c r="Y27" s="35" t="n">
        <x:v>13</x:v>
      </x:c>
      <x:c r="Z27" s="37" t="n">
        <x:f>BINOM.DIST(Y27,20,'Team_Info'!$E$5,FALSE)</x:f>
        <x:v>0.009376682428283455</x:v>
      </x:c>
      <x:c r="AA27" s="37" t="n">
        <x:f>COUNTIF($V$2:$V$501,Y27)/500</x:f>
        <x:v>0.01</x:v>
      </x:c>
      <x:c r="AB27" s="37" t="n">
        <x:f>ABS(AA27-Z27)</x:f>
        <x:v>0.0006233175717165456</x:v>
      </x:c>
      <x:c r="AC27" s="38" t="n">
        <x:f>IF(Z27=0,0,AB27/Z27)</x:f>
        <x:v>0.06647527806171563</x:v>
      </x:c>
      <x:c r="AD27" s="42"/>
      <x:c r="AE27" s="42"/>
    </x:row>
    <x:row r="28">
      <x:c r="A28" s="1">
        <x:v>27</x:v>
      </x:c>
      <x:c r="B28" t="str">
        <x:v>B</x:v>
      </x:c>
      <x:c r="C28" t="str">
        <x:v>B</x:v>
      </x:c>
      <x:c r="D28" t="str">
        <x:v>W</x:v>
      </x:c>
      <x:c r="E28" t="str">
        <x:v>B</x:v>
      </x:c>
      <x:c r="F28" t="str">
        <x:v>W</x:v>
      </x:c>
      <x:c r="G28" t="str">
        <x:v>W</x:v>
      </x:c>
      <x:c r="H28" t="str">
        <x:v>B</x:v>
      </x:c>
      <x:c r="I28" t="str">
        <x:v>W</x:v>
      </x:c>
      <x:c r="J28" t="str">
        <x:v>B</x:v>
      </x:c>
      <x:c r="K28" t="str">
        <x:v>W</x:v>
      </x:c>
      <x:c r="L28" t="str">
        <x:v>B</x:v>
      </x:c>
      <x:c r="M28" t="str">
        <x:v>W</x:v>
      </x:c>
      <x:c r="N28" t="str">
        <x:v>B</x:v>
      </x:c>
      <x:c r="O28" t="str">
        <x:v>W</x:v>
      </x:c>
      <x:c r="P28" t="str">
        <x:v>B</x:v>
      </x:c>
      <x:c r="Q28" t="str">
        <x:v>B</x:v>
      </x:c>
      <x:c r="R28" t="str">
        <x:v>B</x:v>
      </x:c>
      <x:c r="S28" t="str">
        <x:v>B</x:v>
      </x:c>
      <x:c r="T28" t="str">
        <x:v>B</x:v>
      </x:c>
      <x:c r="U28" t="str">
        <x:v>W</x:v>
      </x:c>
      <x:c r="V28" t="n">
        <x:f>COUNTIF(B28:U28,"W")</x:f>
        <x:v>8</x:v>
      </x:c>
      <x:c r="W28" s="5" t="str">
        <x:f>IF(COUNTIF(B28:D28,"W")&gt;0,"Y","N")</x:f>
        <x:v>Y</x:v>
      </x:c>
      <x:c r="X28" s="5" t="str">
        <x:f>IF(COUNTIF(B28:I28,"W")&gt;=4,"Y","N")</x:f>
        <x:v>Y</x:v>
      </x:c>
      <x:c r="Y28" s="35" t="n">
        <x:v>14</x:v>
      </x:c>
      <x:c r="Z28" s="37" t="n">
        <x:f>BINOM.DIST(Y28,20,'Team_Info'!$E$5,FALSE)</x:f>
        <x:v>0.002871915822275299</x:v>
      </x:c>
      <x:c r="AA28" s="37" t="n">
        <x:f>COUNTIF($V$2:$V$501,Y28)/500</x:f>
        <x:v>0.004</x:v>
      </x:c>
      <x:c r="AB28" s="37" t="n">
        <x:f>ABS(AA28-Z28)</x:f>
        <x:v>0.001128084177724701</x:v>
      </x:c>
      <x:c r="AC28" s="38" t="n">
        <x:f>IF(Z28=0,0,AB28/Z28)</x:f>
        <x:v>0.392798482801967</x:v>
      </x:c>
      <x:c r="AD28" s="42"/>
      <x:c r="AE28" s="42"/>
    </x:row>
    <x:row r="29">
      <x:c r="A29" s="1">
        <x:v>28</x:v>
      </x:c>
      <x:c r="B29" t="str">
        <x:v>W</x:v>
      </x:c>
      <x:c r="C29" t="str">
        <x:v>B</x:v>
      </x:c>
      <x:c r="D29" t="str">
        <x:v>W</x:v>
      </x:c>
      <x:c r="E29" t="str">
        <x:v>W</x:v>
      </x:c>
      <x:c r="F29" t="str">
        <x:v>B</x:v>
      </x:c>
      <x:c r="G29" t="str">
        <x:v>W</x:v>
      </x:c>
      <x:c r="H29" t="str">
        <x:v>W</x:v>
      </x:c>
      <x:c r="I29" t="str">
        <x:v>W</x:v>
      </x:c>
      <x:c r="J29" t="str">
        <x:v>B</x:v>
      </x:c>
      <x:c r="K29" t="str">
        <x:v>B</x:v>
      </x:c>
      <x:c r="L29" t="str">
        <x:v>W</x:v>
      </x:c>
      <x:c r="M29" t="str">
        <x:v>W</x:v>
      </x:c>
      <x:c r="N29" t="str">
        <x:v>B</x:v>
      </x:c>
      <x:c r="O29" t="str">
        <x:v>B</x:v>
      </x:c>
      <x:c r="P29" t="str">
        <x:v>B</x:v>
      </x:c>
      <x:c r="Q29" t="str">
        <x:v>B</x:v>
      </x:c>
      <x:c r="R29" t="str">
        <x:v>B</x:v>
      </x:c>
      <x:c r="S29" t="str">
        <x:v>B</x:v>
      </x:c>
      <x:c r="T29" t="str">
        <x:v>B</x:v>
      </x:c>
      <x:c r="U29" t="str">
        <x:v>B</x:v>
      </x:c>
      <x:c r="V29" t="n">
        <x:f>COUNTIF(B29:U29,"W")</x:f>
        <x:v>8</x:v>
      </x:c>
      <x:c r="W29" s="5" t="str">
        <x:f>IF(COUNTIF(B29:D29,"W")&gt;0,"Y","N")</x:f>
        <x:v>Y</x:v>
      </x:c>
      <x:c r="X29" s="5" t="str">
        <x:f>IF(COUNTIF(B29:I29,"W")&gt;=4,"Y","N")</x:f>
        <x:v>Y</x:v>
      </x:c>
      <x:c r="Y29" s="35" t="n">
        <x:v>15</x:v>
      </x:c>
      <x:c r="Z29" s="37" t="n">
        <x:f>BINOM.DIST(Y29,20,'Team_Info'!$E$5,FALSE)</x:f>
        <x:v>0.0007036945574999163</x:v>
      </x:c>
      <x:c r="AA29" s="37" t="n">
        <x:f>COUNTIF($V$2:$V$501,Y29)/500</x:f>
        <x:v>0</x:v>
      </x:c>
      <x:c r="AB29" s="37" t="n">
        <x:f>ABS(AA29-Z29)</x:f>
        <x:v>0.0007036945574999163</x:v>
      </x:c>
      <x:c r="AC29" s="38" t="n">
        <x:f>IF(Z29=0,0,AB29/Z29)</x:f>
        <x:v>1</x:v>
      </x:c>
      <x:c r="AD29" s="42"/>
      <x:c r="AE29" s="42"/>
    </x:row>
    <x:row r="30">
      <x:c r="A30" s="1">
        <x:v>29</x:v>
      </x:c>
      <x:c r="B30" t="str">
        <x:v>W</x:v>
      </x:c>
      <x:c r="C30" t="str">
        <x:v>B</x:v>
      </x:c>
      <x:c r="D30" t="str">
        <x:v>B</x:v>
      </x:c>
      <x:c r="E30" t="str">
        <x:v>B</x:v>
      </x:c>
      <x:c r="F30" t="str">
        <x:v>W</x:v>
      </x:c>
      <x:c r="G30" t="str">
        <x:v>W</x:v>
      </x:c>
      <x:c r="H30" t="str">
        <x:v>B</x:v>
      </x:c>
      <x:c r="I30" t="str">
        <x:v>B</x:v>
      </x:c>
      <x:c r="J30" t="str">
        <x:v>B</x:v>
      </x:c>
      <x:c r="K30" t="str">
        <x:v>W</x:v>
      </x:c>
      <x:c r="L30" t="str">
        <x:v>W</x:v>
      </x:c>
      <x:c r="M30" t="str">
        <x:v>B</x:v>
      </x:c>
      <x:c r="N30" t="str">
        <x:v>W</x:v>
      </x:c>
      <x:c r="O30" t="str">
        <x:v>B</x:v>
      </x:c>
      <x:c r="P30" t="str">
        <x:v>B</x:v>
      </x:c>
      <x:c r="Q30" t="str">
        <x:v>B</x:v>
      </x:c>
      <x:c r="R30" t="str">
        <x:v>B</x:v>
      </x:c>
      <x:c r="S30" t="str">
        <x:v>W</x:v>
      </x:c>
      <x:c r="T30" t="str">
        <x:v>W</x:v>
      </x:c>
      <x:c r="U30" t="str">
        <x:v>W</x:v>
      </x:c>
      <x:c r="V30" t="n">
        <x:f>COUNTIF(B30:U30,"W")</x:f>
        <x:v>9</x:v>
      </x:c>
      <x:c r="W30" s="5" t="str">
        <x:f>IF(COUNTIF(B30:D30,"W")&gt;0,"Y","N")</x:f>
        <x:v>Y</x:v>
      </x:c>
      <x:c r="X30" s="5" t="str">
        <x:f>IF(COUNTIF(B30:I30,"W")&gt;=4,"Y","N")</x:f>
        <x:v>N</x:v>
      </x:c>
      <x:c r="Y30" s="35" t="n">
        <x:v>16</x:v>
      </x:c>
      <x:c r="Z30" s="37" t="n">
        <x:f>BINOM.DIST(Y30,20,'Team_Info'!$E$5,FALSE)</x:f>
        <x:v>0.00013470592805544864</x:v>
      </x:c>
      <x:c r="AA30" s="37" t="n">
        <x:f>COUNTIF($V$2:$V$501,Y30)/500</x:f>
        <x:v>0</x:v>
      </x:c>
      <x:c r="AB30" s="37" t="n">
        <x:f>ABS(AA30-Z30)</x:f>
        <x:v>0.00013470592805544864</x:v>
      </x:c>
      <x:c r="AC30" s="38" t="n">
        <x:f>IF(Z30=0,0,AB30/Z30)</x:f>
        <x:v>1</x:v>
      </x:c>
      <x:c r="AD30" s="42"/>
      <x:c r="AE30" s="42"/>
    </x:row>
    <x:row r="31">
      <x:c r="A31" s="1">
        <x:v>30</x:v>
      </x:c>
      <x:c r="B31" t="str">
        <x:v>W</x:v>
      </x:c>
      <x:c r="C31" t="str">
        <x:v>B</x:v>
      </x:c>
      <x:c r="D31" t="str">
        <x:v>B</x:v>
      </x:c>
      <x:c r="E31" t="str">
        <x:v>W</x:v>
      </x:c>
      <x:c r="F31" t="str">
        <x:v>B</x:v>
      </x:c>
      <x:c r="G31" t="str">
        <x:v>W</x:v>
      </x:c>
      <x:c r="H31" t="str">
        <x:v>B</x:v>
      </x:c>
      <x:c r="I31" t="str">
        <x:v>B</x:v>
      </x:c>
      <x:c r="J31" t="str">
        <x:v>B</x:v>
      </x:c>
      <x:c r="K31" t="str">
        <x:v>B</x:v>
      </x:c>
      <x:c r="L31" t="str">
        <x:v>W</x:v>
      </x:c>
      <x:c r="M31" t="str">
        <x:v>W</x:v>
      </x:c>
      <x:c r="N31" t="str">
        <x:v>B</x:v>
      </x:c>
      <x:c r="O31" t="str">
        <x:v>B</x:v>
      </x:c>
      <x:c r="P31" t="str">
        <x:v>B</x:v>
      </x:c>
      <x:c r="Q31" t="str">
        <x:v>B</x:v>
      </x:c>
      <x:c r="R31" t="str">
        <x:v>B</x:v>
      </x:c>
      <x:c r="S31" t="str">
        <x:v>B</x:v>
      </x:c>
      <x:c r="T31" t="str">
        <x:v>B</x:v>
      </x:c>
      <x:c r="U31" t="str">
        <x:v>B</x:v>
      </x:c>
      <x:c r="V31" t="n">
        <x:f>COUNTIF(B31:U31,"W")</x:f>
        <x:v>5</x:v>
      </x:c>
      <x:c r="W31" s="5" t="str">
        <x:f>IF(COUNTIF(B31:D31,"W")&gt;0,"Y","N")</x:f>
        <x:v>Y</x:v>
      </x:c>
      <x:c r="X31" s="5" t="str">
        <x:f>IF(COUNTIF(B31:I31,"W")&gt;=4,"Y","N")</x:f>
        <x:v>N</x:v>
      </x:c>
      <x:c r="Y31" s="35" t="n">
        <x:v>17</x:v>
      </x:c>
      <x:c r="Z31" s="37" t="n">
        <x:f>BINOM.DIST(Y31,20,'Team_Info'!$E$5,FALSE)</x:f>
        <x:v>0.00001941557570987064</x:v>
      </x:c>
      <x:c r="AA31" s="37" t="n">
        <x:f>COUNTIF($V$2:$V$501,Y31)/500</x:f>
        <x:v>0</x:v>
      </x:c>
      <x:c r="AB31" s="37" t="n">
        <x:f>ABS(AA31-Z31)</x:f>
        <x:v>0.00001941557570987064</x:v>
      </x:c>
      <x:c r="AC31" s="38" t="n">
        <x:f>IF(Z31=0,0,AB31/Z31)</x:f>
        <x:v>1</x:v>
      </x:c>
      <x:c r="AD31" s="42"/>
      <x:c r="AE31" s="42"/>
    </x:row>
    <x:row r="32">
      <x:c r="A32" s="1">
        <x:v>31</x:v>
      </x:c>
      <x:c r="B32" t="str">
        <x:v>B</x:v>
      </x:c>
      <x:c r="C32" t="str">
        <x:v>W</x:v>
      </x:c>
      <x:c r="D32" t="str">
        <x:v>W</x:v>
      </x:c>
      <x:c r="E32" t="str">
        <x:v>B</x:v>
      </x:c>
      <x:c r="F32" t="str">
        <x:v>B</x:v>
      </x:c>
      <x:c r="G32" t="str">
        <x:v>W</x:v>
      </x:c>
      <x:c r="H32" t="str">
        <x:v>B</x:v>
      </x:c>
      <x:c r="I32" t="str">
        <x:v>B</x:v>
      </x:c>
      <x:c r="J32" t="str">
        <x:v>W</x:v>
      </x:c>
      <x:c r="K32" t="str">
        <x:v>W</x:v>
      </x:c>
      <x:c r="L32" t="str">
        <x:v>W</x:v>
      </x:c>
      <x:c r="M32" t="str">
        <x:v>B</x:v>
      </x:c>
      <x:c r="N32" t="str">
        <x:v>B</x:v>
      </x:c>
      <x:c r="O32" t="str">
        <x:v>B</x:v>
      </x:c>
      <x:c r="P32" t="str">
        <x:v>W</x:v>
      </x:c>
      <x:c r="Q32" t="str">
        <x:v>B</x:v>
      </x:c>
      <x:c r="R32" t="str">
        <x:v>W</x:v>
      </x:c>
      <x:c r="S32" t="str">
        <x:v>W</x:v>
      </x:c>
      <x:c r="T32" t="str">
        <x:v>B</x:v>
      </x:c>
      <x:c r="U32" t="str">
        <x:v>B</x:v>
      </x:c>
      <x:c r="V32" t="n">
        <x:f>COUNTIF(B32:U32,"W")</x:f>
        <x:v>9</x:v>
      </x:c>
      <x:c r="W32" s="5" t="str">
        <x:f>IF(COUNTIF(B32:D32,"W")&gt;0,"Y","N")</x:f>
        <x:v>Y</x:v>
      </x:c>
      <x:c r="X32" s="5" t="str">
        <x:f>IF(COUNTIF(B32:I32,"W")&gt;=4,"Y","N")</x:f>
        <x:v>N</x:v>
      </x:c>
      <x:c r="Y32" s="35" t="n">
        <x:v>18</x:v>
      </x:c>
      <x:c r="Z32" s="37" t="n">
        <x:f>BINOM.DIST(Y32,20,'Team_Info'!$E$5,FALSE)</x:f>
        <x:v>0.0000019822184625260597</x:v>
      </x:c>
      <x:c r="AA32" s="37" t="n">
        <x:f>COUNTIF($V$2:$V$501,Y32)/500</x:f>
        <x:v>0</x:v>
      </x:c>
      <x:c r="AB32" s="37" t="n">
        <x:f>ABS(AA32-Z32)</x:f>
        <x:v>0.0000019822184625260597</x:v>
      </x:c>
      <x:c r="AC32" s="38" t="n">
        <x:f>IF(Z32=0,0,AB32/Z32)</x:f>
        <x:v>1</x:v>
      </x:c>
      <x:c r="AD32" s="42"/>
      <x:c r="AE32" s="42"/>
    </x:row>
    <x:row r="33">
      <x:c r="A33" s="1">
        <x:v>32</x:v>
      </x:c>
      <x:c r="B33" t="str">
        <x:v>W</x:v>
      </x:c>
      <x:c r="C33" t="str">
        <x:v>B</x:v>
      </x:c>
      <x:c r="D33" t="str">
        <x:v>B</x:v>
      </x:c>
      <x:c r="E33" t="str">
        <x:v>W</x:v>
      </x:c>
      <x:c r="F33" t="str">
        <x:v>W</x:v>
      </x:c>
      <x:c r="G33" t="str">
        <x:v>B</x:v>
      </x:c>
      <x:c r="H33" t="str">
        <x:v>B</x:v>
      </x:c>
      <x:c r="I33" t="str">
        <x:v>B</x:v>
      </x:c>
      <x:c r="J33" t="str">
        <x:v>B</x:v>
      </x:c>
      <x:c r="K33" t="str">
        <x:v>B</x:v>
      </x:c>
      <x:c r="L33" t="str">
        <x:v>B</x:v>
      </x:c>
      <x:c r="M33" t="str">
        <x:v>W</x:v>
      </x:c>
      <x:c r="N33" t="str">
        <x:v>B</x:v>
      </x:c>
      <x:c r="O33" t="str">
        <x:v>W</x:v>
      </x:c>
      <x:c r="P33" t="str">
        <x:v>W</x:v>
      </x:c>
      <x:c r="Q33" t="str">
        <x:v>B</x:v>
      </x:c>
      <x:c r="R33" t="str">
        <x:v>W</x:v>
      </x:c>
      <x:c r="S33" t="str">
        <x:v>B</x:v>
      </x:c>
      <x:c r="T33" t="str">
        <x:v>B</x:v>
      </x:c>
      <x:c r="U33" t="str">
        <x:v>W</x:v>
      </x:c>
      <x:c r="V33" t="n">
        <x:f>COUNTIF(B33:U33,"W")</x:f>
        <x:v>8</x:v>
      </x:c>
      <x:c r="W33" s="5" t="str">
        <x:f>IF(COUNTIF(B33:D33,"W")&gt;0,"Y","N")</x:f>
        <x:v>Y</x:v>
      </x:c>
      <x:c r="X33" s="5" t="str">
        <x:f>IF(COUNTIF(B33:I33,"W")&gt;=4,"Y","N")</x:f>
        <x:v>N</x:v>
      </x:c>
      <x:c r="Y33" s="35" t="n">
        <x:v>19</x:v>
      </x:c>
      <x:c r="Z33" s="37" t="n">
        <x:f>BINOM.DIST(Y33,20,'Team_Info'!$E$5,FALSE)</x:f>
        <x:v>1.278145825933034e-7</x:v>
      </x:c>
      <x:c r="AA33" s="37" t="n">
        <x:f>COUNTIF($V$2:$V$501,Y33)/500</x:f>
        <x:v>0</x:v>
      </x:c>
      <x:c r="AB33" s="37" t="n">
        <x:f>ABS(AA33-Z33)</x:f>
        <x:v>1.278145825933034e-7</x:v>
      </x:c>
      <x:c r="AC33" s="38" t="n">
        <x:f>IF(Z33=0,0,AB33/Z33)</x:f>
        <x:v>1</x:v>
      </x:c>
      <x:c r="AD33" s="42"/>
      <x:c r="AE33" s="42"/>
    </x:row>
    <x:row r="34">
      <x:c r="A34" s="1">
        <x:v>33</x:v>
      </x:c>
      <x:c r="B34" t="str">
        <x:v>W</x:v>
      </x:c>
      <x:c r="C34" t="str">
        <x:v>B</x:v>
      </x:c>
      <x:c r="D34" t="str">
        <x:v>B</x:v>
      </x:c>
      <x:c r="E34" t="str">
        <x:v>B</x:v>
      </x:c>
      <x:c r="F34" t="str">
        <x:v>W</x:v>
      </x:c>
      <x:c r="G34" t="str">
        <x:v>W</x:v>
      </x:c>
      <x:c r="H34" t="str">
        <x:v>B</x:v>
      </x:c>
      <x:c r="I34" t="str">
        <x:v>B</x:v>
      </x:c>
      <x:c r="J34" t="str">
        <x:v>B</x:v>
      </x:c>
      <x:c r="K34" t="str">
        <x:v>W</x:v>
      </x:c>
      <x:c r="L34" t="str">
        <x:v>W</x:v>
      </x:c>
      <x:c r="M34" t="str">
        <x:v>W</x:v>
      </x:c>
      <x:c r="N34" t="str">
        <x:v>B</x:v>
      </x:c>
      <x:c r="O34" t="str">
        <x:v>B</x:v>
      </x:c>
      <x:c r="P34" t="str">
        <x:v>B</x:v>
      </x:c>
      <x:c r="Q34" t="str">
        <x:v>W</x:v>
      </x:c>
      <x:c r="R34" t="str">
        <x:v>W</x:v>
      </x:c>
      <x:c r="S34" t="str">
        <x:v>W</x:v>
      </x:c>
      <x:c r="T34" t="str">
        <x:v>W</x:v>
      </x:c>
      <x:c r="U34" t="str">
        <x:v>B</x:v>
      </x:c>
      <x:c r="V34" t="n">
        <x:f>COUNTIF(B34:U34,"W")</x:f>
        <x:v>10</x:v>
      </x:c>
      <x:c r="W34" s="5" t="str">
        <x:f>IF(COUNTIF(B34:D34,"W")&gt;0,"Y","N")</x:f>
        <x:v>Y</x:v>
      </x:c>
      <x:c r="X34" s="5" t="str">
        <x:f>IF(COUNTIF(B34:I34,"W")&gt;=4,"Y","N")</x:f>
        <x:v>N</x:v>
      </x:c>
      <x:c r="Y34" s="35" t="n">
        <x:v>20</x:v>
      </x:c>
      <x:c r="Z34" s="37" t="n">
        <x:f>BINOM.DIST(Y34,20,'Team_Info'!$E$5,FALSE)</x:f>
        <x:v>3.914739833355105e-9</x:v>
      </x:c>
      <x:c r="AA34" s="37" t="n">
        <x:f>COUNTIF($V$2:$V$501,Y34)/500</x:f>
        <x:v>0</x:v>
      </x:c>
      <x:c r="AB34" s="37" t="n">
        <x:f>ABS(AA34-Z34)</x:f>
        <x:v>3.914739833355105e-9</x:v>
      </x:c>
      <x:c r="AC34" s="38" t="n">
        <x:f>IF(Z34=0,0,AB34/Z34)</x:f>
        <x:v>1</x:v>
      </x:c>
      <x:c r="AD34" s="42"/>
      <x:c r="AE34" s="42"/>
    </x:row>
    <x:row r="35">
      <x:c r="A35" s="1">
        <x:v>34</x:v>
      </x:c>
      <x:c r="B35" t="str">
        <x:v>B</x:v>
      </x:c>
      <x:c r="C35" t="str">
        <x:v>W</x:v>
      </x:c>
      <x:c r="D35" t="str">
        <x:v>B</x:v>
      </x:c>
      <x:c r="E35" t="str">
        <x:v>B</x:v>
      </x:c>
      <x:c r="F35" t="str">
        <x:v>B</x:v>
      </x:c>
      <x:c r="G35" t="str">
        <x:v>W</x:v>
      </x:c>
      <x:c r="H35" t="str">
        <x:v>W</x:v>
      </x:c>
      <x:c r="I35" t="str">
        <x:v>B</x:v>
      </x:c>
      <x:c r="J35" t="str">
        <x:v>W</x:v>
      </x:c>
      <x:c r="K35" t="str">
        <x:v>B</x:v>
      </x:c>
      <x:c r="L35" t="str">
        <x:v>B</x:v>
      </x:c>
      <x:c r="M35" t="str">
        <x:v>B</x:v>
      </x:c>
      <x:c r="N35" t="str">
        <x:v>W</x:v>
      </x:c>
      <x:c r="O35" t="str">
        <x:v>B</x:v>
      </x:c>
      <x:c r="P35" t="str">
        <x:v>B</x:v>
      </x:c>
      <x:c r="Q35" t="str">
        <x:v>W</x:v>
      </x:c>
      <x:c r="R35" t="str">
        <x:v>W</x:v>
      </x:c>
      <x:c r="S35" t="str">
        <x:v>B</x:v>
      </x:c>
      <x:c r="T35" t="str">
        <x:v>B</x:v>
      </x:c>
      <x:c r="U35" t="str">
        <x:v>W</x:v>
      </x:c>
      <x:c r="V35" t="n">
        <x:f>COUNTIF(B35:U35,"W")</x:f>
        <x:v>8</x:v>
      </x:c>
      <x:c r="W35" s="5" t="str">
        <x:f>IF(COUNTIF(B35:D35,"W")&gt;0,"Y","N")</x:f>
        <x:v>Y</x:v>
      </x:c>
      <x:c r="X35" s="5" t="str">
        <x:f>IF(COUNTIF(B35:I35,"W")&gt;=4,"Y","N")</x:f>
        <x:v>N</x:v>
      </x:c>
      <x:c r="Y35" s="41" t="str">
        <x:v>Totals</x:v>
      </x:c>
      <x:c r="Z35" s="41" t="n">
        <x:f>SUM(Z14:Z34)</x:f>
        <x:v>0.999999999999999</x:v>
      </x:c>
      <x:c r="AA35" s="41" t="n">
        <x:f>SUM(AA14:AA34)</x:f>
        <x:v>1.0000000000000002</x:v>
      </x:c>
      <x:c r="AB35" s="42"/>
      <x:c r="AC35" s="42"/>
      <x:c r="AD35" s="42"/>
      <x:c r="AE35" s="42"/>
    </x:row>
    <x:row r="36">
      <x:c r="A36" s="1">
        <x:v>35</x:v>
      </x:c>
      <x:c r="B36" t="str">
        <x:v>B</x:v>
      </x:c>
      <x:c r="C36" t="str">
        <x:v>W</x:v>
      </x:c>
      <x:c r="D36" t="str">
        <x:v>W</x:v>
      </x:c>
      <x:c r="E36" t="str">
        <x:v>W</x:v>
      </x:c>
      <x:c r="F36" t="str">
        <x:v>W</x:v>
      </x:c>
      <x:c r="G36" t="str">
        <x:v>W</x:v>
      </x:c>
      <x:c r="H36" t="str">
        <x:v>W</x:v>
      </x:c>
      <x:c r="I36" t="str">
        <x:v>B</x:v>
      </x:c>
      <x:c r="J36" t="str">
        <x:v>B</x:v>
      </x:c>
      <x:c r="K36" t="str">
        <x:v>W</x:v>
      </x:c>
      <x:c r="L36" t="str">
        <x:v>B</x:v>
      </x:c>
      <x:c r="M36" t="str">
        <x:v>W</x:v>
      </x:c>
      <x:c r="N36" t="str">
        <x:v>B</x:v>
      </x:c>
      <x:c r="O36" t="str">
        <x:v>W</x:v>
      </x:c>
      <x:c r="P36" t="str">
        <x:v>W</x:v>
      </x:c>
      <x:c r="Q36" t="str">
        <x:v>W</x:v>
      </x:c>
      <x:c r="R36" t="str">
        <x:v>W</x:v>
      </x:c>
      <x:c r="S36" t="str">
        <x:v>B</x:v>
      </x:c>
      <x:c r="T36" t="str">
        <x:v>W</x:v>
      </x:c>
      <x:c r="U36" t="str">
        <x:v>W</x:v>
      </x:c>
      <x:c r="V36" t="n">
        <x:f>COUNTIF(B36:U36,"W")</x:f>
        <x:v>14</x:v>
      </x:c>
      <x:c r="W36" s="5" t="str">
        <x:f>IF(COUNTIF(B36:D36,"W")&gt;0,"Y","N")</x:f>
        <x:v>Y</x:v>
      </x:c>
      <x:c r="X36" s="5" t="str">
        <x:f>IF(COUNTIF(B36:I36,"W")&gt;=4,"Y","N")</x:f>
        <x:v>Y</x:v>
      </x:c>
      <x:c r="Y36" s="1"/>
      <x:c r="Z36" s="1"/>
      <x:c r="AA36" s="1"/>
      <x:c r="AB36" s="1"/>
      <x:c r="AC36" s="1"/>
      <x:c r="AD36" s="1"/>
      <x:c r="AE36" s="1"/>
    </x:row>
    <x:row r="37">
      <x:c r="A37" s="1">
        <x:v>36</x:v>
      </x:c>
      <x:c r="B37" t="str">
        <x:v>W</x:v>
      </x:c>
      <x:c r="C37" t="str">
        <x:v>B</x:v>
      </x:c>
      <x:c r="D37" t="str">
        <x:v>B</x:v>
      </x:c>
      <x:c r="E37" t="str">
        <x:v>B</x:v>
      </x:c>
      <x:c r="F37" t="str">
        <x:v>B</x:v>
      </x:c>
      <x:c r="G37" t="str">
        <x:v>W</x:v>
      </x:c>
      <x:c r="H37" t="str">
        <x:v>W</x:v>
      </x:c>
      <x:c r="I37" t="str">
        <x:v>B</x:v>
      </x:c>
      <x:c r="J37" t="str">
        <x:v>W</x:v>
      </x:c>
      <x:c r="K37" t="str">
        <x:v>W</x:v>
      </x:c>
      <x:c r="L37" t="str">
        <x:v>W</x:v>
      </x:c>
      <x:c r="M37" t="str">
        <x:v>B</x:v>
      </x:c>
      <x:c r="N37" t="str">
        <x:v>B</x:v>
      </x:c>
      <x:c r="O37" t="str">
        <x:v>B</x:v>
      </x:c>
      <x:c r="P37" t="str">
        <x:v>B</x:v>
      </x:c>
      <x:c r="Q37" t="str">
        <x:v>W</x:v>
      </x:c>
      <x:c r="R37" t="str">
        <x:v>B</x:v>
      </x:c>
      <x:c r="S37" t="str">
        <x:v>B</x:v>
      </x:c>
      <x:c r="T37" t="str">
        <x:v>B</x:v>
      </x:c>
      <x:c r="U37" t="str">
        <x:v>B</x:v>
      </x:c>
      <x:c r="V37" t="n">
        <x:f>COUNTIF(B37:U37,"W")</x:f>
        <x:v>7</x:v>
      </x:c>
      <x:c r="W37" s="5" t="str">
        <x:f>IF(COUNTIF(B37:D37,"W")&gt;0,"Y","N")</x:f>
        <x:v>Y</x:v>
      </x:c>
      <x:c r="X37" s="5" t="str">
        <x:f>IF(COUNTIF(B37:I37,"W")&gt;=4,"Y","N")</x:f>
        <x:v>N</x:v>
      </x:c>
      <x:c r="Y37" s="1"/>
      <x:c r="Z37" s="1"/>
      <x:c r="AA37" s="1"/>
      <x:c r="AB37" s="1"/>
      <x:c r="AC37" s="1"/>
      <x:c r="AD37" s="1"/>
      <x:c r="AE37" s="1"/>
    </x:row>
    <x:row r="38">
      <x:c r="A38" s="1">
        <x:v>37</x:v>
      </x:c>
      <x:c r="B38" t="str">
        <x:v>B</x:v>
      </x:c>
      <x:c r="C38" t="str">
        <x:v>B</x:v>
      </x:c>
      <x:c r="D38" t="str">
        <x:v>W</x:v>
      </x:c>
      <x:c r="E38" t="str">
        <x:v>W</x:v>
      </x:c>
      <x:c r="F38" t="str">
        <x:v>B</x:v>
      </x:c>
      <x:c r="G38" t="str">
        <x:v>B</x:v>
      </x:c>
      <x:c r="H38" t="str">
        <x:v>W</x:v>
      </x:c>
      <x:c r="I38" t="str">
        <x:v>B</x:v>
      </x:c>
      <x:c r="J38" t="str">
        <x:v>W</x:v>
      </x:c>
      <x:c r="K38" t="str">
        <x:v>B</x:v>
      </x:c>
      <x:c r="L38" t="str">
        <x:v>B</x:v>
      </x:c>
      <x:c r="M38" t="str">
        <x:v>W</x:v>
      </x:c>
      <x:c r="N38" t="str">
        <x:v>B</x:v>
      </x:c>
      <x:c r="O38" t="str">
        <x:v>B</x:v>
      </x:c>
      <x:c r="P38" t="str">
        <x:v>B</x:v>
      </x:c>
      <x:c r="Q38" t="str">
        <x:v>B</x:v>
      </x:c>
      <x:c r="R38" t="str">
        <x:v>W</x:v>
      </x:c>
      <x:c r="S38" t="str">
        <x:v>B</x:v>
      </x:c>
      <x:c r="T38" t="str">
        <x:v>W</x:v>
      </x:c>
      <x:c r="U38" t="str">
        <x:v>W</x:v>
      </x:c>
      <x:c r="V38" t="n">
        <x:f>COUNTIF(B38:U38,"W")</x:f>
        <x:v>8</x:v>
      </x:c>
      <x:c r="W38" s="5" t="str">
        <x:f>IF(COUNTIF(B38:D38,"W")&gt;0,"Y","N")</x:f>
        <x:v>Y</x:v>
      </x:c>
      <x:c r="X38" s="5" t="str">
        <x:f>IF(COUNTIF(B38:I38,"W")&gt;=4,"Y","N")</x:f>
        <x:v>N</x:v>
      </x:c>
      <x:c r="Y38" s="1"/>
      <x:c r="Z38" s="1"/>
      <x:c r="AA38" s="1"/>
      <x:c r="AB38" s="1"/>
      <x:c r="AC38" s="1"/>
      <x:c r="AD38" s="1"/>
      <x:c r="AE38" s="1"/>
    </x:row>
    <x:row r="39">
      <x:c r="A39" s="1">
        <x:v>38</x:v>
      </x:c>
      <x:c r="B39" t="str">
        <x:v>B</x:v>
      </x:c>
      <x:c r="C39" t="str">
        <x:v>B</x:v>
      </x:c>
      <x:c r="D39" t="str">
        <x:v>W</x:v>
      </x:c>
      <x:c r="E39" t="str">
        <x:v>B</x:v>
      </x:c>
      <x:c r="F39" t="str">
        <x:v>W</x:v>
      </x:c>
      <x:c r="G39" t="str">
        <x:v>W</x:v>
      </x:c>
      <x:c r="H39" t="str">
        <x:v>B</x:v>
      </x:c>
      <x:c r="I39" t="str">
        <x:v>B</x:v>
      </x:c>
      <x:c r="J39" t="str">
        <x:v>W</x:v>
      </x:c>
      <x:c r="K39" t="str">
        <x:v>B</x:v>
      </x:c>
      <x:c r="L39" t="str">
        <x:v>W</x:v>
      </x:c>
      <x:c r="M39" t="str">
        <x:v>W</x:v>
      </x:c>
      <x:c r="N39" t="str">
        <x:v>B</x:v>
      </x:c>
      <x:c r="O39" t="str">
        <x:v>B</x:v>
      </x:c>
      <x:c r="P39" t="str">
        <x:v>W</x:v>
      </x:c>
      <x:c r="Q39" t="str">
        <x:v>B</x:v>
      </x:c>
      <x:c r="R39" t="str">
        <x:v>B</x:v>
      </x:c>
      <x:c r="S39" t="str">
        <x:v>B</x:v>
      </x:c>
      <x:c r="T39" t="str">
        <x:v>B</x:v>
      </x:c>
      <x:c r="U39" t="str">
        <x:v>B</x:v>
      </x:c>
      <x:c r="V39" t="n">
        <x:f>COUNTIF(B39:U39,"W")</x:f>
        <x:v>7</x:v>
      </x:c>
      <x:c r="W39" s="5" t="str">
        <x:f>IF(COUNTIF(B39:D39,"W")&gt;0,"Y","N")</x:f>
        <x:v>Y</x:v>
      </x:c>
      <x:c r="X39" s="5" t="str">
        <x:f>IF(COUNTIF(B39:I39,"W")&gt;=4,"Y","N")</x:f>
        <x:v>N</x:v>
      </x:c>
      <x:c r="Y39" s="1"/>
      <x:c r="Z39" s="1"/>
      <x:c r="AA39" s="1"/>
      <x:c r="AB39" s="1"/>
      <x:c r="AC39" s="1"/>
      <x:c r="AD39" s="1"/>
      <x:c r="AE39" s="1"/>
    </x:row>
    <x:row r="40">
      <x:c r="A40" s="1">
        <x:v>39</x:v>
      </x:c>
      <x:c r="B40" t="str">
        <x:v>B</x:v>
      </x:c>
      <x:c r="C40" t="str">
        <x:v>W</x:v>
      </x:c>
      <x:c r="D40" t="str">
        <x:v>B</x:v>
      </x:c>
      <x:c r="E40" t="str">
        <x:v>W</x:v>
      </x:c>
      <x:c r="F40" t="str">
        <x:v>B</x:v>
      </x:c>
      <x:c r="G40" t="str">
        <x:v>B</x:v>
      </x:c>
      <x:c r="H40" t="str">
        <x:v>W</x:v>
      </x:c>
      <x:c r="I40" t="str">
        <x:v>B</x:v>
      </x:c>
      <x:c r="J40" t="str">
        <x:v>B</x:v>
      </x:c>
      <x:c r="K40" t="str">
        <x:v>W</x:v>
      </x:c>
      <x:c r="L40" t="str">
        <x:v>W</x:v>
      </x:c>
      <x:c r="M40" t="str">
        <x:v>B</x:v>
      </x:c>
      <x:c r="N40" t="str">
        <x:v>B</x:v>
      </x:c>
      <x:c r="O40" t="str">
        <x:v>B</x:v>
      </x:c>
      <x:c r="P40" t="str">
        <x:v>W</x:v>
      </x:c>
      <x:c r="Q40" t="str">
        <x:v>B</x:v>
      </x:c>
      <x:c r="R40" t="str">
        <x:v>B</x:v>
      </x:c>
      <x:c r="S40" t="str">
        <x:v>W</x:v>
      </x:c>
      <x:c r="T40" t="str">
        <x:v>B</x:v>
      </x:c>
      <x:c r="U40" t="str">
        <x:v>B</x:v>
      </x:c>
      <x:c r="V40" t="n">
        <x:f>COUNTIF(B40:U40,"W")</x:f>
        <x:v>7</x:v>
      </x:c>
      <x:c r="W40" s="5" t="str">
        <x:f>IF(COUNTIF(B40:D40,"W")&gt;0,"Y","N")</x:f>
        <x:v>Y</x:v>
      </x:c>
      <x:c r="X40" s="5" t="str">
        <x:f>IF(COUNTIF(B40:I40,"W")&gt;=4,"Y","N")</x:f>
        <x:v>N</x:v>
      </x:c>
      <x:c r="Y40" s="1"/>
      <x:c r="Z40" s="1"/>
      <x:c r="AA40" s="1"/>
      <x:c r="AB40" s="1"/>
      <x:c r="AC40" s="1"/>
      <x:c r="AD40" s="1"/>
      <x:c r="AE40" s="1"/>
    </x:row>
    <x:row r="41">
      <x:c r="A41" s="1">
        <x:v>40</x:v>
      </x:c>
      <x:c r="B41" t="str">
        <x:v>B</x:v>
      </x:c>
      <x:c r="C41" t="str">
        <x:v>W</x:v>
      </x:c>
      <x:c r="D41" t="str">
        <x:v>B</x:v>
      </x:c>
      <x:c r="E41" t="str">
        <x:v>B</x:v>
      </x:c>
      <x:c r="F41" t="str">
        <x:v>B</x:v>
      </x:c>
      <x:c r="G41" t="str">
        <x:v>W</x:v>
      </x:c>
      <x:c r="H41" t="str">
        <x:v>B</x:v>
      </x:c>
      <x:c r="I41" t="str">
        <x:v>W</x:v>
      </x:c>
      <x:c r="J41" t="str">
        <x:v>W</x:v>
      </x:c>
      <x:c r="K41" t="str">
        <x:v>W</x:v>
      </x:c>
      <x:c r="L41" t="str">
        <x:v>W</x:v>
      </x:c>
      <x:c r="M41" t="str">
        <x:v>W</x:v>
      </x:c>
      <x:c r="N41" t="str">
        <x:v>B</x:v>
      </x:c>
      <x:c r="O41" t="str">
        <x:v>B</x:v>
      </x:c>
      <x:c r="P41" t="str">
        <x:v>B</x:v>
      </x:c>
      <x:c r="Q41" t="str">
        <x:v>W</x:v>
      </x:c>
      <x:c r="R41" t="str">
        <x:v>B</x:v>
      </x:c>
      <x:c r="S41" t="str">
        <x:v>B</x:v>
      </x:c>
      <x:c r="T41" t="str">
        <x:v>B</x:v>
      </x:c>
      <x:c r="U41" t="str">
        <x:v>B</x:v>
      </x:c>
      <x:c r="V41" t="n">
        <x:f>COUNTIF(B41:U41,"W")</x:f>
        <x:v>8</x:v>
      </x:c>
      <x:c r="W41" s="5" t="str">
        <x:f>IF(COUNTIF(B41:D41,"W")&gt;0,"Y","N")</x:f>
        <x:v>Y</x:v>
      </x:c>
      <x:c r="X41" s="5" t="str">
        <x:f>IF(COUNTIF(B41:I41,"W")&gt;=4,"Y","N")</x:f>
        <x:v>N</x:v>
      </x:c>
      <x:c r="Y41" s="1"/>
      <x:c r="Z41" s="1"/>
      <x:c r="AA41" s="1"/>
      <x:c r="AB41" s="1"/>
      <x:c r="AC41" s="1"/>
      <x:c r="AD41" s="1"/>
      <x:c r="AE41" s="1"/>
    </x:row>
    <x:row r="42">
      <x:c r="A42" s="1">
        <x:v>41</x:v>
      </x:c>
      <x:c r="B42" t="str">
        <x:v>W</x:v>
      </x:c>
      <x:c r="C42" t="str">
        <x:v>B</x:v>
      </x:c>
      <x:c r="D42" t="str">
        <x:v>W</x:v>
      </x:c>
      <x:c r="E42" t="str">
        <x:v>W</x:v>
      </x:c>
      <x:c r="F42" t="str">
        <x:v>B</x:v>
      </x:c>
      <x:c r="G42" t="str">
        <x:v>B</x:v>
      </x:c>
      <x:c r="H42" t="str">
        <x:v>W</x:v>
      </x:c>
      <x:c r="I42" t="str">
        <x:v>B</x:v>
      </x:c>
      <x:c r="J42" t="str">
        <x:v>W</x:v>
      </x:c>
      <x:c r="K42" t="str">
        <x:v>B</x:v>
      </x:c>
      <x:c r="L42" t="str">
        <x:v>W</x:v>
      </x:c>
      <x:c r="M42" t="str">
        <x:v>B</x:v>
      </x:c>
      <x:c r="N42" t="str">
        <x:v>B</x:v>
      </x:c>
      <x:c r="O42" t="str">
        <x:v>B</x:v>
      </x:c>
      <x:c r="P42" t="str">
        <x:v>B</x:v>
      </x:c>
      <x:c r="Q42" t="str">
        <x:v>W</x:v>
      </x:c>
      <x:c r="R42" t="str">
        <x:v>W</x:v>
      </x:c>
      <x:c r="S42" t="str">
        <x:v>W</x:v>
      </x:c>
      <x:c r="T42" t="str">
        <x:v>B</x:v>
      </x:c>
      <x:c r="U42" t="str">
        <x:v>B</x:v>
      </x:c>
      <x:c r="V42" t="n">
        <x:f>COUNTIF(B42:U42,"W")</x:f>
        <x:v>9</x:v>
      </x:c>
      <x:c r="W42" s="5" t="str">
        <x:f>IF(COUNTIF(B42:D42,"W")&gt;0,"Y","N")</x:f>
        <x:v>Y</x:v>
      </x:c>
      <x:c r="X42" s="5" t="str">
        <x:f>IF(COUNTIF(B42:I42,"W")&gt;=4,"Y","N")</x:f>
        <x:v>Y</x:v>
      </x:c>
      <x:c r="Y42" s="1"/>
      <x:c r="Z42" s="1"/>
      <x:c r="AA42" s="1"/>
      <x:c r="AB42" s="1"/>
      <x:c r="AC42" s="1"/>
      <x:c r="AD42" s="1"/>
      <x:c r="AE42" s="1"/>
    </x:row>
    <x:row r="43">
      <x:c r="A43" s="1">
        <x:v>42</x:v>
      </x:c>
      <x:c r="B43" t="str">
        <x:v>B</x:v>
      </x:c>
      <x:c r="C43" t="str">
        <x:v>B</x:v>
      </x:c>
      <x:c r="D43" t="str">
        <x:v>B</x:v>
      </x:c>
      <x:c r="E43" t="str">
        <x:v>B</x:v>
      </x:c>
      <x:c r="F43" t="str">
        <x:v>B</x:v>
      </x:c>
      <x:c r="G43" t="str">
        <x:v>W</x:v>
      </x:c>
      <x:c r="H43" t="str">
        <x:v>B</x:v>
      </x:c>
      <x:c r="I43" t="str">
        <x:v>B</x:v>
      </x:c>
      <x:c r="J43" t="str">
        <x:v>W</x:v>
      </x:c>
      <x:c r="K43" t="str">
        <x:v>B</x:v>
      </x:c>
      <x:c r="L43" t="str">
        <x:v>B</x:v>
      </x:c>
      <x:c r="M43" t="str">
        <x:v>B</x:v>
      </x:c>
      <x:c r="N43" t="str">
        <x:v>B</x:v>
      </x:c>
      <x:c r="O43" t="str">
        <x:v>B</x:v>
      </x:c>
      <x:c r="P43" t="str">
        <x:v>B</x:v>
      </x:c>
      <x:c r="Q43" t="str">
        <x:v>B</x:v>
      </x:c>
      <x:c r="R43" t="str">
        <x:v>W</x:v>
      </x:c>
      <x:c r="S43" t="str">
        <x:v>W</x:v>
      </x:c>
      <x:c r="T43" t="str">
        <x:v>W</x:v>
      </x:c>
      <x:c r="U43" t="str">
        <x:v>B</x:v>
      </x:c>
      <x:c r="V43" t="n">
        <x:f>COUNTIF(B43:U43,"W")</x:f>
        <x:v>5</x:v>
      </x:c>
      <x:c r="W43" s="5" t="str">
        <x:f>IF(COUNTIF(B43:D43,"W")&gt;0,"Y","N")</x:f>
        <x:v>N</x:v>
      </x:c>
      <x:c r="X43" s="5" t="str">
        <x:f>IF(COUNTIF(B43:I43,"W")&gt;=4,"Y","N")</x:f>
        <x:v>N</x:v>
      </x:c>
      <x:c r="Y43" s="1"/>
      <x:c r="Z43" s="1"/>
      <x:c r="AA43" s="1"/>
      <x:c r="AB43" s="1"/>
      <x:c r="AC43" s="1"/>
      <x:c r="AD43" s="1"/>
      <x:c r="AE43" s="1"/>
    </x:row>
    <x:row r="44">
      <x:c r="A44" s="1">
        <x:v>43</x:v>
      </x:c>
      <x:c r="B44" t="str">
        <x:v>W</x:v>
      </x:c>
      <x:c r="C44" t="str">
        <x:v>B</x:v>
      </x:c>
      <x:c r="D44" t="str">
        <x:v>W</x:v>
      </x:c>
      <x:c r="E44" t="str">
        <x:v>W</x:v>
      </x:c>
      <x:c r="F44" t="str">
        <x:v>B</x:v>
      </x:c>
      <x:c r="G44" t="str">
        <x:v>B</x:v>
      </x:c>
      <x:c r="H44" t="str">
        <x:v>W</x:v>
      </x:c>
      <x:c r="I44" t="str">
        <x:v>W</x:v>
      </x:c>
      <x:c r="J44" t="str">
        <x:v>W</x:v>
      </x:c>
      <x:c r="K44" t="str">
        <x:v>W</x:v>
      </x:c>
      <x:c r="L44" t="str">
        <x:v>W</x:v>
      </x:c>
      <x:c r="M44" t="str">
        <x:v>B</x:v>
      </x:c>
      <x:c r="N44" t="str">
        <x:v>W</x:v>
      </x:c>
      <x:c r="O44" t="str">
        <x:v>B</x:v>
      </x:c>
      <x:c r="P44" t="str">
        <x:v>B</x:v>
      </x:c>
      <x:c r="Q44" t="str">
        <x:v>B</x:v>
      </x:c>
      <x:c r="R44" t="str">
        <x:v>W</x:v>
      </x:c>
      <x:c r="S44" t="str">
        <x:v>B</x:v>
      </x:c>
      <x:c r="T44" t="str">
        <x:v>W</x:v>
      </x:c>
      <x:c r="U44" t="str">
        <x:v>B</x:v>
      </x:c>
      <x:c r="V44" t="n">
        <x:f>COUNTIF(B44:U44,"W")</x:f>
        <x:v>11</x:v>
      </x:c>
      <x:c r="W44" s="5" t="str">
        <x:f>IF(COUNTIF(B44:D44,"W")&gt;0,"Y","N")</x:f>
        <x:v>Y</x:v>
      </x:c>
      <x:c r="X44" s="5" t="str">
        <x:f>IF(COUNTIF(B44:I44,"W")&gt;=4,"Y","N")</x:f>
        <x:v>Y</x:v>
      </x:c>
      <x:c r="Y44" s="1"/>
      <x:c r="Z44" s="1"/>
      <x:c r="AA44" s="1"/>
      <x:c r="AB44" s="1"/>
      <x:c r="AC44" s="1"/>
      <x:c r="AD44" s="1"/>
      <x:c r="AE44" s="1"/>
    </x:row>
    <x:row r="45">
      <x:c r="A45" s="1">
        <x:v>44</x:v>
      </x:c>
      <x:c r="B45" t="str">
        <x:v>B</x:v>
      </x:c>
      <x:c r="C45" t="str">
        <x:v>W</x:v>
      </x:c>
      <x:c r="D45" t="str">
        <x:v>B</x:v>
      </x:c>
      <x:c r="E45" t="str">
        <x:v>W</x:v>
      </x:c>
      <x:c r="F45" t="str">
        <x:v>B</x:v>
      </x:c>
      <x:c r="G45" t="str">
        <x:v>B</x:v>
      </x:c>
      <x:c r="H45" t="str">
        <x:v>B</x:v>
      </x:c>
      <x:c r="I45" t="str">
        <x:v>W</x:v>
      </x:c>
      <x:c r="J45" t="str">
        <x:v>B</x:v>
      </x:c>
      <x:c r="K45" t="str">
        <x:v>W</x:v>
      </x:c>
      <x:c r="L45" t="str">
        <x:v>B</x:v>
      </x:c>
      <x:c r="M45" t="str">
        <x:v>W</x:v>
      </x:c>
      <x:c r="N45" t="str">
        <x:v>B</x:v>
      </x:c>
      <x:c r="O45" t="str">
        <x:v>B</x:v>
      </x:c>
      <x:c r="P45" t="str">
        <x:v>B</x:v>
      </x:c>
      <x:c r="Q45" t="str">
        <x:v>B</x:v>
      </x:c>
      <x:c r="R45" t="str">
        <x:v>W</x:v>
      </x:c>
      <x:c r="S45" t="str">
        <x:v>B</x:v>
      </x:c>
      <x:c r="T45" t="str">
        <x:v>W</x:v>
      </x:c>
      <x:c r="U45" t="str">
        <x:v>W</x:v>
      </x:c>
      <x:c r="V45" t="n">
        <x:f>COUNTIF(B45:U45,"W")</x:f>
        <x:v>8</x:v>
      </x:c>
      <x:c r="W45" s="5" t="str">
        <x:f>IF(COUNTIF(B45:D45,"W")&gt;0,"Y","N")</x:f>
        <x:v>Y</x:v>
      </x:c>
      <x:c r="X45" s="5" t="str">
        <x:f>IF(COUNTIF(B45:I45,"W")&gt;=4,"Y","N")</x:f>
        <x:v>N</x:v>
      </x:c>
      <x:c r="Y45" s="1"/>
      <x:c r="Z45" s="1"/>
      <x:c r="AA45" s="1"/>
      <x:c r="AB45" s="1"/>
      <x:c r="AC45" s="1"/>
      <x:c r="AD45" s="1"/>
      <x:c r="AE45" s="1"/>
    </x:row>
    <x:row r="46">
      <x:c r="A46" s="1">
        <x:v>45</x:v>
      </x:c>
      <x:c r="B46" t="str">
        <x:v>W</x:v>
      </x:c>
      <x:c r="C46" t="str">
        <x:v>B</x:v>
      </x:c>
      <x:c r="D46" t="str">
        <x:v>B</x:v>
      </x:c>
      <x:c r="E46" t="str">
        <x:v>B</x:v>
      </x:c>
      <x:c r="F46" t="str">
        <x:v>B</x:v>
      </x:c>
      <x:c r="G46" t="str">
        <x:v>W</x:v>
      </x:c>
      <x:c r="H46" t="str">
        <x:v>W</x:v>
      </x:c>
      <x:c r="I46" t="str">
        <x:v>W</x:v>
      </x:c>
      <x:c r="J46" t="str">
        <x:v>W</x:v>
      </x:c>
      <x:c r="K46" t="str">
        <x:v>B</x:v>
      </x:c>
      <x:c r="L46" t="str">
        <x:v>W</x:v>
      </x:c>
      <x:c r="M46" t="str">
        <x:v>B</x:v>
      </x:c>
      <x:c r="N46" t="str">
        <x:v>B</x:v>
      </x:c>
      <x:c r="O46" t="str">
        <x:v>W</x:v>
      </x:c>
      <x:c r="P46" t="str">
        <x:v>B</x:v>
      </x:c>
      <x:c r="Q46" t="str">
        <x:v>B</x:v>
      </x:c>
      <x:c r="R46" t="str">
        <x:v>W</x:v>
      </x:c>
      <x:c r="S46" t="str">
        <x:v>B</x:v>
      </x:c>
      <x:c r="T46" t="str">
        <x:v>B</x:v>
      </x:c>
      <x:c r="U46" t="str">
        <x:v>W</x:v>
      </x:c>
      <x:c r="V46" t="n">
        <x:f>COUNTIF(B46:U46,"W")</x:f>
        <x:v>9</x:v>
      </x:c>
      <x:c r="W46" s="5" t="str">
        <x:f>IF(COUNTIF(B46:D46,"W")&gt;0,"Y","N")</x:f>
        <x:v>Y</x:v>
      </x:c>
      <x:c r="X46" s="5" t="str">
        <x:f>IF(COUNTIF(B46:I46,"W")&gt;=4,"Y","N")</x:f>
        <x:v>Y</x:v>
      </x:c>
      <x:c r="Y46" s="1"/>
      <x:c r="Z46" s="1"/>
      <x:c r="AA46" s="1"/>
      <x:c r="AB46" s="1"/>
      <x:c r="AC46" s="1"/>
      <x:c r="AD46" s="1"/>
      <x:c r="AE46" s="1"/>
    </x:row>
    <x:row r="47">
      <x:c r="A47" s="1">
        <x:v>46</x:v>
      </x:c>
      <x:c r="B47" t="str">
        <x:v>B</x:v>
      </x:c>
      <x:c r="C47" t="str">
        <x:v>B</x:v>
      </x:c>
      <x:c r="D47" t="str">
        <x:v>B</x:v>
      </x:c>
      <x:c r="E47" t="str">
        <x:v>B</x:v>
      </x:c>
      <x:c r="F47" t="str">
        <x:v>B</x:v>
      </x:c>
      <x:c r="G47" t="str">
        <x:v>B</x:v>
      </x:c>
      <x:c r="H47" t="str">
        <x:v>B</x:v>
      </x:c>
      <x:c r="I47" t="str">
        <x:v>W</x:v>
      </x:c>
      <x:c r="J47" t="str">
        <x:v>B</x:v>
      </x:c>
      <x:c r="K47" t="str">
        <x:v>B</x:v>
      </x:c>
      <x:c r="L47" t="str">
        <x:v>B</x:v>
      </x:c>
      <x:c r="M47" t="str">
        <x:v>B</x:v>
      </x:c>
      <x:c r="N47" t="str">
        <x:v>B</x:v>
      </x:c>
      <x:c r="O47" t="str">
        <x:v>W</x:v>
      </x:c>
      <x:c r="P47" t="str">
        <x:v>B</x:v>
      </x:c>
      <x:c r="Q47" t="str">
        <x:v>B</x:v>
      </x:c>
      <x:c r="R47" t="str">
        <x:v>B</x:v>
      </x:c>
      <x:c r="S47" t="str">
        <x:v>B</x:v>
      </x:c>
      <x:c r="T47" t="str">
        <x:v>B</x:v>
      </x:c>
      <x:c r="U47" t="str">
        <x:v>B</x:v>
      </x:c>
      <x:c r="V47" t="n">
        <x:f>COUNTIF(B47:U47,"W")</x:f>
        <x:v>2</x:v>
      </x:c>
      <x:c r="W47" s="5" t="str">
        <x:f>IF(COUNTIF(B47:D47,"W")&gt;0,"Y","N")</x:f>
        <x:v>N</x:v>
      </x:c>
      <x:c r="X47" s="5" t="str">
        <x:f>IF(COUNTIF(B47:I47,"W")&gt;=4,"Y","N")</x:f>
        <x:v>N</x:v>
      </x:c>
      <x:c r="Y47" s="1"/>
      <x:c r="Z47" s="1"/>
      <x:c r="AA47" s="1"/>
      <x:c r="AB47" s="1"/>
      <x:c r="AC47" s="1"/>
      <x:c r="AD47" s="1"/>
      <x:c r="AE47" s="1"/>
    </x:row>
    <x:row r="48">
      <x:c r="A48" s="1">
        <x:v>47</x:v>
      </x:c>
      <x:c r="B48" t="str">
        <x:v>B</x:v>
      </x:c>
      <x:c r="C48" t="str">
        <x:v>B</x:v>
      </x:c>
      <x:c r="D48" t="str">
        <x:v>B</x:v>
      </x:c>
      <x:c r="E48" t="str">
        <x:v>W</x:v>
      </x:c>
      <x:c r="F48" t="str">
        <x:v>B</x:v>
      </x:c>
      <x:c r="G48" t="str">
        <x:v>W</x:v>
      </x:c>
      <x:c r="H48" t="str">
        <x:v>B</x:v>
      </x:c>
      <x:c r="I48" t="str">
        <x:v>W</x:v>
      </x:c>
      <x:c r="J48" t="str">
        <x:v>B</x:v>
      </x:c>
      <x:c r="K48" t="str">
        <x:v>W</x:v>
      </x:c>
      <x:c r="L48" t="str">
        <x:v>W</x:v>
      </x:c>
      <x:c r="M48" t="str">
        <x:v>B</x:v>
      </x:c>
      <x:c r="N48" t="str">
        <x:v>B</x:v>
      </x:c>
      <x:c r="O48" t="str">
        <x:v>W</x:v>
      </x:c>
      <x:c r="P48" t="str">
        <x:v>B</x:v>
      </x:c>
      <x:c r="Q48" t="str">
        <x:v>B</x:v>
      </x:c>
      <x:c r="R48" t="str">
        <x:v>B</x:v>
      </x:c>
      <x:c r="S48" t="str">
        <x:v>B</x:v>
      </x:c>
      <x:c r="T48" t="str">
        <x:v>B</x:v>
      </x:c>
      <x:c r="U48" t="str">
        <x:v>W</x:v>
      </x:c>
      <x:c r="V48" t="n">
        <x:f>COUNTIF(B48:U48,"W")</x:f>
        <x:v>7</x:v>
      </x:c>
      <x:c r="W48" s="5" t="str">
        <x:f>IF(COUNTIF(B48:D48,"W")&gt;0,"Y","N")</x:f>
        <x:v>N</x:v>
      </x:c>
      <x:c r="X48" s="5" t="str">
        <x:f>IF(COUNTIF(B48:I48,"W")&gt;=4,"Y","N")</x:f>
        <x:v>N</x:v>
      </x:c>
      <x:c r="Y48" s="1"/>
      <x:c r="Z48" s="1"/>
      <x:c r="AA48" s="1"/>
      <x:c r="AB48" s="1"/>
      <x:c r="AC48" s="1"/>
      <x:c r="AD48" s="1"/>
      <x:c r="AE48" s="1"/>
    </x:row>
    <x:row r="49">
      <x:c r="A49" s="1">
        <x:v>48</x:v>
      </x:c>
      <x:c r="B49" t="str">
        <x:v>B</x:v>
      </x:c>
      <x:c r="C49" t="str">
        <x:v>W</x:v>
      </x:c>
      <x:c r="D49" t="str">
        <x:v>B</x:v>
      </x:c>
      <x:c r="E49" t="str">
        <x:v>W</x:v>
      </x:c>
      <x:c r="F49" t="str">
        <x:v>W</x:v>
      </x:c>
      <x:c r="G49" t="str">
        <x:v>W</x:v>
      </x:c>
      <x:c r="H49" t="str">
        <x:v>W</x:v>
      </x:c>
      <x:c r="I49" t="str">
        <x:v>W</x:v>
      </x:c>
      <x:c r="J49" t="str">
        <x:v>W</x:v>
      </x:c>
      <x:c r="K49" t="str">
        <x:v>B</x:v>
      </x:c>
      <x:c r="L49" t="str">
        <x:v>W</x:v>
      </x:c>
      <x:c r="M49" t="str">
        <x:v>B</x:v>
      </x:c>
      <x:c r="N49" t="str">
        <x:v>W</x:v>
      </x:c>
      <x:c r="O49" t="str">
        <x:v>W</x:v>
      </x:c>
      <x:c r="P49" t="str">
        <x:v>W</x:v>
      </x:c>
      <x:c r="Q49" t="str">
        <x:v>B</x:v>
      </x:c>
      <x:c r="R49" t="str">
        <x:v>B</x:v>
      </x:c>
      <x:c r="S49" t="str">
        <x:v>W</x:v>
      </x:c>
      <x:c r="T49" t="str">
        <x:v>B</x:v>
      </x:c>
      <x:c r="U49" t="str">
        <x:v>B</x:v>
      </x:c>
      <x:c r="V49" t="n">
        <x:f>COUNTIF(B49:U49,"W")</x:f>
        <x:v>12</x:v>
      </x:c>
      <x:c r="W49" s="5" t="str">
        <x:f>IF(COUNTIF(B49:D49,"W")&gt;0,"Y","N")</x:f>
        <x:v>Y</x:v>
      </x:c>
      <x:c r="X49" s="5" t="str">
        <x:f>IF(COUNTIF(B49:I49,"W")&gt;=4,"Y","N")</x:f>
        <x:v>Y</x:v>
      </x:c>
      <x:c r="Y49" s="1"/>
      <x:c r="Z49" s="1"/>
      <x:c r="AA49" s="1"/>
      <x:c r="AB49" s="1"/>
      <x:c r="AC49" s="1"/>
      <x:c r="AD49" s="1"/>
      <x:c r="AE49" s="1"/>
    </x:row>
    <x:row r="50">
      <x:c r="A50" s="1">
        <x:v>49</x:v>
      </x:c>
      <x:c r="B50" t="str">
        <x:v>B</x:v>
      </x:c>
      <x:c r="C50" t="str">
        <x:v>W</x:v>
      </x:c>
      <x:c r="D50" t="str">
        <x:v>W</x:v>
      </x:c>
      <x:c r="E50" t="str">
        <x:v>W</x:v>
      </x:c>
      <x:c r="F50" t="str">
        <x:v>B</x:v>
      </x:c>
      <x:c r="G50" t="str">
        <x:v>B</x:v>
      </x:c>
      <x:c r="H50" t="str">
        <x:v>B</x:v>
      </x:c>
      <x:c r="I50" t="str">
        <x:v>W</x:v>
      </x:c>
      <x:c r="J50" t="str">
        <x:v>W</x:v>
      </x:c>
      <x:c r="K50" t="str">
        <x:v>B</x:v>
      </x:c>
      <x:c r="L50" t="str">
        <x:v>B</x:v>
      </x:c>
      <x:c r="M50" t="str">
        <x:v>W</x:v>
      </x:c>
      <x:c r="N50" t="str">
        <x:v>W</x:v>
      </x:c>
      <x:c r="O50" t="str">
        <x:v>B</x:v>
      </x:c>
      <x:c r="P50" t="str">
        <x:v>W</x:v>
      </x:c>
      <x:c r="Q50" t="str">
        <x:v>B</x:v>
      </x:c>
      <x:c r="R50" t="str">
        <x:v>W</x:v>
      </x:c>
      <x:c r="S50" t="str">
        <x:v>W</x:v>
      </x:c>
      <x:c r="T50" t="str">
        <x:v>W</x:v>
      </x:c>
      <x:c r="U50" t="str">
        <x:v>W</x:v>
      </x:c>
      <x:c r="V50" t="n">
        <x:f>COUNTIF(B50:U50,"W")</x:f>
        <x:v>12</x:v>
      </x:c>
      <x:c r="W50" s="5" t="str">
        <x:f>IF(COUNTIF(B50:D50,"W")&gt;0,"Y","N")</x:f>
        <x:v>Y</x:v>
      </x:c>
      <x:c r="X50" s="5" t="str">
        <x:f>IF(COUNTIF(B50:I50,"W")&gt;=4,"Y","N")</x:f>
        <x:v>Y</x:v>
      </x:c>
      <x:c r="Y50" s="1"/>
      <x:c r="Z50" s="1"/>
      <x:c r="AA50" s="1"/>
      <x:c r="AB50" s="1"/>
      <x:c r="AC50" s="1"/>
      <x:c r="AD50" s="1"/>
      <x:c r="AE50" s="1"/>
    </x:row>
    <x:row r="51">
      <x:c r="A51" s="1">
        <x:v>50</x:v>
      </x:c>
      <x:c r="B51" t="str">
        <x:v>W</x:v>
      </x:c>
      <x:c r="C51" t="str">
        <x:v>B</x:v>
      </x:c>
      <x:c r="D51" t="str">
        <x:v>W</x:v>
      </x:c>
      <x:c r="E51" t="str">
        <x:v>W</x:v>
      </x:c>
      <x:c r="F51" t="str">
        <x:v>B</x:v>
      </x:c>
      <x:c r="G51" t="str">
        <x:v>W</x:v>
      </x:c>
      <x:c r="H51" t="str">
        <x:v>W</x:v>
      </x:c>
      <x:c r="I51" t="str">
        <x:v>B</x:v>
      </x:c>
      <x:c r="J51" t="str">
        <x:v>B</x:v>
      </x:c>
      <x:c r="K51" t="str">
        <x:v>B</x:v>
      </x:c>
      <x:c r="L51" t="str">
        <x:v>B</x:v>
      </x:c>
      <x:c r="M51" t="str">
        <x:v>B</x:v>
      </x:c>
      <x:c r="N51" t="str">
        <x:v>W</x:v>
      </x:c>
      <x:c r="O51" t="str">
        <x:v>W</x:v>
      </x:c>
      <x:c r="P51" t="str">
        <x:v>W</x:v>
      </x:c>
      <x:c r="Q51" t="str">
        <x:v>B</x:v>
      </x:c>
      <x:c r="R51" t="str">
        <x:v>W</x:v>
      </x:c>
      <x:c r="S51" t="str">
        <x:v>W</x:v>
      </x:c>
      <x:c r="T51" t="str">
        <x:v>B</x:v>
      </x:c>
      <x:c r="U51" t="str">
        <x:v>W</x:v>
      </x:c>
      <x:c r="V51" t="n">
        <x:f>COUNTIF(B51:U51,"W")</x:f>
        <x:v>11</x:v>
      </x:c>
      <x:c r="W51" s="5" t="str">
        <x:f>IF(COUNTIF(B51:D51,"W")&gt;0,"Y","N")</x:f>
        <x:v>Y</x:v>
      </x:c>
      <x:c r="X51" s="5" t="str">
        <x:f>IF(COUNTIF(B51:I51,"W")&gt;=4,"Y","N")</x:f>
        <x:v>Y</x:v>
      </x:c>
      <x:c r="Y51" s="1"/>
      <x:c r="Z51" s="1"/>
      <x:c r="AA51" s="1"/>
      <x:c r="AB51" s="1"/>
      <x:c r="AC51" s="1"/>
      <x:c r="AD51" s="1"/>
      <x:c r="AE51" s="1"/>
    </x:row>
    <x:row r="52">
      <x:c r="A52" s="1">
        <x:v>51</x:v>
      </x:c>
      <x:c r="B52" t="str">
        <x:v>B</x:v>
      </x:c>
      <x:c r="C52" t="str">
        <x:v>B</x:v>
      </x:c>
      <x:c r="D52" t="str">
        <x:v>W</x:v>
      </x:c>
      <x:c r="E52" t="str">
        <x:v>B</x:v>
      </x:c>
      <x:c r="F52" t="str">
        <x:v>W</x:v>
      </x:c>
      <x:c r="G52" t="str">
        <x:v>W</x:v>
      </x:c>
      <x:c r="H52" t="str">
        <x:v>W</x:v>
      </x:c>
      <x:c r="I52" t="str">
        <x:v>W</x:v>
      </x:c>
      <x:c r="J52" t="str">
        <x:v>B</x:v>
      </x:c>
      <x:c r="K52" t="str">
        <x:v>B</x:v>
      </x:c>
      <x:c r="L52" t="str">
        <x:v>B</x:v>
      </x:c>
      <x:c r="M52" t="str">
        <x:v>B</x:v>
      </x:c>
      <x:c r="N52" t="str">
        <x:v>W</x:v>
      </x:c>
      <x:c r="O52" t="str">
        <x:v>W</x:v>
      </x:c>
      <x:c r="P52" t="str">
        <x:v>B</x:v>
      </x:c>
      <x:c r="Q52" t="str">
        <x:v>W</x:v>
      </x:c>
      <x:c r="R52" t="str">
        <x:v>W</x:v>
      </x:c>
      <x:c r="S52" t="str">
        <x:v>W</x:v>
      </x:c>
      <x:c r="T52" t="str">
        <x:v>W</x:v>
      </x:c>
      <x:c r="U52" t="str">
        <x:v>B</x:v>
      </x:c>
      <x:c r="V52" t="n">
        <x:f>COUNTIF(B52:U52,"W")</x:f>
        <x:v>11</x:v>
      </x:c>
      <x:c r="W52" s="5" t="str">
        <x:f>IF(COUNTIF(B52:D52,"W")&gt;0,"Y","N")</x:f>
        <x:v>Y</x:v>
      </x:c>
      <x:c r="X52" s="5" t="str">
        <x:f>IF(COUNTIF(B52:I52,"W")&gt;=4,"Y","N")</x:f>
        <x:v>Y</x:v>
      </x:c>
      <x:c r="Y52" s="1"/>
      <x:c r="Z52" s="1"/>
      <x:c r="AA52" s="1"/>
      <x:c r="AB52" s="1"/>
      <x:c r="AC52" s="1"/>
      <x:c r="AD52" s="1"/>
      <x:c r="AE52" s="1"/>
    </x:row>
    <x:row r="53">
      <x:c r="A53" s="1">
        <x:v>52</x:v>
      </x:c>
      <x:c r="B53" t="str">
        <x:v>B</x:v>
      </x:c>
      <x:c r="C53" t="str">
        <x:v>W</x:v>
      </x:c>
      <x:c r="D53" t="str">
        <x:v>W</x:v>
      </x:c>
      <x:c r="E53" t="str">
        <x:v>W</x:v>
      </x:c>
      <x:c r="F53" t="str">
        <x:v>W</x:v>
      </x:c>
      <x:c r="G53" t="str">
        <x:v>W</x:v>
      </x:c>
      <x:c r="H53" t="str">
        <x:v>B</x:v>
      </x:c>
      <x:c r="I53" t="str">
        <x:v>B</x:v>
      </x:c>
      <x:c r="J53" t="str">
        <x:v>B</x:v>
      </x:c>
      <x:c r="K53" t="str">
        <x:v>W</x:v>
      </x:c>
      <x:c r="L53" t="str">
        <x:v>B</x:v>
      </x:c>
      <x:c r="M53" t="str">
        <x:v>W</x:v>
      </x:c>
      <x:c r="N53" t="str">
        <x:v>B</x:v>
      </x:c>
      <x:c r="O53" t="str">
        <x:v>B</x:v>
      </x:c>
      <x:c r="P53" t="str">
        <x:v>B</x:v>
      </x:c>
      <x:c r="Q53" t="str">
        <x:v>W</x:v>
      </x:c>
      <x:c r="R53" t="str">
        <x:v>W</x:v>
      </x:c>
      <x:c r="S53" t="str">
        <x:v>B</x:v>
      </x:c>
      <x:c r="T53" t="str">
        <x:v>B</x:v>
      </x:c>
      <x:c r="U53" t="str">
        <x:v>B</x:v>
      </x:c>
      <x:c r="V53" t="n">
        <x:f>COUNTIF(B53:U53,"W")</x:f>
        <x:v>9</x:v>
      </x:c>
      <x:c r="W53" s="5" t="str">
        <x:f>IF(COUNTIF(B53:D53,"W")&gt;0,"Y","N")</x:f>
        <x:v>Y</x:v>
      </x:c>
      <x:c r="X53" s="5" t="str">
        <x:f>IF(COUNTIF(B53:I53,"W")&gt;=4,"Y","N")</x:f>
        <x:v>Y</x:v>
      </x:c>
      <x:c r="Y53" s="1"/>
      <x:c r="Z53" s="1"/>
      <x:c r="AA53" s="1"/>
      <x:c r="AB53" s="1"/>
      <x:c r="AC53" s="1"/>
      <x:c r="AD53" s="1"/>
      <x:c r="AE53" s="1"/>
    </x:row>
    <x:row r="54">
      <x:c r="A54" s="1">
        <x:v>53</x:v>
      </x:c>
      <x:c r="B54" t="str">
        <x:v>B</x:v>
      </x:c>
      <x:c r="C54" t="str">
        <x:v>W</x:v>
      </x:c>
      <x:c r="D54" t="str">
        <x:v>B</x:v>
      </x:c>
      <x:c r="E54" t="str">
        <x:v>B</x:v>
      </x:c>
      <x:c r="F54" t="str">
        <x:v>W</x:v>
      </x:c>
      <x:c r="G54" t="str">
        <x:v>W</x:v>
      </x:c>
      <x:c r="H54" t="str">
        <x:v>B</x:v>
      </x:c>
      <x:c r="I54" t="str">
        <x:v>W</x:v>
      </x:c>
      <x:c r="J54" t="str">
        <x:v>W</x:v>
      </x:c>
      <x:c r="K54" t="str">
        <x:v>B</x:v>
      </x:c>
      <x:c r="L54" t="str">
        <x:v>W</x:v>
      </x:c>
      <x:c r="M54" t="str">
        <x:v>B</x:v>
      </x:c>
      <x:c r="N54" t="str">
        <x:v>W</x:v>
      </x:c>
      <x:c r="O54" t="str">
        <x:v>W</x:v>
      </x:c>
      <x:c r="P54" t="str">
        <x:v>B</x:v>
      </x:c>
      <x:c r="Q54" t="str">
        <x:v>W</x:v>
      </x:c>
      <x:c r="R54" t="str">
        <x:v>W</x:v>
      </x:c>
      <x:c r="S54" t="str">
        <x:v>W</x:v>
      </x:c>
      <x:c r="T54" t="str">
        <x:v>B</x:v>
      </x:c>
      <x:c r="U54" t="str">
        <x:v>B</x:v>
      </x:c>
      <x:c r="V54" t="n">
        <x:f>COUNTIF(B54:U54,"W")</x:f>
        <x:v>11</x:v>
      </x:c>
      <x:c r="W54" s="5" t="str">
        <x:f>IF(COUNTIF(B54:D54,"W")&gt;0,"Y","N")</x:f>
        <x:v>Y</x:v>
      </x:c>
      <x:c r="X54" s="5" t="str">
        <x:f>IF(COUNTIF(B54:I54,"W")&gt;=4,"Y","N")</x:f>
        <x:v>Y</x:v>
      </x:c>
      <x:c r="Y54" s="1"/>
      <x:c r="Z54" s="1"/>
      <x:c r="AA54" s="1"/>
      <x:c r="AB54" s="1"/>
      <x:c r="AC54" s="1"/>
      <x:c r="AD54" s="1"/>
      <x:c r="AE54" s="1"/>
    </x:row>
    <x:row r="55">
      <x:c r="A55" s="1">
        <x:v>54</x:v>
      </x:c>
      <x:c r="B55" t="str">
        <x:v>W</x:v>
      </x:c>
      <x:c r="C55" t="str">
        <x:v>B</x:v>
      </x:c>
      <x:c r="D55" t="str">
        <x:v>W</x:v>
      </x:c>
      <x:c r="E55" t="str">
        <x:v>B</x:v>
      </x:c>
      <x:c r="F55" t="str">
        <x:v>B</x:v>
      </x:c>
      <x:c r="G55" t="str">
        <x:v>W</x:v>
      </x:c>
      <x:c r="H55" t="str">
        <x:v>W</x:v>
      </x:c>
      <x:c r="I55" t="str">
        <x:v>B</x:v>
      </x:c>
      <x:c r="J55" t="str">
        <x:v>B</x:v>
      </x:c>
      <x:c r="K55" t="str">
        <x:v>B</x:v>
      </x:c>
      <x:c r="L55" t="str">
        <x:v>W</x:v>
      </x:c>
      <x:c r="M55" t="str">
        <x:v>W</x:v>
      </x:c>
      <x:c r="N55" t="str">
        <x:v>B</x:v>
      </x:c>
      <x:c r="O55" t="str">
        <x:v>B</x:v>
      </x:c>
      <x:c r="P55" t="str">
        <x:v>B</x:v>
      </x:c>
      <x:c r="Q55" t="str">
        <x:v>W</x:v>
      </x:c>
      <x:c r="R55" t="str">
        <x:v>B</x:v>
      </x:c>
      <x:c r="S55" t="str">
        <x:v>B</x:v>
      </x:c>
      <x:c r="T55" t="str">
        <x:v>B</x:v>
      </x:c>
      <x:c r="U55" t="str">
        <x:v>W</x:v>
      </x:c>
      <x:c r="V55" t="n">
        <x:f>COUNTIF(B55:U55,"W")</x:f>
        <x:v>8</x:v>
      </x:c>
      <x:c r="W55" s="5" t="str">
        <x:f>IF(COUNTIF(B55:D55,"W")&gt;0,"Y","N")</x:f>
        <x:v>Y</x:v>
      </x:c>
      <x:c r="X55" s="5" t="str">
        <x:f>IF(COUNTIF(B55:I55,"W")&gt;=4,"Y","N")</x:f>
        <x:v>Y</x:v>
      </x:c>
      <x:c r="Y55" s="1"/>
      <x:c r="Z55" s="1"/>
      <x:c r="AA55" s="1"/>
      <x:c r="AB55" s="1"/>
      <x:c r="AC55" s="1"/>
      <x:c r="AD55" s="1"/>
      <x:c r="AE55" s="1"/>
    </x:row>
    <x:row r="56">
      <x:c r="A56" s="1">
        <x:v>55</x:v>
      </x:c>
      <x:c r="B56" t="str">
        <x:v>B</x:v>
      </x:c>
      <x:c r="C56" t="str">
        <x:v>B</x:v>
      </x:c>
      <x:c r="D56" t="str">
        <x:v>B</x:v>
      </x:c>
      <x:c r="E56" t="str">
        <x:v>W</x:v>
      </x:c>
      <x:c r="F56" t="str">
        <x:v>W</x:v>
      </x:c>
      <x:c r="G56" t="str">
        <x:v>W</x:v>
      </x:c>
      <x:c r="H56" t="str">
        <x:v>B</x:v>
      </x:c>
      <x:c r="I56" t="str">
        <x:v>W</x:v>
      </x:c>
      <x:c r="J56" t="str">
        <x:v>W</x:v>
      </x:c>
      <x:c r="K56" t="str">
        <x:v>B</x:v>
      </x:c>
      <x:c r="L56" t="str">
        <x:v>B</x:v>
      </x:c>
      <x:c r="M56" t="str">
        <x:v>B</x:v>
      </x:c>
      <x:c r="N56" t="str">
        <x:v>W</x:v>
      </x:c>
      <x:c r="O56" t="str">
        <x:v>B</x:v>
      </x:c>
      <x:c r="P56" t="str">
        <x:v>W</x:v>
      </x:c>
      <x:c r="Q56" t="str">
        <x:v>B</x:v>
      </x:c>
      <x:c r="R56" t="str">
        <x:v>B</x:v>
      </x:c>
      <x:c r="S56" t="str">
        <x:v>B</x:v>
      </x:c>
      <x:c r="T56" t="str">
        <x:v>B</x:v>
      </x:c>
      <x:c r="U56" t="str">
        <x:v>B</x:v>
      </x:c>
      <x:c r="V56" t="n">
        <x:f>COUNTIF(B56:U56,"W")</x:f>
        <x:v>7</x:v>
      </x:c>
      <x:c r="W56" s="5" t="str">
        <x:f>IF(COUNTIF(B56:D56,"W")&gt;0,"Y","N")</x:f>
        <x:v>N</x:v>
      </x:c>
      <x:c r="X56" s="5" t="str">
        <x:f>IF(COUNTIF(B56:I56,"W")&gt;=4,"Y","N")</x:f>
        <x:v>Y</x:v>
      </x:c>
      <x:c r="Y56" s="1"/>
      <x:c r="Z56" s="1"/>
      <x:c r="AA56" s="1"/>
      <x:c r="AB56" s="1"/>
      <x:c r="AC56" s="1"/>
      <x:c r="AD56" s="1"/>
      <x:c r="AE56" s="1"/>
    </x:row>
    <x:row r="57">
      <x:c r="A57" s="1">
        <x:v>56</x:v>
      </x:c>
      <x:c r="B57" t="str">
        <x:v>B</x:v>
      </x:c>
      <x:c r="C57" t="str">
        <x:v>B</x:v>
      </x:c>
      <x:c r="D57" t="str">
        <x:v>W</x:v>
      </x:c>
      <x:c r="E57" t="str">
        <x:v>B</x:v>
      </x:c>
      <x:c r="F57" t="str">
        <x:v>W</x:v>
      </x:c>
      <x:c r="G57" t="str">
        <x:v>W</x:v>
      </x:c>
      <x:c r="H57" t="str">
        <x:v>B</x:v>
      </x:c>
      <x:c r="I57" t="str">
        <x:v>W</x:v>
      </x:c>
      <x:c r="J57" t="str">
        <x:v>W</x:v>
      </x:c>
      <x:c r="K57" t="str">
        <x:v>B</x:v>
      </x:c>
      <x:c r="L57" t="str">
        <x:v>W</x:v>
      </x:c>
      <x:c r="M57" t="str">
        <x:v>W</x:v>
      </x:c>
      <x:c r="N57" t="str">
        <x:v>B</x:v>
      </x:c>
      <x:c r="O57" t="str">
        <x:v>W</x:v>
      </x:c>
      <x:c r="P57" t="str">
        <x:v>W</x:v>
      </x:c>
      <x:c r="Q57" t="str">
        <x:v>B</x:v>
      </x:c>
      <x:c r="R57" t="str">
        <x:v>B</x:v>
      </x:c>
      <x:c r="S57" t="str">
        <x:v>B</x:v>
      </x:c>
      <x:c r="T57" t="str">
        <x:v>B</x:v>
      </x:c>
      <x:c r="U57" t="str">
        <x:v>B</x:v>
      </x:c>
      <x:c r="V57" t="n">
        <x:f>COUNTIF(B57:U57,"W")</x:f>
        <x:v>9</x:v>
      </x:c>
      <x:c r="W57" s="5" t="str">
        <x:f>IF(COUNTIF(B57:D57,"W")&gt;0,"Y","N")</x:f>
        <x:v>Y</x:v>
      </x:c>
      <x:c r="X57" s="5" t="str">
        <x:f>IF(COUNTIF(B57:I57,"W")&gt;=4,"Y","N")</x:f>
        <x:v>Y</x:v>
      </x:c>
      <x:c r="Y57" s="1"/>
      <x:c r="Z57" s="1"/>
      <x:c r="AA57" s="1"/>
      <x:c r="AB57" s="1"/>
      <x:c r="AC57" s="1"/>
      <x:c r="AD57" s="1"/>
      <x:c r="AE57" s="1"/>
    </x:row>
    <x:row r="58">
      <x:c r="A58" s="1">
        <x:v>57</x:v>
      </x:c>
      <x:c r="B58" t="str">
        <x:v>W</x:v>
      </x:c>
      <x:c r="C58" t="str">
        <x:v>B</x:v>
      </x:c>
      <x:c r="D58" t="str">
        <x:v>B</x:v>
      </x:c>
      <x:c r="E58" t="str">
        <x:v>B</x:v>
      </x:c>
      <x:c r="F58" t="str">
        <x:v>W</x:v>
      </x:c>
      <x:c r="G58" t="str">
        <x:v>B</x:v>
      </x:c>
      <x:c r="H58" t="str">
        <x:v>B</x:v>
      </x:c>
      <x:c r="I58" t="str">
        <x:v>W</x:v>
      </x:c>
      <x:c r="J58" t="str">
        <x:v>B</x:v>
      </x:c>
      <x:c r="K58" t="str">
        <x:v>B</x:v>
      </x:c>
      <x:c r="L58" t="str">
        <x:v>B</x:v>
      </x:c>
      <x:c r="M58" t="str">
        <x:v>B</x:v>
      </x:c>
      <x:c r="N58" t="str">
        <x:v>B</x:v>
      </x:c>
      <x:c r="O58" t="str">
        <x:v>W</x:v>
      </x:c>
      <x:c r="P58" t="str">
        <x:v>W</x:v>
      </x:c>
      <x:c r="Q58" t="str">
        <x:v>B</x:v>
      </x:c>
      <x:c r="R58" t="str">
        <x:v>W</x:v>
      </x:c>
      <x:c r="S58" t="str">
        <x:v>W</x:v>
      </x:c>
      <x:c r="T58" t="str">
        <x:v>B</x:v>
      </x:c>
      <x:c r="U58" t="str">
        <x:v>B</x:v>
      </x:c>
      <x:c r="V58" t="n">
        <x:f>COUNTIF(B58:U58,"W")</x:f>
        <x:v>7</x:v>
      </x:c>
      <x:c r="W58" s="5" t="str">
        <x:f>IF(COUNTIF(B58:D58,"W")&gt;0,"Y","N")</x:f>
        <x:v>Y</x:v>
      </x:c>
      <x:c r="X58" s="5" t="str">
        <x:f>IF(COUNTIF(B58:I58,"W")&gt;=4,"Y","N")</x:f>
        <x:v>N</x:v>
      </x:c>
      <x:c r="Y58" s="1"/>
      <x:c r="Z58" s="1"/>
      <x:c r="AA58" s="1"/>
      <x:c r="AB58" s="1"/>
      <x:c r="AC58" s="1"/>
      <x:c r="AD58" s="1"/>
      <x:c r="AE58" s="1"/>
    </x:row>
    <x:row r="59">
      <x:c r="A59" s="1">
        <x:v>58</x:v>
      </x:c>
      <x:c r="B59" t="str">
        <x:v>W</x:v>
      </x:c>
      <x:c r="C59" t="str">
        <x:v>B</x:v>
      </x:c>
      <x:c r="D59" t="str">
        <x:v>W</x:v>
      </x:c>
      <x:c r="E59" t="str">
        <x:v>B</x:v>
      </x:c>
      <x:c r="F59" t="str">
        <x:v>B</x:v>
      </x:c>
      <x:c r="G59" t="str">
        <x:v>B</x:v>
      </x:c>
      <x:c r="H59" t="str">
        <x:v>W</x:v>
      </x:c>
      <x:c r="I59" t="str">
        <x:v>B</x:v>
      </x:c>
      <x:c r="J59" t="str">
        <x:v>B</x:v>
      </x:c>
      <x:c r="K59" t="str">
        <x:v>W</x:v>
      </x:c>
      <x:c r="L59" t="str">
        <x:v>B</x:v>
      </x:c>
      <x:c r="M59" t="str">
        <x:v>B</x:v>
      </x:c>
      <x:c r="N59" t="str">
        <x:v>W</x:v>
      </x:c>
      <x:c r="O59" t="str">
        <x:v>B</x:v>
      </x:c>
      <x:c r="P59" t="str">
        <x:v>B</x:v>
      </x:c>
      <x:c r="Q59" t="str">
        <x:v>W</x:v>
      </x:c>
      <x:c r="R59" t="str">
        <x:v>B</x:v>
      </x:c>
      <x:c r="S59" t="str">
        <x:v>B</x:v>
      </x:c>
      <x:c r="T59" t="str">
        <x:v>B</x:v>
      </x:c>
      <x:c r="U59" t="str">
        <x:v>B</x:v>
      </x:c>
      <x:c r="V59" t="n">
        <x:f>COUNTIF(B59:U59,"W")</x:f>
        <x:v>6</x:v>
      </x:c>
      <x:c r="W59" s="5" t="str">
        <x:f>IF(COUNTIF(B59:D59,"W")&gt;0,"Y","N")</x:f>
        <x:v>Y</x:v>
      </x:c>
      <x:c r="X59" s="5" t="str">
        <x:f>IF(COUNTIF(B59:I59,"W")&gt;=4,"Y","N")</x:f>
        <x:v>N</x:v>
      </x:c>
      <x:c r="Y59" s="1"/>
      <x:c r="Z59" s="1"/>
      <x:c r="AA59" s="1"/>
      <x:c r="AB59" s="1"/>
      <x:c r="AC59" s="1"/>
      <x:c r="AD59" s="1"/>
      <x:c r="AE59" s="1"/>
    </x:row>
    <x:row r="60">
      <x:c r="A60" s="1">
        <x:v>59</x:v>
      </x:c>
      <x:c r="B60" t="str">
        <x:v>B</x:v>
      </x:c>
      <x:c r="C60" t="str">
        <x:v>B</x:v>
      </x:c>
      <x:c r="D60" t="str">
        <x:v>B</x:v>
      </x:c>
      <x:c r="E60" t="str">
        <x:v>B</x:v>
      </x:c>
      <x:c r="F60" t="str">
        <x:v>B</x:v>
      </x:c>
      <x:c r="G60" t="str">
        <x:v>W</x:v>
      </x:c>
      <x:c r="H60" t="str">
        <x:v>W</x:v>
      </x:c>
      <x:c r="I60" t="str">
        <x:v>B</x:v>
      </x:c>
      <x:c r="J60" t="str">
        <x:v>B</x:v>
      </x:c>
      <x:c r="K60" t="str">
        <x:v>B</x:v>
      </x:c>
      <x:c r="L60" t="str">
        <x:v>B</x:v>
      </x:c>
      <x:c r="M60" t="str">
        <x:v>B</x:v>
      </x:c>
      <x:c r="N60" t="str">
        <x:v>B</x:v>
      </x:c>
      <x:c r="O60" t="str">
        <x:v>B</x:v>
      </x:c>
      <x:c r="P60" t="str">
        <x:v>W</x:v>
      </x:c>
      <x:c r="Q60" t="str">
        <x:v>W</x:v>
      </x:c>
      <x:c r="R60" t="str">
        <x:v>B</x:v>
      </x:c>
      <x:c r="S60" t="str">
        <x:v>B</x:v>
      </x:c>
      <x:c r="T60" t="str">
        <x:v>W</x:v>
      </x:c>
      <x:c r="U60" t="str">
        <x:v>B</x:v>
      </x:c>
      <x:c r="V60" t="n">
        <x:f>COUNTIF(B60:U60,"W")</x:f>
        <x:v>5</x:v>
      </x:c>
      <x:c r="W60" s="5" t="str">
        <x:f>IF(COUNTIF(B60:D60,"W")&gt;0,"Y","N")</x:f>
        <x:v>N</x:v>
      </x:c>
      <x:c r="X60" s="5" t="str">
        <x:f>IF(COUNTIF(B60:I60,"W")&gt;=4,"Y","N")</x:f>
        <x:v>N</x:v>
      </x:c>
      <x:c r="Y60" s="1"/>
      <x:c r="Z60" s="1"/>
      <x:c r="AA60" s="1"/>
      <x:c r="AB60" s="1"/>
      <x:c r="AC60" s="1"/>
      <x:c r="AD60" s="1"/>
      <x:c r="AE60" s="1"/>
    </x:row>
    <x:row r="61">
      <x:c r="A61" s="1">
        <x:v>60</x:v>
      </x:c>
      <x:c r="B61" t="str">
        <x:v>B</x:v>
      </x:c>
      <x:c r="C61" t="str">
        <x:v>B</x:v>
      </x:c>
      <x:c r="D61" t="str">
        <x:v>W</x:v>
      </x:c>
      <x:c r="E61" t="str">
        <x:v>B</x:v>
      </x:c>
      <x:c r="F61" t="str">
        <x:v>B</x:v>
      </x:c>
      <x:c r="G61" t="str">
        <x:v>B</x:v>
      </x:c>
      <x:c r="H61" t="str">
        <x:v>B</x:v>
      </x:c>
      <x:c r="I61" t="str">
        <x:v>B</x:v>
      </x:c>
      <x:c r="J61" t="str">
        <x:v>B</x:v>
      </x:c>
      <x:c r="K61" t="str">
        <x:v>W</x:v>
      </x:c>
      <x:c r="L61" t="str">
        <x:v>B</x:v>
      </x:c>
      <x:c r="M61" t="str">
        <x:v>B</x:v>
      </x:c>
      <x:c r="N61" t="str">
        <x:v>B</x:v>
      </x:c>
      <x:c r="O61" t="str">
        <x:v>B</x:v>
      </x:c>
      <x:c r="P61" t="str">
        <x:v>B</x:v>
      </x:c>
      <x:c r="Q61" t="str">
        <x:v>B</x:v>
      </x:c>
      <x:c r="R61" t="str">
        <x:v>B</x:v>
      </x:c>
      <x:c r="S61" t="str">
        <x:v>W</x:v>
      </x:c>
      <x:c r="T61" t="str">
        <x:v>B</x:v>
      </x:c>
      <x:c r="U61" t="str">
        <x:v>W</x:v>
      </x:c>
      <x:c r="V61" t="n">
        <x:f>COUNTIF(B61:U61,"W")</x:f>
        <x:v>4</x:v>
      </x:c>
      <x:c r="W61" s="5" t="str">
        <x:f>IF(COUNTIF(B61:D61,"W")&gt;0,"Y","N")</x:f>
        <x:v>Y</x:v>
      </x:c>
      <x:c r="X61" s="5" t="str">
        <x:f>IF(COUNTIF(B61:I61,"W")&gt;=4,"Y","N")</x:f>
        <x:v>N</x:v>
      </x:c>
      <x:c r="Y61" s="1"/>
      <x:c r="Z61" s="1"/>
      <x:c r="AA61" s="1"/>
      <x:c r="AB61" s="1"/>
      <x:c r="AC61" s="1"/>
      <x:c r="AD61" s="1"/>
      <x:c r="AE61" s="1"/>
    </x:row>
    <x:row r="62">
      <x:c r="A62" s="1">
        <x:v>61</x:v>
      </x:c>
      <x:c r="B62" t="str">
        <x:v>W</x:v>
      </x:c>
      <x:c r="C62" t="str">
        <x:v>W</x:v>
      </x:c>
      <x:c r="D62" t="str">
        <x:v>B</x:v>
      </x:c>
      <x:c r="E62" t="str">
        <x:v>B</x:v>
      </x:c>
      <x:c r="F62" t="str">
        <x:v>B</x:v>
      </x:c>
      <x:c r="G62" t="str">
        <x:v>B</x:v>
      </x:c>
      <x:c r="H62" t="str">
        <x:v>W</x:v>
      </x:c>
      <x:c r="I62" t="str">
        <x:v>W</x:v>
      </x:c>
      <x:c r="J62" t="str">
        <x:v>W</x:v>
      </x:c>
      <x:c r="K62" t="str">
        <x:v>W</x:v>
      </x:c>
      <x:c r="L62" t="str">
        <x:v>B</x:v>
      </x:c>
      <x:c r="M62" t="str">
        <x:v>B</x:v>
      </x:c>
      <x:c r="N62" t="str">
        <x:v>W</x:v>
      </x:c>
      <x:c r="O62" t="str">
        <x:v>B</x:v>
      </x:c>
      <x:c r="P62" t="str">
        <x:v>B</x:v>
      </x:c>
      <x:c r="Q62" t="str">
        <x:v>B</x:v>
      </x:c>
      <x:c r="R62" t="str">
        <x:v>B</x:v>
      </x:c>
      <x:c r="S62" t="str">
        <x:v>W</x:v>
      </x:c>
      <x:c r="T62" t="str">
        <x:v>B</x:v>
      </x:c>
      <x:c r="U62" t="str">
        <x:v>B</x:v>
      </x:c>
      <x:c r="V62" t="n">
        <x:f>COUNTIF(B62:U62,"W")</x:f>
        <x:v>8</x:v>
      </x:c>
      <x:c r="W62" s="5" t="str">
        <x:f>IF(COUNTIF(B62:D62,"W")&gt;0,"Y","N")</x:f>
        <x:v>Y</x:v>
      </x:c>
      <x:c r="X62" s="5" t="str">
        <x:f>IF(COUNTIF(B62:I62,"W")&gt;=4,"Y","N")</x:f>
        <x:v>Y</x:v>
      </x:c>
      <x:c r="Y62" s="1"/>
      <x:c r="Z62" s="1"/>
      <x:c r="AA62" s="1"/>
      <x:c r="AB62" s="1"/>
      <x:c r="AC62" s="1"/>
      <x:c r="AD62" s="1"/>
      <x:c r="AE62" s="1"/>
    </x:row>
    <x:row r="63">
      <x:c r="A63" s="1">
        <x:v>62</x:v>
      </x:c>
      <x:c r="B63" t="str">
        <x:v>W</x:v>
      </x:c>
      <x:c r="C63" t="str">
        <x:v>W</x:v>
      </x:c>
      <x:c r="D63" t="str">
        <x:v>W</x:v>
      </x:c>
      <x:c r="E63" t="str">
        <x:v>B</x:v>
      </x:c>
      <x:c r="F63" t="str">
        <x:v>B</x:v>
      </x:c>
      <x:c r="G63" t="str">
        <x:v>W</x:v>
      </x:c>
      <x:c r="H63" t="str">
        <x:v>B</x:v>
      </x:c>
      <x:c r="I63" t="str">
        <x:v>B</x:v>
      </x:c>
      <x:c r="J63" t="str">
        <x:v>W</x:v>
      </x:c>
      <x:c r="K63" t="str">
        <x:v>W</x:v>
      </x:c>
      <x:c r="L63" t="str">
        <x:v>W</x:v>
      </x:c>
      <x:c r="M63" t="str">
        <x:v>W</x:v>
      </x:c>
      <x:c r="N63" t="str">
        <x:v>B</x:v>
      </x:c>
      <x:c r="O63" t="str">
        <x:v>B</x:v>
      </x:c>
      <x:c r="P63" t="str">
        <x:v>B</x:v>
      </x:c>
      <x:c r="Q63" t="str">
        <x:v>W</x:v>
      </x:c>
      <x:c r="R63" t="str">
        <x:v>B</x:v>
      </x:c>
      <x:c r="S63" t="str">
        <x:v>B</x:v>
      </x:c>
      <x:c r="T63" t="str">
        <x:v>B</x:v>
      </x:c>
      <x:c r="U63" t="str">
        <x:v>B</x:v>
      </x:c>
      <x:c r="V63" t="n">
        <x:f>COUNTIF(B63:U63,"W")</x:f>
        <x:v>9</x:v>
      </x:c>
      <x:c r="W63" s="5" t="str">
        <x:f>IF(COUNTIF(B63:D63,"W")&gt;0,"Y","N")</x:f>
        <x:v>Y</x:v>
      </x:c>
      <x:c r="X63" s="5" t="str">
        <x:f>IF(COUNTIF(B63:I63,"W")&gt;=4,"Y","N")</x:f>
        <x:v>Y</x:v>
      </x:c>
      <x:c r="Y63" s="1"/>
      <x:c r="Z63" s="1"/>
      <x:c r="AA63" s="1"/>
      <x:c r="AB63" s="1"/>
      <x:c r="AC63" s="1"/>
      <x:c r="AD63" s="1"/>
      <x:c r="AE63" s="1"/>
    </x:row>
    <x:row r="64">
      <x:c r="A64" s="1">
        <x:v>63</x:v>
      </x:c>
      <x:c r="B64" t="str">
        <x:v>B</x:v>
      </x:c>
      <x:c r="C64" t="str">
        <x:v>B</x:v>
      </x:c>
      <x:c r="D64" t="str">
        <x:v>B</x:v>
      </x:c>
      <x:c r="E64" t="str">
        <x:v>B</x:v>
      </x:c>
      <x:c r="F64" t="str">
        <x:v>B</x:v>
      </x:c>
      <x:c r="G64" t="str">
        <x:v>B</x:v>
      </x:c>
      <x:c r="H64" t="str">
        <x:v>W</x:v>
      </x:c>
      <x:c r="I64" t="str">
        <x:v>B</x:v>
      </x:c>
      <x:c r="J64" t="str">
        <x:v>W</x:v>
      </x:c>
      <x:c r="K64" t="str">
        <x:v>B</x:v>
      </x:c>
      <x:c r="L64" t="str">
        <x:v>B</x:v>
      </x:c>
      <x:c r="M64" t="str">
        <x:v>B</x:v>
      </x:c>
      <x:c r="N64" t="str">
        <x:v>B</x:v>
      </x:c>
      <x:c r="O64" t="str">
        <x:v>B</x:v>
      </x:c>
      <x:c r="P64" t="str">
        <x:v>B</x:v>
      </x:c>
      <x:c r="Q64" t="str">
        <x:v>W</x:v>
      </x:c>
      <x:c r="R64" t="str">
        <x:v>B</x:v>
      </x:c>
      <x:c r="S64" t="str">
        <x:v>B</x:v>
      </x:c>
      <x:c r="T64" t="str">
        <x:v>B</x:v>
      </x:c>
      <x:c r="U64" t="str">
        <x:v>W</x:v>
      </x:c>
      <x:c r="V64" t="n">
        <x:f>COUNTIF(B64:U64,"W")</x:f>
        <x:v>4</x:v>
      </x:c>
      <x:c r="W64" s="5" t="str">
        <x:f>IF(COUNTIF(B64:D64,"W")&gt;0,"Y","N")</x:f>
        <x:v>N</x:v>
      </x:c>
      <x:c r="X64" s="5" t="str">
        <x:f>IF(COUNTIF(B64:I64,"W")&gt;=4,"Y","N")</x:f>
        <x:v>N</x:v>
      </x:c>
      <x:c r="Y64" s="1"/>
      <x:c r="Z64" s="1"/>
      <x:c r="AA64" s="1"/>
      <x:c r="AB64" s="1"/>
      <x:c r="AC64" s="1"/>
      <x:c r="AD64" s="1"/>
      <x:c r="AE64" s="1"/>
    </x:row>
    <x:row r="65">
      <x:c r="A65" s="1">
        <x:v>64</x:v>
      </x:c>
      <x:c r="B65" t="str">
        <x:v>W</x:v>
      </x:c>
      <x:c r="C65" t="str">
        <x:v>B</x:v>
      </x:c>
      <x:c r="D65" t="str">
        <x:v>B</x:v>
      </x:c>
      <x:c r="E65" t="str">
        <x:v>B</x:v>
      </x:c>
      <x:c r="F65" t="str">
        <x:v>B</x:v>
      </x:c>
      <x:c r="G65" t="str">
        <x:v>B</x:v>
      </x:c>
      <x:c r="H65" t="str">
        <x:v>W</x:v>
      </x:c>
      <x:c r="I65" t="str">
        <x:v>W</x:v>
      </x:c>
      <x:c r="J65" t="str">
        <x:v>B</x:v>
      </x:c>
      <x:c r="K65" t="str">
        <x:v>B</x:v>
      </x:c>
      <x:c r="L65" t="str">
        <x:v>W</x:v>
      </x:c>
      <x:c r="M65" t="str">
        <x:v>B</x:v>
      </x:c>
      <x:c r="N65" t="str">
        <x:v>B</x:v>
      </x:c>
      <x:c r="O65" t="str">
        <x:v>W</x:v>
      </x:c>
      <x:c r="P65" t="str">
        <x:v>W</x:v>
      </x:c>
      <x:c r="Q65" t="str">
        <x:v>W</x:v>
      </x:c>
      <x:c r="R65" t="str">
        <x:v>B</x:v>
      </x:c>
      <x:c r="S65" t="str">
        <x:v>B</x:v>
      </x:c>
      <x:c r="T65" t="str">
        <x:v>B</x:v>
      </x:c>
      <x:c r="U65" t="str">
        <x:v>W</x:v>
      </x:c>
      <x:c r="V65" t="n">
        <x:f>COUNTIF(B65:U65,"W")</x:f>
        <x:v>8</x:v>
      </x:c>
      <x:c r="W65" s="5" t="str">
        <x:f>IF(COUNTIF(B65:D65,"W")&gt;0,"Y","N")</x:f>
        <x:v>Y</x:v>
      </x:c>
      <x:c r="X65" s="5" t="str">
        <x:f>IF(COUNTIF(B65:I65,"W")&gt;=4,"Y","N")</x:f>
        <x:v>N</x:v>
      </x:c>
      <x:c r="Y65" s="1"/>
      <x:c r="Z65" s="1"/>
      <x:c r="AA65" s="1"/>
      <x:c r="AB65" s="1"/>
      <x:c r="AC65" s="1"/>
      <x:c r="AD65" s="1"/>
      <x:c r="AE65" s="1"/>
    </x:row>
    <x:row r="66">
      <x:c r="A66" s="1">
        <x:v>65</x:v>
      </x:c>
      <x:c r="B66" t="str">
        <x:v>B</x:v>
      </x:c>
      <x:c r="C66" t="str">
        <x:v>B</x:v>
      </x:c>
      <x:c r="D66" t="str">
        <x:v>B</x:v>
      </x:c>
      <x:c r="E66" t="str">
        <x:v>W</x:v>
      </x:c>
      <x:c r="F66" t="str">
        <x:v>W</x:v>
      </x:c>
      <x:c r="G66" t="str">
        <x:v>B</x:v>
      </x:c>
      <x:c r="H66" t="str">
        <x:v>B</x:v>
      </x:c>
      <x:c r="I66" t="str">
        <x:v>B</x:v>
      </x:c>
      <x:c r="J66" t="str">
        <x:v>B</x:v>
      </x:c>
      <x:c r="K66" t="str">
        <x:v>B</x:v>
      </x:c>
      <x:c r="L66" t="str">
        <x:v>B</x:v>
      </x:c>
      <x:c r="M66" t="str">
        <x:v>B</x:v>
      </x:c>
      <x:c r="N66" t="str">
        <x:v>W</x:v>
      </x:c>
      <x:c r="O66" t="str">
        <x:v>B</x:v>
      </x:c>
      <x:c r="P66" t="str">
        <x:v>W</x:v>
      </x:c>
      <x:c r="Q66" t="str">
        <x:v>W</x:v>
      </x:c>
      <x:c r="R66" t="str">
        <x:v>B</x:v>
      </x:c>
      <x:c r="S66" t="str">
        <x:v>B</x:v>
      </x:c>
      <x:c r="T66" t="str">
        <x:v>B</x:v>
      </x:c>
      <x:c r="U66" t="str">
        <x:v>B</x:v>
      </x:c>
      <x:c r="V66" t="n">
        <x:f>COUNTIF(B66:U66,"W")</x:f>
        <x:v>5</x:v>
      </x:c>
      <x:c r="W66" s="5" t="str">
        <x:f>IF(COUNTIF(B66:D66,"W")&gt;0,"Y","N")</x:f>
        <x:v>N</x:v>
      </x:c>
      <x:c r="X66" s="5" t="str">
        <x:f>IF(COUNTIF(B66:I66,"W")&gt;=4,"Y","N")</x:f>
        <x:v>N</x:v>
      </x:c>
      <x:c r="Y66" s="1"/>
      <x:c r="Z66" s="1"/>
      <x:c r="AA66" s="1"/>
      <x:c r="AB66" s="1"/>
      <x:c r="AC66" s="1"/>
      <x:c r="AD66" s="1"/>
      <x:c r="AE66" s="1"/>
    </x:row>
    <x:row r="67">
      <x:c r="A67" s="1">
        <x:v>66</x:v>
      </x:c>
      <x:c r="B67" t="str">
        <x:v>B</x:v>
      </x:c>
      <x:c r="C67" t="str">
        <x:v>B</x:v>
      </x:c>
      <x:c r="D67" t="str">
        <x:v>B</x:v>
      </x:c>
      <x:c r="E67" t="str">
        <x:v>W</x:v>
      </x:c>
      <x:c r="F67" t="str">
        <x:v>B</x:v>
      </x:c>
      <x:c r="G67" t="str">
        <x:v>W</x:v>
      </x:c>
      <x:c r="H67" t="str">
        <x:v>B</x:v>
      </x:c>
      <x:c r="I67" t="str">
        <x:v>B</x:v>
      </x:c>
      <x:c r="J67" t="str">
        <x:v>B</x:v>
      </x:c>
      <x:c r="K67" t="str">
        <x:v>W</x:v>
      </x:c>
      <x:c r="L67" t="str">
        <x:v>B</x:v>
      </x:c>
      <x:c r="M67" t="str">
        <x:v>B</x:v>
      </x:c>
      <x:c r="N67" t="str">
        <x:v>W</x:v>
      </x:c>
      <x:c r="O67" t="str">
        <x:v>B</x:v>
      </x:c>
      <x:c r="P67" t="str">
        <x:v>W</x:v>
      </x:c>
      <x:c r="Q67" t="str">
        <x:v>B</x:v>
      </x:c>
      <x:c r="R67" t="str">
        <x:v>B</x:v>
      </x:c>
      <x:c r="S67" t="str">
        <x:v>W</x:v>
      </x:c>
      <x:c r="T67" t="str">
        <x:v>B</x:v>
      </x:c>
      <x:c r="U67" t="str">
        <x:v>B</x:v>
      </x:c>
      <x:c r="V67" t="n">
        <x:f>COUNTIF(B67:U67,"W")</x:f>
        <x:v>6</x:v>
      </x:c>
      <x:c r="W67" s="5" t="str">
        <x:f>IF(COUNTIF(B67:D67,"W")&gt;0,"Y","N")</x:f>
        <x:v>N</x:v>
      </x:c>
      <x:c r="X67" s="5" t="str">
        <x:f>IF(COUNTIF(B67:I67,"W")&gt;=4,"Y","N")</x:f>
        <x:v>N</x:v>
      </x:c>
      <x:c r="Y67" s="1"/>
      <x:c r="Z67" s="1"/>
      <x:c r="AA67" s="1"/>
      <x:c r="AB67" s="1"/>
      <x:c r="AC67" s="1"/>
      <x:c r="AD67" s="1"/>
      <x:c r="AE67" s="1"/>
    </x:row>
    <x:row r="68">
      <x:c r="A68" s="1">
        <x:v>67</x:v>
      </x:c>
      <x:c r="B68" t="str">
        <x:v>W</x:v>
      </x:c>
      <x:c r="C68" t="str">
        <x:v>W</x:v>
      </x:c>
      <x:c r="D68" t="str">
        <x:v>B</x:v>
      </x:c>
      <x:c r="E68" t="str">
        <x:v>B</x:v>
      </x:c>
      <x:c r="F68" t="str">
        <x:v>B</x:v>
      </x:c>
      <x:c r="G68" t="str">
        <x:v>B</x:v>
      </x:c>
      <x:c r="H68" t="str">
        <x:v>B</x:v>
      </x:c>
      <x:c r="I68" t="str">
        <x:v>B</x:v>
      </x:c>
      <x:c r="J68" t="str">
        <x:v>W</x:v>
      </x:c>
      <x:c r="K68" t="str">
        <x:v>B</x:v>
      </x:c>
      <x:c r="L68" t="str">
        <x:v>B</x:v>
      </x:c>
      <x:c r="M68" t="str">
        <x:v>B</x:v>
      </x:c>
      <x:c r="N68" t="str">
        <x:v>B</x:v>
      </x:c>
      <x:c r="O68" t="str">
        <x:v>B</x:v>
      </x:c>
      <x:c r="P68" t="str">
        <x:v>B</x:v>
      </x:c>
      <x:c r="Q68" t="str">
        <x:v>B</x:v>
      </x:c>
      <x:c r="R68" t="str">
        <x:v>B</x:v>
      </x:c>
      <x:c r="S68" t="str">
        <x:v>B</x:v>
      </x:c>
      <x:c r="T68" t="str">
        <x:v>W</x:v>
      </x:c>
      <x:c r="U68" t="str">
        <x:v>B</x:v>
      </x:c>
      <x:c r="V68" t="n">
        <x:f>COUNTIF(B68:U68,"W")</x:f>
        <x:v>4</x:v>
      </x:c>
      <x:c r="W68" s="5" t="str">
        <x:f>IF(COUNTIF(B68:D68,"W")&gt;0,"Y","N")</x:f>
        <x:v>Y</x:v>
      </x:c>
      <x:c r="X68" s="5" t="str">
        <x:f>IF(COUNTIF(B68:I68,"W")&gt;=4,"Y","N")</x:f>
        <x:v>N</x:v>
      </x:c>
      <x:c r="Y68" s="1"/>
      <x:c r="Z68" s="1"/>
      <x:c r="AA68" s="1"/>
      <x:c r="AB68" s="1"/>
      <x:c r="AC68" s="1"/>
      <x:c r="AD68" s="1"/>
      <x:c r="AE68" s="1"/>
    </x:row>
    <x:row r="69">
      <x:c r="A69" s="1">
        <x:v>68</x:v>
      </x:c>
      <x:c r="B69" t="str">
        <x:v>W</x:v>
      </x:c>
      <x:c r="C69" t="str">
        <x:v>W</x:v>
      </x:c>
      <x:c r="D69" t="str">
        <x:v>B</x:v>
      </x:c>
      <x:c r="E69" t="str">
        <x:v>B</x:v>
      </x:c>
      <x:c r="F69" t="str">
        <x:v>W</x:v>
      </x:c>
      <x:c r="G69" t="str">
        <x:v>W</x:v>
      </x:c>
      <x:c r="H69" t="str">
        <x:v>B</x:v>
      </x:c>
      <x:c r="I69" t="str">
        <x:v>W</x:v>
      </x:c>
      <x:c r="J69" t="str">
        <x:v>W</x:v>
      </x:c>
      <x:c r="K69" t="str">
        <x:v>W</x:v>
      </x:c>
      <x:c r="L69" t="str">
        <x:v>B</x:v>
      </x:c>
      <x:c r="M69" t="str">
        <x:v>B</x:v>
      </x:c>
      <x:c r="N69" t="str">
        <x:v>B</x:v>
      </x:c>
      <x:c r="O69" t="str">
        <x:v>W</x:v>
      </x:c>
      <x:c r="P69" t="str">
        <x:v>B</x:v>
      </x:c>
      <x:c r="Q69" t="str">
        <x:v>B</x:v>
      </x:c>
      <x:c r="R69" t="str">
        <x:v>W</x:v>
      </x:c>
      <x:c r="S69" t="str">
        <x:v>B</x:v>
      </x:c>
      <x:c r="T69" t="str">
        <x:v>B</x:v>
      </x:c>
      <x:c r="U69" t="str">
        <x:v>W</x:v>
      </x:c>
      <x:c r="V69" t="n">
        <x:f>COUNTIF(B69:U69,"W")</x:f>
        <x:v>10</x:v>
      </x:c>
      <x:c r="W69" s="5" t="str">
        <x:f>IF(COUNTIF(B69:D69,"W")&gt;0,"Y","N")</x:f>
        <x:v>Y</x:v>
      </x:c>
      <x:c r="X69" s="5" t="str">
        <x:f>IF(COUNTIF(B69:I69,"W")&gt;=4,"Y","N")</x:f>
        <x:v>Y</x:v>
      </x:c>
      <x:c r="Y69" s="1"/>
      <x:c r="Z69" s="1"/>
      <x:c r="AA69" s="1"/>
      <x:c r="AB69" s="1"/>
      <x:c r="AC69" s="1"/>
      <x:c r="AD69" s="1"/>
      <x:c r="AE69" s="1"/>
    </x:row>
    <x:row r="70">
      <x:c r="A70" s="1">
        <x:v>69</x:v>
      </x:c>
      <x:c r="B70" t="str">
        <x:v>B</x:v>
      </x:c>
      <x:c r="C70" t="str">
        <x:v>B</x:v>
      </x:c>
      <x:c r="D70" t="str">
        <x:v>W</x:v>
      </x:c>
      <x:c r="E70" t="str">
        <x:v>B</x:v>
      </x:c>
      <x:c r="F70" t="str">
        <x:v>W</x:v>
      </x:c>
      <x:c r="G70" t="str">
        <x:v>W</x:v>
      </x:c>
      <x:c r="H70" t="str">
        <x:v>B</x:v>
      </x:c>
      <x:c r="I70" t="str">
        <x:v>B</x:v>
      </x:c>
      <x:c r="J70" t="str">
        <x:v>B</x:v>
      </x:c>
      <x:c r="K70" t="str">
        <x:v>W</x:v>
      </x:c>
      <x:c r="L70" t="str">
        <x:v>B</x:v>
      </x:c>
      <x:c r="M70" t="str">
        <x:v>W</x:v>
      </x:c>
      <x:c r="N70" t="str">
        <x:v>W</x:v>
      </x:c>
      <x:c r="O70" t="str">
        <x:v>B</x:v>
      </x:c>
      <x:c r="P70" t="str">
        <x:v>B</x:v>
      </x:c>
      <x:c r="Q70" t="str">
        <x:v>B</x:v>
      </x:c>
      <x:c r="R70" t="str">
        <x:v>W</x:v>
      </x:c>
      <x:c r="S70" t="str">
        <x:v>W</x:v>
      </x:c>
      <x:c r="T70" t="str">
        <x:v>W</x:v>
      </x:c>
      <x:c r="U70" t="str">
        <x:v>B</x:v>
      </x:c>
      <x:c r="V70" t="n">
        <x:f>COUNTIF(B70:U70,"W")</x:f>
        <x:v>9</x:v>
      </x:c>
      <x:c r="W70" s="5" t="str">
        <x:f>IF(COUNTIF(B70:D70,"W")&gt;0,"Y","N")</x:f>
        <x:v>Y</x:v>
      </x:c>
      <x:c r="X70" s="5" t="str">
        <x:f>IF(COUNTIF(B70:I70,"W")&gt;=4,"Y","N")</x:f>
        <x:v>N</x:v>
      </x:c>
      <x:c r="Y70" s="1"/>
      <x:c r="Z70" s="1"/>
      <x:c r="AA70" s="1"/>
      <x:c r="AB70" s="1"/>
      <x:c r="AC70" s="1"/>
      <x:c r="AD70" s="1"/>
      <x:c r="AE70" s="1"/>
    </x:row>
    <x:row r="71">
      <x:c r="A71" s="1">
        <x:v>70</x:v>
      </x:c>
      <x:c r="B71" t="str">
        <x:v>W</x:v>
      </x:c>
      <x:c r="C71" t="str">
        <x:v>B</x:v>
      </x:c>
      <x:c r="D71" t="str">
        <x:v>B</x:v>
      </x:c>
      <x:c r="E71" t="str">
        <x:v>W</x:v>
      </x:c>
      <x:c r="F71" t="str">
        <x:v>W</x:v>
      </x:c>
      <x:c r="G71" t="str">
        <x:v>W</x:v>
      </x:c>
      <x:c r="H71" t="str">
        <x:v>W</x:v>
      </x:c>
      <x:c r="I71" t="str">
        <x:v>B</x:v>
      </x:c>
      <x:c r="J71" t="str">
        <x:v>B</x:v>
      </x:c>
      <x:c r="K71" t="str">
        <x:v>B</x:v>
      </x:c>
      <x:c r="L71" t="str">
        <x:v>B</x:v>
      </x:c>
      <x:c r="M71" t="str">
        <x:v>W</x:v>
      </x:c>
      <x:c r="N71" t="str">
        <x:v>W</x:v>
      </x:c>
      <x:c r="O71" t="str">
        <x:v>B</x:v>
      </x:c>
      <x:c r="P71" t="str">
        <x:v>W</x:v>
      </x:c>
      <x:c r="Q71" t="str">
        <x:v>B</x:v>
      </x:c>
      <x:c r="R71" t="str">
        <x:v>W</x:v>
      </x:c>
      <x:c r="S71" t="str">
        <x:v>B</x:v>
      </x:c>
      <x:c r="T71" t="str">
        <x:v>W</x:v>
      </x:c>
      <x:c r="U71" t="str">
        <x:v>W</x:v>
      </x:c>
      <x:c r="V71" t="n">
        <x:f>COUNTIF(B71:U71,"W")</x:f>
        <x:v>11</x:v>
      </x:c>
      <x:c r="W71" s="5" t="str">
        <x:f>IF(COUNTIF(B71:D71,"W")&gt;0,"Y","N")</x:f>
        <x:v>Y</x:v>
      </x:c>
      <x:c r="X71" s="5" t="str">
        <x:f>IF(COUNTIF(B71:I71,"W")&gt;=4,"Y","N")</x:f>
        <x:v>Y</x:v>
      </x:c>
      <x:c r="Y71" s="1"/>
      <x:c r="Z71" s="1"/>
      <x:c r="AA71" s="1"/>
      <x:c r="AB71" s="1"/>
      <x:c r="AC71" s="1"/>
      <x:c r="AD71" s="1"/>
      <x:c r="AE71" s="1"/>
    </x:row>
    <x:row r="72">
      <x:c r="A72" s="1">
        <x:v>71</x:v>
      </x:c>
      <x:c r="B72" t="str">
        <x:v>W</x:v>
      </x:c>
      <x:c r="C72" t="str">
        <x:v>W</x:v>
      </x:c>
      <x:c r="D72" t="str">
        <x:v>B</x:v>
      </x:c>
      <x:c r="E72" t="str">
        <x:v>B</x:v>
      </x:c>
      <x:c r="F72" t="str">
        <x:v>B</x:v>
      </x:c>
      <x:c r="G72" t="str">
        <x:v>W</x:v>
      </x:c>
      <x:c r="H72" t="str">
        <x:v>B</x:v>
      </x:c>
      <x:c r="I72" t="str">
        <x:v>W</x:v>
      </x:c>
      <x:c r="J72" t="str">
        <x:v>B</x:v>
      </x:c>
      <x:c r="K72" t="str">
        <x:v>W</x:v>
      </x:c>
      <x:c r="L72" t="str">
        <x:v>W</x:v>
      </x:c>
      <x:c r="M72" t="str">
        <x:v>B</x:v>
      </x:c>
      <x:c r="N72" t="str">
        <x:v>B</x:v>
      </x:c>
      <x:c r="O72" t="str">
        <x:v>B</x:v>
      </x:c>
      <x:c r="P72" t="str">
        <x:v>W</x:v>
      </x:c>
      <x:c r="Q72" t="str">
        <x:v>B</x:v>
      </x:c>
      <x:c r="R72" t="str">
        <x:v>B</x:v>
      </x:c>
      <x:c r="S72" t="str">
        <x:v>B</x:v>
      </x:c>
      <x:c r="T72" t="str">
        <x:v>W</x:v>
      </x:c>
      <x:c r="U72" t="str">
        <x:v>B</x:v>
      </x:c>
      <x:c r="V72" t="n">
        <x:f>COUNTIF(B72:U72,"W")</x:f>
        <x:v>8</x:v>
      </x:c>
      <x:c r="W72" s="5" t="str">
        <x:f>IF(COUNTIF(B72:D72,"W")&gt;0,"Y","N")</x:f>
        <x:v>Y</x:v>
      </x:c>
      <x:c r="X72" s="5" t="str">
        <x:f>IF(COUNTIF(B72:I72,"W")&gt;=4,"Y","N")</x:f>
        <x:v>Y</x:v>
      </x:c>
      <x:c r="Y72" s="1"/>
      <x:c r="Z72" s="1"/>
      <x:c r="AA72" s="1"/>
      <x:c r="AB72" s="1"/>
      <x:c r="AC72" s="1"/>
      <x:c r="AD72" s="1"/>
      <x:c r="AE72" s="1"/>
    </x:row>
    <x:row r="73">
      <x:c r="A73" s="1">
        <x:v>72</x:v>
      </x:c>
      <x:c r="B73" t="str">
        <x:v>W</x:v>
      </x:c>
      <x:c r="C73" t="str">
        <x:v>W</x:v>
      </x:c>
      <x:c r="D73" t="str">
        <x:v>W</x:v>
      </x:c>
      <x:c r="E73" t="str">
        <x:v>B</x:v>
      </x:c>
      <x:c r="F73" t="str">
        <x:v>B</x:v>
      </x:c>
      <x:c r="G73" t="str">
        <x:v>W</x:v>
      </x:c>
      <x:c r="H73" t="str">
        <x:v>B</x:v>
      </x:c>
      <x:c r="I73" t="str">
        <x:v>W</x:v>
      </x:c>
      <x:c r="J73" t="str">
        <x:v>B</x:v>
      </x:c>
      <x:c r="K73" t="str">
        <x:v>B</x:v>
      </x:c>
      <x:c r="L73" t="str">
        <x:v>B</x:v>
      </x:c>
      <x:c r="M73" t="str">
        <x:v>W</x:v>
      </x:c>
      <x:c r="N73" t="str">
        <x:v>W</x:v>
      </x:c>
      <x:c r="O73" t="str">
        <x:v>W</x:v>
      </x:c>
      <x:c r="P73" t="str">
        <x:v>W</x:v>
      </x:c>
      <x:c r="Q73" t="str">
        <x:v>W</x:v>
      </x:c>
      <x:c r="R73" t="str">
        <x:v>B</x:v>
      </x:c>
      <x:c r="S73" t="str">
        <x:v>B</x:v>
      </x:c>
      <x:c r="T73" t="str">
        <x:v>W</x:v>
      </x:c>
      <x:c r="U73" t="str">
        <x:v>W</x:v>
      </x:c>
      <x:c r="V73" t="n">
        <x:f>COUNTIF(B73:U73,"W")</x:f>
        <x:v>12</x:v>
      </x:c>
      <x:c r="W73" s="5" t="str">
        <x:f>IF(COUNTIF(B73:D73,"W")&gt;0,"Y","N")</x:f>
        <x:v>Y</x:v>
      </x:c>
      <x:c r="X73" s="5" t="str">
        <x:f>IF(COUNTIF(B73:I73,"W")&gt;=4,"Y","N")</x:f>
        <x:v>Y</x:v>
      </x:c>
      <x:c r="Y73" s="1"/>
      <x:c r="Z73" s="1"/>
      <x:c r="AA73" s="1"/>
      <x:c r="AB73" s="1"/>
      <x:c r="AC73" s="1"/>
      <x:c r="AD73" s="1"/>
      <x:c r="AE73" s="1"/>
    </x:row>
    <x:row r="74">
      <x:c r="A74" s="1">
        <x:v>73</x:v>
      </x:c>
      <x:c r="B74" t="str">
        <x:v>B</x:v>
      </x:c>
      <x:c r="C74" t="str">
        <x:v>B</x:v>
      </x:c>
      <x:c r="D74" t="str">
        <x:v>B</x:v>
      </x:c>
      <x:c r="E74" t="str">
        <x:v>B</x:v>
      </x:c>
      <x:c r="F74" t="str">
        <x:v>B</x:v>
      </x:c>
      <x:c r="G74" t="str">
        <x:v>B</x:v>
      </x:c>
      <x:c r="H74" t="str">
        <x:v>W</x:v>
      </x:c>
      <x:c r="I74" t="str">
        <x:v>B</x:v>
      </x:c>
      <x:c r="J74" t="str">
        <x:v>W</x:v>
      </x:c>
      <x:c r="K74" t="str">
        <x:v>W</x:v>
      </x:c>
      <x:c r="L74" t="str">
        <x:v>B</x:v>
      </x:c>
      <x:c r="M74" t="str">
        <x:v>W</x:v>
      </x:c>
      <x:c r="N74" t="str">
        <x:v>W</x:v>
      </x:c>
      <x:c r="O74" t="str">
        <x:v>W</x:v>
      </x:c>
      <x:c r="P74" t="str">
        <x:v>B</x:v>
      </x:c>
      <x:c r="Q74" t="str">
        <x:v>B</x:v>
      </x:c>
      <x:c r="R74" t="str">
        <x:v>B</x:v>
      </x:c>
      <x:c r="S74" t="str">
        <x:v>B</x:v>
      </x:c>
      <x:c r="T74" t="str">
        <x:v>W</x:v>
      </x:c>
      <x:c r="U74" t="str">
        <x:v>B</x:v>
      </x:c>
      <x:c r="V74" t="n">
        <x:f>COUNTIF(B74:U74,"W")</x:f>
        <x:v>7</x:v>
      </x:c>
      <x:c r="W74" s="5" t="str">
        <x:f>IF(COUNTIF(B74:D74,"W")&gt;0,"Y","N")</x:f>
        <x:v>N</x:v>
      </x:c>
      <x:c r="X74" s="5" t="str">
        <x:f>IF(COUNTIF(B74:I74,"W")&gt;=4,"Y","N")</x:f>
        <x:v>N</x:v>
      </x:c>
      <x:c r="Y74" s="1"/>
      <x:c r="Z74" s="1"/>
      <x:c r="AA74" s="1"/>
      <x:c r="AB74" s="1"/>
      <x:c r="AC74" s="1"/>
      <x:c r="AD74" s="1"/>
      <x:c r="AE74" s="1"/>
    </x:row>
    <x:row r="75">
      <x:c r="A75" s="1">
        <x:v>74</x:v>
      </x:c>
      <x:c r="B75" t="str">
        <x:v>B</x:v>
      </x:c>
      <x:c r="C75" t="str">
        <x:v>B</x:v>
      </x:c>
      <x:c r="D75" t="str">
        <x:v>B</x:v>
      </x:c>
      <x:c r="E75" t="str">
        <x:v>B</x:v>
      </x:c>
      <x:c r="F75" t="str">
        <x:v>B</x:v>
      </x:c>
      <x:c r="G75" t="str">
        <x:v>B</x:v>
      </x:c>
      <x:c r="H75" t="str">
        <x:v>B</x:v>
      </x:c>
      <x:c r="I75" t="str">
        <x:v>B</x:v>
      </x:c>
      <x:c r="J75" t="str">
        <x:v>B</x:v>
      </x:c>
      <x:c r="K75" t="str">
        <x:v>W</x:v>
      </x:c>
      <x:c r="L75" t="str">
        <x:v>B</x:v>
      </x:c>
      <x:c r="M75" t="str">
        <x:v>B</x:v>
      </x:c>
      <x:c r="N75" t="str">
        <x:v>W</x:v>
      </x:c>
      <x:c r="O75" t="str">
        <x:v>B</x:v>
      </x:c>
      <x:c r="P75" t="str">
        <x:v>B</x:v>
      </x:c>
      <x:c r="Q75" t="str">
        <x:v>B</x:v>
      </x:c>
      <x:c r="R75" t="str">
        <x:v>B</x:v>
      </x:c>
      <x:c r="S75" t="str">
        <x:v>W</x:v>
      </x:c>
      <x:c r="T75" t="str">
        <x:v>W</x:v>
      </x:c>
      <x:c r="U75" t="str">
        <x:v>W</x:v>
      </x:c>
      <x:c r="V75" t="n">
        <x:f>COUNTIF(B75:U75,"W")</x:f>
        <x:v>5</x:v>
      </x:c>
      <x:c r="W75" s="5" t="str">
        <x:f>IF(COUNTIF(B75:D75,"W")&gt;0,"Y","N")</x:f>
        <x:v>N</x:v>
      </x:c>
      <x:c r="X75" s="5" t="str">
        <x:f>IF(COUNTIF(B75:I75,"W")&gt;=4,"Y","N")</x:f>
        <x:v>N</x:v>
      </x:c>
      <x:c r="Y75" s="1"/>
      <x:c r="Z75" s="1"/>
      <x:c r="AA75" s="1"/>
      <x:c r="AB75" s="1"/>
      <x:c r="AC75" s="1"/>
      <x:c r="AD75" s="1"/>
      <x:c r="AE75" s="1"/>
    </x:row>
    <x:row r="76">
      <x:c r="A76" s="1">
        <x:v>75</x:v>
      </x:c>
      <x:c r="B76" t="str">
        <x:v>B</x:v>
      </x:c>
      <x:c r="C76" t="str">
        <x:v>B</x:v>
      </x:c>
      <x:c r="D76" t="str">
        <x:v>B</x:v>
      </x:c>
      <x:c r="E76" t="str">
        <x:v>W</x:v>
      </x:c>
      <x:c r="F76" t="str">
        <x:v>W</x:v>
      </x:c>
      <x:c r="G76" t="str">
        <x:v>W</x:v>
      </x:c>
      <x:c r="H76" t="str">
        <x:v>W</x:v>
      </x:c>
      <x:c r="I76" t="str">
        <x:v>W</x:v>
      </x:c>
      <x:c r="J76" t="str">
        <x:v>W</x:v>
      </x:c>
      <x:c r="K76" t="str">
        <x:v>B</x:v>
      </x:c>
      <x:c r="L76" t="str">
        <x:v>B</x:v>
      </x:c>
      <x:c r="M76" t="str">
        <x:v>W</x:v>
      </x:c>
      <x:c r="N76" t="str">
        <x:v>W</x:v>
      </x:c>
      <x:c r="O76" t="str">
        <x:v>W</x:v>
      </x:c>
      <x:c r="P76" t="str">
        <x:v>W</x:v>
      </x:c>
      <x:c r="Q76" t="str">
        <x:v>B</x:v>
      </x:c>
      <x:c r="R76" t="str">
        <x:v>W</x:v>
      </x:c>
      <x:c r="S76" t="str">
        <x:v>B</x:v>
      </x:c>
      <x:c r="T76" t="str">
        <x:v>B</x:v>
      </x:c>
      <x:c r="U76" t="str">
        <x:v>B</x:v>
      </x:c>
      <x:c r="V76" t="n">
        <x:f>COUNTIF(B76:U76,"W")</x:f>
        <x:v>11</x:v>
      </x:c>
      <x:c r="W76" s="5" t="str">
        <x:f>IF(COUNTIF(B76:D76,"W")&gt;0,"Y","N")</x:f>
        <x:v>N</x:v>
      </x:c>
      <x:c r="X76" s="5" t="str">
        <x:f>IF(COUNTIF(B76:I76,"W")&gt;=4,"Y","N")</x:f>
        <x:v>Y</x:v>
      </x:c>
      <x:c r="Y76" s="1"/>
      <x:c r="Z76" s="1"/>
      <x:c r="AA76" s="1"/>
      <x:c r="AB76" s="1"/>
      <x:c r="AC76" s="1"/>
      <x:c r="AD76" s="1"/>
      <x:c r="AE76" s="1"/>
    </x:row>
    <x:row r="77">
      <x:c r="A77" s="1">
        <x:v>76</x:v>
      </x:c>
      <x:c r="B77" t="str">
        <x:v>W</x:v>
      </x:c>
      <x:c r="C77" t="str">
        <x:v>W</x:v>
      </x:c>
      <x:c r="D77" t="str">
        <x:v>B</x:v>
      </x:c>
      <x:c r="E77" t="str">
        <x:v>B</x:v>
      </x:c>
      <x:c r="F77" t="str">
        <x:v>B</x:v>
      </x:c>
      <x:c r="G77" t="str">
        <x:v>B</x:v>
      </x:c>
      <x:c r="H77" t="str">
        <x:v>B</x:v>
      </x:c>
      <x:c r="I77" t="str">
        <x:v>B</x:v>
      </x:c>
      <x:c r="J77" t="str">
        <x:v>B</x:v>
      </x:c>
      <x:c r="K77" t="str">
        <x:v>B</x:v>
      </x:c>
      <x:c r="L77" t="str">
        <x:v>B</x:v>
      </x:c>
      <x:c r="M77" t="str">
        <x:v>B</x:v>
      </x:c>
      <x:c r="N77" t="str">
        <x:v>B</x:v>
      </x:c>
      <x:c r="O77" t="str">
        <x:v>B</x:v>
      </x:c>
      <x:c r="P77" t="str">
        <x:v>B</x:v>
      </x:c>
      <x:c r="Q77" t="str">
        <x:v>B</x:v>
      </x:c>
      <x:c r="R77" t="str">
        <x:v>B</x:v>
      </x:c>
      <x:c r="S77" t="str">
        <x:v>B</x:v>
      </x:c>
      <x:c r="T77" t="str">
        <x:v>B</x:v>
      </x:c>
      <x:c r="U77" t="str">
        <x:v>B</x:v>
      </x:c>
      <x:c r="V77" t="n">
        <x:f>COUNTIF(B77:U77,"W")</x:f>
        <x:v>2</x:v>
      </x:c>
      <x:c r="W77" s="5" t="str">
        <x:f>IF(COUNTIF(B77:D77,"W")&gt;0,"Y","N")</x:f>
        <x:v>Y</x:v>
      </x:c>
      <x:c r="X77" s="5" t="str">
        <x:f>IF(COUNTIF(B77:I77,"W")&gt;=4,"Y","N")</x:f>
        <x:v>N</x:v>
      </x:c>
      <x:c r="Y77" s="1"/>
      <x:c r="Z77" s="1"/>
      <x:c r="AA77" s="1"/>
      <x:c r="AB77" s="1"/>
      <x:c r="AC77" s="1"/>
      <x:c r="AD77" s="1"/>
      <x:c r="AE77" s="1"/>
    </x:row>
    <x:row r="78">
      <x:c r="A78" s="1">
        <x:v>77</x:v>
      </x:c>
      <x:c r="B78" t="str">
        <x:v>W</x:v>
      </x:c>
      <x:c r="C78" t="str">
        <x:v>B</x:v>
      </x:c>
      <x:c r="D78" t="str">
        <x:v>W</x:v>
      </x:c>
      <x:c r="E78" t="str">
        <x:v>B</x:v>
      </x:c>
      <x:c r="F78" t="str">
        <x:v>B</x:v>
      </x:c>
      <x:c r="G78" t="str">
        <x:v>B</x:v>
      </x:c>
      <x:c r="H78" t="str">
        <x:v>W</x:v>
      </x:c>
      <x:c r="I78" t="str">
        <x:v>B</x:v>
      </x:c>
      <x:c r="J78" t="str">
        <x:v>B</x:v>
      </x:c>
      <x:c r="K78" t="str">
        <x:v>B</x:v>
      </x:c>
      <x:c r="L78" t="str">
        <x:v>W</x:v>
      </x:c>
      <x:c r="M78" t="str">
        <x:v>B</x:v>
      </x:c>
      <x:c r="N78" t="str">
        <x:v>B</x:v>
      </x:c>
      <x:c r="O78" t="str">
        <x:v>W</x:v>
      </x:c>
      <x:c r="P78" t="str">
        <x:v>W</x:v>
      </x:c>
      <x:c r="Q78" t="str">
        <x:v>W</x:v>
      </x:c>
      <x:c r="R78" t="str">
        <x:v>B</x:v>
      </x:c>
      <x:c r="S78" t="str">
        <x:v>B</x:v>
      </x:c>
      <x:c r="T78" t="str">
        <x:v>W</x:v>
      </x:c>
      <x:c r="U78" t="str">
        <x:v>B</x:v>
      </x:c>
      <x:c r="V78" t="n">
        <x:f>COUNTIF(B78:U78,"W")</x:f>
        <x:v>8</x:v>
      </x:c>
      <x:c r="W78" s="5" t="str">
        <x:f>IF(COUNTIF(B78:D78,"W")&gt;0,"Y","N")</x:f>
        <x:v>Y</x:v>
      </x:c>
      <x:c r="X78" s="5" t="str">
        <x:f>IF(COUNTIF(B78:I78,"W")&gt;=4,"Y","N")</x:f>
        <x:v>N</x:v>
      </x:c>
      <x:c r="Y78" s="1"/>
      <x:c r="Z78" s="1"/>
      <x:c r="AA78" s="1"/>
      <x:c r="AB78" s="1"/>
      <x:c r="AC78" s="1"/>
      <x:c r="AD78" s="1"/>
      <x:c r="AE78" s="1"/>
    </x:row>
    <x:row r="79">
      <x:c r="A79" s="1">
        <x:v>78</x:v>
      </x:c>
      <x:c r="B79" t="str">
        <x:v>B</x:v>
      </x:c>
      <x:c r="C79" t="str">
        <x:v>B</x:v>
      </x:c>
      <x:c r="D79" t="str">
        <x:v>W</x:v>
      </x:c>
      <x:c r="E79" t="str">
        <x:v>B</x:v>
      </x:c>
      <x:c r="F79" t="str">
        <x:v>B</x:v>
      </x:c>
      <x:c r="G79" t="str">
        <x:v>B</x:v>
      </x:c>
      <x:c r="H79" t="str">
        <x:v>B</x:v>
      </x:c>
      <x:c r="I79" t="str">
        <x:v>W</x:v>
      </x:c>
      <x:c r="J79" t="str">
        <x:v>W</x:v>
      </x:c>
      <x:c r="K79" t="str">
        <x:v>B</x:v>
      </x:c>
      <x:c r="L79" t="str">
        <x:v>B</x:v>
      </x:c>
      <x:c r="M79" t="str">
        <x:v>B</x:v>
      </x:c>
      <x:c r="N79" t="str">
        <x:v>B</x:v>
      </x:c>
      <x:c r="O79" t="str">
        <x:v>B</x:v>
      </x:c>
      <x:c r="P79" t="str">
        <x:v>B</x:v>
      </x:c>
      <x:c r="Q79" t="str">
        <x:v>W</x:v>
      </x:c>
      <x:c r="R79" t="str">
        <x:v>B</x:v>
      </x:c>
      <x:c r="S79" t="str">
        <x:v>B</x:v>
      </x:c>
      <x:c r="T79" t="str">
        <x:v>W</x:v>
      </x:c>
      <x:c r="U79" t="str">
        <x:v>B</x:v>
      </x:c>
      <x:c r="V79" t="n">
        <x:f>COUNTIF(B79:U79,"W")</x:f>
        <x:v>5</x:v>
      </x:c>
      <x:c r="W79" s="5" t="str">
        <x:f>IF(COUNTIF(B79:D79,"W")&gt;0,"Y","N")</x:f>
        <x:v>Y</x:v>
      </x:c>
      <x:c r="X79" s="5" t="str">
        <x:f>IF(COUNTIF(B79:I79,"W")&gt;=4,"Y","N")</x:f>
        <x:v>N</x:v>
      </x:c>
      <x:c r="Y79" s="1"/>
      <x:c r="Z79" s="1"/>
      <x:c r="AA79" s="1"/>
      <x:c r="AB79" s="1"/>
      <x:c r="AC79" s="1"/>
      <x:c r="AD79" s="1"/>
      <x:c r="AE79" s="1"/>
    </x:row>
    <x:row r="80">
      <x:c r="A80" s="1">
        <x:v>79</x:v>
      </x:c>
      <x:c r="B80" t="str">
        <x:v>B</x:v>
      </x:c>
      <x:c r="C80" t="str">
        <x:v>W</x:v>
      </x:c>
      <x:c r="D80" t="str">
        <x:v>B</x:v>
      </x:c>
      <x:c r="E80" t="str">
        <x:v>W</x:v>
      </x:c>
      <x:c r="F80" t="str">
        <x:v>W</x:v>
      </x:c>
      <x:c r="G80" t="str">
        <x:v>W</x:v>
      </x:c>
      <x:c r="H80" t="str">
        <x:v>B</x:v>
      </x:c>
      <x:c r="I80" t="str">
        <x:v>W</x:v>
      </x:c>
      <x:c r="J80" t="str">
        <x:v>B</x:v>
      </x:c>
      <x:c r="K80" t="str">
        <x:v>B</x:v>
      </x:c>
      <x:c r="L80" t="str">
        <x:v>W</x:v>
      </x:c>
      <x:c r="M80" t="str">
        <x:v>B</x:v>
      </x:c>
      <x:c r="N80" t="str">
        <x:v>B</x:v>
      </x:c>
      <x:c r="O80" t="str">
        <x:v>B</x:v>
      </x:c>
      <x:c r="P80" t="str">
        <x:v>W</x:v>
      </x:c>
      <x:c r="Q80" t="str">
        <x:v>B</x:v>
      </x:c>
      <x:c r="R80" t="str">
        <x:v>W</x:v>
      </x:c>
      <x:c r="S80" t="str">
        <x:v>B</x:v>
      </x:c>
      <x:c r="T80" t="str">
        <x:v>B</x:v>
      </x:c>
      <x:c r="U80" t="str">
        <x:v>B</x:v>
      </x:c>
      <x:c r="V80" t="n">
        <x:f>COUNTIF(B80:U80,"W")</x:f>
        <x:v>8</x:v>
      </x:c>
      <x:c r="W80" s="5" t="str">
        <x:f>IF(COUNTIF(B80:D80,"W")&gt;0,"Y","N")</x:f>
        <x:v>Y</x:v>
      </x:c>
      <x:c r="X80" s="5" t="str">
        <x:f>IF(COUNTIF(B80:I80,"W")&gt;=4,"Y","N")</x:f>
        <x:v>Y</x:v>
      </x:c>
      <x:c r="Y80" s="1"/>
      <x:c r="Z80" s="1"/>
      <x:c r="AA80" s="1"/>
      <x:c r="AB80" s="1"/>
      <x:c r="AC80" s="1"/>
      <x:c r="AD80" s="1"/>
      <x:c r="AE80" s="1"/>
    </x:row>
    <x:row r="81">
      <x:c r="A81" s="1">
        <x:v>80</x:v>
      </x:c>
      <x:c r="B81" t="str">
        <x:v>W</x:v>
      </x:c>
      <x:c r="C81" t="str">
        <x:v>W</x:v>
      </x:c>
      <x:c r="D81" t="str">
        <x:v>B</x:v>
      </x:c>
      <x:c r="E81" t="str">
        <x:v>W</x:v>
      </x:c>
      <x:c r="F81" t="str">
        <x:v>B</x:v>
      </x:c>
      <x:c r="G81" t="str">
        <x:v>B</x:v>
      </x:c>
      <x:c r="H81" t="str">
        <x:v>B</x:v>
      </x:c>
      <x:c r="I81" t="str">
        <x:v>B</x:v>
      </x:c>
      <x:c r="J81" t="str">
        <x:v>B</x:v>
      </x:c>
      <x:c r="K81" t="str">
        <x:v>W</x:v>
      </x:c>
      <x:c r="L81" t="str">
        <x:v>B</x:v>
      </x:c>
      <x:c r="M81" t="str">
        <x:v>W</x:v>
      </x:c>
      <x:c r="N81" t="str">
        <x:v>B</x:v>
      </x:c>
      <x:c r="O81" t="str">
        <x:v>W</x:v>
      </x:c>
      <x:c r="P81" t="str">
        <x:v>W</x:v>
      </x:c>
      <x:c r="Q81" t="str">
        <x:v>W</x:v>
      </x:c>
      <x:c r="R81" t="str">
        <x:v>B</x:v>
      </x:c>
      <x:c r="S81" t="str">
        <x:v>B</x:v>
      </x:c>
      <x:c r="T81" t="str">
        <x:v>B</x:v>
      </x:c>
      <x:c r="U81" t="str">
        <x:v>W</x:v>
      </x:c>
      <x:c r="V81" t="n">
        <x:f>COUNTIF(B81:U81,"W")</x:f>
        <x:v>9</x:v>
      </x:c>
      <x:c r="W81" s="5" t="str">
        <x:f>IF(COUNTIF(B81:D81,"W")&gt;0,"Y","N")</x:f>
        <x:v>Y</x:v>
      </x:c>
      <x:c r="X81" s="5" t="str">
        <x:f>IF(COUNTIF(B81:I81,"W")&gt;=4,"Y","N")</x:f>
        <x:v>N</x:v>
      </x:c>
      <x:c r="Y81" s="1"/>
      <x:c r="Z81" s="1"/>
      <x:c r="AA81" s="1"/>
      <x:c r="AB81" s="1"/>
      <x:c r="AC81" s="1"/>
      <x:c r="AD81" s="1"/>
      <x:c r="AE81" s="1"/>
    </x:row>
    <x:row r="82">
      <x:c r="A82" s="1">
        <x:v>81</x:v>
      </x:c>
      <x:c r="B82" t="str">
        <x:v>B</x:v>
      </x:c>
      <x:c r="C82" t="str">
        <x:v>W</x:v>
      </x:c>
      <x:c r="D82" t="str">
        <x:v>B</x:v>
      </x:c>
      <x:c r="E82" t="str">
        <x:v>B</x:v>
      </x:c>
      <x:c r="F82" t="str">
        <x:v>B</x:v>
      </x:c>
      <x:c r="G82" t="str">
        <x:v>B</x:v>
      </x:c>
      <x:c r="H82" t="str">
        <x:v>W</x:v>
      </x:c>
      <x:c r="I82" t="str">
        <x:v>B</x:v>
      </x:c>
      <x:c r="J82" t="str">
        <x:v>W</x:v>
      </x:c>
      <x:c r="K82" t="str">
        <x:v>B</x:v>
      </x:c>
      <x:c r="L82" t="str">
        <x:v>W</x:v>
      </x:c>
      <x:c r="M82" t="str">
        <x:v>W</x:v>
      </x:c>
      <x:c r="N82" t="str">
        <x:v>B</x:v>
      </x:c>
      <x:c r="O82" t="str">
        <x:v>W</x:v>
      </x:c>
      <x:c r="P82" t="str">
        <x:v>B</x:v>
      </x:c>
      <x:c r="Q82" t="str">
        <x:v>W</x:v>
      </x:c>
      <x:c r="R82" t="str">
        <x:v>B</x:v>
      </x:c>
      <x:c r="S82" t="str">
        <x:v>B</x:v>
      </x:c>
      <x:c r="T82" t="str">
        <x:v>B</x:v>
      </x:c>
      <x:c r="U82" t="str">
        <x:v>B</x:v>
      </x:c>
      <x:c r="V82" t="n">
        <x:f>COUNTIF(B82:U82,"W")</x:f>
        <x:v>7</x:v>
      </x:c>
      <x:c r="W82" s="5" t="str">
        <x:f>IF(COUNTIF(B82:D82,"W")&gt;0,"Y","N")</x:f>
        <x:v>Y</x:v>
      </x:c>
      <x:c r="X82" s="5" t="str">
        <x:f>IF(COUNTIF(B82:I82,"W")&gt;=4,"Y","N")</x:f>
        <x:v>N</x:v>
      </x:c>
      <x:c r="Y82" s="1"/>
      <x:c r="Z82" s="1"/>
      <x:c r="AA82" s="1"/>
      <x:c r="AB82" s="1"/>
      <x:c r="AC82" s="1"/>
      <x:c r="AD82" s="1"/>
      <x:c r="AE82" s="1"/>
    </x:row>
    <x:row r="83">
      <x:c r="A83" s="1">
        <x:v>82</x:v>
      </x:c>
      <x:c r="B83" t="str">
        <x:v>B</x:v>
      </x:c>
      <x:c r="C83" t="str">
        <x:v>B</x:v>
      </x:c>
      <x:c r="D83" t="str">
        <x:v>B</x:v>
      </x:c>
      <x:c r="E83" t="str">
        <x:v>W</x:v>
      </x:c>
      <x:c r="F83" t="str">
        <x:v>W</x:v>
      </x:c>
      <x:c r="G83" t="str">
        <x:v>B</x:v>
      </x:c>
      <x:c r="H83" t="str">
        <x:v>W</x:v>
      </x:c>
      <x:c r="I83" t="str">
        <x:v>B</x:v>
      </x:c>
      <x:c r="J83" t="str">
        <x:v>W</x:v>
      </x:c>
      <x:c r="K83" t="str">
        <x:v>B</x:v>
      </x:c>
      <x:c r="L83" t="str">
        <x:v>W</x:v>
      </x:c>
      <x:c r="M83" t="str">
        <x:v>W</x:v>
      </x:c>
      <x:c r="N83" t="str">
        <x:v>B</x:v>
      </x:c>
      <x:c r="O83" t="str">
        <x:v>W</x:v>
      </x:c>
      <x:c r="P83" t="str">
        <x:v>B</x:v>
      </x:c>
      <x:c r="Q83" t="str">
        <x:v>B</x:v>
      </x:c>
      <x:c r="R83" t="str">
        <x:v>W</x:v>
      </x:c>
      <x:c r="S83" t="str">
        <x:v>B</x:v>
      </x:c>
      <x:c r="T83" t="str">
        <x:v>B</x:v>
      </x:c>
      <x:c r="U83" t="str">
        <x:v>W</x:v>
      </x:c>
      <x:c r="V83" t="n">
        <x:f>COUNTIF(B83:U83,"W")</x:f>
        <x:v>9</x:v>
      </x:c>
      <x:c r="W83" s="5" t="str">
        <x:f>IF(COUNTIF(B83:D83,"W")&gt;0,"Y","N")</x:f>
        <x:v>N</x:v>
      </x:c>
      <x:c r="X83" s="5" t="str">
        <x:f>IF(COUNTIF(B83:I83,"W")&gt;=4,"Y","N")</x:f>
        <x:v>N</x:v>
      </x:c>
      <x:c r="Y83" s="1"/>
      <x:c r="Z83" s="1"/>
      <x:c r="AA83" s="1"/>
      <x:c r="AB83" s="1"/>
      <x:c r="AC83" s="1"/>
      <x:c r="AD83" s="1"/>
      <x:c r="AE83" s="1"/>
    </x:row>
    <x:row r="84">
      <x:c r="A84" s="1">
        <x:v>83</x:v>
      </x:c>
      <x:c r="B84" t="str">
        <x:v>B</x:v>
      </x:c>
      <x:c r="C84" t="str">
        <x:v>W</x:v>
      </x:c>
      <x:c r="D84" t="str">
        <x:v>B</x:v>
      </x:c>
      <x:c r="E84" t="str">
        <x:v>B</x:v>
      </x:c>
      <x:c r="F84" t="str">
        <x:v>W</x:v>
      </x:c>
      <x:c r="G84" t="str">
        <x:v>B</x:v>
      </x:c>
      <x:c r="H84" t="str">
        <x:v>B</x:v>
      </x:c>
      <x:c r="I84" t="str">
        <x:v>B</x:v>
      </x:c>
      <x:c r="J84" t="str">
        <x:v>W</x:v>
      </x:c>
      <x:c r="K84" t="str">
        <x:v>W</x:v>
      </x:c>
      <x:c r="L84" t="str">
        <x:v>B</x:v>
      </x:c>
      <x:c r="M84" t="str">
        <x:v>B</x:v>
      </x:c>
      <x:c r="N84" t="str">
        <x:v>W</x:v>
      </x:c>
      <x:c r="O84" t="str">
        <x:v>B</x:v>
      </x:c>
      <x:c r="P84" t="str">
        <x:v>W</x:v>
      </x:c>
      <x:c r="Q84" t="str">
        <x:v>W</x:v>
      </x:c>
      <x:c r="R84" t="str">
        <x:v>B</x:v>
      </x:c>
      <x:c r="S84" t="str">
        <x:v>B</x:v>
      </x:c>
      <x:c r="T84" t="str">
        <x:v>W</x:v>
      </x:c>
      <x:c r="U84" t="str">
        <x:v>W</x:v>
      </x:c>
      <x:c r="V84" t="n">
        <x:f>COUNTIF(B84:U84,"W")</x:f>
        <x:v>9</x:v>
      </x:c>
      <x:c r="W84" s="5" t="str">
        <x:f>IF(COUNTIF(B84:D84,"W")&gt;0,"Y","N")</x:f>
        <x:v>Y</x:v>
      </x:c>
      <x:c r="X84" s="5" t="str">
        <x:f>IF(COUNTIF(B84:I84,"W")&gt;=4,"Y","N")</x:f>
        <x:v>N</x:v>
      </x:c>
      <x:c r="Y84" s="1"/>
      <x:c r="Z84" s="1"/>
      <x:c r="AA84" s="1"/>
      <x:c r="AB84" s="1"/>
      <x:c r="AC84" s="1"/>
      <x:c r="AD84" s="1"/>
      <x:c r="AE84" s="1"/>
    </x:row>
    <x:row r="85">
      <x:c r="A85" s="1">
        <x:v>84</x:v>
      </x:c>
      <x:c r="B85" t="str">
        <x:v>W</x:v>
      </x:c>
      <x:c r="C85" t="str">
        <x:v>W</x:v>
      </x:c>
      <x:c r="D85" t="str">
        <x:v>B</x:v>
      </x:c>
      <x:c r="E85" t="str">
        <x:v>B</x:v>
      </x:c>
      <x:c r="F85" t="str">
        <x:v>B</x:v>
      </x:c>
      <x:c r="G85" t="str">
        <x:v>B</x:v>
      </x:c>
      <x:c r="H85" t="str">
        <x:v>W</x:v>
      </x:c>
      <x:c r="I85" t="str">
        <x:v>B</x:v>
      </x:c>
      <x:c r="J85" t="str">
        <x:v>W</x:v>
      </x:c>
      <x:c r="K85" t="str">
        <x:v>B</x:v>
      </x:c>
      <x:c r="L85" t="str">
        <x:v>B</x:v>
      </x:c>
      <x:c r="M85" t="str">
        <x:v>W</x:v>
      </x:c>
      <x:c r="N85" t="str">
        <x:v>B</x:v>
      </x:c>
      <x:c r="O85" t="str">
        <x:v>B</x:v>
      </x:c>
      <x:c r="P85" t="str">
        <x:v>B</x:v>
      </x:c>
      <x:c r="Q85" t="str">
        <x:v>B</x:v>
      </x:c>
      <x:c r="R85" t="str">
        <x:v>B</x:v>
      </x:c>
      <x:c r="S85" t="str">
        <x:v>W</x:v>
      </x:c>
      <x:c r="T85" t="str">
        <x:v>W</x:v>
      </x:c>
      <x:c r="U85" t="str">
        <x:v>B</x:v>
      </x:c>
      <x:c r="V85" t="n">
        <x:f>COUNTIF(B85:U85,"W")</x:f>
        <x:v>7</x:v>
      </x:c>
      <x:c r="W85" s="5" t="str">
        <x:f>IF(COUNTIF(B85:D85,"W")&gt;0,"Y","N")</x:f>
        <x:v>Y</x:v>
      </x:c>
      <x:c r="X85" s="5" t="str">
        <x:f>IF(COUNTIF(B85:I85,"W")&gt;=4,"Y","N")</x:f>
        <x:v>N</x:v>
      </x:c>
      <x:c r="Y85" s="1"/>
      <x:c r="Z85" s="1"/>
      <x:c r="AA85" s="1"/>
      <x:c r="AB85" s="1"/>
      <x:c r="AC85" s="1"/>
      <x:c r="AD85" s="1"/>
      <x:c r="AE85" s="1"/>
    </x:row>
    <x:row r="86">
      <x:c r="A86" s="1">
        <x:v>85</x:v>
      </x:c>
      <x:c r="B86" t="str">
        <x:v>W</x:v>
      </x:c>
      <x:c r="C86" t="str">
        <x:v>B</x:v>
      </x:c>
      <x:c r="D86" t="str">
        <x:v>B</x:v>
      </x:c>
      <x:c r="E86" t="str">
        <x:v>W</x:v>
      </x:c>
      <x:c r="F86" t="str">
        <x:v>B</x:v>
      </x:c>
      <x:c r="G86" t="str">
        <x:v>B</x:v>
      </x:c>
      <x:c r="H86" t="str">
        <x:v>B</x:v>
      </x:c>
      <x:c r="I86" t="str">
        <x:v>B</x:v>
      </x:c>
      <x:c r="J86" t="str">
        <x:v>W</x:v>
      </x:c>
      <x:c r="K86" t="str">
        <x:v>W</x:v>
      </x:c>
      <x:c r="L86" t="str">
        <x:v>W</x:v>
      </x:c>
      <x:c r="M86" t="str">
        <x:v>B</x:v>
      </x:c>
      <x:c r="N86" t="str">
        <x:v>B</x:v>
      </x:c>
      <x:c r="O86" t="str">
        <x:v>B</x:v>
      </x:c>
      <x:c r="P86" t="str">
        <x:v>B</x:v>
      </x:c>
      <x:c r="Q86" t="str">
        <x:v>B</x:v>
      </x:c>
      <x:c r="R86" t="str">
        <x:v>B</x:v>
      </x:c>
      <x:c r="S86" t="str">
        <x:v>B</x:v>
      </x:c>
      <x:c r="T86" t="str">
        <x:v>W</x:v>
      </x:c>
      <x:c r="U86" t="str">
        <x:v>B</x:v>
      </x:c>
      <x:c r="V86" t="n">
        <x:f>COUNTIF(B86:U86,"W")</x:f>
        <x:v>6</x:v>
      </x:c>
      <x:c r="W86" s="5" t="str">
        <x:f>IF(COUNTIF(B86:D86,"W")&gt;0,"Y","N")</x:f>
        <x:v>Y</x:v>
      </x:c>
      <x:c r="X86" s="5" t="str">
        <x:f>IF(COUNTIF(B86:I86,"W")&gt;=4,"Y","N")</x:f>
        <x:v>N</x:v>
      </x:c>
      <x:c r="Y86" s="1"/>
      <x:c r="Z86" s="1"/>
      <x:c r="AA86" s="1"/>
      <x:c r="AB86" s="1"/>
      <x:c r="AC86" s="1"/>
      <x:c r="AD86" s="1"/>
      <x:c r="AE86" s="1"/>
    </x:row>
    <x:row r="87">
      <x:c r="A87" s="1">
        <x:v>86</x:v>
      </x:c>
      <x:c r="B87" t="str">
        <x:v>W</x:v>
      </x:c>
      <x:c r="C87" t="str">
        <x:v>B</x:v>
      </x:c>
      <x:c r="D87" t="str">
        <x:v>W</x:v>
      </x:c>
      <x:c r="E87" t="str">
        <x:v>W</x:v>
      </x:c>
      <x:c r="F87" t="str">
        <x:v>B</x:v>
      </x:c>
      <x:c r="G87" t="str">
        <x:v>W</x:v>
      </x:c>
      <x:c r="H87" t="str">
        <x:v>B</x:v>
      </x:c>
      <x:c r="I87" t="str">
        <x:v>W</x:v>
      </x:c>
      <x:c r="J87" t="str">
        <x:v>W</x:v>
      </x:c>
      <x:c r="K87" t="str">
        <x:v>B</x:v>
      </x:c>
      <x:c r="L87" t="str">
        <x:v>B</x:v>
      </x:c>
      <x:c r="M87" t="str">
        <x:v>B</x:v>
      </x:c>
      <x:c r="N87" t="str">
        <x:v>B</x:v>
      </x:c>
      <x:c r="O87" t="str">
        <x:v>B</x:v>
      </x:c>
      <x:c r="P87" t="str">
        <x:v>B</x:v>
      </x:c>
      <x:c r="Q87" t="str">
        <x:v>W</x:v>
      </x:c>
      <x:c r="R87" t="str">
        <x:v>W</x:v>
      </x:c>
      <x:c r="S87" t="str">
        <x:v>B</x:v>
      </x:c>
      <x:c r="T87" t="str">
        <x:v>B</x:v>
      </x:c>
      <x:c r="U87" t="str">
        <x:v>W</x:v>
      </x:c>
      <x:c r="V87" t="n">
        <x:f>COUNTIF(B87:U87,"W")</x:f>
        <x:v>9</x:v>
      </x:c>
      <x:c r="W87" s="5" t="str">
        <x:f>IF(COUNTIF(B87:D87,"W")&gt;0,"Y","N")</x:f>
        <x:v>Y</x:v>
      </x:c>
      <x:c r="X87" s="5" t="str">
        <x:f>IF(COUNTIF(B87:I87,"W")&gt;=4,"Y","N")</x:f>
        <x:v>Y</x:v>
      </x:c>
      <x:c r="Y87" s="1"/>
      <x:c r="Z87" s="1"/>
      <x:c r="AA87" s="1"/>
      <x:c r="AB87" s="1"/>
      <x:c r="AC87" s="1"/>
      <x:c r="AD87" s="1"/>
      <x:c r="AE87" s="1"/>
    </x:row>
    <x:row r="88">
      <x:c r="A88" s="1">
        <x:v>87</x:v>
      </x:c>
      <x:c r="B88" t="str">
        <x:v>B</x:v>
      </x:c>
      <x:c r="C88" t="str">
        <x:v>W</x:v>
      </x:c>
      <x:c r="D88" t="str">
        <x:v>B</x:v>
      </x:c>
      <x:c r="E88" t="str">
        <x:v>B</x:v>
      </x:c>
      <x:c r="F88" t="str">
        <x:v>B</x:v>
      </x:c>
      <x:c r="G88" t="str">
        <x:v>W</x:v>
      </x:c>
      <x:c r="H88" t="str">
        <x:v>W</x:v>
      </x:c>
      <x:c r="I88" t="str">
        <x:v>B</x:v>
      </x:c>
      <x:c r="J88" t="str">
        <x:v>B</x:v>
      </x:c>
      <x:c r="K88" t="str">
        <x:v>B</x:v>
      </x:c>
      <x:c r="L88" t="str">
        <x:v>B</x:v>
      </x:c>
      <x:c r="M88" t="str">
        <x:v>B</x:v>
      </x:c>
      <x:c r="N88" t="str">
        <x:v>W</x:v>
      </x:c>
      <x:c r="O88" t="str">
        <x:v>W</x:v>
      </x:c>
      <x:c r="P88" t="str">
        <x:v>W</x:v>
      </x:c>
      <x:c r="Q88" t="str">
        <x:v>W</x:v>
      </x:c>
      <x:c r="R88" t="str">
        <x:v>B</x:v>
      </x:c>
      <x:c r="S88" t="str">
        <x:v>B</x:v>
      </x:c>
      <x:c r="T88" t="str">
        <x:v>B</x:v>
      </x:c>
      <x:c r="U88" t="str">
        <x:v>B</x:v>
      </x:c>
      <x:c r="V88" t="n">
        <x:f>COUNTIF(B88:U88,"W")</x:f>
        <x:v>7</x:v>
      </x:c>
      <x:c r="W88" s="5" t="str">
        <x:f>IF(COUNTIF(B88:D88,"W")&gt;0,"Y","N")</x:f>
        <x:v>Y</x:v>
      </x:c>
      <x:c r="X88" s="5" t="str">
        <x:f>IF(COUNTIF(B88:I88,"W")&gt;=4,"Y","N")</x:f>
        <x:v>N</x:v>
      </x:c>
      <x:c r="Y88" s="1"/>
      <x:c r="Z88" s="1"/>
      <x:c r="AA88" s="1"/>
      <x:c r="AB88" s="1"/>
      <x:c r="AC88" s="1"/>
      <x:c r="AD88" s="1"/>
      <x:c r="AE88" s="1"/>
    </x:row>
    <x:row r="89">
      <x:c r="A89" s="1">
        <x:v>88</x:v>
      </x:c>
      <x:c r="B89" t="str">
        <x:v>B</x:v>
      </x:c>
      <x:c r="C89" t="str">
        <x:v>B</x:v>
      </x:c>
      <x:c r="D89" t="str">
        <x:v>W</x:v>
      </x:c>
      <x:c r="E89" t="str">
        <x:v>W</x:v>
      </x:c>
      <x:c r="F89" t="str">
        <x:v>W</x:v>
      </x:c>
      <x:c r="G89" t="str">
        <x:v>B</x:v>
      </x:c>
      <x:c r="H89" t="str">
        <x:v>B</x:v>
      </x:c>
      <x:c r="I89" t="str">
        <x:v>B</x:v>
      </x:c>
      <x:c r="J89" t="str">
        <x:v>B</x:v>
      </x:c>
      <x:c r="K89" t="str">
        <x:v>B</x:v>
      </x:c>
      <x:c r="L89" t="str">
        <x:v>B</x:v>
      </x:c>
      <x:c r="M89" t="str">
        <x:v>B</x:v>
      </x:c>
      <x:c r="N89" t="str">
        <x:v>W</x:v>
      </x:c>
      <x:c r="O89" t="str">
        <x:v>B</x:v>
      </x:c>
      <x:c r="P89" t="str">
        <x:v>B</x:v>
      </x:c>
      <x:c r="Q89" t="str">
        <x:v>B</x:v>
      </x:c>
      <x:c r="R89" t="str">
        <x:v>W</x:v>
      </x:c>
      <x:c r="S89" t="str">
        <x:v>B</x:v>
      </x:c>
      <x:c r="T89" t="str">
        <x:v>W</x:v>
      </x:c>
      <x:c r="U89" t="str">
        <x:v>W</x:v>
      </x:c>
      <x:c r="V89" t="n">
        <x:f>COUNTIF(B89:U89,"W")</x:f>
        <x:v>7</x:v>
      </x:c>
      <x:c r="W89" s="5" t="str">
        <x:f>IF(COUNTIF(B89:D89,"W")&gt;0,"Y","N")</x:f>
        <x:v>Y</x:v>
      </x:c>
      <x:c r="X89" s="5" t="str">
        <x:f>IF(COUNTIF(B89:I89,"W")&gt;=4,"Y","N")</x:f>
        <x:v>N</x:v>
      </x:c>
      <x:c r="Y89" s="1"/>
      <x:c r="Z89" s="1"/>
      <x:c r="AA89" s="1"/>
      <x:c r="AB89" s="1"/>
      <x:c r="AC89" s="1"/>
      <x:c r="AD89" s="1"/>
      <x:c r="AE89" s="1"/>
    </x:row>
    <x:row r="90">
      <x:c r="A90" s="1">
        <x:v>89</x:v>
      </x:c>
      <x:c r="B90" t="str">
        <x:v>B</x:v>
      </x:c>
      <x:c r="C90" t="str">
        <x:v>B</x:v>
      </x:c>
      <x:c r="D90" t="str">
        <x:v>B</x:v>
      </x:c>
      <x:c r="E90" t="str">
        <x:v>B</x:v>
      </x:c>
      <x:c r="F90" t="str">
        <x:v>B</x:v>
      </x:c>
      <x:c r="G90" t="str">
        <x:v>W</x:v>
      </x:c>
      <x:c r="H90" t="str">
        <x:v>B</x:v>
      </x:c>
      <x:c r="I90" t="str">
        <x:v>B</x:v>
      </x:c>
      <x:c r="J90" t="str">
        <x:v>W</x:v>
      </x:c>
      <x:c r="K90" t="str">
        <x:v>W</x:v>
      </x:c>
      <x:c r="L90" t="str">
        <x:v>B</x:v>
      </x:c>
      <x:c r="M90" t="str">
        <x:v>W</x:v>
      </x:c>
      <x:c r="N90" t="str">
        <x:v>W</x:v>
      </x:c>
      <x:c r="O90" t="str">
        <x:v>W</x:v>
      </x:c>
      <x:c r="P90" t="str">
        <x:v>B</x:v>
      </x:c>
      <x:c r="Q90" t="str">
        <x:v>W</x:v>
      </x:c>
      <x:c r="R90" t="str">
        <x:v>W</x:v>
      </x:c>
      <x:c r="S90" t="str">
        <x:v>W</x:v>
      </x:c>
      <x:c r="T90" t="str">
        <x:v>B</x:v>
      </x:c>
      <x:c r="U90" t="str">
        <x:v>W</x:v>
      </x:c>
      <x:c r="V90" t="n">
        <x:f>COUNTIF(B90:U90,"W")</x:f>
        <x:v>10</x:v>
      </x:c>
      <x:c r="W90" s="5" t="str">
        <x:f>IF(COUNTIF(B90:D90,"W")&gt;0,"Y","N")</x:f>
        <x:v>N</x:v>
      </x:c>
      <x:c r="X90" s="5" t="str">
        <x:f>IF(COUNTIF(B90:I90,"W")&gt;=4,"Y","N")</x:f>
        <x:v>N</x:v>
      </x:c>
      <x:c r="Y90" s="1"/>
      <x:c r="Z90" s="1"/>
      <x:c r="AA90" s="1"/>
      <x:c r="AB90" s="1"/>
      <x:c r="AC90" s="1"/>
      <x:c r="AD90" s="1"/>
      <x:c r="AE90" s="1"/>
    </x:row>
    <x:row r="91">
      <x:c r="A91" s="1">
        <x:v>90</x:v>
      </x:c>
      <x:c r="B91" t="str">
        <x:v>B</x:v>
      </x:c>
      <x:c r="C91" t="str">
        <x:v>B</x:v>
      </x:c>
      <x:c r="D91" t="str">
        <x:v>B</x:v>
      </x:c>
      <x:c r="E91" t="str">
        <x:v>W</x:v>
      </x:c>
      <x:c r="F91" t="str">
        <x:v>W</x:v>
      </x:c>
      <x:c r="G91" t="str">
        <x:v>W</x:v>
      </x:c>
      <x:c r="H91" t="str">
        <x:v>B</x:v>
      </x:c>
      <x:c r="I91" t="str">
        <x:v>B</x:v>
      </x:c>
      <x:c r="J91" t="str">
        <x:v>B</x:v>
      </x:c>
      <x:c r="K91" t="str">
        <x:v>B</x:v>
      </x:c>
      <x:c r="L91" t="str">
        <x:v>B</x:v>
      </x:c>
      <x:c r="M91" t="str">
        <x:v>W</x:v>
      </x:c>
      <x:c r="N91" t="str">
        <x:v>B</x:v>
      </x:c>
      <x:c r="O91" t="str">
        <x:v>W</x:v>
      </x:c>
      <x:c r="P91" t="str">
        <x:v>W</x:v>
      </x:c>
      <x:c r="Q91" t="str">
        <x:v>B</x:v>
      </x:c>
      <x:c r="R91" t="str">
        <x:v>B</x:v>
      </x:c>
      <x:c r="S91" t="str">
        <x:v>B</x:v>
      </x:c>
      <x:c r="T91" t="str">
        <x:v>W</x:v>
      </x:c>
      <x:c r="U91" t="str">
        <x:v>B</x:v>
      </x:c>
      <x:c r="V91" t="n">
        <x:f>COUNTIF(B91:U91,"W")</x:f>
        <x:v>7</x:v>
      </x:c>
      <x:c r="W91" s="5" t="str">
        <x:f>IF(COUNTIF(B91:D91,"W")&gt;0,"Y","N")</x:f>
        <x:v>N</x:v>
      </x:c>
      <x:c r="X91" s="5" t="str">
        <x:f>IF(COUNTIF(B91:I91,"W")&gt;=4,"Y","N")</x:f>
        <x:v>N</x:v>
      </x:c>
      <x:c r="Y91" s="1"/>
      <x:c r="Z91" s="1"/>
      <x:c r="AA91" s="1"/>
      <x:c r="AB91" s="1"/>
      <x:c r="AC91" s="1"/>
      <x:c r="AD91" s="1"/>
      <x:c r="AE91" s="1"/>
    </x:row>
    <x:row r="92">
      <x:c r="A92" s="1">
        <x:v>91</x:v>
      </x:c>
      <x:c r="B92" t="str">
        <x:v>B</x:v>
      </x:c>
      <x:c r="C92" t="str">
        <x:v>W</x:v>
      </x:c>
      <x:c r="D92" t="str">
        <x:v>B</x:v>
      </x:c>
      <x:c r="E92" t="str">
        <x:v>B</x:v>
      </x:c>
      <x:c r="F92" t="str">
        <x:v>B</x:v>
      </x:c>
      <x:c r="G92" t="str">
        <x:v>B</x:v>
      </x:c>
      <x:c r="H92" t="str">
        <x:v>W</x:v>
      </x:c>
      <x:c r="I92" t="str">
        <x:v>W</x:v>
      </x:c>
      <x:c r="J92" t="str">
        <x:v>B</x:v>
      </x:c>
      <x:c r="K92" t="str">
        <x:v>W</x:v>
      </x:c>
      <x:c r="L92" t="str">
        <x:v>B</x:v>
      </x:c>
      <x:c r="M92" t="str">
        <x:v>W</x:v>
      </x:c>
      <x:c r="N92" t="str">
        <x:v>B</x:v>
      </x:c>
      <x:c r="O92" t="str">
        <x:v>B</x:v>
      </x:c>
      <x:c r="P92" t="str">
        <x:v>B</x:v>
      </x:c>
      <x:c r="Q92" t="str">
        <x:v>B</x:v>
      </x:c>
      <x:c r="R92" t="str">
        <x:v>B</x:v>
      </x:c>
      <x:c r="S92" t="str">
        <x:v>B</x:v>
      </x:c>
      <x:c r="T92" t="str">
        <x:v>W</x:v>
      </x:c>
      <x:c r="U92" t="str">
        <x:v>W</x:v>
      </x:c>
      <x:c r="V92" t="n">
        <x:f>COUNTIF(B92:U92,"W")</x:f>
        <x:v>7</x:v>
      </x:c>
      <x:c r="W92" s="5" t="str">
        <x:f>IF(COUNTIF(B92:D92,"W")&gt;0,"Y","N")</x:f>
        <x:v>Y</x:v>
      </x:c>
      <x:c r="X92" s="5" t="str">
        <x:f>IF(COUNTIF(B92:I92,"W")&gt;=4,"Y","N")</x:f>
        <x:v>N</x:v>
      </x:c>
      <x:c r="Y92" s="1"/>
      <x:c r="Z92" s="1"/>
      <x:c r="AA92" s="1"/>
      <x:c r="AB92" s="1"/>
      <x:c r="AC92" s="1"/>
      <x:c r="AD92" s="1"/>
      <x:c r="AE92" s="1"/>
    </x:row>
    <x:row r="93">
      <x:c r="A93" s="1">
        <x:v>92</x:v>
      </x:c>
      <x:c r="B93" t="str">
        <x:v>B</x:v>
      </x:c>
      <x:c r="C93" t="str">
        <x:v>W</x:v>
      </x:c>
      <x:c r="D93" t="str">
        <x:v>B</x:v>
      </x:c>
      <x:c r="E93" t="str">
        <x:v>B</x:v>
      </x:c>
      <x:c r="F93" t="str">
        <x:v>B</x:v>
      </x:c>
      <x:c r="G93" t="str">
        <x:v>B</x:v>
      </x:c>
      <x:c r="H93" t="str">
        <x:v>B</x:v>
      </x:c>
      <x:c r="I93" t="str">
        <x:v>B</x:v>
      </x:c>
      <x:c r="J93" t="str">
        <x:v>W</x:v>
      </x:c>
      <x:c r="K93" t="str">
        <x:v>W</x:v>
      </x:c>
      <x:c r="L93" t="str">
        <x:v>W</x:v>
      </x:c>
      <x:c r="M93" t="str">
        <x:v>W</x:v>
      </x:c>
      <x:c r="N93" t="str">
        <x:v>B</x:v>
      </x:c>
      <x:c r="O93" t="str">
        <x:v>B</x:v>
      </x:c>
      <x:c r="P93" t="str">
        <x:v>W</x:v>
      </x:c>
      <x:c r="Q93" t="str">
        <x:v>B</x:v>
      </x:c>
      <x:c r="R93" t="str">
        <x:v>B</x:v>
      </x:c>
      <x:c r="S93" t="str">
        <x:v>B</x:v>
      </x:c>
      <x:c r="T93" t="str">
        <x:v>W</x:v>
      </x:c>
      <x:c r="U93" t="str">
        <x:v>B</x:v>
      </x:c>
      <x:c r="V93" t="n">
        <x:f>COUNTIF(B93:U93,"W")</x:f>
        <x:v>7</x:v>
      </x:c>
      <x:c r="W93" s="5" t="str">
        <x:f>IF(COUNTIF(B93:D93,"W")&gt;0,"Y","N")</x:f>
        <x:v>Y</x:v>
      </x:c>
      <x:c r="X93" s="5" t="str">
        <x:f>IF(COUNTIF(B93:I93,"W")&gt;=4,"Y","N")</x:f>
        <x:v>N</x:v>
      </x:c>
      <x:c r="Y93" s="1"/>
      <x:c r="Z93" s="1"/>
      <x:c r="AA93" s="1"/>
      <x:c r="AB93" s="1"/>
      <x:c r="AC93" s="1"/>
      <x:c r="AD93" s="1"/>
      <x:c r="AE93" s="1"/>
    </x:row>
    <x:row r="94">
      <x:c r="A94" s="1">
        <x:v>93</x:v>
      </x:c>
      <x:c r="B94" t="str">
        <x:v>W</x:v>
      </x:c>
      <x:c r="C94" t="str">
        <x:v>W</x:v>
      </x:c>
      <x:c r="D94" t="str">
        <x:v>B</x:v>
      </x:c>
      <x:c r="E94" t="str">
        <x:v>W</x:v>
      </x:c>
      <x:c r="F94" t="str">
        <x:v>W</x:v>
      </x:c>
      <x:c r="G94" t="str">
        <x:v>B</x:v>
      </x:c>
      <x:c r="H94" t="str">
        <x:v>B</x:v>
      </x:c>
      <x:c r="I94" t="str">
        <x:v>B</x:v>
      </x:c>
      <x:c r="J94" t="str">
        <x:v>B</x:v>
      </x:c>
      <x:c r="K94" t="str">
        <x:v>B</x:v>
      </x:c>
      <x:c r="L94" t="str">
        <x:v>W</x:v>
      </x:c>
      <x:c r="M94" t="str">
        <x:v>B</x:v>
      </x:c>
      <x:c r="N94" t="str">
        <x:v>B</x:v>
      </x:c>
      <x:c r="O94" t="str">
        <x:v>W</x:v>
      </x:c>
      <x:c r="P94" t="str">
        <x:v>B</x:v>
      </x:c>
      <x:c r="Q94" t="str">
        <x:v>B</x:v>
      </x:c>
      <x:c r="R94" t="str">
        <x:v>B</x:v>
      </x:c>
      <x:c r="S94" t="str">
        <x:v>W</x:v>
      </x:c>
      <x:c r="T94" t="str">
        <x:v>B</x:v>
      </x:c>
      <x:c r="U94" t="str">
        <x:v>B</x:v>
      </x:c>
      <x:c r="V94" t="n">
        <x:f>COUNTIF(B94:U94,"W")</x:f>
        <x:v>7</x:v>
      </x:c>
      <x:c r="W94" s="5" t="str">
        <x:f>IF(COUNTIF(B94:D94,"W")&gt;0,"Y","N")</x:f>
        <x:v>Y</x:v>
      </x:c>
      <x:c r="X94" s="5" t="str">
        <x:f>IF(COUNTIF(B94:I94,"W")&gt;=4,"Y","N")</x:f>
        <x:v>Y</x:v>
      </x:c>
      <x:c r="Y94" s="1"/>
      <x:c r="Z94" s="1"/>
      <x:c r="AA94" s="1"/>
      <x:c r="AB94" s="1"/>
      <x:c r="AC94" s="1"/>
      <x:c r="AD94" s="1"/>
      <x:c r="AE94" s="1"/>
    </x:row>
    <x:row r="95">
      <x:c r="A95" s="1">
        <x:v>94</x:v>
      </x:c>
      <x:c r="B95" t="str">
        <x:v>B</x:v>
      </x:c>
      <x:c r="C95" t="str">
        <x:v>W</x:v>
      </x:c>
      <x:c r="D95" t="str">
        <x:v>B</x:v>
      </x:c>
      <x:c r="E95" t="str">
        <x:v>B</x:v>
      </x:c>
      <x:c r="F95" t="str">
        <x:v>B</x:v>
      </x:c>
      <x:c r="G95" t="str">
        <x:v>B</x:v>
      </x:c>
      <x:c r="H95" t="str">
        <x:v>W</x:v>
      </x:c>
      <x:c r="I95" t="str">
        <x:v>B</x:v>
      </x:c>
      <x:c r="J95" t="str">
        <x:v>B</x:v>
      </x:c>
      <x:c r="K95" t="str">
        <x:v>B</x:v>
      </x:c>
      <x:c r="L95" t="str">
        <x:v>B</x:v>
      </x:c>
      <x:c r="M95" t="str">
        <x:v>W</x:v>
      </x:c>
      <x:c r="N95" t="str">
        <x:v>B</x:v>
      </x:c>
      <x:c r="O95" t="str">
        <x:v>W</x:v>
      </x:c>
      <x:c r="P95" t="str">
        <x:v>W</x:v>
      </x:c>
      <x:c r="Q95" t="str">
        <x:v>B</x:v>
      </x:c>
      <x:c r="R95" t="str">
        <x:v>W</x:v>
      </x:c>
      <x:c r="S95" t="str">
        <x:v>W</x:v>
      </x:c>
      <x:c r="T95" t="str">
        <x:v>B</x:v>
      </x:c>
      <x:c r="U95" t="str">
        <x:v>W</x:v>
      </x:c>
      <x:c r="V95" t="n">
        <x:f>COUNTIF(B95:U95,"W")</x:f>
        <x:v>8</x:v>
      </x:c>
      <x:c r="W95" s="5" t="str">
        <x:f>IF(COUNTIF(B95:D95,"W")&gt;0,"Y","N")</x:f>
        <x:v>Y</x:v>
      </x:c>
      <x:c r="X95" s="5" t="str">
        <x:f>IF(COUNTIF(B95:I95,"W")&gt;=4,"Y","N")</x:f>
        <x:v>N</x:v>
      </x:c>
      <x:c r="Y95" s="1"/>
      <x:c r="Z95" s="1"/>
      <x:c r="AA95" s="1"/>
      <x:c r="AB95" s="1"/>
      <x:c r="AC95" s="1"/>
      <x:c r="AD95" s="1"/>
      <x:c r="AE95" s="1"/>
    </x:row>
    <x:row r="96">
      <x:c r="A96" s="1">
        <x:v>95</x:v>
      </x:c>
      <x:c r="B96" t="str">
        <x:v>B</x:v>
      </x:c>
      <x:c r="C96" t="str">
        <x:v>B</x:v>
      </x:c>
      <x:c r="D96" t="str">
        <x:v>W</x:v>
      </x:c>
      <x:c r="E96" t="str">
        <x:v>W</x:v>
      </x:c>
      <x:c r="F96" t="str">
        <x:v>B</x:v>
      </x:c>
      <x:c r="G96" t="str">
        <x:v>B</x:v>
      </x:c>
      <x:c r="H96" t="str">
        <x:v>B</x:v>
      </x:c>
      <x:c r="I96" t="str">
        <x:v>B</x:v>
      </x:c>
      <x:c r="J96" t="str">
        <x:v>W</x:v>
      </x:c>
      <x:c r="K96" t="str">
        <x:v>B</x:v>
      </x:c>
      <x:c r="L96" t="str">
        <x:v>W</x:v>
      </x:c>
      <x:c r="M96" t="str">
        <x:v>W</x:v>
      </x:c>
      <x:c r="N96" t="str">
        <x:v>W</x:v>
      </x:c>
      <x:c r="O96" t="str">
        <x:v>B</x:v>
      </x:c>
      <x:c r="P96" t="str">
        <x:v>W</x:v>
      </x:c>
      <x:c r="Q96" t="str">
        <x:v>B</x:v>
      </x:c>
      <x:c r="R96" t="str">
        <x:v>B</x:v>
      </x:c>
      <x:c r="S96" t="str">
        <x:v>W</x:v>
      </x:c>
      <x:c r="T96" t="str">
        <x:v>B</x:v>
      </x:c>
      <x:c r="U96" t="str">
        <x:v>B</x:v>
      </x:c>
      <x:c r="V96" t="n">
        <x:f>COUNTIF(B96:U96,"W")</x:f>
        <x:v>8</x:v>
      </x:c>
      <x:c r="W96" s="5" t="str">
        <x:f>IF(COUNTIF(B96:D96,"W")&gt;0,"Y","N")</x:f>
        <x:v>Y</x:v>
      </x:c>
      <x:c r="X96" s="5" t="str">
        <x:f>IF(COUNTIF(B96:I96,"W")&gt;=4,"Y","N")</x:f>
        <x:v>N</x:v>
      </x:c>
      <x:c r="Y96" s="1"/>
      <x:c r="Z96" s="1"/>
      <x:c r="AA96" s="1"/>
      <x:c r="AB96" s="1"/>
      <x:c r="AC96" s="1"/>
      <x:c r="AD96" s="1"/>
      <x:c r="AE96" s="1"/>
    </x:row>
    <x:row r="97">
      <x:c r="A97" s="1">
        <x:v>96</x:v>
      </x:c>
      <x:c r="B97" t="str">
        <x:v>B</x:v>
      </x:c>
      <x:c r="C97" t="str">
        <x:v>B</x:v>
      </x:c>
      <x:c r="D97" t="str">
        <x:v>B</x:v>
      </x:c>
      <x:c r="E97" t="str">
        <x:v>B</x:v>
      </x:c>
      <x:c r="F97" t="str">
        <x:v>B</x:v>
      </x:c>
      <x:c r="G97" t="str">
        <x:v>W</x:v>
      </x:c>
      <x:c r="H97" t="str">
        <x:v>B</x:v>
      </x:c>
      <x:c r="I97" t="str">
        <x:v>B</x:v>
      </x:c>
      <x:c r="J97" t="str">
        <x:v>W</x:v>
      </x:c>
      <x:c r="K97" t="str">
        <x:v>B</x:v>
      </x:c>
      <x:c r="L97" t="str">
        <x:v>B</x:v>
      </x:c>
      <x:c r="M97" t="str">
        <x:v>W</x:v>
      </x:c>
      <x:c r="N97" t="str">
        <x:v>W</x:v>
      </x:c>
      <x:c r="O97" t="str">
        <x:v>B</x:v>
      </x:c>
      <x:c r="P97" t="str">
        <x:v>W</x:v>
      </x:c>
      <x:c r="Q97" t="str">
        <x:v>B</x:v>
      </x:c>
      <x:c r="R97" t="str">
        <x:v>W</x:v>
      </x:c>
      <x:c r="S97" t="str">
        <x:v>W</x:v>
      </x:c>
      <x:c r="T97" t="str">
        <x:v>B</x:v>
      </x:c>
      <x:c r="U97" t="str">
        <x:v>B</x:v>
      </x:c>
      <x:c r="V97" t="n">
        <x:f>COUNTIF(B97:U97,"W")</x:f>
        <x:v>7</x:v>
      </x:c>
      <x:c r="W97" s="5" t="str">
        <x:f>IF(COUNTIF(B97:D97,"W")&gt;0,"Y","N")</x:f>
        <x:v>N</x:v>
      </x:c>
      <x:c r="X97" s="5" t="str">
        <x:f>IF(COUNTIF(B97:I97,"W")&gt;=4,"Y","N")</x:f>
        <x:v>N</x:v>
      </x:c>
      <x:c r="Y97" s="1"/>
      <x:c r="Z97" s="1"/>
      <x:c r="AA97" s="1"/>
      <x:c r="AB97" s="1"/>
      <x:c r="AC97" s="1"/>
      <x:c r="AD97" s="1"/>
      <x:c r="AE97" s="1"/>
    </x:row>
    <x:row r="98">
      <x:c r="A98" s="1">
        <x:v>97</x:v>
      </x:c>
      <x:c r="B98" t="str">
        <x:v>B</x:v>
      </x:c>
      <x:c r="C98" t="str">
        <x:v>B</x:v>
      </x:c>
      <x:c r="D98" t="str">
        <x:v>W</x:v>
      </x:c>
      <x:c r="E98" t="str">
        <x:v>B</x:v>
      </x:c>
      <x:c r="F98" t="str">
        <x:v>W</x:v>
      </x:c>
      <x:c r="G98" t="str">
        <x:v>B</x:v>
      </x:c>
      <x:c r="H98" t="str">
        <x:v>B</x:v>
      </x:c>
      <x:c r="I98" t="str">
        <x:v>B</x:v>
      </x:c>
      <x:c r="J98" t="str">
        <x:v>B</x:v>
      </x:c>
      <x:c r="K98" t="str">
        <x:v>W</x:v>
      </x:c>
      <x:c r="L98" t="str">
        <x:v>B</x:v>
      </x:c>
      <x:c r="M98" t="str">
        <x:v>W</x:v>
      </x:c>
      <x:c r="N98" t="str">
        <x:v>B</x:v>
      </x:c>
      <x:c r="O98" t="str">
        <x:v>B</x:v>
      </x:c>
      <x:c r="P98" t="str">
        <x:v>B</x:v>
      </x:c>
      <x:c r="Q98" t="str">
        <x:v>W</x:v>
      </x:c>
      <x:c r="R98" t="str">
        <x:v>B</x:v>
      </x:c>
      <x:c r="S98" t="str">
        <x:v>B</x:v>
      </x:c>
      <x:c r="T98" t="str">
        <x:v>B</x:v>
      </x:c>
      <x:c r="U98" t="str">
        <x:v>B</x:v>
      </x:c>
      <x:c r="V98" t="n">
        <x:f>COUNTIF(B98:U98,"W")</x:f>
        <x:v>5</x:v>
      </x:c>
      <x:c r="W98" s="5" t="str">
        <x:f>IF(COUNTIF(B98:D98,"W")&gt;0,"Y","N")</x:f>
        <x:v>Y</x:v>
      </x:c>
      <x:c r="X98" s="5" t="str">
        <x:f>IF(COUNTIF(B98:I98,"W")&gt;=4,"Y","N")</x:f>
        <x:v>N</x:v>
      </x:c>
      <x:c r="Y98" s="1"/>
      <x:c r="Z98" s="1"/>
      <x:c r="AA98" s="1"/>
      <x:c r="AB98" s="1"/>
      <x:c r="AC98" s="1"/>
      <x:c r="AD98" s="1"/>
      <x:c r="AE98" s="1"/>
    </x:row>
    <x:row r="99">
      <x:c r="A99" s="1">
        <x:v>98</x:v>
      </x:c>
      <x:c r="B99" t="str">
        <x:v>B</x:v>
      </x:c>
      <x:c r="C99" t="str">
        <x:v>B</x:v>
      </x:c>
      <x:c r="D99" t="str">
        <x:v>B</x:v>
      </x:c>
      <x:c r="E99" t="str">
        <x:v>B</x:v>
      </x:c>
      <x:c r="F99" t="str">
        <x:v>W</x:v>
      </x:c>
      <x:c r="G99" t="str">
        <x:v>B</x:v>
      </x:c>
      <x:c r="H99" t="str">
        <x:v>W</x:v>
      </x:c>
      <x:c r="I99" t="str">
        <x:v>W</x:v>
      </x:c>
      <x:c r="J99" t="str">
        <x:v>W</x:v>
      </x:c>
      <x:c r="K99" t="str">
        <x:v>W</x:v>
      </x:c>
      <x:c r="L99" t="str">
        <x:v>B</x:v>
      </x:c>
      <x:c r="M99" t="str">
        <x:v>B</x:v>
      </x:c>
      <x:c r="N99" t="str">
        <x:v>B</x:v>
      </x:c>
      <x:c r="O99" t="str">
        <x:v>W</x:v>
      </x:c>
      <x:c r="P99" t="str">
        <x:v>B</x:v>
      </x:c>
      <x:c r="Q99" t="str">
        <x:v>B</x:v>
      </x:c>
      <x:c r="R99" t="str">
        <x:v>B</x:v>
      </x:c>
      <x:c r="S99" t="str">
        <x:v>B</x:v>
      </x:c>
      <x:c r="T99" t="str">
        <x:v>B</x:v>
      </x:c>
      <x:c r="U99" t="str">
        <x:v>B</x:v>
      </x:c>
      <x:c r="V99" t="n">
        <x:f>COUNTIF(B99:U99,"W")</x:f>
        <x:v>6</x:v>
      </x:c>
      <x:c r="W99" s="5" t="str">
        <x:f>IF(COUNTIF(B99:D99,"W")&gt;0,"Y","N")</x:f>
        <x:v>N</x:v>
      </x:c>
      <x:c r="X99" s="5" t="str">
        <x:f>IF(COUNTIF(B99:I99,"W")&gt;=4,"Y","N")</x:f>
        <x:v>N</x:v>
      </x:c>
      <x:c r="Y99" s="1"/>
      <x:c r="Z99" s="1"/>
      <x:c r="AA99" s="1"/>
      <x:c r="AB99" s="1"/>
      <x:c r="AC99" s="1"/>
      <x:c r="AD99" s="1"/>
      <x:c r="AE99" s="1"/>
    </x:row>
    <x:row r="100">
      <x:c r="A100" s="1">
        <x:v>99</x:v>
      </x:c>
      <x:c r="B100" t="str">
        <x:v>W</x:v>
      </x:c>
      <x:c r="C100" t="str">
        <x:v>W</x:v>
      </x:c>
      <x:c r="D100" t="str">
        <x:v>B</x:v>
      </x:c>
      <x:c r="E100" t="str">
        <x:v>W</x:v>
      </x:c>
      <x:c r="F100" t="str">
        <x:v>B</x:v>
      </x:c>
      <x:c r="G100" t="str">
        <x:v>W</x:v>
      </x:c>
      <x:c r="H100" t="str">
        <x:v>B</x:v>
      </x:c>
      <x:c r="I100" t="str">
        <x:v>W</x:v>
      </x:c>
      <x:c r="J100" t="str">
        <x:v>B</x:v>
      </x:c>
      <x:c r="K100" t="str">
        <x:v>B</x:v>
      </x:c>
      <x:c r="L100" t="str">
        <x:v>W</x:v>
      </x:c>
      <x:c r="M100" t="str">
        <x:v>W</x:v>
      </x:c>
      <x:c r="N100" t="str">
        <x:v>W</x:v>
      </x:c>
      <x:c r="O100" t="str">
        <x:v>W</x:v>
      </x:c>
      <x:c r="P100" t="str">
        <x:v>W</x:v>
      </x:c>
      <x:c r="Q100" t="str">
        <x:v>W</x:v>
      </x:c>
      <x:c r="R100" t="str">
        <x:v>B</x:v>
      </x:c>
      <x:c r="S100" t="str">
        <x:v>W</x:v>
      </x:c>
      <x:c r="T100" t="str">
        <x:v>B</x:v>
      </x:c>
      <x:c r="U100" t="str">
        <x:v>B</x:v>
      </x:c>
      <x:c r="V100" t="n">
        <x:f>COUNTIF(B100:U100,"W")</x:f>
        <x:v>12</x:v>
      </x:c>
      <x:c r="W100" s="5" t="str">
        <x:f>IF(COUNTIF(B100:D100,"W")&gt;0,"Y","N")</x:f>
        <x:v>Y</x:v>
      </x:c>
      <x:c r="X100" s="5" t="str">
        <x:f>IF(COUNTIF(B100:I100,"W")&gt;=4,"Y","N")</x:f>
        <x:v>Y</x:v>
      </x:c>
      <x:c r="Y100" s="1"/>
      <x:c r="Z100" s="1"/>
      <x:c r="AA100" s="1"/>
      <x:c r="AB100" s="1"/>
      <x:c r="AC100" s="1"/>
      <x:c r="AD100" s="1"/>
      <x:c r="AE100" s="1"/>
    </x:row>
    <x:row r="101">
      <x:c r="A101" s="1">
        <x:v>100</x:v>
      </x:c>
      <x:c r="B101" t="str">
        <x:v>W</x:v>
      </x:c>
      <x:c r="C101" t="str">
        <x:v>B</x:v>
      </x:c>
      <x:c r="D101" t="str">
        <x:v>B</x:v>
      </x:c>
      <x:c r="E101" t="str">
        <x:v>W</x:v>
      </x:c>
      <x:c r="F101" t="str">
        <x:v>B</x:v>
      </x:c>
      <x:c r="G101" t="str">
        <x:v>W</x:v>
      </x:c>
      <x:c r="H101" t="str">
        <x:v>B</x:v>
      </x:c>
      <x:c r="I101" t="str">
        <x:v>W</x:v>
      </x:c>
      <x:c r="J101" t="str">
        <x:v>W</x:v>
      </x:c>
      <x:c r="K101" t="str">
        <x:v>W</x:v>
      </x:c>
      <x:c r="L101" t="str">
        <x:v>W</x:v>
      </x:c>
      <x:c r="M101" t="str">
        <x:v>B</x:v>
      </x:c>
      <x:c r="N101" t="str">
        <x:v>W</x:v>
      </x:c>
      <x:c r="O101" t="str">
        <x:v>B</x:v>
      </x:c>
      <x:c r="P101" t="str">
        <x:v>B</x:v>
      </x:c>
      <x:c r="Q101" t="str">
        <x:v>B</x:v>
      </x:c>
      <x:c r="R101" t="str">
        <x:v>B</x:v>
      </x:c>
      <x:c r="S101" t="str">
        <x:v>W</x:v>
      </x:c>
      <x:c r="T101" t="str">
        <x:v>B</x:v>
      </x:c>
      <x:c r="U101" t="str">
        <x:v>B</x:v>
      </x:c>
      <x:c r="V101" t="n">
        <x:f>COUNTIF(B101:U101,"W")</x:f>
        <x:v>9</x:v>
      </x:c>
      <x:c r="W101" s="5" t="str">
        <x:f>IF(COUNTIF(B101:D101,"W")&gt;0,"Y","N")</x:f>
        <x:v>Y</x:v>
      </x:c>
      <x:c r="X101" s="5" t="str">
        <x:f>IF(COUNTIF(B101:I101,"W")&gt;=4,"Y","N")</x:f>
        <x:v>Y</x:v>
      </x:c>
      <x:c r="Y101" s="1"/>
      <x:c r="Z101" s="1"/>
      <x:c r="AA101" s="1"/>
      <x:c r="AB101" s="1"/>
      <x:c r="AC101" s="1"/>
      <x:c r="AD101" s="1"/>
      <x:c r="AE101" s="1"/>
    </x:row>
    <x:row r="102">
      <x:c r="A102" s="1">
        <x:v>101</x:v>
      </x:c>
      <x:c r="B102" t="str">
        <x:v>B</x:v>
      </x:c>
      <x:c r="C102" t="str">
        <x:v>B</x:v>
      </x:c>
      <x:c r="D102" t="str">
        <x:v>W</x:v>
      </x:c>
      <x:c r="E102" t="str">
        <x:v>W</x:v>
      </x:c>
      <x:c r="F102" t="str">
        <x:v>B</x:v>
      </x:c>
      <x:c r="G102" t="str">
        <x:v>W</x:v>
      </x:c>
      <x:c r="H102" t="str">
        <x:v>B</x:v>
      </x:c>
      <x:c r="I102" t="str">
        <x:v>B</x:v>
      </x:c>
      <x:c r="J102" t="str">
        <x:v>B</x:v>
      </x:c>
      <x:c r="K102" t="str">
        <x:v>B</x:v>
      </x:c>
      <x:c r="L102" t="str">
        <x:v>W</x:v>
      </x:c>
      <x:c r="M102" t="str">
        <x:v>W</x:v>
      </x:c>
      <x:c r="N102" t="str">
        <x:v>W</x:v>
      </x:c>
      <x:c r="O102" t="str">
        <x:v>B</x:v>
      </x:c>
      <x:c r="P102" t="str">
        <x:v>W</x:v>
      </x:c>
      <x:c r="Q102" t="str">
        <x:v>W</x:v>
      </x:c>
      <x:c r="R102" t="str">
        <x:v>B</x:v>
      </x:c>
      <x:c r="S102" t="str">
        <x:v>W</x:v>
      </x:c>
      <x:c r="T102" t="str">
        <x:v>W</x:v>
      </x:c>
      <x:c r="U102" t="str">
        <x:v>W</x:v>
      </x:c>
      <x:c r="V102" t="n">
        <x:f>COUNTIF(B102:U102,"W")</x:f>
        <x:v>11</x:v>
      </x:c>
      <x:c r="W102" s="5" t="str">
        <x:f>IF(COUNTIF(B102:D102,"W")&gt;0,"Y","N")</x:f>
        <x:v>Y</x:v>
      </x:c>
      <x:c r="X102" s="5" t="str">
        <x:f>IF(COUNTIF(B102:I102,"W")&gt;=4,"Y","N")</x:f>
        <x:v>N</x:v>
      </x:c>
      <x:c r="Y102" s="1"/>
      <x:c r="Z102" s="1"/>
      <x:c r="AA102" s="1"/>
      <x:c r="AB102" s="1"/>
      <x:c r="AC102" s="1"/>
      <x:c r="AD102" s="1"/>
      <x:c r="AE102" s="1"/>
    </x:row>
    <x:row r="103">
      <x:c r="A103" s="1">
        <x:v>102</x:v>
      </x:c>
      <x:c r="B103" t="str">
        <x:v>W</x:v>
      </x:c>
      <x:c r="C103" t="str">
        <x:v>W</x:v>
      </x:c>
      <x:c r="D103" t="str">
        <x:v>W</x:v>
      </x:c>
      <x:c r="E103" t="str">
        <x:v>B</x:v>
      </x:c>
      <x:c r="F103" t="str">
        <x:v>W</x:v>
      </x:c>
      <x:c r="G103" t="str">
        <x:v>B</x:v>
      </x:c>
      <x:c r="H103" t="str">
        <x:v>B</x:v>
      </x:c>
      <x:c r="I103" t="str">
        <x:v>W</x:v>
      </x:c>
      <x:c r="J103" t="str">
        <x:v>W</x:v>
      </x:c>
      <x:c r="K103" t="str">
        <x:v>W</x:v>
      </x:c>
      <x:c r="L103" t="str">
        <x:v>B</x:v>
      </x:c>
      <x:c r="M103" t="str">
        <x:v>W</x:v>
      </x:c>
      <x:c r="N103" t="str">
        <x:v>B</x:v>
      </x:c>
      <x:c r="O103" t="str">
        <x:v>W</x:v>
      </x:c>
      <x:c r="P103" t="str">
        <x:v>W</x:v>
      </x:c>
      <x:c r="Q103" t="str">
        <x:v>W</x:v>
      </x:c>
      <x:c r="R103" t="str">
        <x:v>B</x:v>
      </x:c>
      <x:c r="S103" t="str">
        <x:v>B</x:v>
      </x:c>
      <x:c r="T103" t="str">
        <x:v>B</x:v>
      </x:c>
      <x:c r="U103" t="str">
        <x:v>B</x:v>
      </x:c>
      <x:c r="V103" t="n">
        <x:f>COUNTIF(B103:U103,"W")</x:f>
        <x:v>11</x:v>
      </x:c>
      <x:c r="W103" s="5" t="str">
        <x:f>IF(COUNTIF(B103:D103,"W")&gt;0,"Y","N")</x:f>
        <x:v>Y</x:v>
      </x:c>
      <x:c r="X103" s="5" t="str">
        <x:f>IF(COUNTIF(B103:I103,"W")&gt;=4,"Y","N")</x:f>
        <x:v>Y</x:v>
      </x:c>
      <x:c r="Y103" s="1"/>
      <x:c r="Z103" s="1"/>
      <x:c r="AA103" s="1"/>
      <x:c r="AB103" s="1"/>
      <x:c r="AC103" s="1"/>
      <x:c r="AD103" s="1"/>
      <x:c r="AE103" s="1"/>
    </x:row>
    <x:row r="104">
      <x:c r="A104" s="1">
        <x:v>103</x:v>
      </x:c>
      <x:c r="B104" t="str">
        <x:v>B</x:v>
      </x:c>
      <x:c r="C104" t="str">
        <x:v>B</x:v>
      </x:c>
      <x:c r="D104" t="str">
        <x:v>W</x:v>
      </x:c>
      <x:c r="E104" t="str">
        <x:v>W</x:v>
      </x:c>
      <x:c r="F104" t="str">
        <x:v>W</x:v>
      </x:c>
      <x:c r="G104" t="str">
        <x:v>W</x:v>
      </x:c>
      <x:c r="H104" t="str">
        <x:v>B</x:v>
      </x:c>
      <x:c r="I104" t="str">
        <x:v>B</x:v>
      </x:c>
      <x:c r="J104" t="str">
        <x:v>B</x:v>
      </x:c>
      <x:c r="K104" t="str">
        <x:v>B</x:v>
      </x:c>
      <x:c r="L104" t="str">
        <x:v>B</x:v>
      </x:c>
      <x:c r="M104" t="str">
        <x:v>W</x:v>
      </x:c>
      <x:c r="N104" t="str">
        <x:v>W</x:v>
      </x:c>
      <x:c r="O104" t="str">
        <x:v>B</x:v>
      </x:c>
      <x:c r="P104" t="str">
        <x:v>B</x:v>
      </x:c>
      <x:c r="Q104" t="str">
        <x:v>W</x:v>
      </x:c>
      <x:c r="R104" t="str">
        <x:v>B</x:v>
      </x:c>
      <x:c r="S104" t="str">
        <x:v>B</x:v>
      </x:c>
      <x:c r="T104" t="str">
        <x:v>B</x:v>
      </x:c>
      <x:c r="U104" t="str">
        <x:v>B</x:v>
      </x:c>
      <x:c r="V104" t="n">
        <x:f>COUNTIF(B104:U104,"W")</x:f>
        <x:v>7</x:v>
      </x:c>
      <x:c r="W104" s="5" t="str">
        <x:f>IF(COUNTIF(B104:D104,"W")&gt;0,"Y","N")</x:f>
        <x:v>Y</x:v>
      </x:c>
      <x:c r="X104" s="5" t="str">
        <x:f>IF(COUNTIF(B104:I104,"W")&gt;=4,"Y","N")</x:f>
        <x:v>Y</x:v>
      </x:c>
      <x:c r="Y104" s="1"/>
      <x:c r="Z104" s="1"/>
      <x:c r="AA104" s="1"/>
      <x:c r="AB104" s="1"/>
      <x:c r="AC104" s="1"/>
      <x:c r="AD104" s="1"/>
      <x:c r="AE104" s="1"/>
    </x:row>
    <x:row r="105">
      <x:c r="A105" s="1">
        <x:v>104</x:v>
      </x:c>
      <x:c r="B105" t="str">
        <x:v>W</x:v>
      </x:c>
      <x:c r="C105" t="str">
        <x:v>W</x:v>
      </x:c>
      <x:c r="D105" t="str">
        <x:v>B</x:v>
      </x:c>
      <x:c r="E105" t="str">
        <x:v>W</x:v>
      </x:c>
      <x:c r="F105" t="str">
        <x:v>B</x:v>
      </x:c>
      <x:c r="G105" t="str">
        <x:v>B</x:v>
      </x:c>
      <x:c r="H105" t="str">
        <x:v>B</x:v>
      </x:c>
      <x:c r="I105" t="str">
        <x:v>W</x:v>
      </x:c>
      <x:c r="J105" t="str">
        <x:v>B</x:v>
      </x:c>
      <x:c r="K105" t="str">
        <x:v>B</x:v>
      </x:c>
      <x:c r="L105" t="str">
        <x:v>W</x:v>
      </x:c>
      <x:c r="M105" t="str">
        <x:v>W</x:v>
      </x:c>
      <x:c r="N105" t="str">
        <x:v>B</x:v>
      </x:c>
      <x:c r="O105" t="str">
        <x:v>B</x:v>
      </x:c>
      <x:c r="P105" t="str">
        <x:v>W</x:v>
      </x:c>
      <x:c r="Q105" t="str">
        <x:v>W</x:v>
      </x:c>
      <x:c r="R105" t="str">
        <x:v>B</x:v>
      </x:c>
      <x:c r="S105" t="str">
        <x:v>W</x:v>
      </x:c>
      <x:c r="T105" t="str">
        <x:v>B</x:v>
      </x:c>
      <x:c r="U105" t="str">
        <x:v>B</x:v>
      </x:c>
      <x:c r="V105" t="n">
        <x:f>COUNTIF(B105:U105,"W")</x:f>
        <x:v>9</x:v>
      </x:c>
      <x:c r="W105" s="5" t="str">
        <x:f>IF(COUNTIF(B105:D105,"W")&gt;0,"Y","N")</x:f>
        <x:v>Y</x:v>
      </x:c>
      <x:c r="X105" s="5" t="str">
        <x:f>IF(COUNTIF(B105:I105,"W")&gt;=4,"Y","N")</x:f>
        <x:v>Y</x:v>
      </x:c>
      <x:c r="Y105" s="1"/>
      <x:c r="Z105" s="1"/>
      <x:c r="AA105" s="1"/>
      <x:c r="AB105" s="1"/>
      <x:c r="AC105" s="1"/>
      <x:c r="AD105" s="1"/>
      <x:c r="AE105" s="1"/>
    </x:row>
    <x:row r="106">
      <x:c r="A106" s="1">
        <x:v>105</x:v>
      </x:c>
      <x:c r="B106" t="str">
        <x:v>B</x:v>
      </x:c>
      <x:c r="C106" t="str">
        <x:v>W</x:v>
      </x:c>
      <x:c r="D106" t="str">
        <x:v>W</x:v>
      </x:c>
      <x:c r="E106" t="str">
        <x:v>B</x:v>
      </x:c>
      <x:c r="F106" t="str">
        <x:v>W</x:v>
      </x:c>
      <x:c r="G106" t="str">
        <x:v>B</x:v>
      </x:c>
      <x:c r="H106" t="str">
        <x:v>B</x:v>
      </x:c>
      <x:c r="I106" t="str">
        <x:v>W</x:v>
      </x:c>
      <x:c r="J106" t="str">
        <x:v>B</x:v>
      </x:c>
      <x:c r="K106" t="str">
        <x:v>B</x:v>
      </x:c>
      <x:c r="L106" t="str">
        <x:v>W</x:v>
      </x:c>
      <x:c r="M106" t="str">
        <x:v>W</x:v>
      </x:c>
      <x:c r="N106" t="str">
        <x:v>B</x:v>
      </x:c>
      <x:c r="O106" t="str">
        <x:v>B</x:v>
      </x:c>
      <x:c r="P106" t="str">
        <x:v>B</x:v>
      </x:c>
      <x:c r="Q106" t="str">
        <x:v>B</x:v>
      </x:c>
      <x:c r="R106" t="str">
        <x:v>W</x:v>
      </x:c>
      <x:c r="S106" t="str">
        <x:v>W</x:v>
      </x:c>
      <x:c r="T106" t="str">
        <x:v>B</x:v>
      </x:c>
      <x:c r="U106" t="str">
        <x:v>W</x:v>
      </x:c>
      <x:c r="V106" t="n">
        <x:f>COUNTIF(B106:U106,"W")</x:f>
        <x:v>9</x:v>
      </x:c>
      <x:c r="W106" s="5" t="str">
        <x:f>IF(COUNTIF(B106:D106,"W")&gt;0,"Y","N")</x:f>
        <x:v>Y</x:v>
      </x:c>
      <x:c r="X106" s="5" t="str">
        <x:f>IF(COUNTIF(B106:I106,"W")&gt;=4,"Y","N")</x:f>
        <x:v>Y</x:v>
      </x:c>
      <x:c r="Y106" s="1"/>
      <x:c r="Z106" s="1"/>
      <x:c r="AA106" s="1"/>
      <x:c r="AB106" s="1"/>
      <x:c r="AC106" s="1"/>
      <x:c r="AD106" s="1"/>
      <x:c r="AE106" s="1"/>
    </x:row>
    <x:row r="107">
      <x:c r="A107" s="1">
        <x:v>106</x:v>
      </x:c>
      <x:c r="B107" t="str">
        <x:v>B</x:v>
      </x:c>
      <x:c r="C107" t="str">
        <x:v>B</x:v>
      </x:c>
      <x:c r="D107" t="str">
        <x:v>B</x:v>
      </x:c>
      <x:c r="E107" t="str">
        <x:v>B</x:v>
      </x:c>
      <x:c r="F107" t="str">
        <x:v>B</x:v>
      </x:c>
      <x:c r="G107" t="str">
        <x:v>W</x:v>
      </x:c>
      <x:c r="H107" t="str">
        <x:v>W</x:v>
      </x:c>
      <x:c r="I107" t="str">
        <x:v>B</x:v>
      </x:c>
      <x:c r="J107" t="str">
        <x:v>B</x:v>
      </x:c>
      <x:c r="K107" t="str">
        <x:v>B</x:v>
      </x:c>
      <x:c r="L107" t="str">
        <x:v>W</x:v>
      </x:c>
      <x:c r="M107" t="str">
        <x:v>B</x:v>
      </x:c>
      <x:c r="N107" t="str">
        <x:v>W</x:v>
      </x:c>
      <x:c r="O107" t="str">
        <x:v>B</x:v>
      </x:c>
      <x:c r="P107" t="str">
        <x:v>W</x:v>
      </x:c>
      <x:c r="Q107" t="str">
        <x:v>B</x:v>
      </x:c>
      <x:c r="R107" t="str">
        <x:v>B</x:v>
      </x:c>
      <x:c r="S107" t="str">
        <x:v>W</x:v>
      </x:c>
      <x:c r="T107" t="str">
        <x:v>B</x:v>
      </x:c>
      <x:c r="U107" t="str">
        <x:v>W</x:v>
      </x:c>
      <x:c r="V107" t="n">
        <x:f>COUNTIF(B107:U107,"W")</x:f>
        <x:v>7</x:v>
      </x:c>
      <x:c r="W107" s="5" t="str">
        <x:f>IF(COUNTIF(B107:D107,"W")&gt;0,"Y","N")</x:f>
        <x:v>N</x:v>
      </x:c>
      <x:c r="X107" s="5" t="str">
        <x:f>IF(COUNTIF(B107:I107,"W")&gt;=4,"Y","N")</x:f>
        <x:v>N</x:v>
      </x:c>
      <x:c r="Y107" s="1"/>
      <x:c r="Z107" s="1"/>
      <x:c r="AA107" s="1"/>
      <x:c r="AB107" s="1"/>
      <x:c r="AC107" s="1"/>
      <x:c r="AD107" s="1"/>
      <x:c r="AE107" s="1"/>
    </x:row>
    <x:row r="108">
      <x:c r="A108" s="1">
        <x:v>107</x:v>
      </x:c>
      <x:c r="B108" t="str">
        <x:v>W</x:v>
      </x:c>
      <x:c r="C108" t="str">
        <x:v>W</x:v>
      </x:c>
      <x:c r="D108" t="str">
        <x:v>B</x:v>
      </x:c>
      <x:c r="E108" t="str">
        <x:v>B</x:v>
      </x:c>
      <x:c r="F108" t="str">
        <x:v>B</x:v>
      </x:c>
      <x:c r="G108" t="str">
        <x:v>W</x:v>
      </x:c>
      <x:c r="H108" t="str">
        <x:v>B</x:v>
      </x:c>
      <x:c r="I108" t="str">
        <x:v>B</x:v>
      </x:c>
      <x:c r="J108" t="str">
        <x:v>W</x:v>
      </x:c>
      <x:c r="K108" t="str">
        <x:v>B</x:v>
      </x:c>
      <x:c r="L108" t="str">
        <x:v>W</x:v>
      </x:c>
      <x:c r="M108" t="str">
        <x:v>B</x:v>
      </x:c>
      <x:c r="N108" t="str">
        <x:v>B</x:v>
      </x:c>
      <x:c r="O108" t="str">
        <x:v>B</x:v>
      </x:c>
      <x:c r="P108" t="str">
        <x:v>W</x:v>
      </x:c>
      <x:c r="Q108" t="str">
        <x:v>W</x:v>
      </x:c>
      <x:c r="R108" t="str">
        <x:v>W</x:v>
      </x:c>
      <x:c r="S108" t="str">
        <x:v>B</x:v>
      </x:c>
      <x:c r="T108" t="str">
        <x:v>B</x:v>
      </x:c>
      <x:c r="U108" t="str">
        <x:v>B</x:v>
      </x:c>
      <x:c r="V108" t="n">
        <x:f>COUNTIF(B108:U108,"W")</x:f>
        <x:v>8</x:v>
      </x:c>
      <x:c r="W108" s="5" t="str">
        <x:f>IF(COUNTIF(B108:D108,"W")&gt;0,"Y","N")</x:f>
        <x:v>Y</x:v>
      </x:c>
      <x:c r="X108" s="5" t="str">
        <x:f>IF(COUNTIF(B108:I108,"W")&gt;=4,"Y","N")</x:f>
        <x:v>N</x:v>
      </x:c>
      <x:c r="Y108" s="1"/>
      <x:c r="Z108" s="1"/>
      <x:c r="AA108" s="1"/>
      <x:c r="AB108" s="1"/>
      <x:c r="AC108" s="1"/>
      <x:c r="AD108" s="1"/>
      <x:c r="AE108" s="1"/>
    </x:row>
    <x:row r="109">
      <x:c r="A109" s="1">
        <x:v>108</x:v>
      </x:c>
      <x:c r="B109" t="str">
        <x:v>B</x:v>
      </x:c>
      <x:c r="C109" t="str">
        <x:v>B</x:v>
      </x:c>
      <x:c r="D109" t="str">
        <x:v>B</x:v>
      </x:c>
      <x:c r="E109" t="str">
        <x:v>W</x:v>
      </x:c>
      <x:c r="F109" t="str">
        <x:v>B</x:v>
      </x:c>
      <x:c r="G109" t="str">
        <x:v>B</x:v>
      </x:c>
      <x:c r="H109" t="str">
        <x:v>W</x:v>
      </x:c>
      <x:c r="I109" t="str">
        <x:v>W</x:v>
      </x:c>
      <x:c r="J109" t="str">
        <x:v>B</x:v>
      </x:c>
      <x:c r="K109" t="str">
        <x:v>W</x:v>
      </x:c>
      <x:c r="L109" t="str">
        <x:v>W</x:v>
      </x:c>
      <x:c r="M109" t="str">
        <x:v>B</x:v>
      </x:c>
      <x:c r="N109" t="str">
        <x:v>W</x:v>
      </x:c>
      <x:c r="O109" t="str">
        <x:v>B</x:v>
      </x:c>
      <x:c r="P109" t="str">
        <x:v>W</x:v>
      </x:c>
      <x:c r="Q109" t="str">
        <x:v>B</x:v>
      </x:c>
      <x:c r="R109" t="str">
        <x:v>B</x:v>
      </x:c>
      <x:c r="S109" t="str">
        <x:v>W</x:v>
      </x:c>
      <x:c r="T109" t="str">
        <x:v>B</x:v>
      </x:c>
      <x:c r="U109" t="str">
        <x:v>B</x:v>
      </x:c>
      <x:c r="V109" t="n">
        <x:f>COUNTIF(B109:U109,"W")</x:f>
        <x:v>8</x:v>
      </x:c>
      <x:c r="W109" s="5" t="str">
        <x:f>IF(COUNTIF(B109:D109,"W")&gt;0,"Y","N")</x:f>
        <x:v>N</x:v>
      </x:c>
      <x:c r="X109" s="5" t="str">
        <x:f>IF(COUNTIF(B109:I109,"W")&gt;=4,"Y","N")</x:f>
        <x:v>N</x:v>
      </x:c>
      <x:c r="Y109" s="1"/>
      <x:c r="Z109" s="1"/>
      <x:c r="AA109" s="1"/>
      <x:c r="AB109" s="1"/>
      <x:c r="AC109" s="1"/>
      <x:c r="AD109" s="1"/>
      <x:c r="AE109" s="1"/>
    </x:row>
    <x:row r="110">
      <x:c r="A110" s="1">
        <x:v>109</x:v>
      </x:c>
      <x:c r="B110" t="str">
        <x:v>B</x:v>
      </x:c>
      <x:c r="C110" t="str">
        <x:v>B</x:v>
      </x:c>
      <x:c r="D110" t="str">
        <x:v>B</x:v>
      </x:c>
      <x:c r="E110" t="str">
        <x:v>W</x:v>
      </x:c>
      <x:c r="F110" t="str">
        <x:v>W</x:v>
      </x:c>
      <x:c r="G110" t="str">
        <x:v>W</x:v>
      </x:c>
      <x:c r="H110" t="str">
        <x:v>B</x:v>
      </x:c>
      <x:c r="I110" t="str">
        <x:v>B</x:v>
      </x:c>
      <x:c r="J110" t="str">
        <x:v>B</x:v>
      </x:c>
      <x:c r="K110" t="str">
        <x:v>B</x:v>
      </x:c>
      <x:c r="L110" t="str">
        <x:v>B</x:v>
      </x:c>
      <x:c r="M110" t="str">
        <x:v>B</x:v>
      </x:c>
      <x:c r="N110" t="str">
        <x:v>B</x:v>
      </x:c>
      <x:c r="O110" t="str">
        <x:v>B</x:v>
      </x:c>
      <x:c r="P110" t="str">
        <x:v>B</x:v>
      </x:c>
      <x:c r="Q110" t="str">
        <x:v>B</x:v>
      </x:c>
      <x:c r="R110" t="str">
        <x:v>W</x:v>
      </x:c>
      <x:c r="S110" t="str">
        <x:v>W</x:v>
      </x:c>
      <x:c r="T110" t="str">
        <x:v>B</x:v>
      </x:c>
      <x:c r="U110" t="str">
        <x:v>W</x:v>
      </x:c>
      <x:c r="V110" t="n">
        <x:f>COUNTIF(B110:U110,"W")</x:f>
        <x:v>6</x:v>
      </x:c>
      <x:c r="W110" s="5" t="str">
        <x:f>IF(COUNTIF(B110:D110,"W")&gt;0,"Y","N")</x:f>
        <x:v>N</x:v>
      </x:c>
      <x:c r="X110" s="5" t="str">
        <x:f>IF(COUNTIF(B110:I110,"W")&gt;=4,"Y","N")</x:f>
        <x:v>N</x:v>
      </x:c>
      <x:c r="Y110" s="1"/>
      <x:c r="Z110" s="1"/>
      <x:c r="AA110" s="1"/>
      <x:c r="AB110" s="1"/>
      <x:c r="AC110" s="1"/>
      <x:c r="AD110" s="1"/>
      <x:c r="AE110" s="1"/>
    </x:row>
    <x:row r="111">
      <x:c r="A111" s="1">
        <x:v>110</x:v>
      </x:c>
      <x:c r="B111" t="str">
        <x:v>W</x:v>
      </x:c>
      <x:c r="C111" t="str">
        <x:v>B</x:v>
      </x:c>
      <x:c r="D111" t="str">
        <x:v>W</x:v>
      </x:c>
      <x:c r="E111" t="str">
        <x:v>W</x:v>
      </x:c>
      <x:c r="F111" t="str">
        <x:v>B</x:v>
      </x:c>
      <x:c r="G111" t="str">
        <x:v>B</x:v>
      </x:c>
      <x:c r="H111" t="str">
        <x:v>W</x:v>
      </x:c>
      <x:c r="I111" t="str">
        <x:v>B</x:v>
      </x:c>
      <x:c r="J111" t="str">
        <x:v>W</x:v>
      </x:c>
      <x:c r="K111" t="str">
        <x:v>W</x:v>
      </x:c>
      <x:c r="L111" t="str">
        <x:v>W</x:v>
      </x:c>
      <x:c r="M111" t="str">
        <x:v>B</x:v>
      </x:c>
      <x:c r="N111" t="str">
        <x:v>W</x:v>
      </x:c>
      <x:c r="O111" t="str">
        <x:v>B</x:v>
      </x:c>
      <x:c r="P111" t="str">
        <x:v>B</x:v>
      </x:c>
      <x:c r="Q111" t="str">
        <x:v>W</x:v>
      </x:c>
      <x:c r="R111" t="str">
        <x:v>B</x:v>
      </x:c>
      <x:c r="S111" t="str">
        <x:v>B</x:v>
      </x:c>
      <x:c r="T111" t="str">
        <x:v>B</x:v>
      </x:c>
      <x:c r="U111" t="str">
        <x:v>W</x:v>
      </x:c>
      <x:c r="V111" t="n">
        <x:f>COUNTIF(B111:U111,"W")</x:f>
        <x:v>10</x:v>
      </x:c>
      <x:c r="W111" s="5" t="str">
        <x:f>IF(COUNTIF(B111:D111,"W")&gt;0,"Y","N")</x:f>
        <x:v>Y</x:v>
      </x:c>
      <x:c r="X111" s="5" t="str">
        <x:f>IF(COUNTIF(B111:I111,"W")&gt;=4,"Y","N")</x:f>
        <x:v>Y</x:v>
      </x:c>
      <x:c r="Y111" s="1"/>
      <x:c r="Z111" s="1"/>
      <x:c r="AA111" s="1"/>
      <x:c r="AB111" s="1"/>
      <x:c r="AC111" s="1"/>
      <x:c r="AD111" s="1"/>
      <x:c r="AE111" s="1"/>
    </x:row>
    <x:row r="112">
      <x:c r="A112" s="1">
        <x:v>111</x:v>
      </x:c>
      <x:c r="B112" t="str">
        <x:v>B</x:v>
      </x:c>
      <x:c r="C112" t="str">
        <x:v>B</x:v>
      </x:c>
      <x:c r="D112" t="str">
        <x:v>B</x:v>
      </x:c>
      <x:c r="E112" t="str">
        <x:v>B</x:v>
      </x:c>
      <x:c r="F112" t="str">
        <x:v>W</x:v>
      </x:c>
      <x:c r="G112" t="str">
        <x:v>W</x:v>
      </x:c>
      <x:c r="H112" t="str">
        <x:v>B</x:v>
      </x:c>
      <x:c r="I112" t="str">
        <x:v>B</x:v>
      </x:c>
      <x:c r="J112" t="str">
        <x:v>W</x:v>
      </x:c>
      <x:c r="K112" t="str">
        <x:v>B</x:v>
      </x:c>
      <x:c r="L112" t="str">
        <x:v>B</x:v>
      </x:c>
      <x:c r="M112" t="str">
        <x:v>W</x:v>
      </x:c>
      <x:c r="N112" t="str">
        <x:v>W</x:v>
      </x:c>
      <x:c r="O112" t="str">
        <x:v>B</x:v>
      </x:c>
      <x:c r="P112" t="str">
        <x:v>B</x:v>
      </x:c>
      <x:c r="Q112" t="str">
        <x:v>W</x:v>
      </x:c>
      <x:c r="R112" t="str">
        <x:v>W</x:v>
      </x:c>
      <x:c r="S112" t="str">
        <x:v>W</x:v>
      </x:c>
      <x:c r="T112" t="str">
        <x:v>W</x:v>
      </x:c>
      <x:c r="U112" t="str">
        <x:v>B</x:v>
      </x:c>
      <x:c r="V112" t="n">
        <x:f>COUNTIF(B112:U112,"W")</x:f>
        <x:v>9</x:v>
      </x:c>
      <x:c r="W112" s="5" t="str">
        <x:f>IF(COUNTIF(B112:D112,"W")&gt;0,"Y","N")</x:f>
        <x:v>N</x:v>
      </x:c>
      <x:c r="X112" s="5" t="str">
        <x:f>IF(COUNTIF(B112:I112,"W")&gt;=4,"Y","N")</x:f>
        <x:v>N</x:v>
      </x:c>
      <x:c r="Y112" s="1"/>
      <x:c r="Z112" s="1"/>
      <x:c r="AA112" s="1"/>
      <x:c r="AB112" s="1"/>
      <x:c r="AC112" s="1"/>
      <x:c r="AD112" s="1"/>
      <x:c r="AE112" s="1"/>
    </x:row>
    <x:row r="113">
      <x:c r="A113" s="1">
        <x:v>112</x:v>
      </x:c>
      <x:c r="B113" t="str">
        <x:v>W</x:v>
      </x:c>
      <x:c r="C113" t="str">
        <x:v>B</x:v>
      </x:c>
      <x:c r="D113" t="str">
        <x:v>W</x:v>
      </x:c>
      <x:c r="E113" t="str">
        <x:v>B</x:v>
      </x:c>
      <x:c r="F113" t="str">
        <x:v>W</x:v>
      </x:c>
      <x:c r="G113" t="str">
        <x:v>B</x:v>
      </x:c>
      <x:c r="H113" t="str">
        <x:v>W</x:v>
      </x:c>
      <x:c r="I113" t="str">
        <x:v>B</x:v>
      </x:c>
      <x:c r="J113" t="str">
        <x:v>W</x:v>
      </x:c>
      <x:c r="K113" t="str">
        <x:v>B</x:v>
      </x:c>
      <x:c r="L113" t="str">
        <x:v>W</x:v>
      </x:c>
      <x:c r="M113" t="str">
        <x:v>B</x:v>
      </x:c>
      <x:c r="N113" t="str">
        <x:v>B</x:v>
      </x:c>
      <x:c r="O113" t="str">
        <x:v>W</x:v>
      </x:c>
      <x:c r="P113" t="str">
        <x:v>B</x:v>
      </x:c>
      <x:c r="Q113" t="str">
        <x:v>B</x:v>
      </x:c>
      <x:c r="R113" t="str">
        <x:v>B</x:v>
      </x:c>
      <x:c r="S113" t="str">
        <x:v>B</x:v>
      </x:c>
      <x:c r="T113" t="str">
        <x:v>B</x:v>
      </x:c>
      <x:c r="U113" t="str">
        <x:v>B</x:v>
      </x:c>
      <x:c r="V113" t="n">
        <x:f>COUNTIF(B113:U113,"W")</x:f>
        <x:v>7</x:v>
      </x:c>
      <x:c r="W113" s="5" t="str">
        <x:f>IF(COUNTIF(B113:D113,"W")&gt;0,"Y","N")</x:f>
        <x:v>Y</x:v>
      </x:c>
      <x:c r="X113" s="5" t="str">
        <x:f>IF(COUNTIF(B113:I113,"W")&gt;=4,"Y","N")</x:f>
        <x:v>Y</x:v>
      </x:c>
      <x:c r="Y113" s="1"/>
      <x:c r="Z113" s="1"/>
      <x:c r="AA113" s="1"/>
      <x:c r="AB113" s="1"/>
      <x:c r="AC113" s="1"/>
      <x:c r="AD113" s="1"/>
      <x:c r="AE113" s="1"/>
    </x:row>
    <x:row r="114">
      <x:c r="A114" s="1">
        <x:v>113</x:v>
      </x:c>
      <x:c r="B114" t="str">
        <x:v>B</x:v>
      </x:c>
      <x:c r="C114" t="str">
        <x:v>W</x:v>
      </x:c>
      <x:c r="D114" t="str">
        <x:v>W</x:v>
      </x:c>
      <x:c r="E114" t="str">
        <x:v>B</x:v>
      </x:c>
      <x:c r="F114" t="str">
        <x:v>W</x:v>
      </x:c>
      <x:c r="G114" t="str">
        <x:v>B</x:v>
      </x:c>
      <x:c r="H114" t="str">
        <x:v>B</x:v>
      </x:c>
      <x:c r="I114" t="str">
        <x:v>B</x:v>
      </x:c>
      <x:c r="J114" t="str">
        <x:v>B</x:v>
      </x:c>
      <x:c r="K114" t="str">
        <x:v>B</x:v>
      </x:c>
      <x:c r="L114" t="str">
        <x:v>W</x:v>
      </x:c>
      <x:c r="M114" t="str">
        <x:v>W</x:v>
      </x:c>
      <x:c r="N114" t="str">
        <x:v>W</x:v>
      </x:c>
      <x:c r="O114" t="str">
        <x:v>W</x:v>
      </x:c>
      <x:c r="P114" t="str">
        <x:v>B</x:v>
      </x:c>
      <x:c r="Q114" t="str">
        <x:v>B</x:v>
      </x:c>
      <x:c r="R114" t="str">
        <x:v>B</x:v>
      </x:c>
      <x:c r="S114" t="str">
        <x:v>B</x:v>
      </x:c>
      <x:c r="T114" t="str">
        <x:v>B</x:v>
      </x:c>
      <x:c r="U114" t="str">
        <x:v>W</x:v>
      </x:c>
      <x:c r="V114" t="n">
        <x:f>COUNTIF(B114:U114,"W")</x:f>
        <x:v>8</x:v>
      </x:c>
      <x:c r="W114" s="5" t="str">
        <x:f>IF(COUNTIF(B114:D114,"W")&gt;0,"Y","N")</x:f>
        <x:v>Y</x:v>
      </x:c>
      <x:c r="X114" s="5" t="str">
        <x:f>IF(COUNTIF(B114:I114,"W")&gt;=4,"Y","N")</x:f>
        <x:v>N</x:v>
      </x:c>
      <x:c r="Y114" s="1"/>
      <x:c r="Z114" s="1"/>
      <x:c r="AA114" s="1"/>
      <x:c r="AB114" s="1"/>
      <x:c r="AC114" s="1"/>
      <x:c r="AD114" s="1"/>
      <x:c r="AE114" s="1"/>
    </x:row>
    <x:row r="115">
      <x:c r="A115" s="1">
        <x:v>114</x:v>
      </x:c>
      <x:c r="B115" t="str">
        <x:v>B</x:v>
      </x:c>
      <x:c r="C115" t="str">
        <x:v>B</x:v>
      </x:c>
      <x:c r="D115" t="str">
        <x:v>B</x:v>
      </x:c>
      <x:c r="E115" t="str">
        <x:v>B</x:v>
      </x:c>
      <x:c r="F115" t="str">
        <x:v>B</x:v>
      </x:c>
      <x:c r="G115" t="str">
        <x:v>B</x:v>
      </x:c>
      <x:c r="H115" t="str">
        <x:v>B</x:v>
      </x:c>
      <x:c r="I115" t="str">
        <x:v>W</x:v>
      </x:c>
      <x:c r="J115" t="str">
        <x:v>B</x:v>
      </x:c>
      <x:c r="K115" t="str">
        <x:v>B</x:v>
      </x:c>
      <x:c r="L115" t="str">
        <x:v>B</x:v>
      </x:c>
      <x:c r="M115" t="str">
        <x:v>B</x:v>
      </x:c>
      <x:c r="N115" t="str">
        <x:v>W</x:v>
      </x:c>
      <x:c r="O115" t="str">
        <x:v>B</x:v>
      </x:c>
      <x:c r="P115" t="str">
        <x:v>W</x:v>
      </x:c>
      <x:c r="Q115" t="str">
        <x:v>B</x:v>
      </x:c>
      <x:c r="R115" t="str">
        <x:v>B</x:v>
      </x:c>
      <x:c r="S115" t="str">
        <x:v>B</x:v>
      </x:c>
      <x:c r="T115" t="str">
        <x:v>B</x:v>
      </x:c>
      <x:c r="U115" t="str">
        <x:v>W</x:v>
      </x:c>
      <x:c r="V115" t="n">
        <x:f>COUNTIF(B115:U115,"W")</x:f>
        <x:v>4</x:v>
      </x:c>
      <x:c r="W115" s="5" t="str">
        <x:f>IF(COUNTIF(B115:D115,"W")&gt;0,"Y","N")</x:f>
        <x:v>N</x:v>
      </x:c>
      <x:c r="X115" s="5" t="str">
        <x:f>IF(COUNTIF(B115:I115,"W")&gt;=4,"Y","N")</x:f>
        <x:v>N</x:v>
      </x:c>
      <x:c r="Y115" s="1"/>
      <x:c r="Z115" s="1"/>
      <x:c r="AA115" s="1"/>
      <x:c r="AB115" s="1"/>
      <x:c r="AC115" s="1"/>
      <x:c r="AD115" s="1"/>
      <x:c r="AE115" s="1"/>
    </x:row>
    <x:row r="116">
      <x:c r="A116" s="1">
        <x:v>115</x:v>
      </x:c>
      <x:c r="B116" t="str">
        <x:v>W</x:v>
      </x:c>
      <x:c r="C116" t="str">
        <x:v>W</x:v>
      </x:c>
      <x:c r="D116" t="str">
        <x:v>B</x:v>
      </x:c>
      <x:c r="E116" t="str">
        <x:v>B</x:v>
      </x:c>
      <x:c r="F116" t="str">
        <x:v>B</x:v>
      </x:c>
      <x:c r="G116" t="str">
        <x:v>B</x:v>
      </x:c>
      <x:c r="H116" t="str">
        <x:v>B</x:v>
      </x:c>
      <x:c r="I116" t="str">
        <x:v>W</x:v>
      </x:c>
      <x:c r="J116" t="str">
        <x:v>W</x:v>
      </x:c>
      <x:c r="K116" t="str">
        <x:v>W</x:v>
      </x:c>
      <x:c r="L116" t="str">
        <x:v>W</x:v>
      </x:c>
      <x:c r="M116" t="str">
        <x:v>W</x:v>
      </x:c>
      <x:c r="N116" t="str">
        <x:v>W</x:v>
      </x:c>
      <x:c r="O116" t="str">
        <x:v>W</x:v>
      </x:c>
      <x:c r="P116" t="str">
        <x:v>B</x:v>
      </x:c>
      <x:c r="Q116" t="str">
        <x:v>B</x:v>
      </x:c>
      <x:c r="R116" t="str">
        <x:v>B</x:v>
      </x:c>
      <x:c r="S116" t="str">
        <x:v>B</x:v>
      </x:c>
      <x:c r="T116" t="str">
        <x:v>B</x:v>
      </x:c>
      <x:c r="U116" t="str">
        <x:v>B</x:v>
      </x:c>
      <x:c r="V116" t="n">
        <x:f>COUNTIF(B116:U116,"W")</x:f>
        <x:v>9</x:v>
      </x:c>
      <x:c r="W116" s="5" t="str">
        <x:f>IF(COUNTIF(B116:D116,"W")&gt;0,"Y","N")</x:f>
        <x:v>Y</x:v>
      </x:c>
      <x:c r="X116" s="5" t="str">
        <x:f>IF(COUNTIF(B116:I116,"W")&gt;=4,"Y","N")</x:f>
        <x:v>N</x:v>
      </x:c>
      <x:c r="Y116" s="1"/>
      <x:c r="Z116" s="1"/>
      <x:c r="AA116" s="1"/>
      <x:c r="AB116" s="1"/>
      <x:c r="AC116" s="1"/>
      <x:c r="AD116" s="1"/>
      <x:c r="AE116" s="1"/>
    </x:row>
    <x:row r="117">
      <x:c r="A117" s="1">
        <x:v>116</x:v>
      </x:c>
      <x:c r="B117" t="str">
        <x:v>W</x:v>
      </x:c>
      <x:c r="C117" t="str">
        <x:v>W</x:v>
      </x:c>
      <x:c r="D117" t="str">
        <x:v>B</x:v>
      </x:c>
      <x:c r="E117" t="str">
        <x:v>B</x:v>
      </x:c>
      <x:c r="F117" t="str">
        <x:v>W</x:v>
      </x:c>
      <x:c r="G117" t="str">
        <x:v>B</x:v>
      </x:c>
      <x:c r="H117" t="str">
        <x:v>B</x:v>
      </x:c>
      <x:c r="I117" t="str">
        <x:v>W</x:v>
      </x:c>
      <x:c r="J117" t="str">
        <x:v>W</x:v>
      </x:c>
      <x:c r="K117" t="str">
        <x:v>B</x:v>
      </x:c>
      <x:c r="L117" t="str">
        <x:v>B</x:v>
      </x:c>
      <x:c r="M117" t="str">
        <x:v>B</x:v>
      </x:c>
      <x:c r="N117" t="str">
        <x:v>B</x:v>
      </x:c>
      <x:c r="O117" t="str">
        <x:v>B</x:v>
      </x:c>
      <x:c r="P117" t="str">
        <x:v>B</x:v>
      </x:c>
      <x:c r="Q117" t="str">
        <x:v>B</x:v>
      </x:c>
      <x:c r="R117" t="str">
        <x:v>B</x:v>
      </x:c>
      <x:c r="S117" t="str">
        <x:v>W</x:v>
      </x:c>
      <x:c r="T117" t="str">
        <x:v>W</x:v>
      </x:c>
      <x:c r="U117" t="str">
        <x:v>W</x:v>
      </x:c>
      <x:c r="V117" t="n">
        <x:f>COUNTIF(B117:U117,"W")</x:f>
        <x:v>8</x:v>
      </x:c>
      <x:c r="W117" s="5" t="str">
        <x:f>IF(COUNTIF(B117:D117,"W")&gt;0,"Y","N")</x:f>
        <x:v>Y</x:v>
      </x:c>
      <x:c r="X117" s="5" t="str">
        <x:f>IF(COUNTIF(B117:I117,"W")&gt;=4,"Y","N")</x:f>
        <x:v>Y</x:v>
      </x:c>
      <x:c r="Y117" s="1"/>
      <x:c r="Z117" s="1"/>
      <x:c r="AA117" s="1"/>
      <x:c r="AB117" s="1"/>
      <x:c r="AC117" s="1"/>
      <x:c r="AD117" s="1"/>
      <x:c r="AE117" s="1"/>
    </x:row>
    <x:row r="118">
      <x:c r="A118" s="1">
        <x:v>117</x:v>
      </x:c>
      <x:c r="B118" t="str">
        <x:v>B</x:v>
      </x:c>
      <x:c r="C118" t="str">
        <x:v>B</x:v>
      </x:c>
      <x:c r="D118" t="str">
        <x:v>B</x:v>
      </x:c>
      <x:c r="E118" t="str">
        <x:v>W</x:v>
      </x:c>
      <x:c r="F118" t="str">
        <x:v>B</x:v>
      </x:c>
      <x:c r="G118" t="str">
        <x:v>W</x:v>
      </x:c>
      <x:c r="H118" t="str">
        <x:v>B</x:v>
      </x:c>
      <x:c r="I118" t="str">
        <x:v>W</x:v>
      </x:c>
      <x:c r="J118" t="str">
        <x:v>B</x:v>
      </x:c>
      <x:c r="K118" t="str">
        <x:v>W</x:v>
      </x:c>
      <x:c r="L118" t="str">
        <x:v>W</x:v>
      </x:c>
      <x:c r="M118" t="str">
        <x:v>B</x:v>
      </x:c>
      <x:c r="N118" t="str">
        <x:v>W</x:v>
      </x:c>
      <x:c r="O118" t="str">
        <x:v>B</x:v>
      </x:c>
      <x:c r="P118" t="str">
        <x:v>W</x:v>
      </x:c>
      <x:c r="Q118" t="str">
        <x:v>B</x:v>
      </x:c>
      <x:c r="R118" t="str">
        <x:v>W</x:v>
      </x:c>
      <x:c r="S118" t="str">
        <x:v>B</x:v>
      </x:c>
      <x:c r="T118" t="str">
        <x:v>B</x:v>
      </x:c>
      <x:c r="U118" t="str">
        <x:v>W</x:v>
      </x:c>
      <x:c r="V118" t="n">
        <x:f>COUNTIF(B118:U118,"W")</x:f>
        <x:v>9</x:v>
      </x:c>
      <x:c r="W118" s="5" t="str">
        <x:f>IF(COUNTIF(B118:D118,"W")&gt;0,"Y","N")</x:f>
        <x:v>N</x:v>
      </x:c>
      <x:c r="X118" s="5" t="str">
        <x:f>IF(COUNTIF(B118:I118,"W")&gt;=4,"Y","N")</x:f>
        <x:v>N</x:v>
      </x:c>
      <x:c r="Y118" s="1"/>
      <x:c r="Z118" s="1"/>
      <x:c r="AA118" s="1"/>
      <x:c r="AB118" s="1"/>
      <x:c r="AC118" s="1"/>
      <x:c r="AD118" s="1"/>
      <x:c r="AE118" s="1"/>
    </x:row>
    <x:row r="119">
      <x:c r="A119" s="1">
        <x:v>118</x:v>
      </x:c>
      <x:c r="B119" t="str">
        <x:v>W</x:v>
      </x:c>
      <x:c r="C119" t="str">
        <x:v>W</x:v>
      </x:c>
      <x:c r="D119" t="str">
        <x:v>W</x:v>
      </x:c>
      <x:c r="E119" t="str">
        <x:v>B</x:v>
      </x:c>
      <x:c r="F119" t="str">
        <x:v>B</x:v>
      </x:c>
      <x:c r="G119" t="str">
        <x:v>B</x:v>
      </x:c>
      <x:c r="H119" t="str">
        <x:v>B</x:v>
      </x:c>
      <x:c r="I119" t="str">
        <x:v>B</x:v>
      </x:c>
      <x:c r="J119" t="str">
        <x:v>B</x:v>
      </x:c>
      <x:c r="K119" t="str">
        <x:v>B</x:v>
      </x:c>
      <x:c r="L119" t="str">
        <x:v>B</x:v>
      </x:c>
      <x:c r="M119" t="str">
        <x:v>B</x:v>
      </x:c>
      <x:c r="N119" t="str">
        <x:v>B</x:v>
      </x:c>
      <x:c r="O119" t="str">
        <x:v>W</x:v>
      </x:c>
      <x:c r="P119" t="str">
        <x:v>B</x:v>
      </x:c>
      <x:c r="Q119" t="str">
        <x:v>B</x:v>
      </x:c>
      <x:c r="R119" t="str">
        <x:v>W</x:v>
      </x:c>
      <x:c r="S119" t="str">
        <x:v>W</x:v>
      </x:c>
      <x:c r="T119" t="str">
        <x:v>B</x:v>
      </x:c>
      <x:c r="U119" t="str">
        <x:v>B</x:v>
      </x:c>
      <x:c r="V119" t="n">
        <x:f>COUNTIF(B119:U119,"W")</x:f>
        <x:v>6</x:v>
      </x:c>
      <x:c r="W119" s="5" t="str">
        <x:f>IF(COUNTIF(B119:D119,"W")&gt;0,"Y","N")</x:f>
        <x:v>Y</x:v>
      </x:c>
      <x:c r="X119" s="5" t="str">
        <x:f>IF(COUNTIF(B119:I119,"W")&gt;=4,"Y","N")</x:f>
        <x:v>N</x:v>
      </x:c>
      <x:c r="Y119" s="1"/>
      <x:c r="Z119" s="1"/>
      <x:c r="AA119" s="1"/>
      <x:c r="AB119" s="1"/>
      <x:c r="AC119" s="1"/>
      <x:c r="AD119" s="1"/>
      <x:c r="AE119" s="1"/>
    </x:row>
    <x:row r="120">
      <x:c r="A120" s="1">
        <x:v>119</x:v>
      </x:c>
      <x:c r="B120" t="str">
        <x:v>B</x:v>
      </x:c>
      <x:c r="C120" t="str">
        <x:v>B</x:v>
      </x:c>
      <x:c r="D120" t="str">
        <x:v>B</x:v>
      </x:c>
      <x:c r="E120" t="str">
        <x:v>B</x:v>
      </x:c>
      <x:c r="F120" t="str">
        <x:v>B</x:v>
      </x:c>
      <x:c r="G120" t="str">
        <x:v>B</x:v>
      </x:c>
      <x:c r="H120" t="str">
        <x:v>B</x:v>
      </x:c>
      <x:c r="I120" t="str">
        <x:v>W</x:v>
      </x:c>
      <x:c r="J120" t="str">
        <x:v>B</x:v>
      </x:c>
      <x:c r="K120" t="str">
        <x:v>B</x:v>
      </x:c>
      <x:c r="L120" t="str">
        <x:v>W</x:v>
      </x:c>
      <x:c r="M120" t="str">
        <x:v>B</x:v>
      </x:c>
      <x:c r="N120" t="str">
        <x:v>B</x:v>
      </x:c>
      <x:c r="O120" t="str">
        <x:v>B</x:v>
      </x:c>
      <x:c r="P120" t="str">
        <x:v>B</x:v>
      </x:c>
      <x:c r="Q120" t="str">
        <x:v>B</x:v>
      </x:c>
      <x:c r="R120" t="str">
        <x:v>W</x:v>
      </x:c>
      <x:c r="S120" t="str">
        <x:v>B</x:v>
      </x:c>
      <x:c r="T120" t="str">
        <x:v>B</x:v>
      </x:c>
      <x:c r="U120" t="str">
        <x:v>B</x:v>
      </x:c>
      <x:c r="V120" t="n">
        <x:f>COUNTIF(B120:U120,"W")</x:f>
        <x:v>3</x:v>
      </x:c>
      <x:c r="W120" s="5" t="str">
        <x:f>IF(COUNTIF(B120:D120,"W")&gt;0,"Y","N")</x:f>
        <x:v>N</x:v>
      </x:c>
      <x:c r="X120" s="5" t="str">
        <x:f>IF(COUNTIF(B120:I120,"W")&gt;=4,"Y","N")</x:f>
        <x:v>N</x:v>
      </x:c>
      <x:c r="Y120" s="1"/>
      <x:c r="Z120" s="1"/>
      <x:c r="AA120" s="1"/>
      <x:c r="AB120" s="1"/>
      <x:c r="AC120" s="1"/>
      <x:c r="AD120" s="1"/>
      <x:c r="AE120" s="1"/>
    </x:row>
    <x:row r="121">
      <x:c r="A121" s="1">
        <x:v>120</x:v>
      </x:c>
      <x:c r="B121" t="str">
        <x:v>B</x:v>
      </x:c>
      <x:c r="C121" t="str">
        <x:v>B</x:v>
      </x:c>
      <x:c r="D121" t="str">
        <x:v>W</x:v>
      </x:c>
      <x:c r="E121" t="str">
        <x:v>W</x:v>
      </x:c>
      <x:c r="F121" t="str">
        <x:v>W</x:v>
      </x:c>
      <x:c r="G121" t="str">
        <x:v>W</x:v>
      </x:c>
      <x:c r="H121" t="str">
        <x:v>B</x:v>
      </x:c>
      <x:c r="I121" t="str">
        <x:v>B</x:v>
      </x:c>
      <x:c r="J121" t="str">
        <x:v>B</x:v>
      </x:c>
      <x:c r="K121" t="str">
        <x:v>B</x:v>
      </x:c>
      <x:c r="L121" t="str">
        <x:v>W</x:v>
      </x:c>
      <x:c r="M121" t="str">
        <x:v>B</x:v>
      </x:c>
      <x:c r="N121" t="str">
        <x:v>B</x:v>
      </x:c>
      <x:c r="O121" t="str">
        <x:v>W</x:v>
      </x:c>
      <x:c r="P121" t="str">
        <x:v>W</x:v>
      </x:c>
      <x:c r="Q121" t="str">
        <x:v>W</x:v>
      </x:c>
      <x:c r="R121" t="str">
        <x:v>W</x:v>
      </x:c>
      <x:c r="S121" t="str">
        <x:v>B</x:v>
      </x:c>
      <x:c r="T121" t="str">
        <x:v>B</x:v>
      </x:c>
      <x:c r="U121" t="str">
        <x:v>B</x:v>
      </x:c>
      <x:c r="V121" t="n">
        <x:f>COUNTIF(B121:U121,"W")</x:f>
        <x:v>9</x:v>
      </x:c>
      <x:c r="W121" s="5" t="str">
        <x:f>IF(COUNTIF(B121:D121,"W")&gt;0,"Y","N")</x:f>
        <x:v>Y</x:v>
      </x:c>
      <x:c r="X121" s="5" t="str">
        <x:f>IF(COUNTIF(B121:I121,"W")&gt;=4,"Y","N")</x:f>
        <x:v>Y</x:v>
      </x:c>
      <x:c r="Y121" s="1"/>
      <x:c r="Z121" s="1"/>
      <x:c r="AA121" s="1"/>
      <x:c r="AB121" s="1"/>
      <x:c r="AC121" s="1"/>
      <x:c r="AD121" s="1"/>
      <x:c r="AE121" s="1"/>
    </x:row>
    <x:row r="122">
      <x:c r="A122" s="1">
        <x:v>121</x:v>
      </x:c>
      <x:c r="B122" t="str">
        <x:v>B</x:v>
      </x:c>
      <x:c r="C122" t="str">
        <x:v>B</x:v>
      </x:c>
      <x:c r="D122" t="str">
        <x:v>B</x:v>
      </x:c>
      <x:c r="E122" t="str">
        <x:v>W</x:v>
      </x:c>
      <x:c r="F122" t="str">
        <x:v>W</x:v>
      </x:c>
      <x:c r="G122" t="str">
        <x:v>W</x:v>
      </x:c>
      <x:c r="H122" t="str">
        <x:v>B</x:v>
      </x:c>
      <x:c r="I122" t="str">
        <x:v>W</x:v>
      </x:c>
      <x:c r="J122" t="str">
        <x:v>B</x:v>
      </x:c>
      <x:c r="K122" t="str">
        <x:v>B</x:v>
      </x:c>
      <x:c r="L122" t="str">
        <x:v>W</x:v>
      </x:c>
      <x:c r="M122" t="str">
        <x:v>B</x:v>
      </x:c>
      <x:c r="N122" t="str">
        <x:v>W</x:v>
      </x:c>
      <x:c r="O122" t="str">
        <x:v>W</x:v>
      </x:c>
      <x:c r="P122" t="str">
        <x:v>W</x:v>
      </x:c>
      <x:c r="Q122" t="str">
        <x:v>B</x:v>
      </x:c>
      <x:c r="R122" t="str">
        <x:v>W</x:v>
      </x:c>
      <x:c r="S122" t="str">
        <x:v>W</x:v>
      </x:c>
      <x:c r="T122" t="str">
        <x:v>W</x:v>
      </x:c>
      <x:c r="U122" t="str">
        <x:v>B</x:v>
      </x:c>
      <x:c r="V122" t="n">
        <x:f>COUNTIF(B122:U122,"W")</x:f>
        <x:v>11</x:v>
      </x:c>
      <x:c r="W122" s="5" t="str">
        <x:f>IF(COUNTIF(B122:D122,"W")&gt;0,"Y","N")</x:f>
        <x:v>N</x:v>
      </x:c>
      <x:c r="X122" s="5" t="str">
        <x:f>IF(COUNTIF(B122:I122,"W")&gt;=4,"Y","N")</x:f>
        <x:v>Y</x:v>
      </x:c>
      <x:c r="Y122" s="1"/>
      <x:c r="Z122" s="1"/>
      <x:c r="AA122" s="1"/>
      <x:c r="AB122" s="1"/>
      <x:c r="AC122" s="1"/>
      <x:c r="AD122" s="1"/>
      <x:c r="AE122" s="1"/>
    </x:row>
    <x:row r="123">
      <x:c r="A123" s="1">
        <x:v>122</x:v>
      </x:c>
      <x:c r="B123" t="str">
        <x:v>B</x:v>
      </x:c>
      <x:c r="C123" t="str">
        <x:v>B</x:v>
      </x:c>
      <x:c r="D123" t="str">
        <x:v>B</x:v>
      </x:c>
      <x:c r="E123" t="str">
        <x:v>W</x:v>
      </x:c>
      <x:c r="F123" t="str">
        <x:v>W</x:v>
      </x:c>
      <x:c r="G123" t="str">
        <x:v>B</x:v>
      </x:c>
      <x:c r="H123" t="str">
        <x:v>B</x:v>
      </x:c>
      <x:c r="I123" t="str">
        <x:v>B</x:v>
      </x:c>
      <x:c r="J123" t="str">
        <x:v>B</x:v>
      </x:c>
      <x:c r="K123" t="str">
        <x:v>B</x:v>
      </x:c>
      <x:c r="L123" t="str">
        <x:v>W</x:v>
      </x:c>
      <x:c r="M123" t="str">
        <x:v>B</x:v>
      </x:c>
      <x:c r="N123" t="str">
        <x:v>B</x:v>
      </x:c>
      <x:c r="O123" t="str">
        <x:v>B</x:v>
      </x:c>
      <x:c r="P123" t="str">
        <x:v>W</x:v>
      </x:c>
      <x:c r="Q123" t="str">
        <x:v>B</x:v>
      </x:c>
      <x:c r="R123" t="str">
        <x:v>B</x:v>
      </x:c>
      <x:c r="S123" t="str">
        <x:v>W</x:v>
      </x:c>
      <x:c r="T123" t="str">
        <x:v>B</x:v>
      </x:c>
      <x:c r="U123" t="str">
        <x:v>B</x:v>
      </x:c>
      <x:c r="V123" t="n">
        <x:f>COUNTIF(B123:U123,"W")</x:f>
        <x:v>5</x:v>
      </x:c>
      <x:c r="W123" s="5" t="str">
        <x:f>IF(COUNTIF(B123:D123,"W")&gt;0,"Y","N")</x:f>
        <x:v>N</x:v>
      </x:c>
      <x:c r="X123" s="5" t="str">
        <x:f>IF(COUNTIF(B123:I123,"W")&gt;=4,"Y","N")</x:f>
        <x:v>N</x:v>
      </x:c>
      <x:c r="Y123" s="1"/>
      <x:c r="Z123" s="1"/>
      <x:c r="AA123" s="1"/>
      <x:c r="AB123" s="1"/>
      <x:c r="AC123" s="1"/>
      <x:c r="AD123" s="1"/>
      <x:c r="AE123" s="1"/>
    </x:row>
    <x:row r="124">
      <x:c r="A124" s="1">
        <x:v>123</x:v>
      </x:c>
      <x:c r="B124" t="str">
        <x:v>B</x:v>
      </x:c>
      <x:c r="C124" t="str">
        <x:v>W</x:v>
      </x:c>
      <x:c r="D124" t="str">
        <x:v>B</x:v>
      </x:c>
      <x:c r="E124" t="str">
        <x:v>B</x:v>
      </x:c>
      <x:c r="F124" t="str">
        <x:v>B</x:v>
      </x:c>
      <x:c r="G124" t="str">
        <x:v>B</x:v>
      </x:c>
      <x:c r="H124" t="str">
        <x:v>B</x:v>
      </x:c>
      <x:c r="I124" t="str">
        <x:v>B</x:v>
      </x:c>
      <x:c r="J124" t="str">
        <x:v>B</x:v>
      </x:c>
      <x:c r="K124" t="str">
        <x:v>W</x:v>
      </x:c>
      <x:c r="L124" t="str">
        <x:v>B</x:v>
      </x:c>
      <x:c r="M124" t="str">
        <x:v>B</x:v>
      </x:c>
      <x:c r="N124" t="str">
        <x:v>W</x:v>
      </x:c>
      <x:c r="O124" t="str">
        <x:v>B</x:v>
      </x:c>
      <x:c r="P124" t="str">
        <x:v>B</x:v>
      </x:c>
      <x:c r="Q124" t="str">
        <x:v>W</x:v>
      </x:c>
      <x:c r="R124" t="str">
        <x:v>W</x:v>
      </x:c>
      <x:c r="S124" t="str">
        <x:v>W</x:v>
      </x:c>
      <x:c r="T124" t="str">
        <x:v>W</x:v>
      </x:c>
      <x:c r="U124" t="str">
        <x:v>B</x:v>
      </x:c>
      <x:c r="V124" t="n">
        <x:f>COUNTIF(B124:U124,"W")</x:f>
        <x:v>7</x:v>
      </x:c>
      <x:c r="W124" s="5" t="str">
        <x:f>IF(COUNTIF(B124:D124,"W")&gt;0,"Y","N")</x:f>
        <x:v>Y</x:v>
      </x:c>
      <x:c r="X124" s="5" t="str">
        <x:f>IF(COUNTIF(B124:I124,"W")&gt;=4,"Y","N")</x:f>
        <x:v>N</x:v>
      </x:c>
      <x:c r="Y124" s="1"/>
      <x:c r="Z124" s="1"/>
      <x:c r="AA124" s="1"/>
      <x:c r="AB124" s="1"/>
      <x:c r="AC124" s="1"/>
      <x:c r="AD124" s="1"/>
      <x:c r="AE124" s="1"/>
    </x:row>
    <x:row r="125">
      <x:c r="A125" s="1">
        <x:v>124</x:v>
      </x:c>
      <x:c r="B125" t="str">
        <x:v>B</x:v>
      </x:c>
      <x:c r="C125" t="str">
        <x:v>B</x:v>
      </x:c>
      <x:c r="D125" t="str">
        <x:v>B</x:v>
      </x:c>
      <x:c r="E125" t="str">
        <x:v>W</x:v>
      </x:c>
      <x:c r="F125" t="str">
        <x:v>B</x:v>
      </x:c>
      <x:c r="G125" t="str">
        <x:v>W</x:v>
      </x:c>
      <x:c r="H125" t="str">
        <x:v>B</x:v>
      </x:c>
      <x:c r="I125" t="str">
        <x:v>W</x:v>
      </x:c>
      <x:c r="J125" t="str">
        <x:v>W</x:v>
      </x:c>
      <x:c r="K125" t="str">
        <x:v>B</x:v>
      </x:c>
      <x:c r="L125" t="str">
        <x:v>B</x:v>
      </x:c>
      <x:c r="M125" t="str">
        <x:v>B</x:v>
      </x:c>
      <x:c r="N125" t="str">
        <x:v>B</x:v>
      </x:c>
      <x:c r="O125" t="str">
        <x:v>B</x:v>
      </x:c>
      <x:c r="P125" t="str">
        <x:v>W</x:v>
      </x:c>
      <x:c r="Q125" t="str">
        <x:v>B</x:v>
      </x:c>
      <x:c r="R125" t="str">
        <x:v>W</x:v>
      </x:c>
      <x:c r="S125" t="str">
        <x:v>W</x:v>
      </x:c>
      <x:c r="T125" t="str">
        <x:v>B</x:v>
      </x:c>
      <x:c r="U125" t="str">
        <x:v>B</x:v>
      </x:c>
      <x:c r="V125" t="n">
        <x:f>COUNTIF(B125:U125,"W")</x:f>
        <x:v>7</x:v>
      </x:c>
      <x:c r="W125" s="5" t="str">
        <x:f>IF(COUNTIF(B125:D125,"W")&gt;0,"Y","N")</x:f>
        <x:v>N</x:v>
      </x:c>
      <x:c r="X125" s="5" t="str">
        <x:f>IF(COUNTIF(B125:I125,"W")&gt;=4,"Y","N")</x:f>
        <x:v>N</x:v>
      </x:c>
      <x:c r="Y125" s="1"/>
      <x:c r="Z125" s="1"/>
      <x:c r="AA125" s="1"/>
      <x:c r="AB125" s="1"/>
      <x:c r="AC125" s="1"/>
      <x:c r="AD125" s="1"/>
      <x:c r="AE125" s="1"/>
    </x:row>
    <x:row r="126">
      <x:c r="A126" s="1">
        <x:v>125</x:v>
      </x:c>
      <x:c r="B126" t="str">
        <x:v>B</x:v>
      </x:c>
      <x:c r="C126" t="str">
        <x:v>W</x:v>
      </x:c>
      <x:c r="D126" t="str">
        <x:v>B</x:v>
      </x:c>
      <x:c r="E126" t="str">
        <x:v>B</x:v>
      </x:c>
      <x:c r="F126" t="str">
        <x:v>B</x:v>
      </x:c>
      <x:c r="G126" t="str">
        <x:v>W</x:v>
      </x:c>
      <x:c r="H126" t="str">
        <x:v>B</x:v>
      </x:c>
      <x:c r="I126" t="str">
        <x:v>B</x:v>
      </x:c>
      <x:c r="J126" t="str">
        <x:v>W</x:v>
      </x:c>
      <x:c r="K126" t="str">
        <x:v>W</x:v>
      </x:c>
      <x:c r="L126" t="str">
        <x:v>B</x:v>
      </x:c>
      <x:c r="M126" t="str">
        <x:v>B</x:v>
      </x:c>
      <x:c r="N126" t="str">
        <x:v>B</x:v>
      </x:c>
      <x:c r="O126" t="str">
        <x:v>W</x:v>
      </x:c>
      <x:c r="P126" t="str">
        <x:v>B</x:v>
      </x:c>
      <x:c r="Q126" t="str">
        <x:v>W</x:v>
      </x:c>
      <x:c r="R126" t="str">
        <x:v>B</x:v>
      </x:c>
      <x:c r="S126" t="str">
        <x:v>W</x:v>
      </x:c>
      <x:c r="T126" t="str">
        <x:v>B</x:v>
      </x:c>
      <x:c r="U126" t="str">
        <x:v>B</x:v>
      </x:c>
      <x:c r="V126" t="n">
        <x:f>COUNTIF(B126:U126,"W")</x:f>
        <x:v>7</x:v>
      </x:c>
      <x:c r="W126" s="5" t="str">
        <x:f>IF(COUNTIF(B126:D126,"W")&gt;0,"Y","N")</x:f>
        <x:v>Y</x:v>
      </x:c>
      <x:c r="X126" s="5" t="str">
        <x:f>IF(COUNTIF(B126:I126,"W")&gt;=4,"Y","N")</x:f>
        <x:v>N</x:v>
      </x:c>
      <x:c r="Y126" s="1"/>
      <x:c r="Z126" s="1"/>
      <x:c r="AA126" s="1"/>
      <x:c r="AB126" s="1"/>
      <x:c r="AC126" s="1"/>
      <x:c r="AD126" s="1"/>
      <x:c r="AE126" s="1"/>
    </x:row>
    <x:row r="127">
      <x:c r="A127" s="1">
        <x:v>126</x:v>
      </x:c>
      <x:c r="B127" t="str">
        <x:v>B</x:v>
      </x:c>
      <x:c r="C127" t="str">
        <x:v>W</x:v>
      </x:c>
      <x:c r="D127" t="str">
        <x:v>W</x:v>
      </x:c>
      <x:c r="E127" t="str">
        <x:v>B</x:v>
      </x:c>
      <x:c r="F127" t="str">
        <x:v>W</x:v>
      </x:c>
      <x:c r="G127" t="str">
        <x:v>B</x:v>
      </x:c>
      <x:c r="H127" t="str">
        <x:v>W</x:v>
      </x:c>
      <x:c r="I127" t="str">
        <x:v>B</x:v>
      </x:c>
      <x:c r="J127" t="str">
        <x:v>B</x:v>
      </x:c>
      <x:c r="K127" t="str">
        <x:v>W</x:v>
      </x:c>
      <x:c r="L127" t="str">
        <x:v>B</x:v>
      </x:c>
      <x:c r="M127" t="str">
        <x:v>B</x:v>
      </x:c>
      <x:c r="N127" t="str">
        <x:v>W</x:v>
      </x:c>
      <x:c r="O127" t="str">
        <x:v>B</x:v>
      </x:c>
      <x:c r="P127" t="str">
        <x:v>B</x:v>
      </x:c>
      <x:c r="Q127" t="str">
        <x:v>W</x:v>
      </x:c>
      <x:c r="R127" t="str">
        <x:v>B</x:v>
      </x:c>
      <x:c r="S127" t="str">
        <x:v>B</x:v>
      </x:c>
      <x:c r="T127" t="str">
        <x:v>B</x:v>
      </x:c>
      <x:c r="U127" t="str">
        <x:v>W</x:v>
      </x:c>
      <x:c r="V127" t="n">
        <x:f>COUNTIF(B127:U127,"W")</x:f>
        <x:v>8</x:v>
      </x:c>
      <x:c r="W127" s="5" t="str">
        <x:f>IF(COUNTIF(B127:D127,"W")&gt;0,"Y","N")</x:f>
        <x:v>Y</x:v>
      </x:c>
      <x:c r="X127" s="5" t="str">
        <x:f>IF(COUNTIF(B127:I127,"W")&gt;=4,"Y","N")</x:f>
        <x:v>Y</x:v>
      </x:c>
      <x:c r="Y127" s="1"/>
      <x:c r="Z127" s="1"/>
      <x:c r="AA127" s="1"/>
      <x:c r="AB127" s="1"/>
      <x:c r="AC127" s="1"/>
      <x:c r="AD127" s="1"/>
      <x:c r="AE127" s="1"/>
    </x:row>
    <x:row r="128">
      <x:c r="A128" s="1">
        <x:v>127</x:v>
      </x:c>
      <x:c r="B128" t="str">
        <x:v>B</x:v>
      </x:c>
      <x:c r="C128" t="str">
        <x:v>B</x:v>
      </x:c>
      <x:c r="D128" t="str">
        <x:v>B</x:v>
      </x:c>
      <x:c r="E128" t="str">
        <x:v>W</x:v>
      </x:c>
      <x:c r="F128" t="str">
        <x:v>W</x:v>
      </x:c>
      <x:c r="G128" t="str">
        <x:v>B</x:v>
      </x:c>
      <x:c r="H128" t="str">
        <x:v>B</x:v>
      </x:c>
      <x:c r="I128" t="str">
        <x:v>W</x:v>
      </x:c>
      <x:c r="J128" t="str">
        <x:v>B</x:v>
      </x:c>
      <x:c r="K128" t="str">
        <x:v>B</x:v>
      </x:c>
      <x:c r="L128" t="str">
        <x:v>W</x:v>
      </x:c>
      <x:c r="M128" t="str">
        <x:v>W</x:v>
      </x:c>
      <x:c r="N128" t="str">
        <x:v>W</x:v>
      </x:c>
      <x:c r="O128" t="str">
        <x:v>W</x:v>
      </x:c>
      <x:c r="P128" t="str">
        <x:v>W</x:v>
      </x:c>
      <x:c r="Q128" t="str">
        <x:v>B</x:v>
      </x:c>
      <x:c r="R128" t="str">
        <x:v>B</x:v>
      </x:c>
      <x:c r="S128" t="str">
        <x:v>W</x:v>
      </x:c>
      <x:c r="T128" t="str">
        <x:v>W</x:v>
      </x:c>
      <x:c r="U128" t="str">
        <x:v>W</x:v>
      </x:c>
      <x:c r="V128" t="n">
        <x:f>COUNTIF(B128:U128,"W")</x:f>
        <x:v>11</x:v>
      </x:c>
      <x:c r="W128" s="5" t="str">
        <x:f>IF(COUNTIF(B128:D128,"W")&gt;0,"Y","N")</x:f>
        <x:v>N</x:v>
      </x:c>
      <x:c r="X128" s="5" t="str">
        <x:f>IF(COUNTIF(B128:I128,"W")&gt;=4,"Y","N")</x:f>
        <x:v>N</x:v>
      </x:c>
      <x:c r="Y128" s="1"/>
      <x:c r="Z128" s="1"/>
      <x:c r="AA128" s="1"/>
      <x:c r="AB128" s="1"/>
      <x:c r="AC128" s="1"/>
      <x:c r="AD128" s="1"/>
      <x:c r="AE128" s="1"/>
    </x:row>
    <x:row r="129">
      <x:c r="A129" s="1">
        <x:v>128</x:v>
      </x:c>
      <x:c r="B129" t="str">
        <x:v>W</x:v>
      </x:c>
      <x:c r="C129" t="str">
        <x:v>B</x:v>
      </x:c>
      <x:c r="D129" t="str">
        <x:v>B</x:v>
      </x:c>
      <x:c r="E129" t="str">
        <x:v>W</x:v>
      </x:c>
      <x:c r="F129" t="str">
        <x:v>B</x:v>
      </x:c>
      <x:c r="G129" t="str">
        <x:v>W</x:v>
      </x:c>
      <x:c r="H129" t="str">
        <x:v>B</x:v>
      </x:c>
      <x:c r="I129" t="str">
        <x:v>B</x:v>
      </x:c>
      <x:c r="J129" t="str">
        <x:v>B</x:v>
      </x:c>
      <x:c r="K129" t="str">
        <x:v>B</x:v>
      </x:c>
      <x:c r="L129" t="str">
        <x:v>B</x:v>
      </x:c>
      <x:c r="M129" t="str">
        <x:v>B</x:v>
      </x:c>
      <x:c r="N129" t="str">
        <x:v>B</x:v>
      </x:c>
      <x:c r="O129" t="str">
        <x:v>W</x:v>
      </x:c>
      <x:c r="P129" t="str">
        <x:v>B</x:v>
      </x:c>
      <x:c r="Q129" t="str">
        <x:v>W</x:v>
      </x:c>
      <x:c r="R129" t="str">
        <x:v>B</x:v>
      </x:c>
      <x:c r="S129" t="str">
        <x:v>B</x:v>
      </x:c>
      <x:c r="T129" t="str">
        <x:v>B</x:v>
      </x:c>
      <x:c r="U129" t="str">
        <x:v>W</x:v>
      </x:c>
      <x:c r="V129" t="n">
        <x:f>COUNTIF(B129:U129,"W")</x:f>
        <x:v>6</x:v>
      </x:c>
      <x:c r="W129" s="5" t="str">
        <x:f>IF(COUNTIF(B129:D129,"W")&gt;0,"Y","N")</x:f>
        <x:v>Y</x:v>
      </x:c>
      <x:c r="X129" s="5" t="str">
        <x:f>IF(COUNTIF(B129:I129,"W")&gt;=4,"Y","N")</x:f>
        <x:v>N</x:v>
      </x:c>
      <x:c r="Y129" s="1"/>
      <x:c r="Z129" s="1"/>
      <x:c r="AA129" s="1"/>
      <x:c r="AB129" s="1"/>
      <x:c r="AC129" s="1"/>
      <x:c r="AD129" s="1"/>
      <x:c r="AE129" s="1"/>
    </x:row>
    <x:row r="130">
      <x:c r="A130" s="1">
        <x:v>129</x:v>
      </x:c>
      <x:c r="B130" t="str">
        <x:v>W</x:v>
      </x:c>
      <x:c r="C130" t="str">
        <x:v>B</x:v>
      </x:c>
      <x:c r="D130" t="str">
        <x:v>B</x:v>
      </x:c>
      <x:c r="E130" t="str">
        <x:v>W</x:v>
      </x:c>
      <x:c r="F130" t="str">
        <x:v>B</x:v>
      </x:c>
      <x:c r="G130" t="str">
        <x:v>B</x:v>
      </x:c>
      <x:c r="H130" t="str">
        <x:v>W</x:v>
      </x:c>
      <x:c r="I130" t="str">
        <x:v>B</x:v>
      </x:c>
      <x:c r="J130" t="str">
        <x:v>B</x:v>
      </x:c>
      <x:c r="K130" t="str">
        <x:v>B</x:v>
      </x:c>
      <x:c r="L130" t="str">
        <x:v>B</x:v>
      </x:c>
      <x:c r="M130" t="str">
        <x:v>B</x:v>
      </x:c>
      <x:c r="N130" t="str">
        <x:v>W</x:v>
      </x:c>
      <x:c r="O130" t="str">
        <x:v>W</x:v>
      </x:c>
      <x:c r="P130" t="str">
        <x:v>B</x:v>
      </x:c>
      <x:c r="Q130" t="str">
        <x:v>B</x:v>
      </x:c>
      <x:c r="R130" t="str">
        <x:v>B</x:v>
      </x:c>
      <x:c r="S130" t="str">
        <x:v>W</x:v>
      </x:c>
      <x:c r="T130" t="str">
        <x:v>B</x:v>
      </x:c>
      <x:c r="U130" t="str">
        <x:v>W</x:v>
      </x:c>
      <x:c r="V130" t="n">
        <x:f>COUNTIF(B130:U130,"W")</x:f>
        <x:v>7</x:v>
      </x:c>
      <x:c r="W130" s="5" t="str">
        <x:f>IF(COUNTIF(B130:D130,"W")&gt;0,"Y","N")</x:f>
        <x:v>Y</x:v>
      </x:c>
      <x:c r="X130" s="5" t="str">
        <x:f>IF(COUNTIF(B130:I130,"W")&gt;=4,"Y","N")</x:f>
        <x:v>N</x:v>
      </x:c>
      <x:c r="Y130" s="1"/>
      <x:c r="Z130" s="1"/>
      <x:c r="AA130" s="1"/>
      <x:c r="AB130" s="1"/>
      <x:c r="AC130" s="1"/>
      <x:c r="AD130" s="1"/>
      <x:c r="AE130" s="1"/>
    </x:row>
    <x:row r="131">
      <x:c r="A131" s="1">
        <x:v>130</x:v>
      </x:c>
      <x:c r="B131" t="str">
        <x:v>B</x:v>
      </x:c>
      <x:c r="C131" t="str">
        <x:v>B</x:v>
      </x:c>
      <x:c r="D131" t="str">
        <x:v>B</x:v>
      </x:c>
      <x:c r="E131" t="str">
        <x:v>B</x:v>
      </x:c>
      <x:c r="F131" t="str">
        <x:v>W</x:v>
      </x:c>
      <x:c r="G131" t="str">
        <x:v>B</x:v>
      </x:c>
      <x:c r="H131" t="str">
        <x:v>W</x:v>
      </x:c>
      <x:c r="I131" t="str">
        <x:v>B</x:v>
      </x:c>
      <x:c r="J131" t="str">
        <x:v>W</x:v>
      </x:c>
      <x:c r="K131" t="str">
        <x:v>B</x:v>
      </x:c>
      <x:c r="L131" t="str">
        <x:v>B</x:v>
      </x:c>
      <x:c r="M131" t="str">
        <x:v>W</x:v>
      </x:c>
      <x:c r="N131" t="str">
        <x:v>W</x:v>
      </x:c>
      <x:c r="O131" t="str">
        <x:v>B</x:v>
      </x:c>
      <x:c r="P131" t="str">
        <x:v>W</x:v>
      </x:c>
      <x:c r="Q131" t="str">
        <x:v>B</x:v>
      </x:c>
      <x:c r="R131" t="str">
        <x:v>B</x:v>
      </x:c>
      <x:c r="S131" t="str">
        <x:v>B</x:v>
      </x:c>
      <x:c r="T131" t="str">
        <x:v>B</x:v>
      </x:c>
      <x:c r="U131" t="str">
        <x:v>B</x:v>
      </x:c>
      <x:c r="V131" t="n">
        <x:f>COUNTIF(B131:U131,"W")</x:f>
        <x:v>6</x:v>
      </x:c>
      <x:c r="W131" s="5" t="str">
        <x:f>IF(COUNTIF(B131:D131,"W")&gt;0,"Y","N")</x:f>
        <x:v>N</x:v>
      </x:c>
      <x:c r="X131" s="5" t="str">
        <x:f>IF(COUNTIF(B131:I131,"W")&gt;=4,"Y","N")</x:f>
        <x:v>N</x:v>
      </x:c>
      <x:c r="Y131" s="1"/>
      <x:c r="Z131" s="1"/>
      <x:c r="AA131" s="1"/>
      <x:c r="AB131" s="1"/>
      <x:c r="AC131" s="1"/>
      <x:c r="AD131" s="1"/>
      <x:c r="AE131" s="1"/>
    </x:row>
    <x:row r="132">
      <x:c r="A132" s="1">
        <x:v>131</x:v>
      </x:c>
      <x:c r="B132" t="str">
        <x:v>B</x:v>
      </x:c>
      <x:c r="C132" t="str">
        <x:v>B</x:v>
      </x:c>
      <x:c r="D132" t="str">
        <x:v>W</x:v>
      </x:c>
      <x:c r="E132" t="str">
        <x:v>B</x:v>
      </x:c>
      <x:c r="F132" t="str">
        <x:v>B</x:v>
      </x:c>
      <x:c r="G132" t="str">
        <x:v>W</x:v>
      </x:c>
      <x:c r="H132" t="str">
        <x:v>B</x:v>
      </x:c>
      <x:c r="I132" t="str">
        <x:v>B</x:v>
      </x:c>
      <x:c r="J132" t="str">
        <x:v>W</x:v>
      </x:c>
      <x:c r="K132" t="str">
        <x:v>B</x:v>
      </x:c>
      <x:c r="L132" t="str">
        <x:v>B</x:v>
      </x:c>
      <x:c r="M132" t="str">
        <x:v>B</x:v>
      </x:c>
      <x:c r="N132" t="str">
        <x:v>B</x:v>
      </x:c>
      <x:c r="O132" t="str">
        <x:v>B</x:v>
      </x:c>
      <x:c r="P132" t="str">
        <x:v>W</x:v>
      </x:c>
      <x:c r="Q132" t="str">
        <x:v>B</x:v>
      </x:c>
      <x:c r="R132" t="str">
        <x:v>B</x:v>
      </x:c>
      <x:c r="S132" t="str">
        <x:v>W</x:v>
      </x:c>
      <x:c r="T132" t="str">
        <x:v>B</x:v>
      </x:c>
      <x:c r="U132" t="str">
        <x:v>W</x:v>
      </x:c>
      <x:c r="V132" t="n">
        <x:f>COUNTIF(B132:U132,"W")</x:f>
        <x:v>6</x:v>
      </x:c>
      <x:c r="W132" s="5" t="str">
        <x:f>IF(COUNTIF(B132:D132,"W")&gt;0,"Y","N")</x:f>
        <x:v>Y</x:v>
      </x:c>
      <x:c r="X132" s="5" t="str">
        <x:f>IF(COUNTIF(B132:I132,"W")&gt;=4,"Y","N")</x:f>
        <x:v>N</x:v>
      </x:c>
      <x:c r="Y132" s="1"/>
      <x:c r="Z132" s="1"/>
      <x:c r="AA132" s="1"/>
      <x:c r="AB132" s="1"/>
      <x:c r="AC132" s="1"/>
      <x:c r="AD132" s="1"/>
      <x:c r="AE132" s="1"/>
    </x:row>
    <x:row r="133">
      <x:c r="A133" s="1">
        <x:v>132</x:v>
      </x:c>
      <x:c r="B133" t="str">
        <x:v>B</x:v>
      </x:c>
      <x:c r="C133" t="str">
        <x:v>B</x:v>
      </x:c>
      <x:c r="D133" t="str">
        <x:v>B</x:v>
      </x:c>
      <x:c r="E133" t="str">
        <x:v>B</x:v>
      </x:c>
      <x:c r="F133" t="str">
        <x:v>W</x:v>
      </x:c>
      <x:c r="G133" t="str">
        <x:v>B</x:v>
      </x:c>
      <x:c r="H133" t="str">
        <x:v>B</x:v>
      </x:c>
      <x:c r="I133" t="str">
        <x:v>B</x:v>
      </x:c>
      <x:c r="J133" t="str">
        <x:v>B</x:v>
      </x:c>
      <x:c r="K133" t="str">
        <x:v>B</x:v>
      </x:c>
      <x:c r="L133" t="str">
        <x:v>B</x:v>
      </x:c>
      <x:c r="M133" t="str">
        <x:v>B</x:v>
      </x:c>
      <x:c r="N133" t="str">
        <x:v>B</x:v>
      </x:c>
      <x:c r="O133" t="str">
        <x:v>B</x:v>
      </x:c>
      <x:c r="P133" t="str">
        <x:v>B</x:v>
      </x:c>
      <x:c r="Q133" t="str">
        <x:v>W</x:v>
      </x:c>
      <x:c r="R133" t="str">
        <x:v>B</x:v>
      </x:c>
      <x:c r="S133" t="str">
        <x:v>W</x:v>
      </x:c>
      <x:c r="T133" t="str">
        <x:v>W</x:v>
      </x:c>
      <x:c r="U133" t="str">
        <x:v>B</x:v>
      </x:c>
      <x:c r="V133" t="n">
        <x:f>COUNTIF(B133:U133,"W")</x:f>
        <x:v>4</x:v>
      </x:c>
      <x:c r="W133" s="5" t="str">
        <x:f>IF(COUNTIF(B133:D133,"W")&gt;0,"Y","N")</x:f>
        <x:v>N</x:v>
      </x:c>
      <x:c r="X133" s="5" t="str">
        <x:f>IF(COUNTIF(B133:I133,"W")&gt;=4,"Y","N")</x:f>
        <x:v>N</x:v>
      </x:c>
      <x:c r="Y133" s="1"/>
      <x:c r="Z133" s="1"/>
      <x:c r="AA133" s="1"/>
      <x:c r="AB133" s="1"/>
      <x:c r="AC133" s="1"/>
      <x:c r="AD133" s="1"/>
      <x:c r="AE133" s="1"/>
    </x:row>
    <x:row r="134">
      <x:c r="A134" s="1">
        <x:v>133</x:v>
      </x:c>
      <x:c r="B134" t="str">
        <x:v>W</x:v>
      </x:c>
      <x:c r="C134" t="str">
        <x:v>B</x:v>
      </x:c>
      <x:c r="D134" t="str">
        <x:v>W</x:v>
      </x:c>
      <x:c r="E134" t="str">
        <x:v>B</x:v>
      </x:c>
      <x:c r="F134" t="str">
        <x:v>W</x:v>
      </x:c>
      <x:c r="G134" t="str">
        <x:v>B</x:v>
      </x:c>
      <x:c r="H134" t="str">
        <x:v>W</x:v>
      </x:c>
      <x:c r="I134" t="str">
        <x:v>B</x:v>
      </x:c>
      <x:c r="J134" t="str">
        <x:v>B</x:v>
      </x:c>
      <x:c r="K134" t="str">
        <x:v>B</x:v>
      </x:c>
      <x:c r="L134" t="str">
        <x:v>B</x:v>
      </x:c>
      <x:c r="M134" t="str">
        <x:v>W</x:v>
      </x:c>
      <x:c r="N134" t="str">
        <x:v>B</x:v>
      </x:c>
      <x:c r="O134" t="str">
        <x:v>B</x:v>
      </x:c>
      <x:c r="P134" t="str">
        <x:v>B</x:v>
      </x:c>
      <x:c r="Q134" t="str">
        <x:v>W</x:v>
      </x:c>
      <x:c r="R134" t="str">
        <x:v>W</x:v>
      </x:c>
      <x:c r="S134" t="str">
        <x:v>B</x:v>
      </x:c>
      <x:c r="T134" t="str">
        <x:v>W</x:v>
      </x:c>
      <x:c r="U134" t="str">
        <x:v>B</x:v>
      </x:c>
      <x:c r="V134" t="n">
        <x:f>COUNTIF(B134:U134,"W")</x:f>
        <x:v>8</x:v>
      </x:c>
      <x:c r="W134" s="5" t="str">
        <x:f>IF(COUNTIF(B134:D134,"W")&gt;0,"Y","N")</x:f>
        <x:v>Y</x:v>
      </x:c>
      <x:c r="X134" s="5" t="str">
        <x:f>IF(COUNTIF(B134:I134,"W")&gt;=4,"Y","N")</x:f>
        <x:v>Y</x:v>
      </x:c>
      <x:c r="Y134" s="1"/>
      <x:c r="Z134" s="1"/>
      <x:c r="AA134" s="1"/>
      <x:c r="AB134" s="1"/>
      <x:c r="AC134" s="1"/>
      <x:c r="AD134" s="1"/>
      <x:c r="AE134" s="1"/>
    </x:row>
    <x:row r="135">
      <x:c r="A135" s="1">
        <x:v>134</x:v>
      </x:c>
      <x:c r="B135" t="str">
        <x:v>W</x:v>
      </x:c>
      <x:c r="C135" t="str">
        <x:v>W</x:v>
      </x:c>
      <x:c r="D135" t="str">
        <x:v>B</x:v>
      </x:c>
      <x:c r="E135" t="str">
        <x:v>B</x:v>
      </x:c>
      <x:c r="F135" t="str">
        <x:v>B</x:v>
      </x:c>
      <x:c r="G135" t="str">
        <x:v>B</x:v>
      </x:c>
      <x:c r="H135" t="str">
        <x:v>B</x:v>
      </x:c>
      <x:c r="I135" t="str">
        <x:v>W</x:v>
      </x:c>
      <x:c r="J135" t="str">
        <x:v>B</x:v>
      </x:c>
      <x:c r="K135" t="str">
        <x:v>B</x:v>
      </x:c>
      <x:c r="L135" t="str">
        <x:v>B</x:v>
      </x:c>
      <x:c r="M135" t="str">
        <x:v>W</x:v>
      </x:c>
      <x:c r="N135" t="str">
        <x:v>B</x:v>
      </x:c>
      <x:c r="O135" t="str">
        <x:v>W</x:v>
      </x:c>
      <x:c r="P135" t="str">
        <x:v>W</x:v>
      </x:c>
      <x:c r="Q135" t="str">
        <x:v>B</x:v>
      </x:c>
      <x:c r="R135" t="str">
        <x:v>W</x:v>
      </x:c>
      <x:c r="S135" t="str">
        <x:v>W</x:v>
      </x:c>
      <x:c r="T135" t="str">
        <x:v>W</x:v>
      </x:c>
      <x:c r="U135" t="str">
        <x:v>B</x:v>
      </x:c>
      <x:c r="V135" t="n">
        <x:f>COUNTIF(B135:U135,"W")</x:f>
        <x:v>9</x:v>
      </x:c>
      <x:c r="W135" s="5" t="str">
        <x:f>IF(COUNTIF(B135:D135,"W")&gt;0,"Y","N")</x:f>
        <x:v>Y</x:v>
      </x:c>
      <x:c r="X135" s="5" t="str">
        <x:f>IF(COUNTIF(B135:I135,"W")&gt;=4,"Y","N")</x:f>
        <x:v>N</x:v>
      </x:c>
      <x:c r="Y135" s="1"/>
      <x:c r="Z135" s="1"/>
      <x:c r="AA135" s="1"/>
      <x:c r="AB135" s="1"/>
      <x:c r="AC135" s="1"/>
      <x:c r="AD135" s="1"/>
      <x:c r="AE135" s="1"/>
    </x:row>
    <x:row r="136">
      <x:c r="A136" s="1">
        <x:v>135</x:v>
      </x:c>
      <x:c r="B136" t="str">
        <x:v>B</x:v>
      </x:c>
      <x:c r="C136" t="str">
        <x:v>B</x:v>
      </x:c>
      <x:c r="D136" t="str">
        <x:v>B</x:v>
      </x:c>
      <x:c r="E136" t="str">
        <x:v>B</x:v>
      </x:c>
      <x:c r="F136" t="str">
        <x:v>B</x:v>
      </x:c>
      <x:c r="G136" t="str">
        <x:v>B</x:v>
      </x:c>
      <x:c r="H136" t="str">
        <x:v>B</x:v>
      </x:c>
      <x:c r="I136" t="str">
        <x:v>B</x:v>
      </x:c>
      <x:c r="J136" t="str">
        <x:v>W</x:v>
      </x:c>
      <x:c r="K136" t="str">
        <x:v>B</x:v>
      </x:c>
      <x:c r="L136" t="str">
        <x:v>B</x:v>
      </x:c>
      <x:c r="M136" t="str">
        <x:v>B</x:v>
      </x:c>
      <x:c r="N136" t="str">
        <x:v>W</x:v>
      </x:c>
      <x:c r="O136" t="str">
        <x:v>W</x:v>
      </x:c>
      <x:c r="P136" t="str">
        <x:v>B</x:v>
      </x:c>
      <x:c r="Q136" t="str">
        <x:v>B</x:v>
      </x:c>
      <x:c r="R136" t="str">
        <x:v>B</x:v>
      </x:c>
      <x:c r="S136" t="str">
        <x:v>B</x:v>
      </x:c>
      <x:c r="T136" t="str">
        <x:v>W</x:v>
      </x:c>
      <x:c r="U136" t="str">
        <x:v>W</x:v>
      </x:c>
      <x:c r="V136" t="n">
        <x:f>COUNTIF(B136:U136,"W")</x:f>
        <x:v>5</x:v>
      </x:c>
      <x:c r="W136" s="5" t="str">
        <x:f>IF(COUNTIF(B136:D136,"W")&gt;0,"Y","N")</x:f>
        <x:v>N</x:v>
      </x:c>
      <x:c r="X136" s="5" t="str">
        <x:f>IF(COUNTIF(B136:I136,"W")&gt;=4,"Y","N")</x:f>
        <x:v>N</x:v>
      </x:c>
      <x:c r="Y136" s="1"/>
      <x:c r="Z136" s="1"/>
      <x:c r="AA136" s="1"/>
      <x:c r="AB136" s="1"/>
      <x:c r="AC136" s="1"/>
      <x:c r="AD136" s="1"/>
      <x:c r="AE136" s="1"/>
    </x:row>
    <x:row r="137">
      <x:c r="A137" s="1">
        <x:v>136</x:v>
      </x:c>
      <x:c r="B137" t="str">
        <x:v>W</x:v>
      </x:c>
      <x:c r="C137" t="str">
        <x:v>B</x:v>
      </x:c>
      <x:c r="D137" t="str">
        <x:v>W</x:v>
      </x:c>
      <x:c r="E137" t="str">
        <x:v>B</x:v>
      </x:c>
      <x:c r="F137" t="str">
        <x:v>B</x:v>
      </x:c>
      <x:c r="G137" t="str">
        <x:v>B</x:v>
      </x:c>
      <x:c r="H137" t="str">
        <x:v>B</x:v>
      </x:c>
      <x:c r="I137" t="str">
        <x:v>W</x:v>
      </x:c>
      <x:c r="J137" t="str">
        <x:v>B</x:v>
      </x:c>
      <x:c r="K137" t="str">
        <x:v>W</x:v>
      </x:c>
      <x:c r="L137" t="str">
        <x:v>W</x:v>
      </x:c>
      <x:c r="M137" t="str">
        <x:v>B</x:v>
      </x:c>
      <x:c r="N137" t="str">
        <x:v>B</x:v>
      </x:c>
      <x:c r="O137" t="str">
        <x:v>B</x:v>
      </x:c>
      <x:c r="P137" t="str">
        <x:v>B</x:v>
      </x:c>
      <x:c r="Q137" t="str">
        <x:v>B</x:v>
      </x:c>
      <x:c r="R137" t="str">
        <x:v>B</x:v>
      </x:c>
      <x:c r="S137" t="str">
        <x:v>W</x:v>
      </x:c>
      <x:c r="T137" t="str">
        <x:v>B</x:v>
      </x:c>
      <x:c r="U137" t="str">
        <x:v>B</x:v>
      </x:c>
      <x:c r="V137" t="n">
        <x:f>COUNTIF(B137:U137,"W")</x:f>
        <x:v>6</x:v>
      </x:c>
      <x:c r="W137" s="5" t="str">
        <x:f>IF(COUNTIF(B137:D137,"W")&gt;0,"Y","N")</x:f>
        <x:v>Y</x:v>
      </x:c>
      <x:c r="X137" s="5" t="str">
        <x:f>IF(COUNTIF(B137:I137,"W")&gt;=4,"Y","N")</x:f>
        <x:v>N</x:v>
      </x:c>
      <x:c r="Y137" s="1"/>
      <x:c r="Z137" s="1"/>
      <x:c r="AA137" s="1"/>
      <x:c r="AB137" s="1"/>
      <x:c r="AC137" s="1"/>
      <x:c r="AD137" s="1"/>
      <x:c r="AE137" s="1"/>
    </x:row>
    <x:row r="138">
      <x:c r="A138" s="1">
        <x:v>137</x:v>
      </x:c>
      <x:c r="B138" t="str">
        <x:v>B</x:v>
      </x:c>
      <x:c r="C138" t="str">
        <x:v>W</x:v>
      </x:c>
      <x:c r="D138" t="str">
        <x:v>W</x:v>
      </x:c>
      <x:c r="E138" t="str">
        <x:v>W</x:v>
      </x:c>
      <x:c r="F138" t="str">
        <x:v>W</x:v>
      </x:c>
      <x:c r="G138" t="str">
        <x:v>W</x:v>
      </x:c>
      <x:c r="H138" t="str">
        <x:v>W</x:v>
      </x:c>
      <x:c r="I138" t="str">
        <x:v>B</x:v>
      </x:c>
      <x:c r="J138" t="str">
        <x:v>B</x:v>
      </x:c>
      <x:c r="K138" t="str">
        <x:v>W</x:v>
      </x:c>
      <x:c r="L138" t="str">
        <x:v>B</x:v>
      </x:c>
      <x:c r="M138" t="str">
        <x:v>W</x:v>
      </x:c>
      <x:c r="N138" t="str">
        <x:v>B</x:v>
      </x:c>
      <x:c r="O138" t="str">
        <x:v>B</x:v>
      </x:c>
      <x:c r="P138" t="str">
        <x:v>W</x:v>
      </x:c>
      <x:c r="Q138" t="str">
        <x:v>B</x:v>
      </x:c>
      <x:c r="R138" t="str">
        <x:v>W</x:v>
      </x:c>
      <x:c r="S138" t="str">
        <x:v>B</x:v>
      </x:c>
      <x:c r="T138" t="str">
        <x:v>B</x:v>
      </x:c>
      <x:c r="U138" t="str">
        <x:v>B</x:v>
      </x:c>
      <x:c r="V138" t="n">
        <x:f>COUNTIF(B138:U138,"W")</x:f>
        <x:v>10</x:v>
      </x:c>
      <x:c r="W138" s="5" t="str">
        <x:f>IF(COUNTIF(B138:D138,"W")&gt;0,"Y","N")</x:f>
        <x:v>Y</x:v>
      </x:c>
      <x:c r="X138" s="5" t="str">
        <x:f>IF(COUNTIF(B138:I138,"W")&gt;=4,"Y","N")</x:f>
        <x:v>Y</x:v>
      </x:c>
      <x:c r="Y138" s="1"/>
      <x:c r="Z138" s="1"/>
      <x:c r="AA138" s="1"/>
      <x:c r="AB138" s="1"/>
      <x:c r="AC138" s="1"/>
      <x:c r="AD138" s="1"/>
      <x:c r="AE138" s="1"/>
    </x:row>
    <x:row r="139">
      <x:c r="A139" s="1">
        <x:v>138</x:v>
      </x:c>
      <x:c r="B139" t="str">
        <x:v>B</x:v>
      </x:c>
      <x:c r="C139" t="str">
        <x:v>B</x:v>
      </x:c>
      <x:c r="D139" t="str">
        <x:v>B</x:v>
      </x:c>
      <x:c r="E139" t="str">
        <x:v>B</x:v>
      </x:c>
      <x:c r="F139" t="str">
        <x:v>B</x:v>
      </x:c>
      <x:c r="G139" t="str">
        <x:v>W</x:v>
      </x:c>
      <x:c r="H139" t="str">
        <x:v>W</x:v>
      </x:c>
      <x:c r="I139" t="str">
        <x:v>W</x:v>
      </x:c>
      <x:c r="J139" t="str">
        <x:v>W</x:v>
      </x:c>
      <x:c r="K139" t="str">
        <x:v>W</x:v>
      </x:c>
      <x:c r="L139" t="str">
        <x:v>W</x:v>
      </x:c>
      <x:c r="M139" t="str">
        <x:v>W</x:v>
      </x:c>
      <x:c r="N139" t="str">
        <x:v>W</x:v>
      </x:c>
      <x:c r="O139" t="str">
        <x:v>W</x:v>
      </x:c>
      <x:c r="P139" t="str">
        <x:v>W</x:v>
      </x:c>
      <x:c r="Q139" t="str">
        <x:v>B</x:v>
      </x:c>
      <x:c r="R139" t="str">
        <x:v>W</x:v>
      </x:c>
      <x:c r="S139" t="str">
        <x:v>B</x:v>
      </x:c>
      <x:c r="T139" t="str">
        <x:v>B</x:v>
      </x:c>
      <x:c r="U139" t="str">
        <x:v>W</x:v>
      </x:c>
      <x:c r="V139" t="n">
        <x:f>COUNTIF(B139:U139,"W")</x:f>
        <x:v>12</x:v>
      </x:c>
      <x:c r="W139" s="5" t="str">
        <x:f>IF(COUNTIF(B139:D139,"W")&gt;0,"Y","N")</x:f>
        <x:v>N</x:v>
      </x:c>
      <x:c r="X139" s="5" t="str">
        <x:f>IF(COUNTIF(B139:I139,"W")&gt;=4,"Y","N")</x:f>
        <x:v>N</x:v>
      </x:c>
      <x:c r="Y139" s="1"/>
      <x:c r="Z139" s="1"/>
      <x:c r="AA139" s="1"/>
      <x:c r="AB139" s="1"/>
      <x:c r="AC139" s="1"/>
      <x:c r="AD139" s="1"/>
      <x:c r="AE139" s="1"/>
    </x:row>
    <x:row r="140">
      <x:c r="A140" s="1">
        <x:v>139</x:v>
      </x:c>
      <x:c r="B140" t="str">
        <x:v>W</x:v>
      </x:c>
      <x:c r="C140" t="str">
        <x:v>B</x:v>
      </x:c>
      <x:c r="D140" t="str">
        <x:v>W</x:v>
      </x:c>
      <x:c r="E140" t="str">
        <x:v>W</x:v>
      </x:c>
      <x:c r="F140" t="str">
        <x:v>B</x:v>
      </x:c>
      <x:c r="G140" t="str">
        <x:v>B</x:v>
      </x:c>
      <x:c r="H140" t="str">
        <x:v>B</x:v>
      </x:c>
      <x:c r="I140" t="str">
        <x:v>B</x:v>
      </x:c>
      <x:c r="J140" t="str">
        <x:v>W</x:v>
      </x:c>
      <x:c r="K140" t="str">
        <x:v>B</x:v>
      </x:c>
      <x:c r="L140" t="str">
        <x:v>W</x:v>
      </x:c>
      <x:c r="M140" t="str">
        <x:v>B</x:v>
      </x:c>
      <x:c r="N140" t="str">
        <x:v>B</x:v>
      </x:c>
      <x:c r="O140" t="str">
        <x:v>B</x:v>
      </x:c>
      <x:c r="P140" t="str">
        <x:v>W</x:v>
      </x:c>
      <x:c r="Q140" t="str">
        <x:v>B</x:v>
      </x:c>
      <x:c r="R140" t="str">
        <x:v>B</x:v>
      </x:c>
      <x:c r="S140" t="str">
        <x:v>W</x:v>
      </x:c>
      <x:c r="T140" t="str">
        <x:v>B</x:v>
      </x:c>
      <x:c r="U140" t="str">
        <x:v>B</x:v>
      </x:c>
      <x:c r="V140" t="n">
        <x:f>COUNTIF(B140:U140,"W")</x:f>
        <x:v>7</x:v>
      </x:c>
      <x:c r="W140" s="5" t="str">
        <x:f>IF(COUNTIF(B140:D140,"W")&gt;0,"Y","N")</x:f>
        <x:v>Y</x:v>
      </x:c>
      <x:c r="X140" s="5" t="str">
        <x:f>IF(COUNTIF(B140:I140,"W")&gt;=4,"Y","N")</x:f>
        <x:v>N</x:v>
      </x:c>
      <x:c r="Y140" s="1"/>
      <x:c r="Z140" s="1"/>
      <x:c r="AA140" s="1"/>
      <x:c r="AB140" s="1"/>
      <x:c r="AC140" s="1"/>
      <x:c r="AD140" s="1"/>
      <x:c r="AE140" s="1"/>
    </x:row>
    <x:row r="141">
      <x:c r="A141" s="1">
        <x:v>140</x:v>
      </x:c>
      <x:c r="B141" t="str">
        <x:v>B</x:v>
      </x:c>
      <x:c r="C141" t="str">
        <x:v>B</x:v>
      </x:c>
      <x:c r="D141" t="str">
        <x:v>B</x:v>
      </x:c>
      <x:c r="E141" t="str">
        <x:v>W</x:v>
      </x:c>
      <x:c r="F141" t="str">
        <x:v>W</x:v>
      </x:c>
      <x:c r="G141" t="str">
        <x:v>B</x:v>
      </x:c>
      <x:c r="H141" t="str">
        <x:v>W</x:v>
      </x:c>
      <x:c r="I141" t="str">
        <x:v>B</x:v>
      </x:c>
      <x:c r="J141" t="str">
        <x:v>B</x:v>
      </x:c>
      <x:c r="K141" t="str">
        <x:v>B</x:v>
      </x:c>
      <x:c r="L141" t="str">
        <x:v>B</x:v>
      </x:c>
      <x:c r="M141" t="str">
        <x:v>B</x:v>
      </x:c>
      <x:c r="N141" t="str">
        <x:v>W</x:v>
      </x:c>
      <x:c r="O141" t="str">
        <x:v>B</x:v>
      </x:c>
      <x:c r="P141" t="str">
        <x:v>B</x:v>
      </x:c>
      <x:c r="Q141" t="str">
        <x:v>B</x:v>
      </x:c>
      <x:c r="R141" t="str">
        <x:v>B</x:v>
      </x:c>
      <x:c r="S141" t="str">
        <x:v>W</x:v>
      </x:c>
      <x:c r="T141" t="str">
        <x:v>W</x:v>
      </x:c>
      <x:c r="U141" t="str">
        <x:v>B</x:v>
      </x:c>
      <x:c r="V141" t="n">
        <x:f>COUNTIF(B141:U141,"W")</x:f>
        <x:v>6</x:v>
      </x:c>
      <x:c r="W141" s="5" t="str">
        <x:f>IF(COUNTIF(B141:D141,"W")&gt;0,"Y","N")</x:f>
        <x:v>N</x:v>
      </x:c>
      <x:c r="X141" s="5" t="str">
        <x:f>IF(COUNTIF(B141:I141,"W")&gt;=4,"Y","N")</x:f>
        <x:v>N</x:v>
      </x:c>
      <x:c r="Y141" s="1"/>
      <x:c r="Z141" s="1"/>
      <x:c r="AA141" s="1"/>
      <x:c r="AB141" s="1"/>
      <x:c r="AC141" s="1"/>
      <x:c r="AD141" s="1"/>
      <x:c r="AE141" s="1"/>
    </x:row>
    <x:row r="142">
      <x:c r="A142" s="1">
        <x:v>141</x:v>
      </x:c>
      <x:c r="B142" t="str">
        <x:v>W</x:v>
      </x:c>
      <x:c r="C142" t="str">
        <x:v>W</x:v>
      </x:c>
      <x:c r="D142" t="str">
        <x:v>W</x:v>
      </x:c>
      <x:c r="E142" t="str">
        <x:v>W</x:v>
      </x:c>
      <x:c r="F142" t="str">
        <x:v>B</x:v>
      </x:c>
      <x:c r="G142" t="str">
        <x:v>W</x:v>
      </x:c>
      <x:c r="H142" t="str">
        <x:v>W</x:v>
      </x:c>
      <x:c r="I142" t="str">
        <x:v>W</x:v>
      </x:c>
      <x:c r="J142" t="str">
        <x:v>B</x:v>
      </x:c>
      <x:c r="K142" t="str">
        <x:v>B</x:v>
      </x:c>
      <x:c r="L142" t="str">
        <x:v>B</x:v>
      </x:c>
      <x:c r="M142" t="str">
        <x:v>B</x:v>
      </x:c>
      <x:c r="N142" t="str">
        <x:v>W</x:v>
      </x:c>
      <x:c r="O142" t="str">
        <x:v>B</x:v>
      </x:c>
      <x:c r="P142" t="str">
        <x:v>W</x:v>
      </x:c>
      <x:c r="Q142" t="str">
        <x:v>B</x:v>
      </x:c>
      <x:c r="R142" t="str">
        <x:v>W</x:v>
      </x:c>
      <x:c r="S142" t="str">
        <x:v>W</x:v>
      </x:c>
      <x:c r="T142" t="str">
        <x:v>W</x:v>
      </x:c>
      <x:c r="U142" t="str">
        <x:v>B</x:v>
      </x:c>
      <x:c r="V142" t="n">
        <x:f>COUNTIF(B142:U142,"W")</x:f>
        <x:v>12</x:v>
      </x:c>
      <x:c r="W142" s="5" t="str">
        <x:f>IF(COUNTIF(B142:D142,"W")&gt;0,"Y","N")</x:f>
        <x:v>Y</x:v>
      </x:c>
      <x:c r="X142" s="5" t="str">
        <x:f>IF(COUNTIF(B142:I142,"W")&gt;=4,"Y","N")</x:f>
        <x:v>Y</x:v>
      </x:c>
      <x:c r="Y142" s="1"/>
      <x:c r="Z142" s="1"/>
      <x:c r="AA142" s="1"/>
      <x:c r="AB142" s="1"/>
      <x:c r="AC142" s="1"/>
      <x:c r="AD142" s="1"/>
      <x:c r="AE142" s="1"/>
    </x:row>
    <x:row r="143">
      <x:c r="A143" s="1">
        <x:v>142</x:v>
      </x:c>
      <x:c r="B143" t="str">
        <x:v>W</x:v>
      </x:c>
      <x:c r="C143" t="str">
        <x:v>B</x:v>
      </x:c>
      <x:c r="D143" t="str">
        <x:v>B</x:v>
      </x:c>
      <x:c r="E143" t="str">
        <x:v>W</x:v>
      </x:c>
      <x:c r="F143" t="str">
        <x:v>W</x:v>
      </x:c>
      <x:c r="G143" t="str">
        <x:v>B</x:v>
      </x:c>
      <x:c r="H143" t="str">
        <x:v>W</x:v>
      </x:c>
      <x:c r="I143" t="str">
        <x:v>B</x:v>
      </x:c>
      <x:c r="J143" t="str">
        <x:v>B</x:v>
      </x:c>
      <x:c r="K143" t="str">
        <x:v>B</x:v>
      </x:c>
      <x:c r="L143" t="str">
        <x:v>B</x:v>
      </x:c>
      <x:c r="M143" t="str">
        <x:v>W</x:v>
      </x:c>
      <x:c r="N143" t="str">
        <x:v>W</x:v>
      </x:c>
      <x:c r="O143" t="str">
        <x:v>B</x:v>
      </x:c>
      <x:c r="P143" t="str">
        <x:v>W</x:v>
      </x:c>
      <x:c r="Q143" t="str">
        <x:v>B</x:v>
      </x:c>
      <x:c r="R143" t="str">
        <x:v>W</x:v>
      </x:c>
      <x:c r="S143" t="str">
        <x:v>B</x:v>
      </x:c>
      <x:c r="T143" t="str">
        <x:v>W</x:v>
      </x:c>
      <x:c r="U143" t="str">
        <x:v>W</x:v>
      </x:c>
      <x:c r="V143" t="n">
        <x:f>COUNTIF(B143:U143,"W")</x:f>
        <x:v>10</x:v>
      </x:c>
      <x:c r="W143" s="5" t="str">
        <x:f>IF(COUNTIF(B143:D143,"W")&gt;0,"Y","N")</x:f>
        <x:v>Y</x:v>
      </x:c>
      <x:c r="X143" s="5" t="str">
        <x:f>IF(COUNTIF(B143:I143,"W")&gt;=4,"Y","N")</x:f>
        <x:v>Y</x:v>
      </x:c>
      <x:c r="Y143" s="1"/>
      <x:c r="Z143" s="1"/>
      <x:c r="AA143" s="1"/>
      <x:c r="AB143" s="1"/>
      <x:c r="AC143" s="1"/>
      <x:c r="AD143" s="1"/>
      <x:c r="AE143" s="1"/>
    </x:row>
    <x:row r="144">
      <x:c r="A144" s="1">
        <x:v>143</x:v>
      </x:c>
      <x:c r="B144" t="str">
        <x:v>B</x:v>
      </x:c>
      <x:c r="C144" t="str">
        <x:v>B</x:v>
      </x:c>
      <x:c r="D144" t="str">
        <x:v>W</x:v>
      </x:c>
      <x:c r="E144" t="str">
        <x:v>B</x:v>
      </x:c>
      <x:c r="F144" t="str">
        <x:v>B</x:v>
      </x:c>
      <x:c r="G144" t="str">
        <x:v>B</x:v>
      </x:c>
      <x:c r="H144" t="str">
        <x:v>B</x:v>
      </x:c>
      <x:c r="I144" t="str">
        <x:v>W</x:v>
      </x:c>
      <x:c r="J144" t="str">
        <x:v>B</x:v>
      </x:c>
      <x:c r="K144" t="str">
        <x:v>W</x:v>
      </x:c>
      <x:c r="L144" t="str">
        <x:v>B</x:v>
      </x:c>
      <x:c r="M144" t="str">
        <x:v>B</x:v>
      </x:c>
      <x:c r="N144" t="str">
        <x:v>B</x:v>
      </x:c>
      <x:c r="O144" t="str">
        <x:v>W</x:v>
      </x:c>
      <x:c r="P144" t="str">
        <x:v>B</x:v>
      </x:c>
      <x:c r="Q144" t="str">
        <x:v>W</x:v>
      </x:c>
      <x:c r="R144" t="str">
        <x:v>B</x:v>
      </x:c>
      <x:c r="S144" t="str">
        <x:v>B</x:v>
      </x:c>
      <x:c r="T144" t="str">
        <x:v>B</x:v>
      </x:c>
      <x:c r="U144" t="str">
        <x:v>B</x:v>
      </x:c>
      <x:c r="V144" t="n">
        <x:f>COUNTIF(B144:U144,"W")</x:f>
        <x:v>5</x:v>
      </x:c>
      <x:c r="W144" s="5" t="str">
        <x:f>IF(COUNTIF(B144:D144,"W")&gt;0,"Y","N")</x:f>
        <x:v>Y</x:v>
      </x:c>
      <x:c r="X144" s="5" t="str">
        <x:f>IF(COUNTIF(B144:I144,"W")&gt;=4,"Y","N")</x:f>
        <x:v>N</x:v>
      </x:c>
      <x:c r="Y144" s="1"/>
      <x:c r="Z144" s="1"/>
      <x:c r="AA144" s="1"/>
      <x:c r="AB144" s="1"/>
      <x:c r="AC144" s="1"/>
      <x:c r="AD144" s="1"/>
      <x:c r="AE144" s="1"/>
    </x:row>
    <x:row r="145">
      <x:c r="A145" s="1">
        <x:v>144</x:v>
      </x:c>
      <x:c r="B145" t="str">
        <x:v>B</x:v>
      </x:c>
      <x:c r="C145" t="str">
        <x:v>W</x:v>
      </x:c>
      <x:c r="D145" t="str">
        <x:v>B</x:v>
      </x:c>
      <x:c r="E145" t="str">
        <x:v>B</x:v>
      </x:c>
      <x:c r="F145" t="str">
        <x:v>B</x:v>
      </x:c>
      <x:c r="G145" t="str">
        <x:v>B</x:v>
      </x:c>
      <x:c r="H145" t="str">
        <x:v>W</x:v>
      </x:c>
      <x:c r="I145" t="str">
        <x:v>W</x:v>
      </x:c>
      <x:c r="J145" t="str">
        <x:v>B</x:v>
      </x:c>
      <x:c r="K145" t="str">
        <x:v>B</x:v>
      </x:c>
      <x:c r="L145" t="str">
        <x:v>B</x:v>
      </x:c>
      <x:c r="M145" t="str">
        <x:v>B</x:v>
      </x:c>
      <x:c r="N145" t="str">
        <x:v>W</x:v>
      </x:c>
      <x:c r="O145" t="str">
        <x:v>B</x:v>
      </x:c>
      <x:c r="P145" t="str">
        <x:v>B</x:v>
      </x:c>
      <x:c r="Q145" t="str">
        <x:v>B</x:v>
      </x:c>
      <x:c r="R145" t="str">
        <x:v>B</x:v>
      </x:c>
      <x:c r="S145" t="str">
        <x:v>B</x:v>
      </x:c>
      <x:c r="T145" t="str">
        <x:v>B</x:v>
      </x:c>
      <x:c r="U145" t="str">
        <x:v>W</x:v>
      </x:c>
      <x:c r="V145" t="n">
        <x:f>COUNTIF(B145:U145,"W")</x:f>
        <x:v>5</x:v>
      </x:c>
      <x:c r="W145" s="5" t="str">
        <x:f>IF(COUNTIF(B145:D145,"W")&gt;0,"Y","N")</x:f>
        <x:v>Y</x:v>
      </x:c>
      <x:c r="X145" s="5" t="str">
        <x:f>IF(COUNTIF(B145:I145,"W")&gt;=4,"Y","N")</x:f>
        <x:v>N</x:v>
      </x:c>
      <x:c r="Y145" s="1"/>
      <x:c r="Z145" s="1"/>
      <x:c r="AA145" s="1"/>
      <x:c r="AB145" s="1"/>
      <x:c r="AC145" s="1"/>
      <x:c r="AD145" s="1"/>
      <x:c r="AE145" s="1"/>
    </x:row>
    <x:row r="146">
      <x:c r="A146" s="1">
        <x:v>145</x:v>
      </x:c>
      <x:c r="B146" t="str">
        <x:v>B</x:v>
      </x:c>
      <x:c r="C146" t="str">
        <x:v>W</x:v>
      </x:c>
      <x:c r="D146" t="str">
        <x:v>B</x:v>
      </x:c>
      <x:c r="E146" t="str">
        <x:v>W</x:v>
      </x:c>
      <x:c r="F146" t="str">
        <x:v>B</x:v>
      </x:c>
      <x:c r="G146" t="str">
        <x:v>B</x:v>
      </x:c>
      <x:c r="H146" t="str">
        <x:v>B</x:v>
      </x:c>
      <x:c r="I146" t="str">
        <x:v>B</x:v>
      </x:c>
      <x:c r="J146" t="str">
        <x:v>B</x:v>
      </x:c>
      <x:c r="K146" t="str">
        <x:v>B</x:v>
      </x:c>
      <x:c r="L146" t="str">
        <x:v>B</x:v>
      </x:c>
      <x:c r="M146" t="str">
        <x:v>B</x:v>
      </x:c>
      <x:c r="N146" t="str">
        <x:v>B</x:v>
      </x:c>
      <x:c r="O146" t="str">
        <x:v>B</x:v>
      </x:c>
      <x:c r="P146" t="str">
        <x:v>B</x:v>
      </x:c>
      <x:c r="Q146" t="str">
        <x:v>W</x:v>
      </x:c>
      <x:c r="R146" t="str">
        <x:v>B</x:v>
      </x:c>
      <x:c r="S146" t="str">
        <x:v>B</x:v>
      </x:c>
      <x:c r="T146" t="str">
        <x:v>B</x:v>
      </x:c>
      <x:c r="U146" t="str">
        <x:v>B</x:v>
      </x:c>
      <x:c r="V146" t="n">
        <x:f>COUNTIF(B146:U146,"W")</x:f>
        <x:v>3</x:v>
      </x:c>
      <x:c r="W146" s="5" t="str">
        <x:f>IF(COUNTIF(B146:D146,"W")&gt;0,"Y","N")</x:f>
        <x:v>Y</x:v>
      </x:c>
      <x:c r="X146" s="5" t="str">
        <x:f>IF(COUNTIF(B146:I146,"W")&gt;=4,"Y","N")</x:f>
        <x:v>N</x:v>
      </x:c>
      <x:c r="Y146" s="1"/>
      <x:c r="Z146" s="1"/>
      <x:c r="AA146" s="1"/>
      <x:c r="AB146" s="1"/>
      <x:c r="AC146" s="1"/>
      <x:c r="AD146" s="1"/>
      <x:c r="AE146" s="1"/>
    </x:row>
    <x:row r="147">
      <x:c r="A147" s="1">
        <x:v>146</x:v>
      </x:c>
      <x:c r="B147" t="str">
        <x:v>B</x:v>
      </x:c>
      <x:c r="C147" t="str">
        <x:v>B</x:v>
      </x:c>
      <x:c r="D147" t="str">
        <x:v>W</x:v>
      </x:c>
      <x:c r="E147" t="str">
        <x:v>B</x:v>
      </x:c>
      <x:c r="F147" t="str">
        <x:v>B</x:v>
      </x:c>
      <x:c r="G147" t="str">
        <x:v>W</x:v>
      </x:c>
      <x:c r="H147" t="str">
        <x:v>W</x:v>
      </x:c>
      <x:c r="I147" t="str">
        <x:v>B</x:v>
      </x:c>
      <x:c r="J147" t="str">
        <x:v>W</x:v>
      </x:c>
      <x:c r="K147" t="str">
        <x:v>B</x:v>
      </x:c>
      <x:c r="L147" t="str">
        <x:v>B</x:v>
      </x:c>
      <x:c r="M147" t="str">
        <x:v>B</x:v>
      </x:c>
      <x:c r="N147" t="str">
        <x:v>W</x:v>
      </x:c>
      <x:c r="O147" t="str">
        <x:v>B</x:v>
      </x:c>
      <x:c r="P147" t="str">
        <x:v>B</x:v>
      </x:c>
      <x:c r="Q147" t="str">
        <x:v>W</x:v>
      </x:c>
      <x:c r="R147" t="str">
        <x:v>W</x:v>
      </x:c>
      <x:c r="S147" t="str">
        <x:v>B</x:v>
      </x:c>
      <x:c r="T147" t="str">
        <x:v>B</x:v>
      </x:c>
      <x:c r="U147" t="str">
        <x:v>B</x:v>
      </x:c>
      <x:c r="V147" t="n">
        <x:f>COUNTIF(B147:U147,"W")</x:f>
        <x:v>7</x:v>
      </x:c>
      <x:c r="W147" s="5" t="str">
        <x:f>IF(COUNTIF(B147:D147,"W")&gt;0,"Y","N")</x:f>
        <x:v>Y</x:v>
      </x:c>
      <x:c r="X147" s="5" t="str">
        <x:f>IF(COUNTIF(B147:I147,"W")&gt;=4,"Y","N")</x:f>
        <x:v>N</x:v>
      </x:c>
      <x:c r="Y147" s="1"/>
      <x:c r="Z147" s="1"/>
      <x:c r="AA147" s="1"/>
      <x:c r="AB147" s="1"/>
      <x:c r="AC147" s="1"/>
      <x:c r="AD147" s="1"/>
      <x:c r="AE147" s="1"/>
    </x:row>
    <x:row r="148">
      <x:c r="A148" s="1">
        <x:v>147</x:v>
      </x:c>
      <x:c r="B148" t="str">
        <x:v>W</x:v>
      </x:c>
      <x:c r="C148" t="str">
        <x:v>W</x:v>
      </x:c>
      <x:c r="D148" t="str">
        <x:v>W</x:v>
      </x:c>
      <x:c r="E148" t="str">
        <x:v>B</x:v>
      </x:c>
      <x:c r="F148" t="str">
        <x:v>W</x:v>
      </x:c>
      <x:c r="G148" t="str">
        <x:v>W</x:v>
      </x:c>
      <x:c r="H148" t="str">
        <x:v>B</x:v>
      </x:c>
      <x:c r="I148" t="str">
        <x:v>B</x:v>
      </x:c>
      <x:c r="J148" t="str">
        <x:v>W</x:v>
      </x:c>
      <x:c r="K148" t="str">
        <x:v>B</x:v>
      </x:c>
      <x:c r="L148" t="str">
        <x:v>B</x:v>
      </x:c>
      <x:c r="M148" t="str">
        <x:v>B</x:v>
      </x:c>
      <x:c r="N148" t="str">
        <x:v>B</x:v>
      </x:c>
      <x:c r="O148" t="str">
        <x:v>B</x:v>
      </x:c>
      <x:c r="P148" t="str">
        <x:v>B</x:v>
      </x:c>
      <x:c r="Q148" t="str">
        <x:v>W</x:v>
      </x:c>
      <x:c r="R148" t="str">
        <x:v>W</x:v>
      </x:c>
      <x:c r="S148" t="str">
        <x:v>W</x:v>
      </x:c>
      <x:c r="T148" t="str">
        <x:v>B</x:v>
      </x:c>
      <x:c r="U148" t="str">
        <x:v>B</x:v>
      </x:c>
      <x:c r="V148" t="n">
        <x:f>COUNTIF(B148:U148,"W")</x:f>
        <x:v>9</x:v>
      </x:c>
      <x:c r="W148" s="5" t="str">
        <x:f>IF(COUNTIF(B148:D148,"W")&gt;0,"Y","N")</x:f>
        <x:v>Y</x:v>
      </x:c>
      <x:c r="X148" s="5" t="str">
        <x:f>IF(COUNTIF(B148:I148,"W")&gt;=4,"Y","N")</x:f>
        <x:v>Y</x:v>
      </x:c>
      <x:c r="Y148" s="1"/>
      <x:c r="Z148" s="1"/>
      <x:c r="AA148" s="1"/>
      <x:c r="AB148" s="1"/>
      <x:c r="AC148" s="1"/>
      <x:c r="AD148" s="1"/>
      <x:c r="AE148" s="1"/>
    </x:row>
    <x:row r="149">
      <x:c r="A149" s="1">
        <x:v>148</x:v>
      </x:c>
      <x:c r="B149" t="str">
        <x:v>W</x:v>
      </x:c>
      <x:c r="C149" t="str">
        <x:v>B</x:v>
      </x:c>
      <x:c r="D149" t="str">
        <x:v>W</x:v>
      </x:c>
      <x:c r="E149" t="str">
        <x:v>W</x:v>
      </x:c>
      <x:c r="F149" t="str">
        <x:v>W</x:v>
      </x:c>
      <x:c r="G149" t="str">
        <x:v>W</x:v>
      </x:c>
      <x:c r="H149" t="str">
        <x:v>W</x:v>
      </x:c>
      <x:c r="I149" t="str">
        <x:v>B</x:v>
      </x:c>
      <x:c r="J149" t="str">
        <x:v>B</x:v>
      </x:c>
      <x:c r="K149" t="str">
        <x:v>W</x:v>
      </x:c>
      <x:c r="L149" t="str">
        <x:v>B</x:v>
      </x:c>
      <x:c r="M149" t="str">
        <x:v>B</x:v>
      </x:c>
      <x:c r="N149" t="str">
        <x:v>B</x:v>
      </x:c>
      <x:c r="O149" t="str">
        <x:v>B</x:v>
      </x:c>
      <x:c r="P149" t="str">
        <x:v>B</x:v>
      </x:c>
      <x:c r="Q149" t="str">
        <x:v>B</x:v>
      </x:c>
      <x:c r="R149" t="str">
        <x:v>B</x:v>
      </x:c>
      <x:c r="S149" t="str">
        <x:v>B</x:v>
      </x:c>
      <x:c r="T149" t="str">
        <x:v>W</x:v>
      </x:c>
      <x:c r="U149" t="str">
        <x:v>B</x:v>
      </x:c>
      <x:c r="V149" t="n">
        <x:f>COUNTIF(B149:U149,"W")</x:f>
        <x:v>8</x:v>
      </x:c>
      <x:c r="W149" s="5" t="str">
        <x:f>IF(COUNTIF(B149:D149,"W")&gt;0,"Y","N")</x:f>
        <x:v>Y</x:v>
      </x:c>
      <x:c r="X149" s="5" t="str">
        <x:f>IF(COUNTIF(B149:I149,"W")&gt;=4,"Y","N")</x:f>
        <x:v>Y</x:v>
      </x:c>
      <x:c r="Y149" s="1"/>
      <x:c r="Z149" s="1"/>
      <x:c r="AA149" s="1"/>
      <x:c r="AB149" s="1"/>
      <x:c r="AC149" s="1"/>
      <x:c r="AD149" s="1"/>
      <x:c r="AE149" s="1"/>
    </x:row>
    <x:row r="150">
      <x:c r="A150" s="1">
        <x:v>149</x:v>
      </x:c>
      <x:c r="B150" t="str">
        <x:v>B</x:v>
      </x:c>
      <x:c r="C150" t="str">
        <x:v>W</x:v>
      </x:c>
      <x:c r="D150" t="str">
        <x:v>B</x:v>
      </x:c>
      <x:c r="E150" t="str">
        <x:v>W</x:v>
      </x:c>
      <x:c r="F150" t="str">
        <x:v>B</x:v>
      </x:c>
      <x:c r="G150" t="str">
        <x:v>B</x:v>
      </x:c>
      <x:c r="H150" t="str">
        <x:v>B</x:v>
      </x:c>
      <x:c r="I150" t="str">
        <x:v>B</x:v>
      </x:c>
      <x:c r="J150" t="str">
        <x:v>B</x:v>
      </x:c>
      <x:c r="K150" t="str">
        <x:v>B</x:v>
      </x:c>
      <x:c r="L150" t="str">
        <x:v>B</x:v>
      </x:c>
      <x:c r="M150" t="str">
        <x:v>B</x:v>
      </x:c>
      <x:c r="N150" t="str">
        <x:v>B</x:v>
      </x:c>
      <x:c r="O150" t="str">
        <x:v>B</x:v>
      </x:c>
      <x:c r="P150" t="str">
        <x:v>B</x:v>
      </x:c>
      <x:c r="Q150" t="str">
        <x:v>B</x:v>
      </x:c>
      <x:c r="R150" t="str">
        <x:v>B</x:v>
      </x:c>
      <x:c r="S150" t="str">
        <x:v>W</x:v>
      </x:c>
      <x:c r="T150" t="str">
        <x:v>B</x:v>
      </x:c>
      <x:c r="U150" t="str">
        <x:v>W</x:v>
      </x:c>
      <x:c r="V150" t="n">
        <x:f>COUNTIF(B150:U150,"W")</x:f>
        <x:v>4</x:v>
      </x:c>
      <x:c r="W150" s="5" t="str">
        <x:f>IF(COUNTIF(B150:D150,"W")&gt;0,"Y","N")</x:f>
        <x:v>Y</x:v>
      </x:c>
      <x:c r="X150" s="5" t="str">
        <x:f>IF(COUNTIF(B150:I150,"W")&gt;=4,"Y","N")</x:f>
        <x:v>N</x:v>
      </x:c>
      <x:c r="Y150" s="1"/>
      <x:c r="Z150" s="1"/>
      <x:c r="AA150" s="1"/>
      <x:c r="AB150" s="1"/>
      <x:c r="AC150" s="1"/>
      <x:c r="AD150" s="1"/>
      <x:c r="AE150" s="1"/>
    </x:row>
    <x:row r="151">
      <x:c r="A151" s="1">
        <x:v>150</x:v>
      </x:c>
      <x:c r="B151" t="str">
        <x:v>B</x:v>
      </x:c>
      <x:c r="C151" t="str">
        <x:v>W</x:v>
      </x:c>
      <x:c r="D151" t="str">
        <x:v>B</x:v>
      </x:c>
      <x:c r="E151" t="str">
        <x:v>W</x:v>
      </x:c>
      <x:c r="F151" t="str">
        <x:v>W</x:v>
      </x:c>
      <x:c r="G151" t="str">
        <x:v>B</x:v>
      </x:c>
      <x:c r="H151" t="str">
        <x:v>W</x:v>
      </x:c>
      <x:c r="I151" t="str">
        <x:v>B</x:v>
      </x:c>
      <x:c r="J151" t="str">
        <x:v>B</x:v>
      </x:c>
      <x:c r="K151" t="str">
        <x:v>B</x:v>
      </x:c>
      <x:c r="L151" t="str">
        <x:v>W</x:v>
      </x:c>
      <x:c r="M151" t="str">
        <x:v>B</x:v>
      </x:c>
      <x:c r="N151" t="str">
        <x:v>B</x:v>
      </x:c>
      <x:c r="O151" t="str">
        <x:v>W</x:v>
      </x:c>
      <x:c r="P151" t="str">
        <x:v>B</x:v>
      </x:c>
      <x:c r="Q151" t="str">
        <x:v>W</x:v>
      </x:c>
      <x:c r="R151" t="str">
        <x:v>B</x:v>
      </x:c>
      <x:c r="S151" t="str">
        <x:v>W</x:v>
      </x:c>
      <x:c r="T151" t="str">
        <x:v>B</x:v>
      </x:c>
      <x:c r="U151" t="str">
        <x:v>B</x:v>
      </x:c>
      <x:c r="V151" t="n">
        <x:f>COUNTIF(B151:U151,"W")</x:f>
        <x:v>8</x:v>
      </x:c>
      <x:c r="W151" s="5" t="str">
        <x:f>IF(COUNTIF(B151:D151,"W")&gt;0,"Y","N")</x:f>
        <x:v>Y</x:v>
      </x:c>
      <x:c r="X151" s="5" t="str">
        <x:f>IF(COUNTIF(B151:I151,"W")&gt;=4,"Y","N")</x:f>
        <x:v>Y</x:v>
      </x:c>
      <x:c r="Y151" s="1"/>
      <x:c r="Z151" s="1"/>
      <x:c r="AA151" s="1"/>
      <x:c r="AB151" s="1"/>
      <x:c r="AC151" s="1"/>
      <x:c r="AD151" s="1"/>
      <x:c r="AE151" s="1"/>
    </x:row>
    <x:row r="152">
      <x:c r="A152" s="1">
        <x:v>151</x:v>
      </x:c>
      <x:c r="B152" t="str">
        <x:v>B</x:v>
      </x:c>
      <x:c r="C152" t="str">
        <x:v>W</x:v>
      </x:c>
      <x:c r="D152" t="str">
        <x:v>W</x:v>
      </x:c>
      <x:c r="E152" t="str">
        <x:v>B</x:v>
      </x:c>
      <x:c r="F152" t="str">
        <x:v>W</x:v>
      </x:c>
      <x:c r="G152" t="str">
        <x:v>W</x:v>
      </x:c>
      <x:c r="H152" t="str">
        <x:v>B</x:v>
      </x:c>
      <x:c r="I152" t="str">
        <x:v>W</x:v>
      </x:c>
      <x:c r="J152" t="str">
        <x:v>B</x:v>
      </x:c>
      <x:c r="K152" t="str">
        <x:v>W</x:v>
      </x:c>
      <x:c r="L152" t="str">
        <x:v>B</x:v>
      </x:c>
      <x:c r="M152" t="str">
        <x:v>B</x:v>
      </x:c>
      <x:c r="N152" t="str">
        <x:v>W</x:v>
      </x:c>
      <x:c r="O152" t="str">
        <x:v>B</x:v>
      </x:c>
      <x:c r="P152" t="str">
        <x:v>B</x:v>
      </x:c>
      <x:c r="Q152" t="str">
        <x:v>B</x:v>
      </x:c>
      <x:c r="R152" t="str">
        <x:v>W</x:v>
      </x:c>
      <x:c r="S152" t="str">
        <x:v>B</x:v>
      </x:c>
      <x:c r="T152" t="str">
        <x:v>B</x:v>
      </x:c>
      <x:c r="U152" t="str">
        <x:v>W</x:v>
      </x:c>
      <x:c r="V152" t="n">
        <x:f>COUNTIF(B152:U152,"W")</x:f>
        <x:v>9</x:v>
      </x:c>
      <x:c r="W152" s="5" t="str">
        <x:f>IF(COUNTIF(B152:D152,"W")&gt;0,"Y","N")</x:f>
        <x:v>Y</x:v>
      </x:c>
      <x:c r="X152" s="5" t="str">
        <x:f>IF(COUNTIF(B152:I152,"W")&gt;=4,"Y","N")</x:f>
        <x:v>Y</x:v>
      </x:c>
      <x:c r="Y152" s="1"/>
      <x:c r="Z152" s="1"/>
      <x:c r="AA152" s="1"/>
      <x:c r="AB152" s="1"/>
      <x:c r="AC152" s="1"/>
      <x:c r="AD152" s="1"/>
      <x:c r="AE152" s="1"/>
    </x:row>
    <x:row r="153">
      <x:c r="A153" s="1">
        <x:v>152</x:v>
      </x:c>
      <x:c r="B153" t="str">
        <x:v>B</x:v>
      </x:c>
      <x:c r="C153" t="str">
        <x:v>W</x:v>
      </x:c>
      <x:c r="D153" t="str">
        <x:v>B</x:v>
      </x:c>
      <x:c r="E153" t="str">
        <x:v>B</x:v>
      </x:c>
      <x:c r="F153" t="str">
        <x:v>B</x:v>
      </x:c>
      <x:c r="G153" t="str">
        <x:v>B</x:v>
      </x:c>
      <x:c r="H153" t="str">
        <x:v>B</x:v>
      </x:c>
      <x:c r="I153" t="str">
        <x:v>B</x:v>
      </x:c>
      <x:c r="J153" t="str">
        <x:v>B</x:v>
      </x:c>
      <x:c r="K153" t="str">
        <x:v>W</x:v>
      </x:c>
      <x:c r="L153" t="str">
        <x:v>W</x:v>
      </x:c>
      <x:c r="M153" t="str">
        <x:v>W</x:v>
      </x:c>
      <x:c r="N153" t="str">
        <x:v>B</x:v>
      </x:c>
      <x:c r="O153" t="str">
        <x:v>B</x:v>
      </x:c>
      <x:c r="P153" t="str">
        <x:v>W</x:v>
      </x:c>
      <x:c r="Q153" t="str">
        <x:v>B</x:v>
      </x:c>
      <x:c r="R153" t="str">
        <x:v>B</x:v>
      </x:c>
      <x:c r="S153" t="str">
        <x:v>W</x:v>
      </x:c>
      <x:c r="T153" t="str">
        <x:v>B</x:v>
      </x:c>
      <x:c r="U153" t="str">
        <x:v>B</x:v>
      </x:c>
      <x:c r="V153" t="n">
        <x:f>COUNTIF(B153:U153,"W")</x:f>
        <x:v>6</x:v>
      </x:c>
      <x:c r="W153" s="5" t="str">
        <x:f>IF(COUNTIF(B153:D153,"W")&gt;0,"Y","N")</x:f>
        <x:v>Y</x:v>
      </x:c>
      <x:c r="X153" s="5" t="str">
        <x:f>IF(COUNTIF(B153:I153,"W")&gt;=4,"Y","N")</x:f>
        <x:v>N</x:v>
      </x:c>
      <x:c r="Y153" s="1"/>
      <x:c r="Z153" s="1"/>
      <x:c r="AA153" s="1"/>
      <x:c r="AB153" s="1"/>
      <x:c r="AC153" s="1"/>
      <x:c r="AD153" s="1"/>
      <x:c r="AE153" s="1"/>
    </x:row>
    <x:row r="154">
      <x:c r="A154" s="1">
        <x:v>153</x:v>
      </x:c>
      <x:c r="B154" t="str">
        <x:v>B</x:v>
      </x:c>
      <x:c r="C154" t="str">
        <x:v>B</x:v>
      </x:c>
      <x:c r="D154" t="str">
        <x:v>B</x:v>
      </x:c>
      <x:c r="E154" t="str">
        <x:v>B</x:v>
      </x:c>
      <x:c r="F154" t="str">
        <x:v>B</x:v>
      </x:c>
      <x:c r="G154" t="str">
        <x:v>B</x:v>
      </x:c>
      <x:c r="H154" t="str">
        <x:v>B</x:v>
      </x:c>
      <x:c r="I154" t="str">
        <x:v>B</x:v>
      </x:c>
      <x:c r="J154" t="str">
        <x:v>B</x:v>
      </x:c>
      <x:c r="K154" t="str">
        <x:v>W</x:v>
      </x:c>
      <x:c r="L154" t="str">
        <x:v>B</x:v>
      </x:c>
      <x:c r="M154" t="str">
        <x:v>B</x:v>
      </x:c>
      <x:c r="N154" t="str">
        <x:v>W</x:v>
      </x:c>
      <x:c r="O154" t="str">
        <x:v>W</x:v>
      </x:c>
      <x:c r="P154" t="str">
        <x:v>B</x:v>
      </x:c>
      <x:c r="Q154" t="str">
        <x:v>W</x:v>
      </x:c>
      <x:c r="R154" t="str">
        <x:v>B</x:v>
      </x:c>
      <x:c r="S154" t="str">
        <x:v>B</x:v>
      </x:c>
      <x:c r="T154" t="str">
        <x:v>W</x:v>
      </x:c>
      <x:c r="U154" t="str">
        <x:v>B</x:v>
      </x:c>
      <x:c r="V154" t="n">
        <x:f>COUNTIF(B154:U154,"W")</x:f>
        <x:v>5</x:v>
      </x:c>
      <x:c r="W154" s="5" t="str">
        <x:f>IF(COUNTIF(B154:D154,"W")&gt;0,"Y","N")</x:f>
        <x:v>N</x:v>
      </x:c>
      <x:c r="X154" s="5" t="str">
        <x:f>IF(COUNTIF(B154:I154,"W")&gt;=4,"Y","N")</x:f>
        <x:v>N</x:v>
      </x:c>
      <x:c r="Y154" s="1"/>
      <x:c r="Z154" s="1"/>
      <x:c r="AA154" s="1"/>
      <x:c r="AB154" s="1"/>
      <x:c r="AC154" s="1"/>
      <x:c r="AD154" s="1"/>
      <x:c r="AE154" s="1"/>
    </x:row>
    <x:row r="155">
      <x:c r="A155" s="1">
        <x:v>154</x:v>
      </x:c>
      <x:c r="B155" t="str">
        <x:v>W</x:v>
      </x:c>
      <x:c r="C155" t="str">
        <x:v>B</x:v>
      </x:c>
      <x:c r="D155" t="str">
        <x:v>W</x:v>
      </x:c>
      <x:c r="E155" t="str">
        <x:v>B</x:v>
      </x:c>
      <x:c r="F155" t="str">
        <x:v>W</x:v>
      </x:c>
      <x:c r="G155" t="str">
        <x:v>B</x:v>
      </x:c>
      <x:c r="H155" t="str">
        <x:v>B</x:v>
      </x:c>
      <x:c r="I155" t="str">
        <x:v>B</x:v>
      </x:c>
      <x:c r="J155" t="str">
        <x:v>W</x:v>
      </x:c>
      <x:c r="K155" t="str">
        <x:v>B</x:v>
      </x:c>
      <x:c r="L155" t="str">
        <x:v>W</x:v>
      </x:c>
      <x:c r="M155" t="str">
        <x:v>B</x:v>
      </x:c>
      <x:c r="N155" t="str">
        <x:v>B</x:v>
      </x:c>
      <x:c r="O155" t="str">
        <x:v>B</x:v>
      </x:c>
      <x:c r="P155" t="str">
        <x:v>B</x:v>
      </x:c>
      <x:c r="Q155" t="str">
        <x:v>W</x:v>
      </x:c>
      <x:c r="R155" t="str">
        <x:v>W</x:v>
      </x:c>
      <x:c r="S155" t="str">
        <x:v>B</x:v>
      </x:c>
      <x:c r="T155" t="str">
        <x:v>W</x:v>
      </x:c>
      <x:c r="U155" t="str">
        <x:v>B</x:v>
      </x:c>
      <x:c r="V155" t="n">
        <x:f>COUNTIF(B155:U155,"W")</x:f>
        <x:v>8</x:v>
      </x:c>
      <x:c r="W155" s="5" t="str">
        <x:f>IF(COUNTIF(B155:D155,"W")&gt;0,"Y","N")</x:f>
        <x:v>Y</x:v>
      </x:c>
      <x:c r="X155" s="5" t="str">
        <x:f>IF(COUNTIF(B155:I155,"W")&gt;=4,"Y","N")</x:f>
        <x:v>N</x:v>
      </x:c>
      <x:c r="Y155" s="1"/>
      <x:c r="Z155" s="1"/>
      <x:c r="AA155" s="1"/>
      <x:c r="AB155" s="1"/>
      <x:c r="AC155" s="1"/>
      <x:c r="AD155" s="1"/>
      <x:c r="AE155" s="1"/>
    </x:row>
    <x:row r="156">
      <x:c r="A156" s="1">
        <x:v>155</x:v>
      </x:c>
      <x:c r="B156" t="str">
        <x:v>B</x:v>
      </x:c>
      <x:c r="C156" t="str">
        <x:v>B</x:v>
      </x:c>
      <x:c r="D156" t="str">
        <x:v>B</x:v>
      </x:c>
      <x:c r="E156" t="str">
        <x:v>W</x:v>
      </x:c>
      <x:c r="F156" t="str">
        <x:v>W</x:v>
      </x:c>
      <x:c r="G156" t="str">
        <x:v>B</x:v>
      </x:c>
      <x:c r="H156" t="str">
        <x:v>W</x:v>
      </x:c>
      <x:c r="I156" t="str">
        <x:v>W</x:v>
      </x:c>
      <x:c r="J156" t="str">
        <x:v>B</x:v>
      </x:c>
      <x:c r="K156" t="str">
        <x:v>W</x:v>
      </x:c>
      <x:c r="L156" t="str">
        <x:v>W</x:v>
      </x:c>
      <x:c r="M156" t="str">
        <x:v>B</x:v>
      </x:c>
      <x:c r="N156" t="str">
        <x:v>B</x:v>
      </x:c>
      <x:c r="O156" t="str">
        <x:v>B</x:v>
      </x:c>
      <x:c r="P156" t="str">
        <x:v>W</x:v>
      </x:c>
      <x:c r="Q156" t="str">
        <x:v>B</x:v>
      </x:c>
      <x:c r="R156" t="str">
        <x:v>W</x:v>
      </x:c>
      <x:c r="S156" t="str">
        <x:v>B</x:v>
      </x:c>
      <x:c r="T156" t="str">
        <x:v>B</x:v>
      </x:c>
      <x:c r="U156" t="str">
        <x:v>W</x:v>
      </x:c>
      <x:c r="V156" t="n">
        <x:f>COUNTIF(B156:U156,"W")</x:f>
        <x:v>9</x:v>
      </x:c>
      <x:c r="W156" s="5" t="str">
        <x:f>IF(COUNTIF(B156:D156,"W")&gt;0,"Y","N")</x:f>
        <x:v>N</x:v>
      </x:c>
      <x:c r="X156" s="5" t="str">
        <x:f>IF(COUNTIF(B156:I156,"W")&gt;=4,"Y","N")</x:f>
        <x:v>Y</x:v>
      </x:c>
      <x:c r="Y156" s="1"/>
      <x:c r="Z156" s="1"/>
      <x:c r="AA156" s="1"/>
      <x:c r="AB156" s="1"/>
      <x:c r="AC156" s="1"/>
      <x:c r="AD156" s="1"/>
      <x:c r="AE156" s="1"/>
    </x:row>
    <x:row r="157">
      <x:c r="A157" s="1">
        <x:v>156</x:v>
      </x:c>
      <x:c r="B157" t="str">
        <x:v>W</x:v>
      </x:c>
      <x:c r="C157" t="str">
        <x:v>W</x:v>
      </x:c>
      <x:c r="D157" t="str">
        <x:v>W</x:v>
      </x:c>
      <x:c r="E157" t="str">
        <x:v>B</x:v>
      </x:c>
      <x:c r="F157" t="str">
        <x:v>B</x:v>
      </x:c>
      <x:c r="G157" t="str">
        <x:v>B</x:v>
      </x:c>
      <x:c r="H157" t="str">
        <x:v>B</x:v>
      </x:c>
      <x:c r="I157" t="str">
        <x:v>B</x:v>
      </x:c>
      <x:c r="J157" t="str">
        <x:v>W</x:v>
      </x:c>
      <x:c r="K157" t="str">
        <x:v>B</x:v>
      </x:c>
      <x:c r="L157" t="str">
        <x:v>B</x:v>
      </x:c>
      <x:c r="M157" t="str">
        <x:v>B</x:v>
      </x:c>
      <x:c r="N157" t="str">
        <x:v>B</x:v>
      </x:c>
      <x:c r="O157" t="str">
        <x:v>B</x:v>
      </x:c>
      <x:c r="P157" t="str">
        <x:v>W</x:v>
      </x:c>
      <x:c r="Q157" t="str">
        <x:v>B</x:v>
      </x:c>
      <x:c r="R157" t="str">
        <x:v>B</x:v>
      </x:c>
      <x:c r="S157" t="str">
        <x:v>B</x:v>
      </x:c>
      <x:c r="T157" t="str">
        <x:v>B</x:v>
      </x:c>
      <x:c r="U157" t="str">
        <x:v>B</x:v>
      </x:c>
      <x:c r="V157" t="n">
        <x:f>COUNTIF(B157:U157,"W")</x:f>
        <x:v>5</x:v>
      </x:c>
      <x:c r="W157" s="5" t="str">
        <x:f>IF(COUNTIF(B157:D157,"W")&gt;0,"Y","N")</x:f>
        <x:v>Y</x:v>
      </x:c>
      <x:c r="X157" s="5" t="str">
        <x:f>IF(COUNTIF(B157:I157,"W")&gt;=4,"Y","N")</x:f>
        <x:v>N</x:v>
      </x:c>
      <x:c r="Y157" s="1"/>
      <x:c r="Z157" s="1"/>
      <x:c r="AA157" s="1"/>
      <x:c r="AB157" s="1"/>
      <x:c r="AC157" s="1"/>
      <x:c r="AD157" s="1"/>
      <x:c r="AE157" s="1"/>
    </x:row>
    <x:row r="158">
      <x:c r="A158" s="1">
        <x:v>157</x:v>
      </x:c>
      <x:c r="B158" t="str">
        <x:v>B</x:v>
      </x:c>
      <x:c r="C158" t="str">
        <x:v>W</x:v>
      </x:c>
      <x:c r="D158" t="str">
        <x:v>B</x:v>
      </x:c>
      <x:c r="E158" t="str">
        <x:v>B</x:v>
      </x:c>
      <x:c r="F158" t="str">
        <x:v>B</x:v>
      </x:c>
      <x:c r="G158" t="str">
        <x:v>B</x:v>
      </x:c>
      <x:c r="H158" t="str">
        <x:v>B</x:v>
      </x:c>
      <x:c r="I158" t="str">
        <x:v>W</x:v>
      </x:c>
      <x:c r="J158" t="str">
        <x:v>B</x:v>
      </x:c>
      <x:c r="K158" t="str">
        <x:v>W</x:v>
      </x:c>
      <x:c r="L158" t="str">
        <x:v>W</x:v>
      </x:c>
      <x:c r="M158" t="str">
        <x:v>W</x:v>
      </x:c>
      <x:c r="N158" t="str">
        <x:v>B</x:v>
      </x:c>
      <x:c r="O158" t="str">
        <x:v>B</x:v>
      </x:c>
      <x:c r="P158" t="str">
        <x:v>B</x:v>
      </x:c>
      <x:c r="Q158" t="str">
        <x:v>W</x:v>
      </x:c>
      <x:c r="R158" t="str">
        <x:v>B</x:v>
      </x:c>
      <x:c r="S158" t="str">
        <x:v>B</x:v>
      </x:c>
      <x:c r="T158" t="str">
        <x:v>W</x:v>
      </x:c>
      <x:c r="U158" t="str">
        <x:v>B</x:v>
      </x:c>
      <x:c r="V158" t="n">
        <x:f>COUNTIF(B158:U158,"W")</x:f>
        <x:v>7</x:v>
      </x:c>
      <x:c r="W158" s="5" t="str">
        <x:f>IF(COUNTIF(B158:D158,"W")&gt;0,"Y","N")</x:f>
        <x:v>Y</x:v>
      </x:c>
      <x:c r="X158" s="5" t="str">
        <x:f>IF(COUNTIF(B158:I158,"W")&gt;=4,"Y","N")</x:f>
        <x:v>N</x:v>
      </x:c>
      <x:c r="Y158" s="1"/>
      <x:c r="Z158" s="1"/>
      <x:c r="AA158" s="1"/>
      <x:c r="AB158" s="1"/>
      <x:c r="AC158" s="1"/>
      <x:c r="AD158" s="1"/>
      <x:c r="AE158" s="1"/>
    </x:row>
    <x:row r="159">
      <x:c r="A159" s="1">
        <x:v>158</x:v>
      </x:c>
      <x:c r="B159" t="str">
        <x:v>B</x:v>
      </x:c>
      <x:c r="C159" t="str">
        <x:v>B</x:v>
      </x:c>
      <x:c r="D159" t="str">
        <x:v>W</x:v>
      </x:c>
      <x:c r="E159" t="str">
        <x:v>B</x:v>
      </x:c>
      <x:c r="F159" t="str">
        <x:v>B</x:v>
      </x:c>
      <x:c r="G159" t="str">
        <x:v>B</x:v>
      </x:c>
      <x:c r="H159" t="str">
        <x:v>W</x:v>
      </x:c>
      <x:c r="I159" t="str">
        <x:v>B</x:v>
      </x:c>
      <x:c r="J159" t="str">
        <x:v>W</x:v>
      </x:c>
      <x:c r="K159" t="str">
        <x:v>B</x:v>
      </x:c>
      <x:c r="L159" t="str">
        <x:v>B</x:v>
      </x:c>
      <x:c r="M159" t="str">
        <x:v>B</x:v>
      </x:c>
      <x:c r="N159" t="str">
        <x:v>W</x:v>
      </x:c>
      <x:c r="O159" t="str">
        <x:v>W</x:v>
      </x:c>
      <x:c r="P159" t="str">
        <x:v>B</x:v>
      </x:c>
      <x:c r="Q159" t="str">
        <x:v>B</x:v>
      </x:c>
      <x:c r="R159" t="str">
        <x:v>B</x:v>
      </x:c>
      <x:c r="S159" t="str">
        <x:v>B</x:v>
      </x:c>
      <x:c r="T159" t="str">
        <x:v>W</x:v>
      </x:c>
      <x:c r="U159" t="str">
        <x:v>W</x:v>
      </x:c>
      <x:c r="V159" t="n">
        <x:f>COUNTIF(B159:U159,"W")</x:f>
        <x:v>7</x:v>
      </x:c>
      <x:c r="W159" s="5" t="str">
        <x:f>IF(COUNTIF(B159:D159,"W")&gt;0,"Y","N")</x:f>
        <x:v>Y</x:v>
      </x:c>
      <x:c r="X159" s="5" t="str">
        <x:f>IF(COUNTIF(B159:I159,"W")&gt;=4,"Y","N")</x:f>
        <x:v>N</x:v>
      </x:c>
      <x:c r="Y159" s="1"/>
      <x:c r="Z159" s="1"/>
      <x:c r="AA159" s="1"/>
      <x:c r="AB159" s="1"/>
      <x:c r="AC159" s="1"/>
      <x:c r="AD159" s="1"/>
      <x:c r="AE159" s="1"/>
    </x:row>
    <x:row r="160">
      <x:c r="A160" s="1">
        <x:v>159</x:v>
      </x:c>
      <x:c r="B160" t="str">
        <x:v>W</x:v>
      </x:c>
      <x:c r="C160" t="str">
        <x:v>B</x:v>
      </x:c>
      <x:c r="D160" t="str">
        <x:v>B</x:v>
      </x:c>
      <x:c r="E160" t="str">
        <x:v>W</x:v>
      </x:c>
      <x:c r="F160" t="str">
        <x:v>B</x:v>
      </x:c>
      <x:c r="G160" t="str">
        <x:v>W</x:v>
      </x:c>
      <x:c r="H160" t="str">
        <x:v>B</x:v>
      </x:c>
      <x:c r="I160" t="str">
        <x:v>W</x:v>
      </x:c>
      <x:c r="J160" t="str">
        <x:v>W</x:v>
      </x:c>
      <x:c r="K160" t="str">
        <x:v>W</x:v>
      </x:c>
      <x:c r="L160" t="str">
        <x:v>B</x:v>
      </x:c>
      <x:c r="M160" t="str">
        <x:v>W</x:v>
      </x:c>
      <x:c r="N160" t="str">
        <x:v>W</x:v>
      </x:c>
      <x:c r="O160" t="str">
        <x:v>B</x:v>
      </x:c>
      <x:c r="P160" t="str">
        <x:v>W</x:v>
      </x:c>
      <x:c r="Q160" t="str">
        <x:v>B</x:v>
      </x:c>
      <x:c r="R160" t="str">
        <x:v>B</x:v>
      </x:c>
      <x:c r="S160" t="str">
        <x:v>W</x:v>
      </x:c>
      <x:c r="T160" t="str">
        <x:v>B</x:v>
      </x:c>
      <x:c r="U160" t="str">
        <x:v>B</x:v>
      </x:c>
      <x:c r="V160" t="n">
        <x:f>COUNTIF(B160:U160,"W")</x:f>
        <x:v>10</x:v>
      </x:c>
      <x:c r="W160" s="5" t="str">
        <x:f>IF(COUNTIF(B160:D160,"W")&gt;0,"Y","N")</x:f>
        <x:v>Y</x:v>
      </x:c>
      <x:c r="X160" s="5" t="str">
        <x:f>IF(COUNTIF(B160:I160,"W")&gt;=4,"Y","N")</x:f>
        <x:v>Y</x:v>
      </x:c>
      <x:c r="Y160" s="1"/>
      <x:c r="Z160" s="1"/>
      <x:c r="AA160" s="1"/>
      <x:c r="AB160" s="1"/>
      <x:c r="AC160" s="1"/>
      <x:c r="AD160" s="1"/>
      <x:c r="AE160" s="1"/>
    </x:row>
    <x:row r="161">
      <x:c r="A161" s="1">
        <x:v>160</x:v>
      </x:c>
      <x:c r="B161" t="str">
        <x:v>B</x:v>
      </x:c>
      <x:c r="C161" t="str">
        <x:v>B</x:v>
      </x:c>
      <x:c r="D161" t="str">
        <x:v>W</x:v>
      </x:c>
      <x:c r="E161" t="str">
        <x:v>B</x:v>
      </x:c>
      <x:c r="F161" t="str">
        <x:v>B</x:v>
      </x:c>
      <x:c r="G161" t="str">
        <x:v>B</x:v>
      </x:c>
      <x:c r="H161" t="str">
        <x:v>B</x:v>
      </x:c>
      <x:c r="I161" t="str">
        <x:v>W</x:v>
      </x:c>
      <x:c r="J161" t="str">
        <x:v>W</x:v>
      </x:c>
      <x:c r="K161" t="str">
        <x:v>B</x:v>
      </x:c>
      <x:c r="L161" t="str">
        <x:v>W</x:v>
      </x:c>
      <x:c r="M161" t="str">
        <x:v>W</x:v>
      </x:c>
      <x:c r="N161" t="str">
        <x:v>B</x:v>
      </x:c>
      <x:c r="O161" t="str">
        <x:v>W</x:v>
      </x:c>
      <x:c r="P161" t="str">
        <x:v>B</x:v>
      </x:c>
      <x:c r="Q161" t="str">
        <x:v>B</x:v>
      </x:c>
      <x:c r="R161" t="str">
        <x:v>W</x:v>
      </x:c>
      <x:c r="S161" t="str">
        <x:v>B</x:v>
      </x:c>
      <x:c r="T161" t="str">
        <x:v>B</x:v>
      </x:c>
      <x:c r="U161" t="str">
        <x:v>B</x:v>
      </x:c>
      <x:c r="V161" t="n">
        <x:f>COUNTIF(B161:U161,"W")</x:f>
        <x:v>7</x:v>
      </x:c>
      <x:c r="W161" s="5" t="str">
        <x:f>IF(COUNTIF(B161:D161,"W")&gt;0,"Y","N")</x:f>
        <x:v>Y</x:v>
      </x:c>
      <x:c r="X161" s="5" t="str">
        <x:f>IF(COUNTIF(B161:I161,"W")&gt;=4,"Y","N")</x:f>
        <x:v>N</x:v>
      </x:c>
      <x:c r="Y161" s="1"/>
      <x:c r="Z161" s="1"/>
      <x:c r="AA161" s="1"/>
      <x:c r="AB161" s="1"/>
      <x:c r="AC161" s="1"/>
      <x:c r="AD161" s="1"/>
      <x:c r="AE161" s="1"/>
    </x:row>
    <x:row r="162">
      <x:c r="A162" s="1">
        <x:v>161</x:v>
      </x:c>
      <x:c r="B162" t="str">
        <x:v>B</x:v>
      </x:c>
      <x:c r="C162" t="str">
        <x:v>B</x:v>
      </x:c>
      <x:c r="D162" t="str">
        <x:v>B</x:v>
      </x:c>
      <x:c r="E162" t="str">
        <x:v>B</x:v>
      </x:c>
      <x:c r="F162" t="str">
        <x:v>W</x:v>
      </x:c>
      <x:c r="G162" t="str">
        <x:v>B</x:v>
      </x:c>
      <x:c r="H162" t="str">
        <x:v>B</x:v>
      </x:c>
      <x:c r="I162" t="str">
        <x:v>B</x:v>
      </x:c>
      <x:c r="J162" t="str">
        <x:v>W</x:v>
      </x:c>
      <x:c r="K162" t="str">
        <x:v>B</x:v>
      </x:c>
      <x:c r="L162" t="str">
        <x:v>B</x:v>
      </x:c>
      <x:c r="M162" t="str">
        <x:v>W</x:v>
      </x:c>
      <x:c r="N162" t="str">
        <x:v>B</x:v>
      </x:c>
      <x:c r="O162" t="str">
        <x:v>B</x:v>
      </x:c>
      <x:c r="P162" t="str">
        <x:v>B</x:v>
      </x:c>
      <x:c r="Q162" t="str">
        <x:v>W</x:v>
      </x:c>
      <x:c r="R162" t="str">
        <x:v>B</x:v>
      </x:c>
      <x:c r="S162" t="str">
        <x:v>B</x:v>
      </x:c>
      <x:c r="T162" t="str">
        <x:v>B</x:v>
      </x:c>
      <x:c r="U162" t="str">
        <x:v>W</x:v>
      </x:c>
      <x:c r="V162" t="n">
        <x:f>COUNTIF(B162:U162,"W")</x:f>
        <x:v>5</x:v>
      </x:c>
      <x:c r="W162" s="5" t="str">
        <x:f>IF(COUNTIF(B162:D162,"W")&gt;0,"Y","N")</x:f>
        <x:v>N</x:v>
      </x:c>
      <x:c r="X162" s="5" t="str">
        <x:f>IF(COUNTIF(B162:I162,"W")&gt;=4,"Y","N")</x:f>
        <x:v>N</x:v>
      </x:c>
      <x:c r="Y162" s="1"/>
      <x:c r="Z162" s="1"/>
      <x:c r="AA162" s="1"/>
      <x:c r="AB162" s="1"/>
      <x:c r="AC162" s="1"/>
      <x:c r="AD162" s="1"/>
      <x:c r="AE162" s="1"/>
    </x:row>
    <x:row r="163">
      <x:c r="A163" s="1">
        <x:v>162</x:v>
      </x:c>
      <x:c r="B163" t="str">
        <x:v>B</x:v>
      </x:c>
      <x:c r="C163" t="str">
        <x:v>B</x:v>
      </x:c>
      <x:c r="D163" t="str">
        <x:v>W</x:v>
      </x:c>
      <x:c r="E163" t="str">
        <x:v>B</x:v>
      </x:c>
      <x:c r="F163" t="str">
        <x:v>B</x:v>
      </x:c>
      <x:c r="G163" t="str">
        <x:v>B</x:v>
      </x:c>
      <x:c r="H163" t="str">
        <x:v>B</x:v>
      </x:c>
      <x:c r="I163" t="str">
        <x:v>W</x:v>
      </x:c>
      <x:c r="J163" t="str">
        <x:v>B</x:v>
      </x:c>
      <x:c r="K163" t="str">
        <x:v>B</x:v>
      </x:c>
      <x:c r="L163" t="str">
        <x:v>W</x:v>
      </x:c>
      <x:c r="M163" t="str">
        <x:v>W</x:v>
      </x:c>
      <x:c r="N163" t="str">
        <x:v>B</x:v>
      </x:c>
      <x:c r="O163" t="str">
        <x:v>B</x:v>
      </x:c>
      <x:c r="P163" t="str">
        <x:v>B</x:v>
      </x:c>
      <x:c r="Q163" t="str">
        <x:v>B</x:v>
      </x:c>
      <x:c r="R163" t="str">
        <x:v>B</x:v>
      </x:c>
      <x:c r="S163" t="str">
        <x:v>W</x:v>
      </x:c>
      <x:c r="T163" t="str">
        <x:v>W</x:v>
      </x:c>
      <x:c r="U163" t="str">
        <x:v>B</x:v>
      </x:c>
      <x:c r="V163" t="n">
        <x:f>COUNTIF(B163:U163,"W")</x:f>
        <x:v>6</x:v>
      </x:c>
      <x:c r="W163" s="5" t="str">
        <x:f>IF(COUNTIF(B163:D163,"W")&gt;0,"Y","N")</x:f>
        <x:v>Y</x:v>
      </x:c>
      <x:c r="X163" s="5" t="str">
        <x:f>IF(COUNTIF(B163:I163,"W")&gt;=4,"Y","N")</x:f>
        <x:v>N</x:v>
      </x:c>
      <x:c r="Y163" s="1"/>
      <x:c r="Z163" s="1"/>
      <x:c r="AA163" s="1"/>
      <x:c r="AB163" s="1"/>
      <x:c r="AC163" s="1"/>
      <x:c r="AD163" s="1"/>
      <x:c r="AE163" s="1"/>
    </x:row>
    <x:row r="164">
      <x:c r="A164" s="1">
        <x:v>163</x:v>
      </x:c>
      <x:c r="B164" t="str">
        <x:v>W</x:v>
      </x:c>
      <x:c r="C164" t="str">
        <x:v>B</x:v>
      </x:c>
      <x:c r="D164" t="str">
        <x:v>B</x:v>
      </x:c>
      <x:c r="E164" t="str">
        <x:v>W</x:v>
      </x:c>
      <x:c r="F164" t="str">
        <x:v>W</x:v>
      </x:c>
      <x:c r="G164" t="str">
        <x:v>W</x:v>
      </x:c>
      <x:c r="H164" t="str">
        <x:v>B</x:v>
      </x:c>
      <x:c r="I164" t="str">
        <x:v>B</x:v>
      </x:c>
      <x:c r="J164" t="str">
        <x:v>B</x:v>
      </x:c>
      <x:c r="K164" t="str">
        <x:v>B</x:v>
      </x:c>
      <x:c r="L164" t="str">
        <x:v>B</x:v>
      </x:c>
      <x:c r="M164" t="str">
        <x:v>W</x:v>
      </x:c>
      <x:c r="N164" t="str">
        <x:v>B</x:v>
      </x:c>
      <x:c r="O164" t="str">
        <x:v>B</x:v>
      </x:c>
      <x:c r="P164" t="str">
        <x:v>B</x:v>
      </x:c>
      <x:c r="Q164" t="str">
        <x:v>W</x:v>
      </x:c>
      <x:c r="R164" t="str">
        <x:v>W</x:v>
      </x:c>
      <x:c r="S164" t="str">
        <x:v>B</x:v>
      </x:c>
      <x:c r="T164" t="str">
        <x:v>B</x:v>
      </x:c>
      <x:c r="U164" t="str">
        <x:v>B</x:v>
      </x:c>
      <x:c r="V164" t="n">
        <x:f>COUNTIF(B164:U164,"W")</x:f>
        <x:v>7</x:v>
      </x:c>
      <x:c r="W164" s="5" t="str">
        <x:f>IF(COUNTIF(B164:D164,"W")&gt;0,"Y","N")</x:f>
        <x:v>Y</x:v>
      </x:c>
      <x:c r="X164" s="5" t="str">
        <x:f>IF(COUNTIF(B164:I164,"W")&gt;=4,"Y","N")</x:f>
        <x:v>Y</x:v>
      </x:c>
      <x:c r="Y164" s="1"/>
      <x:c r="Z164" s="1"/>
      <x:c r="AA164" s="1"/>
      <x:c r="AB164" s="1"/>
      <x:c r="AC164" s="1"/>
      <x:c r="AD164" s="1"/>
      <x:c r="AE164" s="1"/>
    </x:row>
    <x:row r="165">
      <x:c r="A165" s="1">
        <x:v>164</x:v>
      </x:c>
      <x:c r="B165" t="str">
        <x:v>B</x:v>
      </x:c>
      <x:c r="C165" t="str">
        <x:v>W</x:v>
      </x:c>
      <x:c r="D165" t="str">
        <x:v>B</x:v>
      </x:c>
      <x:c r="E165" t="str">
        <x:v>B</x:v>
      </x:c>
      <x:c r="F165" t="str">
        <x:v>B</x:v>
      </x:c>
      <x:c r="G165" t="str">
        <x:v>W</x:v>
      </x:c>
      <x:c r="H165" t="str">
        <x:v>B</x:v>
      </x:c>
      <x:c r="I165" t="str">
        <x:v>B</x:v>
      </x:c>
      <x:c r="J165" t="str">
        <x:v>B</x:v>
      </x:c>
      <x:c r="K165" t="str">
        <x:v>B</x:v>
      </x:c>
      <x:c r="L165" t="str">
        <x:v>W</x:v>
      </x:c>
      <x:c r="M165" t="str">
        <x:v>B</x:v>
      </x:c>
      <x:c r="N165" t="str">
        <x:v>B</x:v>
      </x:c>
      <x:c r="O165" t="str">
        <x:v>W</x:v>
      </x:c>
      <x:c r="P165" t="str">
        <x:v>W</x:v>
      </x:c>
      <x:c r="Q165" t="str">
        <x:v>B</x:v>
      </x:c>
      <x:c r="R165" t="str">
        <x:v>B</x:v>
      </x:c>
      <x:c r="S165" t="str">
        <x:v>B</x:v>
      </x:c>
      <x:c r="T165" t="str">
        <x:v>B</x:v>
      </x:c>
      <x:c r="U165" t="str">
        <x:v>B</x:v>
      </x:c>
      <x:c r="V165" t="n">
        <x:f>COUNTIF(B165:U165,"W")</x:f>
        <x:v>5</x:v>
      </x:c>
      <x:c r="W165" s="5" t="str">
        <x:f>IF(COUNTIF(B165:D165,"W")&gt;0,"Y","N")</x:f>
        <x:v>Y</x:v>
      </x:c>
      <x:c r="X165" s="5" t="str">
        <x:f>IF(COUNTIF(B165:I165,"W")&gt;=4,"Y","N")</x:f>
        <x:v>N</x:v>
      </x:c>
      <x:c r="Y165" s="1"/>
      <x:c r="Z165" s="1"/>
      <x:c r="AA165" s="1"/>
      <x:c r="AB165" s="1"/>
      <x:c r="AC165" s="1"/>
      <x:c r="AD165" s="1"/>
      <x:c r="AE165" s="1"/>
    </x:row>
    <x:row r="166">
      <x:c r="A166" s="1">
        <x:v>165</x:v>
      </x:c>
      <x:c r="B166" t="str">
        <x:v>W</x:v>
      </x:c>
      <x:c r="C166" t="str">
        <x:v>W</x:v>
      </x:c>
      <x:c r="D166" t="str">
        <x:v>B</x:v>
      </x:c>
      <x:c r="E166" t="str">
        <x:v>W</x:v>
      </x:c>
      <x:c r="F166" t="str">
        <x:v>W</x:v>
      </x:c>
      <x:c r="G166" t="str">
        <x:v>B</x:v>
      </x:c>
      <x:c r="H166" t="str">
        <x:v>W</x:v>
      </x:c>
      <x:c r="I166" t="str">
        <x:v>W</x:v>
      </x:c>
      <x:c r="J166" t="str">
        <x:v>W</x:v>
      </x:c>
      <x:c r="K166" t="str">
        <x:v>B</x:v>
      </x:c>
      <x:c r="L166" t="str">
        <x:v>B</x:v>
      </x:c>
      <x:c r="M166" t="str">
        <x:v>W</x:v>
      </x:c>
      <x:c r="N166" t="str">
        <x:v>W</x:v>
      </x:c>
      <x:c r="O166" t="str">
        <x:v>B</x:v>
      </x:c>
      <x:c r="P166" t="str">
        <x:v>W</x:v>
      </x:c>
      <x:c r="Q166" t="str">
        <x:v>W</x:v>
      </x:c>
      <x:c r="R166" t="str">
        <x:v>B</x:v>
      </x:c>
      <x:c r="S166" t="str">
        <x:v>B</x:v>
      </x:c>
      <x:c r="T166" t="str">
        <x:v>W</x:v>
      </x:c>
      <x:c r="U166" t="str">
        <x:v>B</x:v>
      </x:c>
      <x:c r="V166" t="n">
        <x:f>COUNTIF(B166:U166,"W")</x:f>
        <x:v>12</x:v>
      </x:c>
      <x:c r="W166" s="5" t="str">
        <x:f>IF(COUNTIF(B166:D166,"W")&gt;0,"Y","N")</x:f>
        <x:v>Y</x:v>
      </x:c>
      <x:c r="X166" s="5" t="str">
        <x:f>IF(COUNTIF(B166:I166,"W")&gt;=4,"Y","N")</x:f>
        <x:v>Y</x:v>
      </x:c>
      <x:c r="Y166" s="1"/>
      <x:c r="Z166" s="1"/>
      <x:c r="AA166" s="1"/>
      <x:c r="AB166" s="1"/>
      <x:c r="AC166" s="1"/>
      <x:c r="AD166" s="1"/>
      <x:c r="AE166" s="1"/>
    </x:row>
    <x:row r="167">
      <x:c r="A167" s="1">
        <x:v>166</x:v>
      </x:c>
      <x:c r="B167" t="str">
        <x:v>B</x:v>
      </x:c>
      <x:c r="C167" t="str">
        <x:v>W</x:v>
      </x:c>
      <x:c r="D167" t="str">
        <x:v>B</x:v>
      </x:c>
      <x:c r="E167" t="str">
        <x:v>B</x:v>
      </x:c>
      <x:c r="F167" t="str">
        <x:v>B</x:v>
      </x:c>
      <x:c r="G167" t="str">
        <x:v>B</x:v>
      </x:c>
      <x:c r="H167" t="str">
        <x:v>B</x:v>
      </x:c>
      <x:c r="I167" t="str">
        <x:v>B</x:v>
      </x:c>
      <x:c r="J167" t="str">
        <x:v>B</x:v>
      </x:c>
      <x:c r="K167" t="str">
        <x:v>B</x:v>
      </x:c>
      <x:c r="L167" t="str">
        <x:v>B</x:v>
      </x:c>
      <x:c r="M167" t="str">
        <x:v>B</x:v>
      </x:c>
      <x:c r="N167" t="str">
        <x:v>B</x:v>
      </x:c>
      <x:c r="O167" t="str">
        <x:v>W</x:v>
      </x:c>
      <x:c r="P167" t="str">
        <x:v>W</x:v>
      </x:c>
      <x:c r="Q167" t="str">
        <x:v>W</x:v>
      </x:c>
      <x:c r="R167" t="str">
        <x:v>B</x:v>
      </x:c>
      <x:c r="S167" t="str">
        <x:v>B</x:v>
      </x:c>
      <x:c r="T167" t="str">
        <x:v>B</x:v>
      </x:c>
      <x:c r="U167" t="str">
        <x:v>W</x:v>
      </x:c>
      <x:c r="V167" t="n">
        <x:f>COUNTIF(B167:U167,"W")</x:f>
        <x:v>5</x:v>
      </x:c>
      <x:c r="W167" s="5" t="str">
        <x:f>IF(COUNTIF(B167:D167,"W")&gt;0,"Y","N")</x:f>
        <x:v>Y</x:v>
      </x:c>
      <x:c r="X167" s="5" t="str">
        <x:f>IF(COUNTIF(B167:I167,"W")&gt;=4,"Y","N")</x:f>
        <x:v>N</x:v>
      </x:c>
      <x:c r="Y167" s="1"/>
      <x:c r="Z167" s="1"/>
      <x:c r="AA167" s="1"/>
      <x:c r="AB167" s="1"/>
      <x:c r="AC167" s="1"/>
      <x:c r="AD167" s="1"/>
      <x:c r="AE167" s="1"/>
    </x:row>
    <x:row r="168">
      <x:c r="A168" s="1">
        <x:v>167</x:v>
      </x:c>
      <x:c r="B168" t="str">
        <x:v>W</x:v>
      </x:c>
      <x:c r="C168" t="str">
        <x:v>B</x:v>
      </x:c>
      <x:c r="D168" t="str">
        <x:v>B</x:v>
      </x:c>
      <x:c r="E168" t="str">
        <x:v>B</x:v>
      </x:c>
      <x:c r="F168" t="str">
        <x:v>B</x:v>
      </x:c>
      <x:c r="G168" t="str">
        <x:v>W</x:v>
      </x:c>
      <x:c r="H168" t="str">
        <x:v>B</x:v>
      </x:c>
      <x:c r="I168" t="str">
        <x:v>B</x:v>
      </x:c>
      <x:c r="J168" t="str">
        <x:v>W</x:v>
      </x:c>
      <x:c r="K168" t="str">
        <x:v>W</x:v>
      </x:c>
      <x:c r="L168" t="str">
        <x:v>W</x:v>
      </x:c>
      <x:c r="M168" t="str">
        <x:v>B</x:v>
      </x:c>
      <x:c r="N168" t="str">
        <x:v>B</x:v>
      </x:c>
      <x:c r="O168" t="str">
        <x:v>W</x:v>
      </x:c>
      <x:c r="P168" t="str">
        <x:v>W</x:v>
      </x:c>
      <x:c r="Q168" t="str">
        <x:v>B</x:v>
      </x:c>
      <x:c r="R168" t="str">
        <x:v>W</x:v>
      </x:c>
      <x:c r="S168" t="str">
        <x:v>W</x:v>
      </x:c>
      <x:c r="T168" t="str">
        <x:v>B</x:v>
      </x:c>
      <x:c r="U168" t="str">
        <x:v>B</x:v>
      </x:c>
      <x:c r="V168" t="n">
        <x:f>COUNTIF(B168:U168,"W")</x:f>
        <x:v>9</x:v>
      </x:c>
      <x:c r="W168" s="5" t="str">
        <x:f>IF(COUNTIF(B168:D168,"W")&gt;0,"Y","N")</x:f>
        <x:v>Y</x:v>
      </x:c>
      <x:c r="X168" s="5" t="str">
        <x:f>IF(COUNTIF(B168:I168,"W")&gt;=4,"Y","N")</x:f>
        <x:v>N</x:v>
      </x:c>
      <x:c r="Y168" s="1"/>
      <x:c r="Z168" s="1"/>
      <x:c r="AA168" s="1"/>
      <x:c r="AB168" s="1"/>
      <x:c r="AC168" s="1"/>
      <x:c r="AD168" s="1"/>
      <x:c r="AE168" s="1"/>
    </x:row>
    <x:row r="169">
      <x:c r="A169" s="1">
        <x:v>168</x:v>
      </x:c>
      <x:c r="B169" t="str">
        <x:v>W</x:v>
      </x:c>
      <x:c r="C169" t="str">
        <x:v>W</x:v>
      </x:c>
      <x:c r="D169" t="str">
        <x:v>W</x:v>
      </x:c>
      <x:c r="E169" t="str">
        <x:v>W</x:v>
      </x:c>
      <x:c r="F169" t="str">
        <x:v>B</x:v>
      </x:c>
      <x:c r="G169" t="str">
        <x:v>B</x:v>
      </x:c>
      <x:c r="H169" t="str">
        <x:v>B</x:v>
      </x:c>
      <x:c r="I169" t="str">
        <x:v>W</x:v>
      </x:c>
      <x:c r="J169" t="str">
        <x:v>W</x:v>
      </x:c>
      <x:c r="K169" t="str">
        <x:v>B</x:v>
      </x:c>
      <x:c r="L169" t="str">
        <x:v>W</x:v>
      </x:c>
      <x:c r="M169" t="str">
        <x:v>B</x:v>
      </x:c>
      <x:c r="N169" t="str">
        <x:v>B</x:v>
      </x:c>
      <x:c r="O169" t="str">
        <x:v>B</x:v>
      </x:c>
      <x:c r="P169" t="str">
        <x:v>B</x:v>
      </x:c>
      <x:c r="Q169" t="str">
        <x:v>B</x:v>
      </x:c>
      <x:c r="R169" t="str">
        <x:v>W</x:v>
      </x:c>
      <x:c r="S169" t="str">
        <x:v>B</x:v>
      </x:c>
      <x:c r="T169" t="str">
        <x:v>W</x:v>
      </x:c>
      <x:c r="U169" t="str">
        <x:v>B</x:v>
      </x:c>
      <x:c r="V169" t="n">
        <x:f>COUNTIF(B169:U169,"W")</x:f>
        <x:v>9</x:v>
      </x:c>
      <x:c r="W169" s="5" t="str">
        <x:f>IF(COUNTIF(B169:D169,"W")&gt;0,"Y","N")</x:f>
        <x:v>Y</x:v>
      </x:c>
      <x:c r="X169" s="5" t="str">
        <x:f>IF(COUNTIF(B169:I169,"W")&gt;=4,"Y","N")</x:f>
        <x:v>Y</x:v>
      </x:c>
      <x:c r="Y169" s="1"/>
      <x:c r="Z169" s="1"/>
      <x:c r="AA169" s="1"/>
      <x:c r="AB169" s="1"/>
      <x:c r="AC169" s="1"/>
      <x:c r="AD169" s="1"/>
      <x:c r="AE169" s="1"/>
    </x:row>
    <x:row r="170">
      <x:c r="A170" s="1">
        <x:v>169</x:v>
      </x:c>
      <x:c r="B170" t="str">
        <x:v>B</x:v>
      </x:c>
      <x:c r="C170" t="str">
        <x:v>W</x:v>
      </x:c>
      <x:c r="D170" t="str">
        <x:v>B</x:v>
      </x:c>
      <x:c r="E170" t="str">
        <x:v>W</x:v>
      </x:c>
      <x:c r="F170" t="str">
        <x:v>B</x:v>
      </x:c>
      <x:c r="G170" t="str">
        <x:v>B</x:v>
      </x:c>
      <x:c r="H170" t="str">
        <x:v>W</x:v>
      </x:c>
      <x:c r="I170" t="str">
        <x:v>W</x:v>
      </x:c>
      <x:c r="J170" t="str">
        <x:v>B</x:v>
      </x:c>
      <x:c r="K170" t="str">
        <x:v>B</x:v>
      </x:c>
      <x:c r="L170" t="str">
        <x:v>B</x:v>
      </x:c>
      <x:c r="M170" t="str">
        <x:v>B</x:v>
      </x:c>
      <x:c r="N170" t="str">
        <x:v>W</x:v>
      </x:c>
      <x:c r="O170" t="str">
        <x:v>W</x:v>
      </x:c>
      <x:c r="P170" t="str">
        <x:v>W</x:v>
      </x:c>
      <x:c r="Q170" t="str">
        <x:v>B</x:v>
      </x:c>
      <x:c r="R170" t="str">
        <x:v>B</x:v>
      </x:c>
      <x:c r="S170" t="str">
        <x:v>B</x:v>
      </x:c>
      <x:c r="T170" t="str">
        <x:v>B</x:v>
      </x:c>
      <x:c r="U170" t="str">
        <x:v>B</x:v>
      </x:c>
      <x:c r="V170" t="n">
        <x:f>COUNTIF(B170:U170,"W")</x:f>
        <x:v>7</x:v>
      </x:c>
      <x:c r="W170" s="5" t="str">
        <x:f>IF(COUNTIF(B170:D170,"W")&gt;0,"Y","N")</x:f>
        <x:v>Y</x:v>
      </x:c>
      <x:c r="X170" s="5" t="str">
        <x:f>IF(COUNTIF(B170:I170,"W")&gt;=4,"Y","N")</x:f>
        <x:v>Y</x:v>
      </x:c>
      <x:c r="Y170" s="1"/>
      <x:c r="Z170" s="1"/>
      <x:c r="AA170" s="1"/>
      <x:c r="AB170" s="1"/>
      <x:c r="AC170" s="1"/>
      <x:c r="AD170" s="1"/>
      <x:c r="AE170" s="1"/>
    </x:row>
    <x:row r="171">
      <x:c r="A171" s="1">
        <x:v>170</x:v>
      </x:c>
      <x:c r="B171" t="str">
        <x:v>B</x:v>
      </x:c>
      <x:c r="C171" t="str">
        <x:v>B</x:v>
      </x:c>
      <x:c r="D171" t="str">
        <x:v>W</x:v>
      </x:c>
      <x:c r="E171" t="str">
        <x:v>B</x:v>
      </x:c>
      <x:c r="F171" t="str">
        <x:v>W</x:v>
      </x:c>
      <x:c r="G171" t="str">
        <x:v>B</x:v>
      </x:c>
      <x:c r="H171" t="str">
        <x:v>B</x:v>
      </x:c>
      <x:c r="I171" t="str">
        <x:v>W</x:v>
      </x:c>
      <x:c r="J171" t="str">
        <x:v>B</x:v>
      </x:c>
      <x:c r="K171" t="str">
        <x:v>B</x:v>
      </x:c>
      <x:c r="L171" t="str">
        <x:v>B</x:v>
      </x:c>
      <x:c r="M171" t="str">
        <x:v>B</x:v>
      </x:c>
      <x:c r="N171" t="str">
        <x:v>W</x:v>
      </x:c>
      <x:c r="O171" t="str">
        <x:v>W</x:v>
      </x:c>
      <x:c r="P171" t="str">
        <x:v>W</x:v>
      </x:c>
      <x:c r="Q171" t="str">
        <x:v>B</x:v>
      </x:c>
      <x:c r="R171" t="str">
        <x:v>W</x:v>
      </x:c>
      <x:c r="S171" t="str">
        <x:v>W</x:v>
      </x:c>
      <x:c r="T171" t="str">
        <x:v>B</x:v>
      </x:c>
      <x:c r="U171" t="str">
        <x:v>B</x:v>
      </x:c>
      <x:c r="V171" t="n">
        <x:f>COUNTIF(B171:U171,"W")</x:f>
        <x:v>8</x:v>
      </x:c>
      <x:c r="W171" s="5" t="str">
        <x:f>IF(COUNTIF(B171:D171,"W")&gt;0,"Y","N")</x:f>
        <x:v>Y</x:v>
      </x:c>
      <x:c r="X171" s="5" t="str">
        <x:f>IF(COUNTIF(B171:I171,"W")&gt;=4,"Y","N")</x:f>
        <x:v>N</x:v>
      </x:c>
      <x:c r="Y171" s="1"/>
      <x:c r="Z171" s="1"/>
      <x:c r="AA171" s="1"/>
      <x:c r="AB171" s="1"/>
      <x:c r="AC171" s="1"/>
      <x:c r="AD171" s="1"/>
      <x:c r="AE171" s="1"/>
    </x:row>
    <x:row r="172">
      <x:c r="A172" s="1">
        <x:v>171</x:v>
      </x:c>
      <x:c r="B172" t="str">
        <x:v>B</x:v>
      </x:c>
      <x:c r="C172" t="str">
        <x:v>W</x:v>
      </x:c>
      <x:c r="D172" t="str">
        <x:v>W</x:v>
      </x:c>
      <x:c r="E172" t="str">
        <x:v>B</x:v>
      </x:c>
      <x:c r="F172" t="str">
        <x:v>B</x:v>
      </x:c>
      <x:c r="G172" t="str">
        <x:v>W</x:v>
      </x:c>
      <x:c r="H172" t="str">
        <x:v>W</x:v>
      </x:c>
      <x:c r="I172" t="str">
        <x:v>B</x:v>
      </x:c>
      <x:c r="J172" t="str">
        <x:v>W</x:v>
      </x:c>
      <x:c r="K172" t="str">
        <x:v>W</x:v>
      </x:c>
      <x:c r="L172" t="str">
        <x:v>B</x:v>
      </x:c>
      <x:c r="M172" t="str">
        <x:v>W</x:v>
      </x:c>
      <x:c r="N172" t="str">
        <x:v>B</x:v>
      </x:c>
      <x:c r="O172" t="str">
        <x:v>B</x:v>
      </x:c>
      <x:c r="P172" t="str">
        <x:v>W</x:v>
      </x:c>
      <x:c r="Q172" t="str">
        <x:v>B</x:v>
      </x:c>
      <x:c r="R172" t="str">
        <x:v>W</x:v>
      </x:c>
      <x:c r="S172" t="str">
        <x:v>W</x:v>
      </x:c>
      <x:c r="T172" t="str">
        <x:v>B</x:v>
      </x:c>
      <x:c r="U172" t="str">
        <x:v>W</x:v>
      </x:c>
      <x:c r="V172" t="n">
        <x:f>COUNTIF(B172:U172,"W")</x:f>
        <x:v>11</x:v>
      </x:c>
      <x:c r="W172" s="5" t="str">
        <x:f>IF(COUNTIF(B172:D172,"W")&gt;0,"Y","N")</x:f>
        <x:v>Y</x:v>
      </x:c>
      <x:c r="X172" s="5" t="str">
        <x:f>IF(COUNTIF(B172:I172,"W")&gt;=4,"Y","N")</x:f>
        <x:v>Y</x:v>
      </x:c>
      <x:c r="Y172" s="1"/>
      <x:c r="Z172" s="1"/>
      <x:c r="AA172" s="1"/>
      <x:c r="AB172" s="1"/>
      <x:c r="AC172" s="1"/>
      <x:c r="AD172" s="1"/>
      <x:c r="AE172" s="1"/>
    </x:row>
    <x:row r="173">
      <x:c r="A173" s="1">
        <x:v>172</x:v>
      </x:c>
      <x:c r="B173" t="str">
        <x:v>B</x:v>
      </x:c>
      <x:c r="C173" t="str">
        <x:v>B</x:v>
      </x:c>
      <x:c r="D173" t="str">
        <x:v>B</x:v>
      </x:c>
      <x:c r="E173" t="str">
        <x:v>B</x:v>
      </x:c>
      <x:c r="F173" t="str">
        <x:v>B</x:v>
      </x:c>
      <x:c r="G173" t="str">
        <x:v>B</x:v>
      </x:c>
      <x:c r="H173" t="str">
        <x:v>W</x:v>
      </x:c>
      <x:c r="I173" t="str">
        <x:v>W</x:v>
      </x:c>
      <x:c r="J173" t="str">
        <x:v>B</x:v>
      </x:c>
      <x:c r="K173" t="str">
        <x:v>B</x:v>
      </x:c>
      <x:c r="L173" t="str">
        <x:v>B</x:v>
      </x:c>
      <x:c r="M173" t="str">
        <x:v>W</x:v>
      </x:c>
      <x:c r="N173" t="str">
        <x:v>W</x:v>
      </x:c>
      <x:c r="O173" t="str">
        <x:v>B</x:v>
      </x:c>
      <x:c r="P173" t="str">
        <x:v>B</x:v>
      </x:c>
      <x:c r="Q173" t="str">
        <x:v>W</x:v>
      </x:c>
      <x:c r="R173" t="str">
        <x:v>W</x:v>
      </x:c>
      <x:c r="S173" t="str">
        <x:v>B</x:v>
      </x:c>
      <x:c r="T173" t="str">
        <x:v>B</x:v>
      </x:c>
      <x:c r="U173" t="str">
        <x:v>B</x:v>
      </x:c>
      <x:c r="V173" t="n">
        <x:f>COUNTIF(B173:U173,"W")</x:f>
        <x:v>6</x:v>
      </x:c>
      <x:c r="W173" s="5" t="str">
        <x:f>IF(COUNTIF(B173:D173,"W")&gt;0,"Y","N")</x:f>
        <x:v>N</x:v>
      </x:c>
      <x:c r="X173" s="5" t="str">
        <x:f>IF(COUNTIF(B173:I173,"W")&gt;=4,"Y","N")</x:f>
        <x:v>N</x:v>
      </x:c>
      <x:c r="Y173" s="1"/>
      <x:c r="Z173" s="1"/>
      <x:c r="AA173" s="1"/>
      <x:c r="AB173" s="1"/>
      <x:c r="AC173" s="1"/>
      <x:c r="AD173" s="1"/>
      <x:c r="AE173" s="1"/>
    </x:row>
    <x:row r="174">
      <x:c r="A174" s="1">
        <x:v>173</x:v>
      </x:c>
      <x:c r="B174" t="str">
        <x:v>B</x:v>
      </x:c>
      <x:c r="C174" t="str">
        <x:v>B</x:v>
      </x:c>
      <x:c r="D174" t="str">
        <x:v>B</x:v>
      </x:c>
      <x:c r="E174" t="str">
        <x:v>B</x:v>
      </x:c>
      <x:c r="F174" t="str">
        <x:v>B</x:v>
      </x:c>
      <x:c r="G174" t="str">
        <x:v>B</x:v>
      </x:c>
      <x:c r="H174" t="str">
        <x:v>W</x:v>
      </x:c>
      <x:c r="I174" t="str">
        <x:v>B</x:v>
      </x:c>
      <x:c r="J174" t="str">
        <x:v>W</x:v>
      </x:c>
      <x:c r="K174" t="str">
        <x:v>B</x:v>
      </x:c>
      <x:c r="L174" t="str">
        <x:v>B</x:v>
      </x:c>
      <x:c r="M174" t="str">
        <x:v>B</x:v>
      </x:c>
      <x:c r="N174" t="str">
        <x:v>W</x:v>
      </x:c>
      <x:c r="O174" t="str">
        <x:v>W</x:v>
      </x:c>
      <x:c r="P174" t="str">
        <x:v>B</x:v>
      </x:c>
      <x:c r="Q174" t="str">
        <x:v>B</x:v>
      </x:c>
      <x:c r="R174" t="str">
        <x:v>W</x:v>
      </x:c>
      <x:c r="S174" t="str">
        <x:v>B</x:v>
      </x:c>
      <x:c r="T174" t="str">
        <x:v>B</x:v>
      </x:c>
      <x:c r="U174" t="str">
        <x:v>B</x:v>
      </x:c>
      <x:c r="V174" t="n">
        <x:f>COUNTIF(B174:U174,"W")</x:f>
        <x:v>5</x:v>
      </x:c>
      <x:c r="W174" s="5" t="str">
        <x:f>IF(COUNTIF(B174:D174,"W")&gt;0,"Y","N")</x:f>
        <x:v>N</x:v>
      </x:c>
      <x:c r="X174" s="5" t="str">
        <x:f>IF(COUNTIF(B174:I174,"W")&gt;=4,"Y","N")</x:f>
        <x:v>N</x:v>
      </x:c>
      <x:c r="Y174" s="1"/>
      <x:c r="Z174" s="1"/>
      <x:c r="AA174" s="1"/>
      <x:c r="AB174" s="1"/>
      <x:c r="AC174" s="1"/>
      <x:c r="AD174" s="1"/>
      <x:c r="AE174" s="1"/>
    </x:row>
    <x:row r="175">
      <x:c r="A175" s="1">
        <x:v>174</x:v>
      </x:c>
      <x:c r="B175" t="str">
        <x:v>B</x:v>
      </x:c>
      <x:c r="C175" t="str">
        <x:v>W</x:v>
      </x:c>
      <x:c r="D175" t="str">
        <x:v>B</x:v>
      </x:c>
      <x:c r="E175" t="str">
        <x:v>W</x:v>
      </x:c>
      <x:c r="F175" t="str">
        <x:v>W</x:v>
      </x:c>
      <x:c r="G175" t="str">
        <x:v>B</x:v>
      </x:c>
      <x:c r="H175" t="str">
        <x:v>W</x:v>
      </x:c>
      <x:c r="I175" t="str">
        <x:v>W</x:v>
      </x:c>
      <x:c r="J175" t="str">
        <x:v>B</x:v>
      </x:c>
      <x:c r="K175" t="str">
        <x:v>W</x:v>
      </x:c>
      <x:c r="L175" t="str">
        <x:v>W</x:v>
      </x:c>
      <x:c r="M175" t="str">
        <x:v>B</x:v>
      </x:c>
      <x:c r="N175" t="str">
        <x:v>W</x:v>
      </x:c>
      <x:c r="O175" t="str">
        <x:v>W</x:v>
      </x:c>
      <x:c r="P175" t="str">
        <x:v>B</x:v>
      </x:c>
      <x:c r="Q175" t="str">
        <x:v>B</x:v>
      </x:c>
      <x:c r="R175" t="str">
        <x:v>B</x:v>
      </x:c>
      <x:c r="S175" t="str">
        <x:v>B</x:v>
      </x:c>
      <x:c r="T175" t="str">
        <x:v>B</x:v>
      </x:c>
      <x:c r="U175" t="str">
        <x:v>B</x:v>
      </x:c>
      <x:c r="V175" t="n">
        <x:f>COUNTIF(B175:U175,"W")</x:f>
        <x:v>9</x:v>
      </x:c>
      <x:c r="W175" s="5" t="str">
        <x:f>IF(COUNTIF(B175:D175,"W")&gt;0,"Y","N")</x:f>
        <x:v>Y</x:v>
      </x:c>
      <x:c r="X175" s="5" t="str">
        <x:f>IF(COUNTIF(B175:I175,"W")&gt;=4,"Y","N")</x:f>
        <x:v>Y</x:v>
      </x:c>
      <x:c r="Y175" s="1"/>
      <x:c r="Z175" s="1"/>
      <x:c r="AA175" s="1"/>
      <x:c r="AB175" s="1"/>
      <x:c r="AC175" s="1"/>
      <x:c r="AD175" s="1"/>
      <x:c r="AE175" s="1"/>
    </x:row>
    <x:row r="176">
      <x:c r="A176" s="1">
        <x:v>175</x:v>
      </x:c>
      <x:c r="B176" t="str">
        <x:v>B</x:v>
      </x:c>
      <x:c r="C176" t="str">
        <x:v>B</x:v>
      </x:c>
      <x:c r="D176" t="str">
        <x:v>W</x:v>
      </x:c>
      <x:c r="E176" t="str">
        <x:v>B</x:v>
      </x:c>
      <x:c r="F176" t="str">
        <x:v>B</x:v>
      </x:c>
      <x:c r="G176" t="str">
        <x:v>B</x:v>
      </x:c>
      <x:c r="H176" t="str">
        <x:v>W</x:v>
      </x:c>
      <x:c r="I176" t="str">
        <x:v>B</x:v>
      </x:c>
      <x:c r="J176" t="str">
        <x:v>B</x:v>
      </x:c>
      <x:c r="K176" t="str">
        <x:v>B</x:v>
      </x:c>
      <x:c r="L176" t="str">
        <x:v>B</x:v>
      </x:c>
      <x:c r="M176" t="str">
        <x:v>B</x:v>
      </x:c>
      <x:c r="N176" t="str">
        <x:v>B</x:v>
      </x:c>
      <x:c r="O176" t="str">
        <x:v>B</x:v>
      </x:c>
      <x:c r="P176" t="str">
        <x:v>W</x:v>
      </x:c>
      <x:c r="Q176" t="str">
        <x:v>W</x:v>
      </x:c>
      <x:c r="R176" t="str">
        <x:v>B</x:v>
      </x:c>
      <x:c r="S176" t="str">
        <x:v>B</x:v>
      </x:c>
      <x:c r="T176" t="str">
        <x:v>W</x:v>
      </x:c>
      <x:c r="U176" t="str">
        <x:v>W</x:v>
      </x:c>
      <x:c r="V176" t="n">
        <x:f>COUNTIF(B176:U176,"W")</x:f>
        <x:v>6</x:v>
      </x:c>
      <x:c r="W176" s="5" t="str">
        <x:f>IF(COUNTIF(B176:D176,"W")&gt;0,"Y","N")</x:f>
        <x:v>Y</x:v>
      </x:c>
      <x:c r="X176" s="5" t="str">
        <x:f>IF(COUNTIF(B176:I176,"W")&gt;=4,"Y","N")</x:f>
        <x:v>N</x:v>
      </x:c>
      <x:c r="Y176" s="1"/>
      <x:c r="Z176" s="1"/>
      <x:c r="AA176" s="1"/>
      <x:c r="AB176" s="1"/>
      <x:c r="AC176" s="1"/>
      <x:c r="AD176" s="1"/>
      <x:c r="AE176" s="1"/>
    </x:row>
    <x:row r="177">
      <x:c r="A177" s="1">
        <x:v>176</x:v>
      </x:c>
      <x:c r="B177" t="str">
        <x:v>W</x:v>
      </x:c>
      <x:c r="C177" t="str">
        <x:v>B</x:v>
      </x:c>
      <x:c r="D177" t="str">
        <x:v>W</x:v>
      </x:c>
      <x:c r="E177" t="str">
        <x:v>W</x:v>
      </x:c>
      <x:c r="F177" t="str">
        <x:v>W</x:v>
      </x:c>
      <x:c r="G177" t="str">
        <x:v>W</x:v>
      </x:c>
      <x:c r="H177" t="str">
        <x:v>W</x:v>
      </x:c>
      <x:c r="I177" t="str">
        <x:v>W</x:v>
      </x:c>
      <x:c r="J177" t="str">
        <x:v>W</x:v>
      </x:c>
      <x:c r="K177" t="str">
        <x:v>W</x:v>
      </x:c>
      <x:c r="L177" t="str">
        <x:v>B</x:v>
      </x:c>
      <x:c r="M177" t="str">
        <x:v>B</x:v>
      </x:c>
      <x:c r="N177" t="str">
        <x:v>B</x:v>
      </x:c>
      <x:c r="O177" t="str">
        <x:v>B</x:v>
      </x:c>
      <x:c r="P177" t="str">
        <x:v>B</x:v>
      </x:c>
      <x:c r="Q177" t="str">
        <x:v>B</x:v>
      </x:c>
      <x:c r="R177" t="str">
        <x:v>B</x:v>
      </x:c>
      <x:c r="S177" t="str">
        <x:v>W</x:v>
      </x:c>
      <x:c r="T177" t="str">
        <x:v>W</x:v>
      </x:c>
      <x:c r="U177" t="str">
        <x:v>B</x:v>
      </x:c>
      <x:c r="V177" t="n">
        <x:f>COUNTIF(B177:U177,"W")</x:f>
        <x:v>11</x:v>
      </x:c>
      <x:c r="W177" s="5" t="str">
        <x:f>IF(COUNTIF(B177:D177,"W")&gt;0,"Y","N")</x:f>
        <x:v>Y</x:v>
      </x:c>
      <x:c r="X177" s="5" t="str">
        <x:f>IF(COUNTIF(B177:I177,"W")&gt;=4,"Y","N")</x:f>
        <x:v>Y</x:v>
      </x:c>
      <x:c r="Y177" s="1"/>
      <x:c r="Z177" s="1"/>
      <x:c r="AA177" s="1"/>
      <x:c r="AB177" s="1"/>
      <x:c r="AC177" s="1"/>
      <x:c r="AD177" s="1"/>
      <x:c r="AE177" s="1"/>
    </x:row>
    <x:row r="178">
      <x:c r="A178" s="1">
        <x:v>177</x:v>
      </x:c>
      <x:c r="B178" t="str">
        <x:v>W</x:v>
      </x:c>
      <x:c r="C178" t="str">
        <x:v>B</x:v>
      </x:c>
      <x:c r="D178" t="str">
        <x:v>B</x:v>
      </x:c>
      <x:c r="E178" t="str">
        <x:v>B</x:v>
      </x:c>
      <x:c r="F178" t="str">
        <x:v>B</x:v>
      </x:c>
      <x:c r="G178" t="str">
        <x:v>B</x:v>
      </x:c>
      <x:c r="H178" t="str">
        <x:v>B</x:v>
      </x:c>
      <x:c r="I178" t="str">
        <x:v>B</x:v>
      </x:c>
      <x:c r="J178" t="str">
        <x:v>B</x:v>
      </x:c>
      <x:c r="K178" t="str">
        <x:v>B</x:v>
      </x:c>
      <x:c r="L178" t="str">
        <x:v>W</x:v>
      </x:c>
      <x:c r="M178" t="str">
        <x:v>B</x:v>
      </x:c>
      <x:c r="N178" t="str">
        <x:v>B</x:v>
      </x:c>
      <x:c r="O178" t="str">
        <x:v>W</x:v>
      </x:c>
      <x:c r="P178" t="str">
        <x:v>W</x:v>
      </x:c>
      <x:c r="Q178" t="str">
        <x:v>B</x:v>
      </x:c>
      <x:c r="R178" t="str">
        <x:v>W</x:v>
      </x:c>
      <x:c r="S178" t="str">
        <x:v>B</x:v>
      </x:c>
      <x:c r="T178" t="str">
        <x:v>W</x:v>
      </x:c>
      <x:c r="U178" t="str">
        <x:v>B</x:v>
      </x:c>
      <x:c r="V178" t="n">
        <x:f>COUNTIF(B178:U178,"W")</x:f>
        <x:v>6</x:v>
      </x:c>
      <x:c r="W178" s="5" t="str">
        <x:f>IF(COUNTIF(B178:D178,"W")&gt;0,"Y","N")</x:f>
        <x:v>Y</x:v>
      </x:c>
      <x:c r="X178" s="5" t="str">
        <x:f>IF(COUNTIF(B178:I178,"W")&gt;=4,"Y","N")</x:f>
        <x:v>N</x:v>
      </x:c>
      <x:c r="Y178" s="1"/>
      <x:c r="Z178" s="1"/>
      <x:c r="AA178" s="1"/>
      <x:c r="AB178" s="1"/>
      <x:c r="AC178" s="1"/>
      <x:c r="AD178" s="1"/>
      <x:c r="AE178" s="1"/>
    </x:row>
    <x:row r="179">
      <x:c r="A179" s="1">
        <x:v>178</x:v>
      </x:c>
      <x:c r="B179" t="str">
        <x:v>B</x:v>
      </x:c>
      <x:c r="C179" t="str">
        <x:v>B</x:v>
      </x:c>
      <x:c r="D179" t="str">
        <x:v>B</x:v>
      </x:c>
      <x:c r="E179" t="str">
        <x:v>W</x:v>
      </x:c>
      <x:c r="F179" t="str">
        <x:v>W</x:v>
      </x:c>
      <x:c r="G179" t="str">
        <x:v>B</x:v>
      </x:c>
      <x:c r="H179" t="str">
        <x:v>B</x:v>
      </x:c>
      <x:c r="I179" t="str">
        <x:v>B</x:v>
      </x:c>
      <x:c r="J179" t="str">
        <x:v>B</x:v>
      </x:c>
      <x:c r="K179" t="str">
        <x:v>B</x:v>
      </x:c>
      <x:c r="L179" t="str">
        <x:v>B</x:v>
      </x:c>
      <x:c r="M179" t="str">
        <x:v>W</x:v>
      </x:c>
      <x:c r="N179" t="str">
        <x:v>B</x:v>
      </x:c>
      <x:c r="O179" t="str">
        <x:v>B</x:v>
      </x:c>
      <x:c r="P179" t="str">
        <x:v>W</x:v>
      </x:c>
      <x:c r="Q179" t="str">
        <x:v>W</x:v>
      </x:c>
      <x:c r="R179" t="str">
        <x:v>B</x:v>
      </x:c>
      <x:c r="S179" t="str">
        <x:v>W</x:v>
      </x:c>
      <x:c r="T179" t="str">
        <x:v>B</x:v>
      </x:c>
      <x:c r="U179" t="str">
        <x:v>B</x:v>
      </x:c>
      <x:c r="V179" t="n">
        <x:f>COUNTIF(B179:U179,"W")</x:f>
        <x:v>6</x:v>
      </x:c>
      <x:c r="W179" s="5" t="str">
        <x:f>IF(COUNTIF(B179:D179,"W")&gt;0,"Y","N")</x:f>
        <x:v>N</x:v>
      </x:c>
      <x:c r="X179" s="5" t="str">
        <x:f>IF(COUNTIF(B179:I179,"W")&gt;=4,"Y","N")</x:f>
        <x:v>N</x:v>
      </x:c>
      <x:c r="Y179" s="1"/>
      <x:c r="Z179" s="1"/>
      <x:c r="AA179" s="1"/>
      <x:c r="AB179" s="1"/>
      <x:c r="AC179" s="1"/>
      <x:c r="AD179" s="1"/>
      <x:c r="AE179" s="1"/>
    </x:row>
    <x:row r="180">
      <x:c r="A180" s="1">
        <x:v>179</x:v>
      </x:c>
      <x:c r="B180" t="str">
        <x:v>W</x:v>
      </x:c>
      <x:c r="C180" t="str">
        <x:v>W</x:v>
      </x:c>
      <x:c r="D180" t="str">
        <x:v>B</x:v>
      </x:c>
      <x:c r="E180" t="str">
        <x:v>B</x:v>
      </x:c>
      <x:c r="F180" t="str">
        <x:v>W</x:v>
      </x:c>
      <x:c r="G180" t="str">
        <x:v>W</x:v>
      </x:c>
      <x:c r="H180" t="str">
        <x:v>W</x:v>
      </x:c>
      <x:c r="I180" t="str">
        <x:v>B</x:v>
      </x:c>
      <x:c r="J180" t="str">
        <x:v>B</x:v>
      </x:c>
      <x:c r="K180" t="str">
        <x:v>W</x:v>
      </x:c>
      <x:c r="L180" t="str">
        <x:v>B</x:v>
      </x:c>
      <x:c r="M180" t="str">
        <x:v>B</x:v>
      </x:c>
      <x:c r="N180" t="str">
        <x:v>B</x:v>
      </x:c>
      <x:c r="O180" t="str">
        <x:v>B</x:v>
      </x:c>
      <x:c r="P180" t="str">
        <x:v>B</x:v>
      </x:c>
      <x:c r="Q180" t="str">
        <x:v>B</x:v>
      </x:c>
      <x:c r="R180" t="str">
        <x:v>B</x:v>
      </x:c>
      <x:c r="S180" t="str">
        <x:v>B</x:v>
      </x:c>
      <x:c r="T180" t="str">
        <x:v>B</x:v>
      </x:c>
      <x:c r="U180" t="str">
        <x:v>B</x:v>
      </x:c>
      <x:c r="V180" t="n">
        <x:f>COUNTIF(B180:U180,"W")</x:f>
        <x:v>6</x:v>
      </x:c>
      <x:c r="W180" s="5" t="str">
        <x:f>IF(COUNTIF(B180:D180,"W")&gt;0,"Y","N")</x:f>
        <x:v>Y</x:v>
      </x:c>
      <x:c r="X180" s="5" t="str">
        <x:f>IF(COUNTIF(B180:I180,"W")&gt;=4,"Y","N")</x:f>
        <x:v>Y</x:v>
      </x:c>
      <x:c r="Y180" s="1"/>
      <x:c r="Z180" s="1"/>
      <x:c r="AA180" s="1"/>
      <x:c r="AB180" s="1"/>
      <x:c r="AC180" s="1"/>
      <x:c r="AD180" s="1"/>
      <x:c r="AE180" s="1"/>
    </x:row>
    <x:row r="181">
      <x:c r="A181" s="1">
        <x:v>180</x:v>
      </x:c>
      <x:c r="B181" t="str">
        <x:v>B</x:v>
      </x:c>
      <x:c r="C181" t="str">
        <x:v>W</x:v>
      </x:c>
      <x:c r="D181" t="str">
        <x:v>W</x:v>
      </x:c>
      <x:c r="E181" t="str">
        <x:v>B</x:v>
      </x:c>
      <x:c r="F181" t="str">
        <x:v>W</x:v>
      </x:c>
      <x:c r="G181" t="str">
        <x:v>W</x:v>
      </x:c>
      <x:c r="H181" t="str">
        <x:v>W</x:v>
      </x:c>
      <x:c r="I181" t="str">
        <x:v>W</x:v>
      </x:c>
      <x:c r="J181" t="str">
        <x:v>B</x:v>
      </x:c>
      <x:c r="K181" t="str">
        <x:v>B</x:v>
      </x:c>
      <x:c r="L181" t="str">
        <x:v>W</x:v>
      </x:c>
      <x:c r="M181" t="str">
        <x:v>W</x:v>
      </x:c>
      <x:c r="N181" t="str">
        <x:v>W</x:v>
      </x:c>
      <x:c r="O181" t="str">
        <x:v>B</x:v>
      </x:c>
      <x:c r="P181" t="str">
        <x:v>B</x:v>
      </x:c>
      <x:c r="Q181" t="str">
        <x:v>B</x:v>
      </x:c>
      <x:c r="R181" t="str">
        <x:v>B</x:v>
      </x:c>
      <x:c r="S181" t="str">
        <x:v>B</x:v>
      </x:c>
      <x:c r="T181" t="str">
        <x:v>B</x:v>
      </x:c>
      <x:c r="U181" t="str">
        <x:v>W</x:v>
      </x:c>
      <x:c r="V181" t="n">
        <x:f>COUNTIF(B181:U181,"W")</x:f>
        <x:v>10</x:v>
      </x:c>
      <x:c r="W181" s="5" t="str">
        <x:f>IF(COUNTIF(B181:D181,"W")&gt;0,"Y","N")</x:f>
        <x:v>Y</x:v>
      </x:c>
      <x:c r="X181" s="5" t="str">
        <x:f>IF(COUNTIF(B181:I181,"W")&gt;=4,"Y","N")</x:f>
        <x:v>Y</x:v>
      </x:c>
      <x:c r="Y181" s="1"/>
      <x:c r="Z181" s="1"/>
      <x:c r="AA181" s="1"/>
      <x:c r="AB181" s="1"/>
      <x:c r="AC181" s="1"/>
      <x:c r="AD181" s="1"/>
      <x:c r="AE181" s="1"/>
    </x:row>
    <x:row r="182">
      <x:c r="A182" s="1">
        <x:v>181</x:v>
      </x:c>
      <x:c r="B182" t="str">
        <x:v>B</x:v>
      </x:c>
      <x:c r="C182" t="str">
        <x:v>B</x:v>
      </x:c>
      <x:c r="D182" t="str">
        <x:v>B</x:v>
      </x:c>
      <x:c r="E182" t="str">
        <x:v>W</x:v>
      </x:c>
      <x:c r="F182" t="str">
        <x:v>B</x:v>
      </x:c>
      <x:c r="G182" t="str">
        <x:v>B</x:v>
      </x:c>
      <x:c r="H182" t="str">
        <x:v>B</x:v>
      </x:c>
      <x:c r="I182" t="str">
        <x:v>W</x:v>
      </x:c>
      <x:c r="J182" t="str">
        <x:v>W</x:v>
      </x:c>
      <x:c r="K182" t="str">
        <x:v>B</x:v>
      </x:c>
      <x:c r="L182" t="str">
        <x:v>B</x:v>
      </x:c>
      <x:c r="M182" t="str">
        <x:v>B</x:v>
      </x:c>
      <x:c r="N182" t="str">
        <x:v>B</x:v>
      </x:c>
      <x:c r="O182" t="str">
        <x:v>B</x:v>
      </x:c>
      <x:c r="P182" t="str">
        <x:v>B</x:v>
      </x:c>
      <x:c r="Q182" t="str">
        <x:v>B</x:v>
      </x:c>
      <x:c r="R182" t="str">
        <x:v>W</x:v>
      </x:c>
      <x:c r="S182" t="str">
        <x:v>W</x:v>
      </x:c>
      <x:c r="T182" t="str">
        <x:v>B</x:v>
      </x:c>
      <x:c r="U182" t="str">
        <x:v>W</x:v>
      </x:c>
      <x:c r="V182" t="n">
        <x:f>COUNTIF(B182:U182,"W")</x:f>
        <x:v>6</x:v>
      </x:c>
      <x:c r="W182" s="5" t="str">
        <x:f>IF(COUNTIF(B182:D182,"W")&gt;0,"Y","N")</x:f>
        <x:v>N</x:v>
      </x:c>
      <x:c r="X182" s="5" t="str">
        <x:f>IF(COUNTIF(B182:I182,"W")&gt;=4,"Y","N")</x:f>
        <x:v>N</x:v>
      </x:c>
      <x:c r="Y182" s="1"/>
      <x:c r="Z182" s="1"/>
      <x:c r="AA182" s="1"/>
      <x:c r="AB182" s="1"/>
      <x:c r="AC182" s="1"/>
      <x:c r="AD182" s="1"/>
      <x:c r="AE182" s="1"/>
    </x:row>
    <x:row r="183">
      <x:c r="A183" s="1">
        <x:v>182</x:v>
      </x:c>
      <x:c r="B183" t="str">
        <x:v>B</x:v>
      </x:c>
      <x:c r="C183" t="str">
        <x:v>B</x:v>
      </x:c>
      <x:c r="D183" t="str">
        <x:v>B</x:v>
      </x:c>
      <x:c r="E183" t="str">
        <x:v>W</x:v>
      </x:c>
      <x:c r="F183" t="str">
        <x:v>B</x:v>
      </x:c>
      <x:c r="G183" t="str">
        <x:v>B</x:v>
      </x:c>
      <x:c r="H183" t="str">
        <x:v>B</x:v>
      </x:c>
      <x:c r="I183" t="str">
        <x:v>B</x:v>
      </x:c>
      <x:c r="J183" t="str">
        <x:v>B</x:v>
      </x:c>
      <x:c r="K183" t="str">
        <x:v>B</x:v>
      </x:c>
      <x:c r="L183" t="str">
        <x:v>W</x:v>
      </x:c>
      <x:c r="M183" t="str">
        <x:v>W</x:v>
      </x:c>
      <x:c r="N183" t="str">
        <x:v>B</x:v>
      </x:c>
      <x:c r="O183" t="str">
        <x:v>B</x:v>
      </x:c>
      <x:c r="P183" t="str">
        <x:v>B</x:v>
      </x:c>
      <x:c r="Q183" t="str">
        <x:v>W</x:v>
      </x:c>
      <x:c r="R183" t="str">
        <x:v>B</x:v>
      </x:c>
      <x:c r="S183" t="str">
        <x:v>B</x:v>
      </x:c>
      <x:c r="T183" t="str">
        <x:v>W</x:v>
      </x:c>
      <x:c r="U183" t="str">
        <x:v>B</x:v>
      </x:c>
      <x:c r="V183" t="n">
        <x:f>COUNTIF(B183:U183,"W")</x:f>
        <x:v>5</x:v>
      </x:c>
      <x:c r="W183" s="5" t="str">
        <x:f>IF(COUNTIF(B183:D183,"W")&gt;0,"Y","N")</x:f>
        <x:v>N</x:v>
      </x:c>
      <x:c r="X183" s="5" t="str">
        <x:f>IF(COUNTIF(B183:I183,"W")&gt;=4,"Y","N")</x:f>
        <x:v>N</x:v>
      </x:c>
      <x:c r="Y183" s="1"/>
      <x:c r="Z183" s="1"/>
      <x:c r="AA183" s="1"/>
      <x:c r="AB183" s="1"/>
      <x:c r="AC183" s="1"/>
      <x:c r="AD183" s="1"/>
      <x:c r="AE183" s="1"/>
    </x:row>
    <x:row r="184">
      <x:c r="A184" s="1">
        <x:v>183</x:v>
      </x:c>
      <x:c r="B184" t="str">
        <x:v>B</x:v>
      </x:c>
      <x:c r="C184" t="str">
        <x:v>B</x:v>
      </x:c>
      <x:c r="D184" t="str">
        <x:v>W</x:v>
      </x:c>
      <x:c r="E184" t="str">
        <x:v>B</x:v>
      </x:c>
      <x:c r="F184" t="str">
        <x:v>W</x:v>
      </x:c>
      <x:c r="G184" t="str">
        <x:v>W</x:v>
      </x:c>
      <x:c r="H184" t="str">
        <x:v>B</x:v>
      </x:c>
      <x:c r="I184" t="str">
        <x:v>W</x:v>
      </x:c>
      <x:c r="J184" t="str">
        <x:v>W</x:v>
      </x:c>
      <x:c r="K184" t="str">
        <x:v>W</x:v>
      </x:c>
      <x:c r="L184" t="str">
        <x:v>B</x:v>
      </x:c>
      <x:c r="M184" t="str">
        <x:v>B</x:v>
      </x:c>
      <x:c r="N184" t="str">
        <x:v>B</x:v>
      </x:c>
      <x:c r="O184" t="str">
        <x:v>W</x:v>
      </x:c>
      <x:c r="P184" t="str">
        <x:v>W</x:v>
      </x:c>
      <x:c r="Q184" t="str">
        <x:v>B</x:v>
      </x:c>
      <x:c r="R184" t="str">
        <x:v>B</x:v>
      </x:c>
      <x:c r="S184" t="str">
        <x:v>W</x:v>
      </x:c>
      <x:c r="T184" t="str">
        <x:v>B</x:v>
      </x:c>
      <x:c r="U184" t="str">
        <x:v>W</x:v>
      </x:c>
      <x:c r="V184" t="n">
        <x:f>COUNTIF(B184:U184,"W")</x:f>
        <x:v>10</x:v>
      </x:c>
      <x:c r="W184" s="5" t="str">
        <x:f>IF(COUNTIF(B184:D184,"W")&gt;0,"Y","N")</x:f>
        <x:v>Y</x:v>
      </x:c>
      <x:c r="X184" s="5" t="str">
        <x:f>IF(COUNTIF(B184:I184,"W")&gt;=4,"Y","N")</x:f>
        <x:v>Y</x:v>
      </x:c>
      <x:c r="Y184" s="1"/>
      <x:c r="Z184" s="1"/>
      <x:c r="AA184" s="1"/>
      <x:c r="AB184" s="1"/>
      <x:c r="AC184" s="1"/>
      <x:c r="AD184" s="1"/>
      <x:c r="AE184" s="1"/>
    </x:row>
    <x:row r="185">
      <x:c r="A185" s="1">
        <x:v>184</x:v>
      </x:c>
      <x:c r="B185" t="str">
        <x:v>B</x:v>
      </x:c>
      <x:c r="C185" t="str">
        <x:v>W</x:v>
      </x:c>
      <x:c r="D185" t="str">
        <x:v>W</x:v>
      </x:c>
      <x:c r="E185" t="str">
        <x:v>B</x:v>
      </x:c>
      <x:c r="F185" t="str">
        <x:v>B</x:v>
      </x:c>
      <x:c r="G185" t="str">
        <x:v>W</x:v>
      </x:c>
      <x:c r="H185" t="str">
        <x:v>B</x:v>
      </x:c>
      <x:c r="I185" t="str">
        <x:v>W</x:v>
      </x:c>
      <x:c r="J185" t="str">
        <x:v>B</x:v>
      </x:c>
      <x:c r="K185" t="str">
        <x:v>B</x:v>
      </x:c>
      <x:c r="L185" t="str">
        <x:v>B</x:v>
      </x:c>
      <x:c r="M185" t="str">
        <x:v>W</x:v>
      </x:c>
      <x:c r="N185" t="str">
        <x:v>B</x:v>
      </x:c>
      <x:c r="O185" t="str">
        <x:v>W</x:v>
      </x:c>
      <x:c r="P185" t="str">
        <x:v>B</x:v>
      </x:c>
      <x:c r="Q185" t="str">
        <x:v>B</x:v>
      </x:c>
      <x:c r="R185" t="str">
        <x:v>W</x:v>
      </x:c>
      <x:c r="S185" t="str">
        <x:v>B</x:v>
      </x:c>
      <x:c r="T185" t="str">
        <x:v>W</x:v>
      </x:c>
      <x:c r="U185" t="str">
        <x:v>W</x:v>
      </x:c>
      <x:c r="V185" t="n">
        <x:f>COUNTIF(B185:U185,"W")</x:f>
        <x:v>9</x:v>
      </x:c>
      <x:c r="W185" s="5" t="str">
        <x:f>IF(COUNTIF(B185:D185,"W")&gt;0,"Y","N")</x:f>
        <x:v>Y</x:v>
      </x:c>
      <x:c r="X185" s="5" t="str">
        <x:f>IF(COUNTIF(B185:I185,"W")&gt;=4,"Y","N")</x:f>
        <x:v>Y</x:v>
      </x:c>
      <x:c r="Y185" s="1"/>
      <x:c r="Z185" s="1"/>
      <x:c r="AA185" s="1"/>
      <x:c r="AB185" s="1"/>
      <x:c r="AC185" s="1"/>
      <x:c r="AD185" s="1"/>
      <x:c r="AE185" s="1"/>
    </x:row>
    <x:row r="186">
      <x:c r="A186" s="1">
        <x:v>185</x:v>
      </x:c>
      <x:c r="B186" t="str">
        <x:v>B</x:v>
      </x:c>
      <x:c r="C186" t="str">
        <x:v>B</x:v>
      </x:c>
      <x:c r="D186" t="str">
        <x:v>B</x:v>
      </x:c>
      <x:c r="E186" t="str">
        <x:v>W</x:v>
      </x:c>
      <x:c r="F186" t="str">
        <x:v>W</x:v>
      </x:c>
      <x:c r="G186" t="str">
        <x:v>W</x:v>
      </x:c>
      <x:c r="H186" t="str">
        <x:v>W</x:v>
      </x:c>
      <x:c r="I186" t="str">
        <x:v>W</x:v>
      </x:c>
      <x:c r="J186" t="str">
        <x:v>B</x:v>
      </x:c>
      <x:c r="K186" t="str">
        <x:v>B</x:v>
      </x:c>
      <x:c r="L186" t="str">
        <x:v>W</x:v>
      </x:c>
      <x:c r="M186" t="str">
        <x:v>B</x:v>
      </x:c>
      <x:c r="N186" t="str">
        <x:v>B</x:v>
      </x:c>
      <x:c r="O186" t="str">
        <x:v>W</x:v>
      </x:c>
      <x:c r="P186" t="str">
        <x:v>B</x:v>
      </x:c>
      <x:c r="Q186" t="str">
        <x:v>W</x:v>
      </x:c>
      <x:c r="R186" t="str">
        <x:v>B</x:v>
      </x:c>
      <x:c r="S186" t="str">
        <x:v>B</x:v>
      </x:c>
      <x:c r="T186" t="str">
        <x:v>W</x:v>
      </x:c>
      <x:c r="U186" t="str">
        <x:v>B</x:v>
      </x:c>
      <x:c r="V186" t="n">
        <x:f>COUNTIF(B186:U186,"W")</x:f>
        <x:v>9</x:v>
      </x:c>
      <x:c r="W186" s="5" t="str">
        <x:f>IF(COUNTIF(B186:D186,"W")&gt;0,"Y","N")</x:f>
        <x:v>N</x:v>
      </x:c>
      <x:c r="X186" s="5" t="str">
        <x:f>IF(COUNTIF(B186:I186,"W")&gt;=4,"Y","N")</x:f>
        <x:v>Y</x:v>
      </x:c>
      <x:c r="Y186" s="1"/>
      <x:c r="Z186" s="1"/>
      <x:c r="AA186" s="1"/>
      <x:c r="AB186" s="1"/>
      <x:c r="AC186" s="1"/>
      <x:c r="AD186" s="1"/>
      <x:c r="AE186" s="1"/>
    </x:row>
    <x:row r="187">
      <x:c r="A187" s="1">
        <x:v>186</x:v>
      </x:c>
      <x:c r="B187" t="str">
        <x:v>B</x:v>
      </x:c>
      <x:c r="C187" t="str">
        <x:v>B</x:v>
      </x:c>
      <x:c r="D187" t="str">
        <x:v>B</x:v>
      </x:c>
      <x:c r="E187" t="str">
        <x:v>B</x:v>
      </x:c>
      <x:c r="F187" t="str">
        <x:v>B</x:v>
      </x:c>
      <x:c r="G187" t="str">
        <x:v>B</x:v>
      </x:c>
      <x:c r="H187" t="str">
        <x:v>W</x:v>
      </x:c>
      <x:c r="I187" t="str">
        <x:v>B</x:v>
      </x:c>
      <x:c r="J187" t="str">
        <x:v>B</x:v>
      </x:c>
      <x:c r="K187" t="str">
        <x:v>B</x:v>
      </x:c>
      <x:c r="L187" t="str">
        <x:v>B</x:v>
      </x:c>
      <x:c r="M187" t="str">
        <x:v>B</x:v>
      </x:c>
      <x:c r="N187" t="str">
        <x:v>B</x:v>
      </x:c>
      <x:c r="O187" t="str">
        <x:v>B</x:v>
      </x:c>
      <x:c r="P187" t="str">
        <x:v>B</x:v>
      </x:c>
      <x:c r="Q187" t="str">
        <x:v>W</x:v>
      </x:c>
      <x:c r="R187" t="str">
        <x:v>B</x:v>
      </x:c>
      <x:c r="S187" t="str">
        <x:v>W</x:v>
      </x:c>
      <x:c r="T187" t="str">
        <x:v>B</x:v>
      </x:c>
      <x:c r="U187" t="str">
        <x:v>B</x:v>
      </x:c>
      <x:c r="V187" t="n">
        <x:f>COUNTIF(B187:U187,"W")</x:f>
        <x:v>3</x:v>
      </x:c>
      <x:c r="W187" s="5" t="str">
        <x:f>IF(COUNTIF(B187:D187,"W")&gt;0,"Y","N")</x:f>
        <x:v>N</x:v>
      </x:c>
      <x:c r="X187" s="5" t="str">
        <x:f>IF(COUNTIF(B187:I187,"W")&gt;=4,"Y","N")</x:f>
        <x:v>N</x:v>
      </x:c>
      <x:c r="Y187" s="1"/>
      <x:c r="Z187" s="1"/>
      <x:c r="AA187" s="1"/>
      <x:c r="AB187" s="1"/>
      <x:c r="AC187" s="1"/>
      <x:c r="AD187" s="1"/>
      <x:c r="AE187" s="1"/>
    </x:row>
    <x:row r="188">
      <x:c r="A188" s="1">
        <x:v>187</x:v>
      </x:c>
      <x:c r="B188" t="str">
        <x:v>W</x:v>
      </x:c>
      <x:c r="C188" t="str">
        <x:v>W</x:v>
      </x:c>
      <x:c r="D188" t="str">
        <x:v>W</x:v>
      </x:c>
      <x:c r="E188" t="str">
        <x:v>B</x:v>
      </x:c>
      <x:c r="F188" t="str">
        <x:v>W</x:v>
      </x:c>
      <x:c r="G188" t="str">
        <x:v>W</x:v>
      </x:c>
      <x:c r="H188" t="str">
        <x:v>B</x:v>
      </x:c>
      <x:c r="I188" t="str">
        <x:v>B</x:v>
      </x:c>
      <x:c r="J188" t="str">
        <x:v>B</x:v>
      </x:c>
      <x:c r="K188" t="str">
        <x:v>W</x:v>
      </x:c>
      <x:c r="L188" t="str">
        <x:v>W</x:v>
      </x:c>
      <x:c r="M188" t="str">
        <x:v>W</x:v>
      </x:c>
      <x:c r="N188" t="str">
        <x:v>B</x:v>
      </x:c>
      <x:c r="O188" t="str">
        <x:v>W</x:v>
      </x:c>
      <x:c r="P188" t="str">
        <x:v>B</x:v>
      </x:c>
      <x:c r="Q188" t="str">
        <x:v>B</x:v>
      </x:c>
      <x:c r="R188" t="str">
        <x:v>W</x:v>
      </x:c>
      <x:c r="S188" t="str">
        <x:v>B</x:v>
      </x:c>
      <x:c r="T188" t="str">
        <x:v>W</x:v>
      </x:c>
      <x:c r="U188" t="str">
        <x:v>B</x:v>
      </x:c>
      <x:c r="V188" t="n">
        <x:f>COUNTIF(B188:U188,"W")</x:f>
        <x:v>11</x:v>
      </x:c>
      <x:c r="W188" s="5" t="str">
        <x:f>IF(COUNTIF(B188:D188,"W")&gt;0,"Y","N")</x:f>
        <x:v>Y</x:v>
      </x:c>
      <x:c r="X188" s="5" t="str">
        <x:f>IF(COUNTIF(B188:I188,"W")&gt;=4,"Y","N")</x:f>
        <x:v>Y</x:v>
      </x:c>
      <x:c r="Y188" s="1"/>
      <x:c r="Z188" s="1"/>
      <x:c r="AA188" s="1"/>
      <x:c r="AB188" s="1"/>
      <x:c r="AC188" s="1"/>
      <x:c r="AD188" s="1"/>
      <x:c r="AE188" s="1"/>
    </x:row>
    <x:row r="189">
      <x:c r="A189" s="1">
        <x:v>188</x:v>
      </x:c>
      <x:c r="B189" t="str">
        <x:v>B</x:v>
      </x:c>
      <x:c r="C189" t="str">
        <x:v>W</x:v>
      </x:c>
      <x:c r="D189" t="str">
        <x:v>B</x:v>
      </x:c>
      <x:c r="E189" t="str">
        <x:v>W</x:v>
      </x:c>
      <x:c r="F189" t="str">
        <x:v>B</x:v>
      </x:c>
      <x:c r="G189" t="str">
        <x:v>W</x:v>
      </x:c>
      <x:c r="H189" t="str">
        <x:v>W</x:v>
      </x:c>
      <x:c r="I189" t="str">
        <x:v>B</x:v>
      </x:c>
      <x:c r="J189" t="str">
        <x:v>W</x:v>
      </x:c>
      <x:c r="K189" t="str">
        <x:v>B</x:v>
      </x:c>
      <x:c r="L189" t="str">
        <x:v>W</x:v>
      </x:c>
      <x:c r="M189" t="str">
        <x:v>W</x:v>
      </x:c>
      <x:c r="N189" t="str">
        <x:v>B</x:v>
      </x:c>
      <x:c r="O189" t="str">
        <x:v>W</x:v>
      </x:c>
      <x:c r="P189" t="str">
        <x:v>B</x:v>
      </x:c>
      <x:c r="Q189" t="str">
        <x:v>W</x:v>
      </x:c>
      <x:c r="R189" t="str">
        <x:v>B</x:v>
      </x:c>
      <x:c r="S189" t="str">
        <x:v>B</x:v>
      </x:c>
      <x:c r="T189" t="str">
        <x:v>B</x:v>
      </x:c>
      <x:c r="U189" t="str">
        <x:v>B</x:v>
      </x:c>
      <x:c r="V189" t="n">
        <x:f>COUNTIF(B189:U189,"W")</x:f>
        <x:v>9</x:v>
      </x:c>
      <x:c r="W189" s="5" t="str">
        <x:f>IF(COUNTIF(B189:D189,"W")&gt;0,"Y","N")</x:f>
        <x:v>Y</x:v>
      </x:c>
      <x:c r="X189" s="5" t="str">
        <x:f>IF(COUNTIF(B189:I189,"W")&gt;=4,"Y","N")</x:f>
        <x:v>Y</x:v>
      </x:c>
      <x:c r="Y189" s="1"/>
      <x:c r="Z189" s="1"/>
      <x:c r="AA189" s="1"/>
      <x:c r="AB189" s="1"/>
      <x:c r="AC189" s="1"/>
      <x:c r="AD189" s="1"/>
      <x:c r="AE189" s="1"/>
    </x:row>
    <x:row r="190">
      <x:c r="A190" s="1">
        <x:v>189</x:v>
      </x:c>
      <x:c r="B190" t="str">
        <x:v>W</x:v>
      </x:c>
      <x:c r="C190" t="str">
        <x:v>B</x:v>
      </x:c>
      <x:c r="D190" t="str">
        <x:v>W</x:v>
      </x:c>
      <x:c r="E190" t="str">
        <x:v>W</x:v>
      </x:c>
      <x:c r="F190" t="str">
        <x:v>B</x:v>
      </x:c>
      <x:c r="G190" t="str">
        <x:v>B</x:v>
      </x:c>
      <x:c r="H190" t="str">
        <x:v>W</x:v>
      </x:c>
      <x:c r="I190" t="str">
        <x:v>B</x:v>
      </x:c>
      <x:c r="J190" t="str">
        <x:v>W</x:v>
      </x:c>
      <x:c r="K190" t="str">
        <x:v>B</x:v>
      </x:c>
      <x:c r="L190" t="str">
        <x:v>W</x:v>
      </x:c>
      <x:c r="M190" t="str">
        <x:v>W</x:v>
      </x:c>
      <x:c r="N190" t="str">
        <x:v>W</x:v>
      </x:c>
      <x:c r="O190" t="str">
        <x:v>W</x:v>
      </x:c>
      <x:c r="P190" t="str">
        <x:v>B</x:v>
      </x:c>
      <x:c r="Q190" t="str">
        <x:v>B</x:v>
      </x:c>
      <x:c r="R190" t="str">
        <x:v>W</x:v>
      </x:c>
      <x:c r="S190" t="str">
        <x:v>B</x:v>
      </x:c>
      <x:c r="T190" t="str">
        <x:v>B</x:v>
      </x:c>
      <x:c r="U190" t="str">
        <x:v>W</x:v>
      </x:c>
      <x:c r="V190" t="n">
        <x:f>COUNTIF(B190:U190,"W")</x:f>
        <x:v>11</x:v>
      </x:c>
      <x:c r="W190" s="5" t="str">
        <x:f>IF(COUNTIF(B190:D190,"W")&gt;0,"Y","N")</x:f>
        <x:v>Y</x:v>
      </x:c>
      <x:c r="X190" s="5" t="str">
        <x:f>IF(COUNTIF(B190:I190,"W")&gt;=4,"Y","N")</x:f>
        <x:v>Y</x:v>
      </x:c>
      <x:c r="Y190" s="1"/>
      <x:c r="Z190" s="1"/>
      <x:c r="AA190" s="1"/>
      <x:c r="AB190" s="1"/>
      <x:c r="AC190" s="1"/>
      <x:c r="AD190" s="1"/>
      <x:c r="AE190" s="1"/>
    </x:row>
    <x:row r="191">
      <x:c r="A191" s="1">
        <x:v>190</x:v>
      </x:c>
      <x:c r="B191" t="str">
        <x:v>B</x:v>
      </x:c>
      <x:c r="C191" t="str">
        <x:v>W</x:v>
      </x:c>
      <x:c r="D191" t="str">
        <x:v>B</x:v>
      </x:c>
      <x:c r="E191" t="str">
        <x:v>B</x:v>
      </x:c>
      <x:c r="F191" t="str">
        <x:v>B</x:v>
      </x:c>
      <x:c r="G191" t="str">
        <x:v>W</x:v>
      </x:c>
      <x:c r="H191" t="str">
        <x:v>W</x:v>
      </x:c>
      <x:c r="I191" t="str">
        <x:v>B</x:v>
      </x:c>
      <x:c r="J191" t="str">
        <x:v>B</x:v>
      </x:c>
      <x:c r="K191" t="str">
        <x:v>W</x:v>
      </x:c>
      <x:c r="L191" t="str">
        <x:v>B</x:v>
      </x:c>
      <x:c r="M191" t="str">
        <x:v>B</x:v>
      </x:c>
      <x:c r="N191" t="str">
        <x:v>W</x:v>
      </x:c>
      <x:c r="O191" t="str">
        <x:v>B</x:v>
      </x:c>
      <x:c r="P191" t="str">
        <x:v>B</x:v>
      </x:c>
      <x:c r="Q191" t="str">
        <x:v>B</x:v>
      </x:c>
      <x:c r="R191" t="str">
        <x:v>W</x:v>
      </x:c>
      <x:c r="S191" t="str">
        <x:v>B</x:v>
      </x:c>
      <x:c r="T191" t="str">
        <x:v>W</x:v>
      </x:c>
      <x:c r="U191" t="str">
        <x:v>W</x:v>
      </x:c>
      <x:c r="V191" t="n">
        <x:f>COUNTIF(B191:U191,"W")</x:f>
        <x:v>8</x:v>
      </x:c>
      <x:c r="W191" s="5" t="str">
        <x:f>IF(COUNTIF(B191:D191,"W")&gt;0,"Y","N")</x:f>
        <x:v>Y</x:v>
      </x:c>
      <x:c r="X191" s="5" t="str">
        <x:f>IF(COUNTIF(B191:I191,"W")&gt;=4,"Y","N")</x:f>
        <x:v>N</x:v>
      </x:c>
      <x:c r="Y191" s="1"/>
      <x:c r="Z191" s="1"/>
      <x:c r="AA191" s="1"/>
      <x:c r="AB191" s="1"/>
      <x:c r="AC191" s="1"/>
      <x:c r="AD191" s="1"/>
      <x:c r="AE191" s="1"/>
    </x:row>
    <x:row r="192">
      <x:c r="A192" s="1">
        <x:v>191</x:v>
      </x:c>
      <x:c r="B192" t="str">
        <x:v>W</x:v>
      </x:c>
      <x:c r="C192" t="str">
        <x:v>B</x:v>
      </x:c>
      <x:c r="D192" t="str">
        <x:v>B</x:v>
      </x:c>
      <x:c r="E192" t="str">
        <x:v>W</x:v>
      </x:c>
      <x:c r="F192" t="str">
        <x:v>B</x:v>
      </x:c>
      <x:c r="G192" t="str">
        <x:v>W</x:v>
      </x:c>
      <x:c r="H192" t="str">
        <x:v>W</x:v>
      </x:c>
      <x:c r="I192" t="str">
        <x:v>W</x:v>
      </x:c>
      <x:c r="J192" t="str">
        <x:v>W</x:v>
      </x:c>
      <x:c r="K192" t="str">
        <x:v>B</x:v>
      </x:c>
      <x:c r="L192" t="str">
        <x:v>B</x:v>
      </x:c>
      <x:c r="M192" t="str">
        <x:v>B</x:v>
      </x:c>
      <x:c r="N192" t="str">
        <x:v>W</x:v>
      </x:c>
      <x:c r="O192" t="str">
        <x:v>B</x:v>
      </x:c>
      <x:c r="P192" t="str">
        <x:v>W</x:v>
      </x:c>
      <x:c r="Q192" t="str">
        <x:v>W</x:v>
      </x:c>
      <x:c r="R192" t="str">
        <x:v>W</x:v>
      </x:c>
      <x:c r="S192" t="str">
        <x:v>W</x:v>
      </x:c>
      <x:c r="T192" t="str">
        <x:v>B</x:v>
      </x:c>
      <x:c r="U192" t="str">
        <x:v>W</x:v>
      </x:c>
      <x:c r="V192" t="n">
        <x:f>COUNTIF(B192:U192,"W")</x:f>
        <x:v>12</x:v>
      </x:c>
      <x:c r="W192" s="5" t="str">
        <x:f>IF(COUNTIF(B192:D192,"W")&gt;0,"Y","N")</x:f>
        <x:v>Y</x:v>
      </x:c>
      <x:c r="X192" s="5" t="str">
        <x:f>IF(COUNTIF(B192:I192,"W")&gt;=4,"Y","N")</x:f>
        <x:v>Y</x:v>
      </x:c>
      <x:c r="Y192" s="1"/>
      <x:c r="Z192" s="1"/>
      <x:c r="AA192" s="1"/>
      <x:c r="AB192" s="1"/>
      <x:c r="AC192" s="1"/>
      <x:c r="AD192" s="1"/>
      <x:c r="AE192" s="1"/>
    </x:row>
    <x:row r="193">
      <x:c r="A193" s="1">
        <x:v>192</x:v>
      </x:c>
      <x:c r="B193" t="str">
        <x:v>W</x:v>
      </x:c>
      <x:c r="C193" t="str">
        <x:v>B</x:v>
      </x:c>
      <x:c r="D193" t="str">
        <x:v>W</x:v>
      </x:c>
      <x:c r="E193" t="str">
        <x:v>W</x:v>
      </x:c>
      <x:c r="F193" t="str">
        <x:v>B</x:v>
      </x:c>
      <x:c r="G193" t="str">
        <x:v>B</x:v>
      </x:c>
      <x:c r="H193" t="str">
        <x:v>B</x:v>
      </x:c>
      <x:c r="I193" t="str">
        <x:v>W</x:v>
      </x:c>
      <x:c r="J193" t="str">
        <x:v>B</x:v>
      </x:c>
      <x:c r="K193" t="str">
        <x:v>B</x:v>
      </x:c>
      <x:c r="L193" t="str">
        <x:v>B</x:v>
      </x:c>
      <x:c r="M193" t="str">
        <x:v>B</x:v>
      </x:c>
      <x:c r="N193" t="str">
        <x:v>W</x:v>
      </x:c>
      <x:c r="O193" t="str">
        <x:v>B</x:v>
      </x:c>
      <x:c r="P193" t="str">
        <x:v>W</x:v>
      </x:c>
      <x:c r="Q193" t="str">
        <x:v>B</x:v>
      </x:c>
      <x:c r="R193" t="str">
        <x:v>B</x:v>
      </x:c>
      <x:c r="S193" t="str">
        <x:v>B</x:v>
      </x:c>
      <x:c r="T193" t="str">
        <x:v>W</x:v>
      </x:c>
      <x:c r="U193" t="str">
        <x:v>B</x:v>
      </x:c>
      <x:c r="V193" t="n">
        <x:f>COUNTIF(B193:U193,"W")</x:f>
        <x:v>7</x:v>
      </x:c>
      <x:c r="W193" s="5" t="str">
        <x:f>IF(COUNTIF(B193:D193,"W")&gt;0,"Y","N")</x:f>
        <x:v>Y</x:v>
      </x:c>
      <x:c r="X193" s="5" t="str">
        <x:f>IF(COUNTIF(B193:I193,"W")&gt;=4,"Y","N")</x:f>
        <x:v>Y</x:v>
      </x:c>
      <x:c r="Y193" s="1"/>
      <x:c r="Z193" s="1"/>
      <x:c r="AA193" s="1"/>
      <x:c r="AB193" s="1"/>
      <x:c r="AC193" s="1"/>
      <x:c r="AD193" s="1"/>
      <x:c r="AE193" s="1"/>
    </x:row>
    <x:row r="194">
      <x:c r="A194" s="1">
        <x:v>193</x:v>
      </x:c>
      <x:c r="B194" t="str">
        <x:v>B</x:v>
      </x:c>
      <x:c r="C194" t="str">
        <x:v>B</x:v>
      </x:c>
      <x:c r="D194" t="str">
        <x:v>B</x:v>
      </x:c>
      <x:c r="E194" t="str">
        <x:v>B</x:v>
      </x:c>
      <x:c r="F194" t="str">
        <x:v>B</x:v>
      </x:c>
      <x:c r="G194" t="str">
        <x:v>B</x:v>
      </x:c>
      <x:c r="H194" t="str">
        <x:v>B</x:v>
      </x:c>
      <x:c r="I194" t="str">
        <x:v>W</x:v>
      </x:c>
      <x:c r="J194" t="str">
        <x:v>B</x:v>
      </x:c>
      <x:c r="K194" t="str">
        <x:v>W</x:v>
      </x:c>
      <x:c r="L194" t="str">
        <x:v>W</x:v>
      </x:c>
      <x:c r="M194" t="str">
        <x:v>W</x:v>
      </x:c>
      <x:c r="N194" t="str">
        <x:v>W</x:v>
      </x:c>
      <x:c r="O194" t="str">
        <x:v>B</x:v>
      </x:c>
      <x:c r="P194" t="str">
        <x:v>B</x:v>
      </x:c>
      <x:c r="Q194" t="str">
        <x:v>B</x:v>
      </x:c>
      <x:c r="R194" t="str">
        <x:v>B</x:v>
      </x:c>
      <x:c r="S194" t="str">
        <x:v>W</x:v>
      </x:c>
      <x:c r="T194" t="str">
        <x:v>W</x:v>
      </x:c>
      <x:c r="U194" t="str">
        <x:v>B</x:v>
      </x:c>
      <x:c r="V194" t="n">
        <x:f>COUNTIF(B194:U194,"W")</x:f>
        <x:v>7</x:v>
      </x:c>
      <x:c r="W194" s="5" t="str">
        <x:f>IF(COUNTIF(B194:D194,"W")&gt;0,"Y","N")</x:f>
        <x:v>N</x:v>
      </x:c>
      <x:c r="X194" s="5" t="str">
        <x:f>IF(COUNTIF(B194:I194,"W")&gt;=4,"Y","N")</x:f>
        <x:v>N</x:v>
      </x:c>
      <x:c r="Y194" s="1"/>
      <x:c r="Z194" s="1"/>
      <x:c r="AA194" s="1"/>
      <x:c r="AB194" s="1"/>
      <x:c r="AC194" s="1"/>
      <x:c r="AD194" s="1"/>
      <x:c r="AE194" s="1"/>
    </x:row>
    <x:row r="195">
      <x:c r="A195" s="1">
        <x:v>194</x:v>
      </x:c>
      <x:c r="B195" t="str">
        <x:v>B</x:v>
      </x:c>
      <x:c r="C195" t="str">
        <x:v>B</x:v>
      </x:c>
      <x:c r="D195" t="str">
        <x:v>W</x:v>
      </x:c>
      <x:c r="E195" t="str">
        <x:v>W</x:v>
      </x:c>
      <x:c r="F195" t="str">
        <x:v>W</x:v>
      </x:c>
      <x:c r="G195" t="str">
        <x:v>W</x:v>
      </x:c>
      <x:c r="H195" t="str">
        <x:v>B</x:v>
      </x:c>
      <x:c r="I195" t="str">
        <x:v>B</x:v>
      </x:c>
      <x:c r="J195" t="str">
        <x:v>W</x:v>
      </x:c>
      <x:c r="K195" t="str">
        <x:v>W</x:v>
      </x:c>
      <x:c r="L195" t="str">
        <x:v>B</x:v>
      </x:c>
      <x:c r="M195" t="str">
        <x:v>W</x:v>
      </x:c>
      <x:c r="N195" t="str">
        <x:v>B</x:v>
      </x:c>
      <x:c r="O195" t="str">
        <x:v>B</x:v>
      </x:c>
      <x:c r="P195" t="str">
        <x:v>B</x:v>
      </x:c>
      <x:c r="Q195" t="str">
        <x:v>B</x:v>
      </x:c>
      <x:c r="R195" t="str">
        <x:v>W</x:v>
      </x:c>
      <x:c r="S195" t="str">
        <x:v>B</x:v>
      </x:c>
      <x:c r="T195" t="str">
        <x:v>W</x:v>
      </x:c>
      <x:c r="U195" t="str">
        <x:v>B</x:v>
      </x:c>
      <x:c r="V195" t="n">
        <x:f>COUNTIF(B195:U195,"W")</x:f>
        <x:v>9</x:v>
      </x:c>
      <x:c r="W195" s="5" t="str">
        <x:f>IF(COUNTIF(B195:D195,"W")&gt;0,"Y","N")</x:f>
        <x:v>Y</x:v>
      </x:c>
      <x:c r="X195" s="5" t="str">
        <x:f>IF(COUNTIF(B195:I195,"W")&gt;=4,"Y","N")</x:f>
        <x:v>Y</x:v>
      </x:c>
      <x:c r="Y195" s="1"/>
      <x:c r="Z195" s="1"/>
      <x:c r="AA195" s="1"/>
      <x:c r="AB195" s="1"/>
      <x:c r="AC195" s="1"/>
      <x:c r="AD195" s="1"/>
      <x:c r="AE195" s="1"/>
    </x:row>
    <x:row r="196">
      <x:c r="A196" s="1">
        <x:v>195</x:v>
      </x:c>
      <x:c r="B196" t="str">
        <x:v>W</x:v>
      </x:c>
      <x:c r="C196" t="str">
        <x:v>B</x:v>
      </x:c>
      <x:c r="D196" t="str">
        <x:v>B</x:v>
      </x:c>
      <x:c r="E196" t="str">
        <x:v>W</x:v>
      </x:c>
      <x:c r="F196" t="str">
        <x:v>B</x:v>
      </x:c>
      <x:c r="G196" t="str">
        <x:v>B</x:v>
      </x:c>
      <x:c r="H196" t="str">
        <x:v>B</x:v>
      </x:c>
      <x:c r="I196" t="str">
        <x:v>W</x:v>
      </x:c>
      <x:c r="J196" t="str">
        <x:v>B</x:v>
      </x:c>
      <x:c r="K196" t="str">
        <x:v>W</x:v>
      </x:c>
      <x:c r="L196" t="str">
        <x:v>B</x:v>
      </x:c>
      <x:c r="M196" t="str">
        <x:v>B</x:v>
      </x:c>
      <x:c r="N196" t="str">
        <x:v>B</x:v>
      </x:c>
      <x:c r="O196" t="str">
        <x:v>B</x:v>
      </x:c>
      <x:c r="P196" t="str">
        <x:v>B</x:v>
      </x:c>
      <x:c r="Q196" t="str">
        <x:v>B</x:v>
      </x:c>
      <x:c r="R196" t="str">
        <x:v>W</x:v>
      </x:c>
      <x:c r="S196" t="str">
        <x:v>B</x:v>
      </x:c>
      <x:c r="T196" t="str">
        <x:v>B</x:v>
      </x:c>
      <x:c r="U196" t="str">
        <x:v>B</x:v>
      </x:c>
      <x:c r="V196" t="n">
        <x:f>COUNTIF(B196:U196,"W")</x:f>
        <x:v>5</x:v>
      </x:c>
      <x:c r="W196" s="5" t="str">
        <x:f>IF(COUNTIF(B196:D196,"W")&gt;0,"Y","N")</x:f>
        <x:v>Y</x:v>
      </x:c>
      <x:c r="X196" s="5" t="str">
        <x:f>IF(COUNTIF(B196:I196,"W")&gt;=4,"Y","N")</x:f>
        <x:v>N</x:v>
      </x:c>
      <x:c r="Y196" s="1"/>
      <x:c r="Z196" s="1"/>
      <x:c r="AA196" s="1"/>
      <x:c r="AB196" s="1"/>
      <x:c r="AC196" s="1"/>
      <x:c r="AD196" s="1"/>
      <x:c r="AE196" s="1"/>
    </x:row>
    <x:row r="197">
      <x:c r="A197" s="1">
        <x:v>196</x:v>
      </x:c>
      <x:c r="B197" t="str">
        <x:v>W</x:v>
      </x:c>
      <x:c r="C197" t="str">
        <x:v>B</x:v>
      </x:c>
      <x:c r="D197" t="str">
        <x:v>W</x:v>
      </x:c>
      <x:c r="E197" t="str">
        <x:v>W</x:v>
      </x:c>
      <x:c r="F197" t="str">
        <x:v>W</x:v>
      </x:c>
      <x:c r="G197" t="str">
        <x:v>W</x:v>
      </x:c>
      <x:c r="H197" t="str">
        <x:v>W</x:v>
      </x:c>
      <x:c r="I197" t="str">
        <x:v>B</x:v>
      </x:c>
      <x:c r="J197" t="str">
        <x:v>B</x:v>
      </x:c>
      <x:c r="K197" t="str">
        <x:v>B</x:v>
      </x:c>
      <x:c r="L197" t="str">
        <x:v>B</x:v>
      </x:c>
      <x:c r="M197" t="str">
        <x:v>B</x:v>
      </x:c>
      <x:c r="N197" t="str">
        <x:v>B</x:v>
      </x:c>
      <x:c r="O197" t="str">
        <x:v>B</x:v>
      </x:c>
      <x:c r="P197" t="str">
        <x:v>B</x:v>
      </x:c>
      <x:c r="Q197" t="str">
        <x:v>B</x:v>
      </x:c>
      <x:c r="R197" t="str">
        <x:v>B</x:v>
      </x:c>
      <x:c r="S197" t="str">
        <x:v>B</x:v>
      </x:c>
      <x:c r="T197" t="str">
        <x:v>B</x:v>
      </x:c>
      <x:c r="U197" t="str">
        <x:v>B</x:v>
      </x:c>
      <x:c r="V197" t="n">
        <x:f>COUNTIF(B197:U197,"W")</x:f>
        <x:v>6</x:v>
      </x:c>
      <x:c r="W197" s="5" t="str">
        <x:f>IF(COUNTIF(B197:D197,"W")&gt;0,"Y","N")</x:f>
        <x:v>Y</x:v>
      </x:c>
      <x:c r="X197" s="5" t="str">
        <x:f>IF(COUNTIF(B197:I197,"W")&gt;=4,"Y","N")</x:f>
        <x:v>Y</x:v>
      </x:c>
      <x:c r="Y197" s="1"/>
      <x:c r="Z197" s="1"/>
      <x:c r="AA197" s="1"/>
      <x:c r="AB197" s="1"/>
      <x:c r="AC197" s="1"/>
      <x:c r="AD197" s="1"/>
      <x:c r="AE197" s="1"/>
    </x:row>
    <x:row r="198">
      <x:c r="A198" s="1">
        <x:v>197</x:v>
      </x:c>
      <x:c r="B198" t="str">
        <x:v>W</x:v>
      </x:c>
      <x:c r="C198" t="str">
        <x:v>B</x:v>
      </x:c>
      <x:c r="D198" t="str">
        <x:v>B</x:v>
      </x:c>
      <x:c r="E198" t="str">
        <x:v>B</x:v>
      </x:c>
      <x:c r="F198" t="str">
        <x:v>W</x:v>
      </x:c>
      <x:c r="G198" t="str">
        <x:v>W</x:v>
      </x:c>
      <x:c r="H198" t="str">
        <x:v>W</x:v>
      </x:c>
      <x:c r="I198" t="str">
        <x:v>B</x:v>
      </x:c>
      <x:c r="J198" t="str">
        <x:v>W</x:v>
      </x:c>
      <x:c r="K198" t="str">
        <x:v>W</x:v>
      </x:c>
      <x:c r="L198" t="str">
        <x:v>B</x:v>
      </x:c>
      <x:c r="M198" t="str">
        <x:v>B</x:v>
      </x:c>
      <x:c r="N198" t="str">
        <x:v>W</x:v>
      </x:c>
      <x:c r="O198" t="str">
        <x:v>W</x:v>
      </x:c>
      <x:c r="P198" t="str">
        <x:v>B</x:v>
      </x:c>
      <x:c r="Q198" t="str">
        <x:v>B</x:v>
      </x:c>
      <x:c r="R198" t="str">
        <x:v>B</x:v>
      </x:c>
      <x:c r="S198" t="str">
        <x:v>B</x:v>
      </x:c>
      <x:c r="T198" t="str">
        <x:v>W</x:v>
      </x:c>
      <x:c r="U198" t="str">
        <x:v>B</x:v>
      </x:c>
      <x:c r="V198" t="n">
        <x:f>COUNTIF(B198:U198,"W")</x:f>
        <x:v>9</x:v>
      </x:c>
      <x:c r="W198" s="5" t="str">
        <x:f>IF(COUNTIF(B198:D198,"W")&gt;0,"Y","N")</x:f>
        <x:v>Y</x:v>
      </x:c>
      <x:c r="X198" s="5" t="str">
        <x:f>IF(COUNTIF(B198:I198,"W")&gt;=4,"Y","N")</x:f>
        <x:v>Y</x:v>
      </x:c>
      <x:c r="Y198" s="1"/>
      <x:c r="Z198" s="1"/>
      <x:c r="AA198" s="1"/>
      <x:c r="AB198" s="1"/>
      <x:c r="AC198" s="1"/>
      <x:c r="AD198" s="1"/>
      <x:c r="AE198" s="1"/>
    </x:row>
    <x:row r="199">
      <x:c r="A199" s="1">
        <x:v>198</x:v>
      </x:c>
      <x:c r="B199" t="str">
        <x:v>B</x:v>
      </x:c>
      <x:c r="C199" t="str">
        <x:v>B</x:v>
      </x:c>
      <x:c r="D199" t="str">
        <x:v>W</x:v>
      </x:c>
      <x:c r="E199" t="str">
        <x:v>W</x:v>
      </x:c>
      <x:c r="F199" t="str">
        <x:v>W</x:v>
      </x:c>
      <x:c r="G199" t="str">
        <x:v>B</x:v>
      </x:c>
      <x:c r="H199" t="str">
        <x:v>B</x:v>
      </x:c>
      <x:c r="I199" t="str">
        <x:v>B</x:v>
      </x:c>
      <x:c r="J199" t="str">
        <x:v>B</x:v>
      </x:c>
      <x:c r="K199" t="str">
        <x:v>B</x:v>
      </x:c>
      <x:c r="L199" t="str">
        <x:v>W</x:v>
      </x:c>
      <x:c r="M199" t="str">
        <x:v>W</x:v>
      </x:c>
      <x:c r="N199" t="str">
        <x:v>W</x:v>
      </x:c>
      <x:c r="O199" t="str">
        <x:v>W</x:v>
      </x:c>
      <x:c r="P199" t="str">
        <x:v>W</x:v>
      </x:c>
      <x:c r="Q199" t="str">
        <x:v>B</x:v>
      </x:c>
      <x:c r="R199" t="str">
        <x:v>B</x:v>
      </x:c>
      <x:c r="S199" t="str">
        <x:v>W</x:v>
      </x:c>
      <x:c r="T199" t="str">
        <x:v>B</x:v>
      </x:c>
      <x:c r="U199" t="str">
        <x:v>B</x:v>
      </x:c>
      <x:c r="V199" t="n">
        <x:f>COUNTIF(B199:U199,"W")</x:f>
        <x:v>9</x:v>
      </x:c>
      <x:c r="W199" s="5" t="str">
        <x:f>IF(COUNTIF(B199:D199,"W")&gt;0,"Y","N")</x:f>
        <x:v>Y</x:v>
      </x:c>
      <x:c r="X199" s="5" t="str">
        <x:f>IF(COUNTIF(B199:I199,"W")&gt;=4,"Y","N")</x:f>
        <x:v>N</x:v>
      </x:c>
      <x:c r="Y199" s="1"/>
      <x:c r="Z199" s="1"/>
      <x:c r="AA199" s="1"/>
      <x:c r="AB199" s="1"/>
      <x:c r="AC199" s="1"/>
      <x:c r="AD199" s="1"/>
      <x:c r="AE199" s="1"/>
    </x:row>
    <x:row r="200">
      <x:c r="A200" s="1">
        <x:v>199</x:v>
      </x:c>
      <x:c r="B200" t="str">
        <x:v>W</x:v>
      </x:c>
      <x:c r="C200" t="str">
        <x:v>B</x:v>
      </x:c>
      <x:c r="D200" t="str">
        <x:v>B</x:v>
      </x:c>
      <x:c r="E200" t="str">
        <x:v>B</x:v>
      </x:c>
      <x:c r="F200" t="str">
        <x:v>B</x:v>
      </x:c>
      <x:c r="G200" t="str">
        <x:v>B</x:v>
      </x:c>
      <x:c r="H200" t="str">
        <x:v>B</x:v>
      </x:c>
      <x:c r="I200" t="str">
        <x:v>W</x:v>
      </x:c>
      <x:c r="J200" t="str">
        <x:v>W</x:v>
      </x:c>
      <x:c r="K200" t="str">
        <x:v>B</x:v>
      </x:c>
      <x:c r="L200" t="str">
        <x:v>W</x:v>
      </x:c>
      <x:c r="M200" t="str">
        <x:v>B</x:v>
      </x:c>
      <x:c r="N200" t="str">
        <x:v>B</x:v>
      </x:c>
      <x:c r="O200" t="str">
        <x:v>B</x:v>
      </x:c>
      <x:c r="P200" t="str">
        <x:v>B</x:v>
      </x:c>
      <x:c r="Q200" t="str">
        <x:v>B</x:v>
      </x:c>
      <x:c r="R200" t="str">
        <x:v>W</x:v>
      </x:c>
      <x:c r="S200" t="str">
        <x:v>W</x:v>
      </x:c>
      <x:c r="T200" t="str">
        <x:v>W</x:v>
      </x:c>
      <x:c r="U200" t="str">
        <x:v>W</x:v>
      </x:c>
      <x:c r="V200" t="n">
        <x:f>COUNTIF(B200:U200,"W")</x:f>
        <x:v>8</x:v>
      </x:c>
      <x:c r="W200" s="5" t="str">
        <x:f>IF(COUNTIF(B200:D200,"W")&gt;0,"Y","N")</x:f>
        <x:v>Y</x:v>
      </x:c>
      <x:c r="X200" s="5" t="str">
        <x:f>IF(COUNTIF(B200:I200,"W")&gt;=4,"Y","N")</x:f>
        <x:v>N</x:v>
      </x:c>
      <x:c r="Y200" s="1"/>
      <x:c r="Z200" s="1"/>
      <x:c r="AA200" s="1"/>
      <x:c r="AB200" s="1"/>
      <x:c r="AC200" s="1"/>
      <x:c r="AD200" s="1"/>
      <x:c r="AE200" s="1"/>
    </x:row>
    <x:row r="201">
      <x:c r="A201" s="1">
        <x:v>200</x:v>
      </x:c>
      <x:c r="B201" t="str">
        <x:v>B</x:v>
      </x:c>
      <x:c r="C201" t="str">
        <x:v>B</x:v>
      </x:c>
      <x:c r="D201" t="str">
        <x:v>B</x:v>
      </x:c>
      <x:c r="E201" t="str">
        <x:v>W</x:v>
      </x:c>
      <x:c r="F201" t="str">
        <x:v>B</x:v>
      </x:c>
      <x:c r="G201" t="str">
        <x:v>B</x:v>
      </x:c>
      <x:c r="H201" t="str">
        <x:v>W</x:v>
      </x:c>
      <x:c r="I201" t="str">
        <x:v>W</x:v>
      </x:c>
      <x:c r="J201" t="str">
        <x:v>B</x:v>
      </x:c>
      <x:c r="K201" t="str">
        <x:v>B</x:v>
      </x:c>
      <x:c r="L201" t="str">
        <x:v>B</x:v>
      </x:c>
      <x:c r="M201" t="str">
        <x:v>B</x:v>
      </x:c>
      <x:c r="N201" t="str">
        <x:v>B</x:v>
      </x:c>
      <x:c r="O201" t="str">
        <x:v>B</x:v>
      </x:c>
      <x:c r="P201" t="str">
        <x:v>B</x:v>
      </x:c>
      <x:c r="Q201" t="str">
        <x:v>W</x:v>
      </x:c>
      <x:c r="R201" t="str">
        <x:v>B</x:v>
      </x:c>
      <x:c r="S201" t="str">
        <x:v>B</x:v>
      </x:c>
      <x:c r="T201" t="str">
        <x:v>B</x:v>
      </x:c>
      <x:c r="U201" t="str">
        <x:v>W</x:v>
      </x:c>
      <x:c r="V201" t="n">
        <x:f>COUNTIF(B201:U201,"W")</x:f>
        <x:v>5</x:v>
      </x:c>
      <x:c r="W201" s="5" t="str">
        <x:f>IF(COUNTIF(B201:D201,"W")&gt;0,"Y","N")</x:f>
        <x:v>N</x:v>
      </x:c>
      <x:c r="X201" s="5" t="str">
        <x:f>IF(COUNTIF(B201:I201,"W")&gt;=4,"Y","N")</x:f>
        <x:v>N</x:v>
      </x:c>
      <x:c r="Y201" s="1"/>
      <x:c r="Z201" s="1"/>
      <x:c r="AA201" s="1"/>
      <x:c r="AB201" s="1"/>
      <x:c r="AC201" s="1"/>
      <x:c r="AD201" s="1"/>
      <x:c r="AE201" s="1"/>
    </x:row>
    <x:row r="202">
      <x:c r="A202" s="1">
        <x:v>201</x:v>
      </x:c>
      <x:c r="B202" t="str">
        <x:v>W</x:v>
      </x:c>
      <x:c r="C202" t="str">
        <x:v>B</x:v>
      </x:c>
      <x:c r="D202" t="str">
        <x:v>B</x:v>
      </x:c>
      <x:c r="E202" t="str">
        <x:v>B</x:v>
      </x:c>
      <x:c r="F202" t="str">
        <x:v>W</x:v>
      </x:c>
      <x:c r="G202" t="str">
        <x:v>B</x:v>
      </x:c>
      <x:c r="H202" t="str">
        <x:v>B</x:v>
      </x:c>
      <x:c r="I202" t="str">
        <x:v>W</x:v>
      </x:c>
      <x:c r="J202" t="str">
        <x:v>W</x:v>
      </x:c>
      <x:c r="K202" t="str">
        <x:v>B</x:v>
      </x:c>
      <x:c r="L202" t="str">
        <x:v>B</x:v>
      </x:c>
      <x:c r="M202" t="str">
        <x:v>W</x:v>
      </x:c>
      <x:c r="N202" t="str">
        <x:v>B</x:v>
      </x:c>
      <x:c r="O202" t="str">
        <x:v>B</x:v>
      </x:c>
      <x:c r="P202" t="str">
        <x:v>B</x:v>
      </x:c>
      <x:c r="Q202" t="str">
        <x:v>B</x:v>
      </x:c>
      <x:c r="R202" t="str">
        <x:v>B</x:v>
      </x:c>
      <x:c r="S202" t="str">
        <x:v>B</x:v>
      </x:c>
      <x:c r="T202" t="str">
        <x:v>W</x:v>
      </x:c>
      <x:c r="U202" t="str">
        <x:v>B</x:v>
      </x:c>
      <x:c r="V202" t="n">
        <x:f>COUNTIF(B202:U202,"W")</x:f>
        <x:v>6</x:v>
      </x:c>
      <x:c r="W202" s="5" t="str">
        <x:f>IF(COUNTIF(B202:D202,"W")&gt;0,"Y","N")</x:f>
        <x:v>Y</x:v>
      </x:c>
      <x:c r="X202" s="5" t="str">
        <x:f>IF(COUNTIF(B202:I202,"W")&gt;=4,"Y","N")</x:f>
        <x:v>N</x:v>
      </x:c>
      <x:c r="Y202" s="1"/>
      <x:c r="Z202" s="1"/>
      <x:c r="AA202" s="1"/>
      <x:c r="AB202" s="1"/>
      <x:c r="AC202" s="1"/>
      <x:c r="AD202" s="1"/>
      <x:c r="AE202" s="1"/>
    </x:row>
    <x:row r="203">
      <x:c r="A203" s="1">
        <x:v>202</x:v>
      </x:c>
      <x:c r="B203" t="str">
        <x:v>B</x:v>
      </x:c>
      <x:c r="C203" t="str">
        <x:v>B</x:v>
      </x:c>
      <x:c r="D203" t="str">
        <x:v>W</x:v>
      </x:c>
      <x:c r="E203" t="str">
        <x:v>B</x:v>
      </x:c>
      <x:c r="F203" t="str">
        <x:v>W</x:v>
      </x:c>
      <x:c r="G203" t="str">
        <x:v>B</x:v>
      </x:c>
      <x:c r="H203" t="str">
        <x:v>B</x:v>
      </x:c>
      <x:c r="I203" t="str">
        <x:v>B</x:v>
      </x:c>
      <x:c r="J203" t="str">
        <x:v>B</x:v>
      </x:c>
      <x:c r="K203" t="str">
        <x:v>B</x:v>
      </x:c>
      <x:c r="L203" t="str">
        <x:v>B</x:v>
      </x:c>
      <x:c r="M203" t="str">
        <x:v>B</x:v>
      </x:c>
      <x:c r="N203" t="str">
        <x:v>W</x:v>
      </x:c>
      <x:c r="O203" t="str">
        <x:v>W</x:v>
      </x:c>
      <x:c r="P203" t="str">
        <x:v>B</x:v>
      </x:c>
      <x:c r="Q203" t="str">
        <x:v>W</x:v>
      </x:c>
      <x:c r="R203" t="str">
        <x:v>B</x:v>
      </x:c>
      <x:c r="S203" t="str">
        <x:v>B</x:v>
      </x:c>
      <x:c r="T203" t="str">
        <x:v>B</x:v>
      </x:c>
      <x:c r="U203" t="str">
        <x:v>W</x:v>
      </x:c>
      <x:c r="V203" t="n">
        <x:f>COUNTIF(B203:U203,"W")</x:f>
        <x:v>6</x:v>
      </x:c>
      <x:c r="W203" s="5" t="str">
        <x:f>IF(COUNTIF(B203:D203,"W")&gt;0,"Y","N")</x:f>
        <x:v>Y</x:v>
      </x:c>
      <x:c r="X203" s="5" t="str">
        <x:f>IF(COUNTIF(B203:I203,"W")&gt;=4,"Y","N")</x:f>
        <x:v>N</x:v>
      </x:c>
      <x:c r="Y203" s="1"/>
      <x:c r="Z203" s="1"/>
      <x:c r="AA203" s="1"/>
      <x:c r="AB203" s="1"/>
      <x:c r="AC203" s="1"/>
      <x:c r="AD203" s="1"/>
      <x:c r="AE203" s="1"/>
    </x:row>
    <x:row r="204">
      <x:c r="A204" s="1">
        <x:v>203</x:v>
      </x:c>
      <x:c r="B204" t="str">
        <x:v>W</x:v>
      </x:c>
      <x:c r="C204" t="str">
        <x:v>B</x:v>
      </x:c>
      <x:c r="D204" t="str">
        <x:v>B</x:v>
      </x:c>
      <x:c r="E204" t="str">
        <x:v>B</x:v>
      </x:c>
      <x:c r="F204" t="str">
        <x:v>B</x:v>
      </x:c>
      <x:c r="G204" t="str">
        <x:v>W</x:v>
      </x:c>
      <x:c r="H204" t="str">
        <x:v>W</x:v>
      </x:c>
      <x:c r="I204" t="str">
        <x:v>B</x:v>
      </x:c>
      <x:c r="J204" t="str">
        <x:v>W</x:v>
      </x:c>
      <x:c r="K204" t="str">
        <x:v>W</x:v>
      </x:c>
      <x:c r="L204" t="str">
        <x:v>B</x:v>
      </x:c>
      <x:c r="M204" t="str">
        <x:v>B</x:v>
      </x:c>
      <x:c r="N204" t="str">
        <x:v>B</x:v>
      </x:c>
      <x:c r="O204" t="str">
        <x:v>B</x:v>
      </x:c>
      <x:c r="P204" t="str">
        <x:v>B</x:v>
      </x:c>
      <x:c r="Q204" t="str">
        <x:v>B</x:v>
      </x:c>
      <x:c r="R204" t="str">
        <x:v>B</x:v>
      </x:c>
      <x:c r="S204" t="str">
        <x:v>B</x:v>
      </x:c>
      <x:c r="T204" t="str">
        <x:v>W</x:v>
      </x:c>
      <x:c r="U204" t="str">
        <x:v>B</x:v>
      </x:c>
      <x:c r="V204" t="n">
        <x:f>COUNTIF(B204:U204,"W")</x:f>
        <x:v>6</x:v>
      </x:c>
      <x:c r="W204" s="5" t="str">
        <x:f>IF(COUNTIF(B204:D204,"W")&gt;0,"Y","N")</x:f>
        <x:v>Y</x:v>
      </x:c>
      <x:c r="X204" s="5" t="str">
        <x:f>IF(COUNTIF(B204:I204,"W")&gt;=4,"Y","N")</x:f>
        <x:v>N</x:v>
      </x:c>
      <x:c r="Y204" s="1"/>
      <x:c r="Z204" s="1"/>
      <x:c r="AA204" s="1"/>
      <x:c r="AB204" s="1"/>
      <x:c r="AC204" s="1"/>
      <x:c r="AD204" s="1"/>
      <x:c r="AE204" s="1"/>
    </x:row>
    <x:row r="205">
      <x:c r="A205" s="1">
        <x:v>204</x:v>
      </x:c>
      <x:c r="B205" t="str">
        <x:v>W</x:v>
      </x:c>
      <x:c r="C205" t="str">
        <x:v>B</x:v>
      </x:c>
      <x:c r="D205" t="str">
        <x:v>B</x:v>
      </x:c>
      <x:c r="E205" t="str">
        <x:v>B</x:v>
      </x:c>
      <x:c r="F205" t="str">
        <x:v>W</x:v>
      </x:c>
      <x:c r="G205" t="str">
        <x:v>B</x:v>
      </x:c>
      <x:c r="H205" t="str">
        <x:v>W</x:v>
      </x:c>
      <x:c r="I205" t="str">
        <x:v>W</x:v>
      </x:c>
      <x:c r="J205" t="str">
        <x:v>B</x:v>
      </x:c>
      <x:c r="K205" t="str">
        <x:v>B</x:v>
      </x:c>
      <x:c r="L205" t="str">
        <x:v>B</x:v>
      </x:c>
      <x:c r="M205" t="str">
        <x:v>B</x:v>
      </x:c>
      <x:c r="N205" t="str">
        <x:v>W</x:v>
      </x:c>
      <x:c r="O205" t="str">
        <x:v>B</x:v>
      </x:c>
      <x:c r="P205" t="str">
        <x:v>B</x:v>
      </x:c>
      <x:c r="Q205" t="str">
        <x:v>B</x:v>
      </x:c>
      <x:c r="R205" t="str">
        <x:v>B</x:v>
      </x:c>
      <x:c r="S205" t="str">
        <x:v>W</x:v>
      </x:c>
      <x:c r="T205" t="str">
        <x:v>W</x:v>
      </x:c>
      <x:c r="U205" t="str">
        <x:v>W</x:v>
      </x:c>
      <x:c r="V205" t="n">
        <x:f>COUNTIF(B205:U205,"W")</x:f>
        <x:v>8</x:v>
      </x:c>
      <x:c r="W205" s="5" t="str">
        <x:f>IF(COUNTIF(B205:D205,"W")&gt;0,"Y","N")</x:f>
        <x:v>Y</x:v>
      </x:c>
      <x:c r="X205" s="5" t="str">
        <x:f>IF(COUNTIF(B205:I205,"W")&gt;=4,"Y","N")</x:f>
        <x:v>Y</x:v>
      </x:c>
      <x:c r="Y205" s="1"/>
      <x:c r="Z205" s="1"/>
      <x:c r="AA205" s="1"/>
      <x:c r="AB205" s="1"/>
      <x:c r="AC205" s="1"/>
      <x:c r="AD205" s="1"/>
      <x:c r="AE205" s="1"/>
    </x:row>
    <x:row r="206">
      <x:c r="A206" s="1">
        <x:v>205</x:v>
      </x:c>
      <x:c r="B206" t="str">
        <x:v>B</x:v>
      </x:c>
      <x:c r="C206" t="str">
        <x:v>W</x:v>
      </x:c>
      <x:c r="D206" t="str">
        <x:v>B</x:v>
      </x:c>
      <x:c r="E206" t="str">
        <x:v>B</x:v>
      </x:c>
      <x:c r="F206" t="str">
        <x:v>B</x:v>
      </x:c>
      <x:c r="G206" t="str">
        <x:v>B</x:v>
      </x:c>
      <x:c r="H206" t="str">
        <x:v>W</x:v>
      </x:c>
      <x:c r="I206" t="str">
        <x:v>B</x:v>
      </x:c>
      <x:c r="J206" t="str">
        <x:v>B</x:v>
      </x:c>
      <x:c r="K206" t="str">
        <x:v>B</x:v>
      </x:c>
      <x:c r="L206" t="str">
        <x:v>B</x:v>
      </x:c>
      <x:c r="M206" t="str">
        <x:v>W</x:v>
      </x:c>
      <x:c r="N206" t="str">
        <x:v>W</x:v>
      </x:c>
      <x:c r="O206" t="str">
        <x:v>B</x:v>
      </x:c>
      <x:c r="P206" t="str">
        <x:v>B</x:v>
      </x:c>
      <x:c r="Q206" t="str">
        <x:v>W</x:v>
      </x:c>
      <x:c r="R206" t="str">
        <x:v>W</x:v>
      </x:c>
      <x:c r="S206" t="str">
        <x:v>B</x:v>
      </x:c>
      <x:c r="T206" t="str">
        <x:v>B</x:v>
      </x:c>
      <x:c r="U206" t="str">
        <x:v>B</x:v>
      </x:c>
      <x:c r="V206" t="n">
        <x:f>COUNTIF(B206:U206,"W")</x:f>
        <x:v>6</x:v>
      </x:c>
      <x:c r="W206" s="5" t="str">
        <x:f>IF(COUNTIF(B206:D206,"W")&gt;0,"Y","N")</x:f>
        <x:v>Y</x:v>
      </x:c>
      <x:c r="X206" s="5" t="str">
        <x:f>IF(COUNTIF(B206:I206,"W")&gt;=4,"Y","N")</x:f>
        <x:v>N</x:v>
      </x:c>
      <x:c r="Y206" s="1"/>
      <x:c r="Z206" s="1"/>
      <x:c r="AA206" s="1"/>
      <x:c r="AB206" s="1"/>
      <x:c r="AC206" s="1"/>
      <x:c r="AD206" s="1"/>
      <x:c r="AE206" s="1"/>
    </x:row>
    <x:row r="207">
      <x:c r="A207" s="1">
        <x:v>206</x:v>
      </x:c>
      <x:c r="B207" t="str">
        <x:v>W</x:v>
      </x:c>
      <x:c r="C207" t="str">
        <x:v>W</x:v>
      </x:c>
      <x:c r="D207" t="str">
        <x:v>B</x:v>
      </x:c>
      <x:c r="E207" t="str">
        <x:v>B</x:v>
      </x:c>
      <x:c r="F207" t="str">
        <x:v>B</x:v>
      </x:c>
      <x:c r="G207" t="str">
        <x:v>W</x:v>
      </x:c>
      <x:c r="H207" t="str">
        <x:v>W</x:v>
      </x:c>
      <x:c r="I207" t="str">
        <x:v>W</x:v>
      </x:c>
      <x:c r="J207" t="str">
        <x:v>W</x:v>
      </x:c>
      <x:c r="K207" t="str">
        <x:v>B</x:v>
      </x:c>
      <x:c r="L207" t="str">
        <x:v>W</x:v>
      </x:c>
      <x:c r="M207" t="str">
        <x:v>B</x:v>
      </x:c>
      <x:c r="N207" t="str">
        <x:v>W</x:v>
      </x:c>
      <x:c r="O207" t="str">
        <x:v>W</x:v>
      </x:c>
      <x:c r="P207" t="str">
        <x:v>B</x:v>
      </x:c>
      <x:c r="Q207" t="str">
        <x:v>B</x:v>
      </x:c>
      <x:c r="R207" t="str">
        <x:v>B</x:v>
      </x:c>
      <x:c r="S207" t="str">
        <x:v>B</x:v>
      </x:c>
      <x:c r="T207" t="str">
        <x:v>W</x:v>
      </x:c>
      <x:c r="U207" t="str">
        <x:v>B</x:v>
      </x:c>
      <x:c r="V207" t="n">
        <x:f>COUNTIF(B207:U207,"W")</x:f>
        <x:v>10</x:v>
      </x:c>
      <x:c r="W207" s="5" t="str">
        <x:f>IF(COUNTIF(B207:D207,"W")&gt;0,"Y","N")</x:f>
        <x:v>Y</x:v>
      </x:c>
      <x:c r="X207" s="5" t="str">
        <x:f>IF(COUNTIF(B207:I207,"W")&gt;=4,"Y","N")</x:f>
        <x:v>Y</x:v>
      </x:c>
      <x:c r="Y207" s="1"/>
      <x:c r="Z207" s="1"/>
      <x:c r="AA207" s="1"/>
      <x:c r="AB207" s="1"/>
      <x:c r="AC207" s="1"/>
      <x:c r="AD207" s="1"/>
      <x:c r="AE207" s="1"/>
    </x:row>
    <x:row r="208">
      <x:c r="A208" s="1">
        <x:v>207</x:v>
      </x:c>
      <x:c r="B208" t="str">
        <x:v>B</x:v>
      </x:c>
      <x:c r="C208" t="str">
        <x:v>W</x:v>
      </x:c>
      <x:c r="D208" t="str">
        <x:v>B</x:v>
      </x:c>
      <x:c r="E208" t="str">
        <x:v>B</x:v>
      </x:c>
      <x:c r="F208" t="str">
        <x:v>W</x:v>
      </x:c>
      <x:c r="G208" t="str">
        <x:v>W</x:v>
      </x:c>
      <x:c r="H208" t="str">
        <x:v>B</x:v>
      </x:c>
      <x:c r="I208" t="str">
        <x:v>B</x:v>
      </x:c>
      <x:c r="J208" t="str">
        <x:v>B</x:v>
      </x:c>
      <x:c r="K208" t="str">
        <x:v>W</x:v>
      </x:c>
      <x:c r="L208" t="str">
        <x:v>B</x:v>
      </x:c>
      <x:c r="M208" t="str">
        <x:v>B</x:v>
      </x:c>
      <x:c r="N208" t="str">
        <x:v>B</x:v>
      </x:c>
      <x:c r="O208" t="str">
        <x:v>W</x:v>
      </x:c>
      <x:c r="P208" t="str">
        <x:v>W</x:v>
      </x:c>
      <x:c r="Q208" t="str">
        <x:v>B</x:v>
      </x:c>
      <x:c r="R208" t="str">
        <x:v>B</x:v>
      </x:c>
      <x:c r="S208" t="str">
        <x:v>B</x:v>
      </x:c>
      <x:c r="T208" t="str">
        <x:v>B</x:v>
      </x:c>
      <x:c r="U208" t="str">
        <x:v>B</x:v>
      </x:c>
      <x:c r="V208" t="n">
        <x:f>COUNTIF(B208:U208,"W")</x:f>
        <x:v>6</x:v>
      </x:c>
      <x:c r="W208" s="5" t="str">
        <x:f>IF(COUNTIF(B208:D208,"W")&gt;0,"Y","N")</x:f>
        <x:v>Y</x:v>
      </x:c>
      <x:c r="X208" s="5" t="str">
        <x:f>IF(COUNTIF(B208:I208,"W")&gt;=4,"Y","N")</x:f>
        <x:v>N</x:v>
      </x:c>
      <x:c r="Y208" s="1"/>
      <x:c r="Z208" s="1"/>
      <x:c r="AA208" s="1"/>
      <x:c r="AB208" s="1"/>
      <x:c r="AC208" s="1"/>
      <x:c r="AD208" s="1"/>
      <x:c r="AE208" s="1"/>
    </x:row>
    <x:row r="209">
      <x:c r="A209" s="1">
        <x:v>208</x:v>
      </x:c>
      <x:c r="B209" t="str">
        <x:v>W</x:v>
      </x:c>
      <x:c r="C209" t="str">
        <x:v>B</x:v>
      </x:c>
      <x:c r="D209" t="str">
        <x:v>W</x:v>
      </x:c>
      <x:c r="E209" t="str">
        <x:v>W</x:v>
      </x:c>
      <x:c r="F209" t="str">
        <x:v>B</x:v>
      </x:c>
      <x:c r="G209" t="str">
        <x:v>B</x:v>
      </x:c>
      <x:c r="H209" t="str">
        <x:v>B</x:v>
      </x:c>
      <x:c r="I209" t="str">
        <x:v>W</x:v>
      </x:c>
      <x:c r="J209" t="str">
        <x:v>B</x:v>
      </x:c>
      <x:c r="K209" t="str">
        <x:v>B</x:v>
      </x:c>
      <x:c r="L209" t="str">
        <x:v>W</x:v>
      </x:c>
      <x:c r="M209" t="str">
        <x:v>W</x:v>
      </x:c>
      <x:c r="N209" t="str">
        <x:v>B</x:v>
      </x:c>
      <x:c r="O209" t="str">
        <x:v>W</x:v>
      </x:c>
      <x:c r="P209" t="str">
        <x:v>B</x:v>
      </x:c>
      <x:c r="Q209" t="str">
        <x:v>B</x:v>
      </x:c>
      <x:c r="R209" t="str">
        <x:v>W</x:v>
      </x:c>
      <x:c r="S209" t="str">
        <x:v>B</x:v>
      </x:c>
      <x:c r="T209" t="str">
        <x:v>B</x:v>
      </x:c>
      <x:c r="U209" t="str">
        <x:v>B</x:v>
      </x:c>
      <x:c r="V209" t="n">
        <x:f>COUNTIF(B209:U209,"W")</x:f>
        <x:v>8</x:v>
      </x:c>
      <x:c r="W209" s="5" t="str">
        <x:f>IF(COUNTIF(B209:D209,"W")&gt;0,"Y","N")</x:f>
        <x:v>Y</x:v>
      </x:c>
      <x:c r="X209" s="5" t="str">
        <x:f>IF(COUNTIF(B209:I209,"W")&gt;=4,"Y","N")</x:f>
        <x:v>Y</x:v>
      </x:c>
      <x:c r="Y209" s="1"/>
      <x:c r="Z209" s="1"/>
      <x:c r="AA209" s="1"/>
      <x:c r="AB209" s="1"/>
      <x:c r="AC209" s="1"/>
      <x:c r="AD209" s="1"/>
      <x:c r="AE209" s="1"/>
    </x:row>
    <x:row r="210">
      <x:c r="A210" s="1">
        <x:v>209</x:v>
      </x:c>
      <x:c r="B210" t="str">
        <x:v>B</x:v>
      </x:c>
      <x:c r="C210" t="str">
        <x:v>B</x:v>
      </x:c>
      <x:c r="D210" t="str">
        <x:v>W</x:v>
      </x:c>
      <x:c r="E210" t="str">
        <x:v>W</x:v>
      </x:c>
      <x:c r="F210" t="str">
        <x:v>B</x:v>
      </x:c>
      <x:c r="G210" t="str">
        <x:v>W</x:v>
      </x:c>
      <x:c r="H210" t="str">
        <x:v>W</x:v>
      </x:c>
      <x:c r="I210" t="str">
        <x:v>B</x:v>
      </x:c>
      <x:c r="J210" t="str">
        <x:v>B</x:v>
      </x:c>
      <x:c r="K210" t="str">
        <x:v>B</x:v>
      </x:c>
      <x:c r="L210" t="str">
        <x:v>W</x:v>
      </x:c>
      <x:c r="M210" t="str">
        <x:v>B</x:v>
      </x:c>
      <x:c r="N210" t="str">
        <x:v>B</x:v>
      </x:c>
      <x:c r="O210" t="str">
        <x:v>W</x:v>
      </x:c>
      <x:c r="P210" t="str">
        <x:v>B</x:v>
      </x:c>
      <x:c r="Q210" t="str">
        <x:v>B</x:v>
      </x:c>
      <x:c r="R210" t="str">
        <x:v>B</x:v>
      </x:c>
      <x:c r="S210" t="str">
        <x:v>B</x:v>
      </x:c>
      <x:c r="T210" t="str">
        <x:v>B</x:v>
      </x:c>
      <x:c r="U210" t="str">
        <x:v>B</x:v>
      </x:c>
      <x:c r="V210" t="n">
        <x:f>COUNTIF(B210:U210,"W")</x:f>
        <x:v>6</x:v>
      </x:c>
      <x:c r="W210" s="5" t="str">
        <x:f>IF(COUNTIF(B210:D210,"W")&gt;0,"Y","N")</x:f>
        <x:v>Y</x:v>
      </x:c>
      <x:c r="X210" s="5" t="str">
        <x:f>IF(COUNTIF(B210:I210,"W")&gt;=4,"Y","N")</x:f>
        <x:v>Y</x:v>
      </x:c>
      <x:c r="Y210" s="1"/>
      <x:c r="Z210" s="1"/>
      <x:c r="AA210" s="1"/>
      <x:c r="AB210" s="1"/>
      <x:c r="AC210" s="1"/>
      <x:c r="AD210" s="1"/>
      <x:c r="AE210" s="1"/>
    </x:row>
    <x:row r="211">
      <x:c r="A211" s="1">
        <x:v>210</x:v>
      </x:c>
      <x:c r="B211" t="str">
        <x:v>B</x:v>
      </x:c>
      <x:c r="C211" t="str">
        <x:v>B</x:v>
      </x:c>
      <x:c r="D211" t="str">
        <x:v>B</x:v>
      </x:c>
      <x:c r="E211" t="str">
        <x:v>W</x:v>
      </x:c>
      <x:c r="F211" t="str">
        <x:v>B</x:v>
      </x:c>
      <x:c r="G211" t="str">
        <x:v>B</x:v>
      </x:c>
      <x:c r="H211" t="str">
        <x:v>B</x:v>
      </x:c>
      <x:c r="I211" t="str">
        <x:v>B</x:v>
      </x:c>
      <x:c r="J211" t="str">
        <x:v>W</x:v>
      </x:c>
      <x:c r="K211" t="str">
        <x:v>B</x:v>
      </x:c>
      <x:c r="L211" t="str">
        <x:v>W</x:v>
      </x:c>
      <x:c r="M211" t="str">
        <x:v>B</x:v>
      </x:c>
      <x:c r="N211" t="str">
        <x:v>W</x:v>
      </x:c>
      <x:c r="O211" t="str">
        <x:v>B</x:v>
      </x:c>
      <x:c r="P211" t="str">
        <x:v>W</x:v>
      </x:c>
      <x:c r="Q211" t="str">
        <x:v>W</x:v>
      </x:c>
      <x:c r="R211" t="str">
        <x:v>W</x:v>
      </x:c>
      <x:c r="S211" t="str">
        <x:v>B</x:v>
      </x:c>
      <x:c r="T211" t="str">
        <x:v>W</x:v>
      </x:c>
      <x:c r="U211" t="str">
        <x:v>W</x:v>
      </x:c>
      <x:c r="V211" t="n">
        <x:f>COUNTIF(B211:U211,"W")</x:f>
        <x:v>9</x:v>
      </x:c>
      <x:c r="W211" s="5" t="str">
        <x:f>IF(COUNTIF(B211:D211,"W")&gt;0,"Y","N")</x:f>
        <x:v>N</x:v>
      </x:c>
      <x:c r="X211" s="5" t="str">
        <x:f>IF(COUNTIF(B211:I211,"W")&gt;=4,"Y","N")</x:f>
        <x:v>N</x:v>
      </x:c>
      <x:c r="Y211" s="1"/>
      <x:c r="Z211" s="1"/>
      <x:c r="AA211" s="1"/>
      <x:c r="AB211" s="1"/>
      <x:c r="AC211" s="1"/>
      <x:c r="AD211" s="1"/>
      <x:c r="AE211" s="1"/>
    </x:row>
    <x:row r="212">
      <x:c r="A212" s="1">
        <x:v>211</x:v>
      </x:c>
      <x:c r="B212" t="str">
        <x:v>W</x:v>
      </x:c>
      <x:c r="C212" t="str">
        <x:v>B</x:v>
      </x:c>
      <x:c r="D212" t="str">
        <x:v>B</x:v>
      </x:c>
      <x:c r="E212" t="str">
        <x:v>B</x:v>
      </x:c>
      <x:c r="F212" t="str">
        <x:v>B</x:v>
      </x:c>
      <x:c r="G212" t="str">
        <x:v>B</x:v>
      </x:c>
      <x:c r="H212" t="str">
        <x:v>W</x:v>
      </x:c>
      <x:c r="I212" t="str">
        <x:v>B</x:v>
      </x:c>
      <x:c r="J212" t="str">
        <x:v>W</x:v>
      </x:c>
      <x:c r="K212" t="str">
        <x:v>B</x:v>
      </x:c>
      <x:c r="L212" t="str">
        <x:v>B</x:v>
      </x:c>
      <x:c r="M212" t="str">
        <x:v>B</x:v>
      </x:c>
      <x:c r="N212" t="str">
        <x:v>W</x:v>
      </x:c>
      <x:c r="O212" t="str">
        <x:v>B</x:v>
      </x:c>
      <x:c r="P212" t="str">
        <x:v>B</x:v>
      </x:c>
      <x:c r="Q212" t="str">
        <x:v>B</x:v>
      </x:c>
      <x:c r="R212" t="str">
        <x:v>W</x:v>
      </x:c>
      <x:c r="S212" t="str">
        <x:v>B</x:v>
      </x:c>
      <x:c r="T212" t="str">
        <x:v>B</x:v>
      </x:c>
      <x:c r="U212" t="str">
        <x:v>B</x:v>
      </x:c>
      <x:c r="V212" t="n">
        <x:f>COUNTIF(B212:U212,"W")</x:f>
        <x:v>5</x:v>
      </x:c>
      <x:c r="W212" s="5" t="str">
        <x:f>IF(COUNTIF(B212:D212,"W")&gt;0,"Y","N")</x:f>
        <x:v>Y</x:v>
      </x:c>
      <x:c r="X212" s="5" t="str">
        <x:f>IF(COUNTIF(B212:I212,"W")&gt;=4,"Y","N")</x:f>
        <x:v>N</x:v>
      </x:c>
      <x:c r="Y212" s="1"/>
      <x:c r="Z212" s="1"/>
      <x:c r="AA212" s="1"/>
      <x:c r="AB212" s="1"/>
      <x:c r="AC212" s="1"/>
      <x:c r="AD212" s="1"/>
      <x:c r="AE212" s="1"/>
    </x:row>
    <x:row r="213">
      <x:c r="A213" s="1">
        <x:v>212</x:v>
      </x:c>
      <x:c r="B213" t="str">
        <x:v>W</x:v>
      </x:c>
      <x:c r="C213" t="str">
        <x:v>B</x:v>
      </x:c>
      <x:c r="D213" t="str">
        <x:v>B</x:v>
      </x:c>
      <x:c r="E213" t="str">
        <x:v>B</x:v>
      </x:c>
      <x:c r="F213" t="str">
        <x:v>B</x:v>
      </x:c>
      <x:c r="G213" t="str">
        <x:v>W</x:v>
      </x:c>
      <x:c r="H213" t="str">
        <x:v>W</x:v>
      </x:c>
      <x:c r="I213" t="str">
        <x:v>B</x:v>
      </x:c>
      <x:c r="J213" t="str">
        <x:v>B</x:v>
      </x:c>
      <x:c r="K213" t="str">
        <x:v>B</x:v>
      </x:c>
      <x:c r="L213" t="str">
        <x:v>B</x:v>
      </x:c>
      <x:c r="M213" t="str">
        <x:v>B</x:v>
      </x:c>
      <x:c r="N213" t="str">
        <x:v>B</x:v>
      </x:c>
      <x:c r="O213" t="str">
        <x:v>B</x:v>
      </x:c>
      <x:c r="P213" t="str">
        <x:v>B</x:v>
      </x:c>
      <x:c r="Q213" t="str">
        <x:v>W</x:v>
      </x:c>
      <x:c r="R213" t="str">
        <x:v>B</x:v>
      </x:c>
      <x:c r="S213" t="str">
        <x:v>B</x:v>
      </x:c>
      <x:c r="T213" t="str">
        <x:v>B</x:v>
      </x:c>
      <x:c r="U213" t="str">
        <x:v>W</x:v>
      </x:c>
      <x:c r="V213" t="n">
        <x:f>COUNTIF(B213:U213,"W")</x:f>
        <x:v>5</x:v>
      </x:c>
      <x:c r="W213" s="5" t="str">
        <x:f>IF(COUNTIF(B213:D213,"W")&gt;0,"Y","N")</x:f>
        <x:v>Y</x:v>
      </x:c>
      <x:c r="X213" s="5" t="str">
        <x:f>IF(COUNTIF(B213:I213,"W")&gt;=4,"Y","N")</x:f>
        <x:v>N</x:v>
      </x:c>
      <x:c r="Y213" s="1"/>
      <x:c r="Z213" s="1"/>
      <x:c r="AA213" s="1"/>
      <x:c r="AB213" s="1"/>
      <x:c r="AC213" s="1"/>
      <x:c r="AD213" s="1"/>
      <x:c r="AE213" s="1"/>
    </x:row>
    <x:row r="214">
      <x:c r="A214" s="1">
        <x:v>213</x:v>
      </x:c>
      <x:c r="B214" t="str">
        <x:v>W</x:v>
      </x:c>
      <x:c r="C214" t="str">
        <x:v>W</x:v>
      </x:c>
      <x:c r="D214" t="str">
        <x:v>B</x:v>
      </x:c>
      <x:c r="E214" t="str">
        <x:v>B</x:v>
      </x:c>
      <x:c r="F214" t="str">
        <x:v>B</x:v>
      </x:c>
      <x:c r="G214" t="str">
        <x:v>B</x:v>
      </x:c>
      <x:c r="H214" t="str">
        <x:v>B</x:v>
      </x:c>
      <x:c r="I214" t="str">
        <x:v>W</x:v>
      </x:c>
      <x:c r="J214" t="str">
        <x:v>B</x:v>
      </x:c>
      <x:c r="K214" t="str">
        <x:v>B</x:v>
      </x:c>
      <x:c r="L214" t="str">
        <x:v>B</x:v>
      </x:c>
      <x:c r="M214" t="str">
        <x:v>B</x:v>
      </x:c>
      <x:c r="N214" t="str">
        <x:v>B</x:v>
      </x:c>
      <x:c r="O214" t="str">
        <x:v>W</x:v>
      </x:c>
      <x:c r="P214" t="str">
        <x:v>B</x:v>
      </x:c>
      <x:c r="Q214" t="str">
        <x:v>B</x:v>
      </x:c>
      <x:c r="R214" t="str">
        <x:v>B</x:v>
      </x:c>
      <x:c r="S214" t="str">
        <x:v>B</x:v>
      </x:c>
      <x:c r="T214" t="str">
        <x:v>B</x:v>
      </x:c>
      <x:c r="U214" t="str">
        <x:v>B</x:v>
      </x:c>
      <x:c r="V214" t="n">
        <x:f>COUNTIF(B214:U214,"W")</x:f>
        <x:v>4</x:v>
      </x:c>
      <x:c r="W214" s="5" t="str">
        <x:f>IF(COUNTIF(B214:D214,"W")&gt;0,"Y","N")</x:f>
        <x:v>Y</x:v>
      </x:c>
      <x:c r="X214" s="5" t="str">
        <x:f>IF(COUNTIF(B214:I214,"W")&gt;=4,"Y","N")</x:f>
        <x:v>N</x:v>
      </x:c>
      <x:c r="Y214" s="1"/>
      <x:c r="Z214" s="1"/>
      <x:c r="AA214" s="1"/>
      <x:c r="AB214" s="1"/>
      <x:c r="AC214" s="1"/>
      <x:c r="AD214" s="1"/>
      <x:c r="AE214" s="1"/>
    </x:row>
    <x:row r="215">
      <x:c r="A215" s="1">
        <x:v>214</x:v>
      </x:c>
      <x:c r="B215" t="str">
        <x:v>W</x:v>
      </x:c>
      <x:c r="C215" t="str">
        <x:v>B</x:v>
      </x:c>
      <x:c r="D215" t="str">
        <x:v>W</x:v>
      </x:c>
      <x:c r="E215" t="str">
        <x:v>W</x:v>
      </x:c>
      <x:c r="F215" t="str">
        <x:v>B</x:v>
      </x:c>
      <x:c r="G215" t="str">
        <x:v>B</x:v>
      </x:c>
      <x:c r="H215" t="str">
        <x:v>W</x:v>
      </x:c>
      <x:c r="I215" t="str">
        <x:v>B</x:v>
      </x:c>
      <x:c r="J215" t="str">
        <x:v>W</x:v>
      </x:c>
      <x:c r="K215" t="str">
        <x:v>B</x:v>
      </x:c>
      <x:c r="L215" t="str">
        <x:v>B</x:v>
      </x:c>
      <x:c r="M215" t="str">
        <x:v>W</x:v>
      </x:c>
      <x:c r="N215" t="str">
        <x:v>W</x:v>
      </x:c>
      <x:c r="O215" t="str">
        <x:v>W</x:v>
      </x:c>
      <x:c r="P215" t="str">
        <x:v>B</x:v>
      </x:c>
      <x:c r="Q215" t="str">
        <x:v>B</x:v>
      </x:c>
      <x:c r="R215" t="str">
        <x:v>B</x:v>
      </x:c>
      <x:c r="S215" t="str">
        <x:v>B</x:v>
      </x:c>
      <x:c r="T215" t="str">
        <x:v>W</x:v>
      </x:c>
      <x:c r="U215" t="str">
        <x:v>B</x:v>
      </x:c>
      <x:c r="V215" t="n">
        <x:f>COUNTIF(B215:U215,"W")</x:f>
        <x:v>9</x:v>
      </x:c>
      <x:c r="W215" s="5" t="str">
        <x:f>IF(COUNTIF(B215:D215,"W")&gt;0,"Y","N")</x:f>
        <x:v>Y</x:v>
      </x:c>
      <x:c r="X215" s="5" t="str">
        <x:f>IF(COUNTIF(B215:I215,"W")&gt;=4,"Y","N")</x:f>
        <x:v>Y</x:v>
      </x:c>
      <x:c r="Y215" s="1"/>
      <x:c r="Z215" s="1"/>
      <x:c r="AA215" s="1"/>
      <x:c r="AB215" s="1"/>
      <x:c r="AC215" s="1"/>
      <x:c r="AD215" s="1"/>
      <x:c r="AE215" s="1"/>
    </x:row>
    <x:row r="216">
      <x:c r="A216" s="1">
        <x:v>215</x:v>
      </x:c>
      <x:c r="B216" t="str">
        <x:v>W</x:v>
      </x:c>
      <x:c r="C216" t="str">
        <x:v>W</x:v>
      </x:c>
      <x:c r="D216" t="str">
        <x:v>W</x:v>
      </x:c>
      <x:c r="E216" t="str">
        <x:v>B</x:v>
      </x:c>
      <x:c r="F216" t="str">
        <x:v>B</x:v>
      </x:c>
      <x:c r="G216" t="str">
        <x:v>B</x:v>
      </x:c>
      <x:c r="H216" t="str">
        <x:v>B</x:v>
      </x:c>
      <x:c r="I216" t="str">
        <x:v>W</x:v>
      </x:c>
      <x:c r="J216" t="str">
        <x:v>W</x:v>
      </x:c>
      <x:c r="K216" t="str">
        <x:v>W</x:v>
      </x:c>
      <x:c r="L216" t="str">
        <x:v>B</x:v>
      </x:c>
      <x:c r="M216" t="str">
        <x:v>W</x:v>
      </x:c>
      <x:c r="N216" t="str">
        <x:v>B</x:v>
      </x:c>
      <x:c r="O216" t="str">
        <x:v>B</x:v>
      </x:c>
      <x:c r="P216" t="str">
        <x:v>B</x:v>
      </x:c>
      <x:c r="Q216" t="str">
        <x:v>W</x:v>
      </x:c>
      <x:c r="R216" t="str">
        <x:v>B</x:v>
      </x:c>
      <x:c r="S216" t="str">
        <x:v>B</x:v>
      </x:c>
      <x:c r="T216" t="str">
        <x:v>B</x:v>
      </x:c>
      <x:c r="U216" t="str">
        <x:v>B</x:v>
      </x:c>
      <x:c r="V216" t="n">
        <x:f>COUNTIF(B216:U216,"W")</x:f>
        <x:v>8</x:v>
      </x:c>
      <x:c r="W216" s="5" t="str">
        <x:f>IF(COUNTIF(B216:D216,"W")&gt;0,"Y","N")</x:f>
        <x:v>Y</x:v>
      </x:c>
      <x:c r="X216" s="5" t="str">
        <x:f>IF(COUNTIF(B216:I216,"W")&gt;=4,"Y","N")</x:f>
        <x:v>Y</x:v>
      </x:c>
      <x:c r="Y216" s="1"/>
      <x:c r="Z216" s="1"/>
      <x:c r="AA216" s="1"/>
      <x:c r="AB216" s="1"/>
      <x:c r="AC216" s="1"/>
      <x:c r="AD216" s="1"/>
      <x:c r="AE216" s="1"/>
    </x:row>
    <x:row r="217">
      <x:c r="A217" s="1">
        <x:v>216</x:v>
      </x:c>
      <x:c r="B217" t="str">
        <x:v>W</x:v>
      </x:c>
      <x:c r="C217" t="str">
        <x:v>B</x:v>
      </x:c>
      <x:c r="D217" t="str">
        <x:v>W</x:v>
      </x:c>
      <x:c r="E217" t="str">
        <x:v>W</x:v>
      </x:c>
      <x:c r="F217" t="str">
        <x:v>B</x:v>
      </x:c>
      <x:c r="G217" t="str">
        <x:v>W</x:v>
      </x:c>
      <x:c r="H217" t="str">
        <x:v>W</x:v>
      </x:c>
      <x:c r="I217" t="str">
        <x:v>W</x:v>
      </x:c>
      <x:c r="J217" t="str">
        <x:v>B</x:v>
      </x:c>
      <x:c r="K217" t="str">
        <x:v>B</x:v>
      </x:c>
      <x:c r="L217" t="str">
        <x:v>B</x:v>
      </x:c>
      <x:c r="M217" t="str">
        <x:v>B</x:v>
      </x:c>
      <x:c r="N217" t="str">
        <x:v>B</x:v>
      </x:c>
      <x:c r="O217" t="str">
        <x:v>W</x:v>
      </x:c>
      <x:c r="P217" t="str">
        <x:v>B</x:v>
      </x:c>
      <x:c r="Q217" t="str">
        <x:v>B</x:v>
      </x:c>
      <x:c r="R217" t="str">
        <x:v>W</x:v>
      </x:c>
      <x:c r="S217" t="str">
        <x:v>W</x:v>
      </x:c>
      <x:c r="T217" t="str">
        <x:v>B</x:v>
      </x:c>
      <x:c r="U217" t="str">
        <x:v>B</x:v>
      </x:c>
      <x:c r="V217" t="n">
        <x:f>COUNTIF(B217:U217,"W")</x:f>
        <x:v>9</x:v>
      </x:c>
      <x:c r="W217" s="5" t="str">
        <x:f>IF(COUNTIF(B217:D217,"W")&gt;0,"Y","N")</x:f>
        <x:v>Y</x:v>
      </x:c>
      <x:c r="X217" s="5" t="str">
        <x:f>IF(COUNTIF(B217:I217,"W")&gt;=4,"Y","N")</x:f>
        <x:v>Y</x:v>
      </x:c>
      <x:c r="Y217" s="1"/>
      <x:c r="Z217" s="1"/>
      <x:c r="AA217" s="1"/>
      <x:c r="AB217" s="1"/>
      <x:c r="AC217" s="1"/>
      <x:c r="AD217" s="1"/>
      <x:c r="AE217" s="1"/>
    </x:row>
    <x:row r="218">
      <x:c r="A218" s="1">
        <x:v>217</x:v>
      </x:c>
      <x:c r="B218" t="str">
        <x:v>W</x:v>
      </x:c>
      <x:c r="C218" t="str">
        <x:v>W</x:v>
      </x:c>
      <x:c r="D218" t="str">
        <x:v>B</x:v>
      </x:c>
      <x:c r="E218" t="str">
        <x:v>W</x:v>
      </x:c>
      <x:c r="F218" t="str">
        <x:v>W</x:v>
      </x:c>
      <x:c r="G218" t="str">
        <x:v>B</x:v>
      </x:c>
      <x:c r="H218" t="str">
        <x:v>B</x:v>
      </x:c>
      <x:c r="I218" t="str">
        <x:v>W</x:v>
      </x:c>
      <x:c r="J218" t="str">
        <x:v>B</x:v>
      </x:c>
      <x:c r="K218" t="str">
        <x:v>W</x:v>
      </x:c>
      <x:c r="L218" t="str">
        <x:v>W</x:v>
      </x:c>
      <x:c r="M218" t="str">
        <x:v>W</x:v>
      </x:c>
      <x:c r="N218" t="str">
        <x:v>B</x:v>
      </x:c>
      <x:c r="O218" t="str">
        <x:v>W</x:v>
      </x:c>
      <x:c r="P218" t="str">
        <x:v>B</x:v>
      </x:c>
      <x:c r="Q218" t="str">
        <x:v>W</x:v>
      </x:c>
      <x:c r="R218" t="str">
        <x:v>W</x:v>
      </x:c>
      <x:c r="S218" t="str">
        <x:v>W</x:v>
      </x:c>
      <x:c r="T218" t="str">
        <x:v>B</x:v>
      </x:c>
      <x:c r="U218" t="str">
        <x:v>W</x:v>
      </x:c>
      <x:c r="V218" t="n">
        <x:f>COUNTIF(B218:U218,"W")</x:f>
        <x:v>13</x:v>
      </x:c>
      <x:c r="W218" s="5" t="str">
        <x:f>IF(COUNTIF(B218:D218,"W")&gt;0,"Y","N")</x:f>
        <x:v>Y</x:v>
      </x:c>
      <x:c r="X218" s="5" t="str">
        <x:f>IF(COUNTIF(B218:I218,"W")&gt;=4,"Y","N")</x:f>
        <x:v>Y</x:v>
      </x:c>
      <x:c r="Y218" s="1"/>
      <x:c r="Z218" s="1"/>
      <x:c r="AA218" s="1"/>
      <x:c r="AB218" s="1"/>
      <x:c r="AC218" s="1"/>
      <x:c r="AD218" s="1"/>
      <x:c r="AE218" s="1"/>
    </x:row>
    <x:row r="219">
      <x:c r="A219" s="1">
        <x:v>218</x:v>
      </x:c>
      <x:c r="B219" t="str">
        <x:v>B</x:v>
      </x:c>
      <x:c r="C219" t="str">
        <x:v>B</x:v>
      </x:c>
      <x:c r="D219" t="str">
        <x:v>B</x:v>
      </x:c>
      <x:c r="E219" t="str">
        <x:v>B</x:v>
      </x:c>
      <x:c r="F219" t="str">
        <x:v>B</x:v>
      </x:c>
      <x:c r="G219" t="str">
        <x:v>B</x:v>
      </x:c>
      <x:c r="H219" t="str">
        <x:v>W</x:v>
      </x:c>
      <x:c r="I219" t="str">
        <x:v>B</x:v>
      </x:c>
      <x:c r="J219" t="str">
        <x:v>B</x:v>
      </x:c>
      <x:c r="K219" t="str">
        <x:v>W</x:v>
      </x:c>
      <x:c r="L219" t="str">
        <x:v>W</x:v>
      </x:c>
      <x:c r="M219" t="str">
        <x:v>B</x:v>
      </x:c>
      <x:c r="N219" t="str">
        <x:v>B</x:v>
      </x:c>
      <x:c r="O219" t="str">
        <x:v>W</x:v>
      </x:c>
      <x:c r="P219" t="str">
        <x:v>W</x:v>
      </x:c>
      <x:c r="Q219" t="str">
        <x:v>W</x:v>
      </x:c>
      <x:c r="R219" t="str">
        <x:v>W</x:v>
      </x:c>
      <x:c r="S219" t="str">
        <x:v>B</x:v>
      </x:c>
      <x:c r="T219" t="str">
        <x:v>W</x:v>
      </x:c>
      <x:c r="U219" t="str">
        <x:v>W</x:v>
      </x:c>
      <x:c r="V219" t="n">
        <x:f>COUNTIF(B219:U219,"W")</x:f>
        <x:v>9</x:v>
      </x:c>
      <x:c r="W219" s="5" t="str">
        <x:f>IF(COUNTIF(B219:D219,"W")&gt;0,"Y","N")</x:f>
        <x:v>N</x:v>
      </x:c>
      <x:c r="X219" s="5" t="str">
        <x:f>IF(COUNTIF(B219:I219,"W")&gt;=4,"Y","N")</x:f>
        <x:v>N</x:v>
      </x:c>
      <x:c r="Y219" s="1"/>
      <x:c r="Z219" s="1"/>
      <x:c r="AA219" s="1"/>
      <x:c r="AB219" s="1"/>
      <x:c r="AC219" s="1"/>
      <x:c r="AD219" s="1"/>
      <x:c r="AE219" s="1"/>
    </x:row>
    <x:row r="220">
      <x:c r="A220" s="1">
        <x:v>219</x:v>
      </x:c>
      <x:c r="B220" t="str">
        <x:v>W</x:v>
      </x:c>
      <x:c r="C220" t="str">
        <x:v>B</x:v>
      </x:c>
      <x:c r="D220" t="str">
        <x:v>W</x:v>
      </x:c>
      <x:c r="E220" t="str">
        <x:v>B</x:v>
      </x:c>
      <x:c r="F220" t="str">
        <x:v>W</x:v>
      </x:c>
      <x:c r="G220" t="str">
        <x:v>B</x:v>
      </x:c>
      <x:c r="H220" t="str">
        <x:v>B</x:v>
      </x:c>
      <x:c r="I220" t="str">
        <x:v>W</x:v>
      </x:c>
      <x:c r="J220" t="str">
        <x:v>B</x:v>
      </x:c>
      <x:c r="K220" t="str">
        <x:v>B</x:v>
      </x:c>
      <x:c r="L220" t="str">
        <x:v>B</x:v>
      </x:c>
      <x:c r="M220" t="str">
        <x:v>B</x:v>
      </x:c>
      <x:c r="N220" t="str">
        <x:v>W</x:v>
      </x:c>
      <x:c r="O220" t="str">
        <x:v>B</x:v>
      </x:c>
      <x:c r="P220" t="str">
        <x:v>B</x:v>
      </x:c>
      <x:c r="Q220" t="str">
        <x:v>B</x:v>
      </x:c>
      <x:c r="R220" t="str">
        <x:v>W</x:v>
      </x:c>
      <x:c r="S220" t="str">
        <x:v>B</x:v>
      </x:c>
      <x:c r="T220" t="str">
        <x:v>B</x:v>
      </x:c>
      <x:c r="U220" t="str">
        <x:v>B</x:v>
      </x:c>
      <x:c r="V220" t="n">
        <x:f>COUNTIF(B220:U220,"W")</x:f>
        <x:v>6</x:v>
      </x:c>
      <x:c r="W220" s="5" t="str">
        <x:f>IF(COUNTIF(B220:D220,"W")&gt;0,"Y","N")</x:f>
        <x:v>Y</x:v>
      </x:c>
      <x:c r="X220" s="5" t="str">
        <x:f>IF(COUNTIF(B220:I220,"W")&gt;=4,"Y","N")</x:f>
        <x:v>Y</x:v>
      </x:c>
      <x:c r="Y220" s="1"/>
      <x:c r="Z220" s="1"/>
      <x:c r="AA220" s="1"/>
      <x:c r="AB220" s="1"/>
      <x:c r="AC220" s="1"/>
      <x:c r="AD220" s="1"/>
      <x:c r="AE220" s="1"/>
    </x:row>
    <x:row r="221">
      <x:c r="A221" s="1">
        <x:v>220</x:v>
      </x:c>
      <x:c r="B221" t="str">
        <x:v>B</x:v>
      </x:c>
      <x:c r="C221" t="str">
        <x:v>W</x:v>
      </x:c>
      <x:c r="D221" t="str">
        <x:v>B</x:v>
      </x:c>
      <x:c r="E221" t="str">
        <x:v>B</x:v>
      </x:c>
      <x:c r="F221" t="str">
        <x:v>W</x:v>
      </x:c>
      <x:c r="G221" t="str">
        <x:v>W</x:v>
      </x:c>
      <x:c r="H221" t="str">
        <x:v>B</x:v>
      </x:c>
      <x:c r="I221" t="str">
        <x:v>B</x:v>
      </x:c>
      <x:c r="J221" t="str">
        <x:v>B</x:v>
      </x:c>
      <x:c r="K221" t="str">
        <x:v>B</x:v>
      </x:c>
      <x:c r="L221" t="str">
        <x:v>B</x:v>
      </x:c>
      <x:c r="M221" t="str">
        <x:v>B</x:v>
      </x:c>
      <x:c r="N221" t="str">
        <x:v>B</x:v>
      </x:c>
      <x:c r="O221" t="str">
        <x:v>W</x:v>
      </x:c>
      <x:c r="P221" t="str">
        <x:v>W</x:v>
      </x:c>
      <x:c r="Q221" t="str">
        <x:v>B</x:v>
      </x:c>
      <x:c r="R221" t="str">
        <x:v>B</x:v>
      </x:c>
      <x:c r="S221" t="str">
        <x:v>W</x:v>
      </x:c>
      <x:c r="T221" t="str">
        <x:v>B</x:v>
      </x:c>
      <x:c r="U221" t="str">
        <x:v>W</x:v>
      </x:c>
      <x:c r="V221" t="n">
        <x:f>COUNTIF(B221:U221,"W")</x:f>
        <x:v>7</x:v>
      </x:c>
      <x:c r="W221" s="5" t="str">
        <x:f>IF(COUNTIF(B221:D221,"W")&gt;0,"Y","N")</x:f>
        <x:v>Y</x:v>
      </x:c>
      <x:c r="X221" s="5" t="str">
        <x:f>IF(COUNTIF(B221:I221,"W")&gt;=4,"Y","N")</x:f>
        <x:v>N</x:v>
      </x:c>
      <x:c r="Y221" s="1"/>
      <x:c r="Z221" s="1"/>
      <x:c r="AA221" s="1"/>
      <x:c r="AB221" s="1"/>
      <x:c r="AC221" s="1"/>
      <x:c r="AD221" s="1"/>
      <x:c r="AE221" s="1"/>
    </x:row>
    <x:row r="222">
      <x:c r="A222" s="1">
        <x:v>221</x:v>
      </x:c>
      <x:c r="B222" t="str">
        <x:v>W</x:v>
      </x:c>
      <x:c r="C222" t="str">
        <x:v>W</x:v>
      </x:c>
      <x:c r="D222" t="str">
        <x:v>B</x:v>
      </x:c>
      <x:c r="E222" t="str">
        <x:v>W</x:v>
      </x:c>
      <x:c r="F222" t="str">
        <x:v>B</x:v>
      </x:c>
      <x:c r="G222" t="str">
        <x:v>W</x:v>
      </x:c>
      <x:c r="H222" t="str">
        <x:v>B</x:v>
      </x:c>
      <x:c r="I222" t="str">
        <x:v>B</x:v>
      </x:c>
      <x:c r="J222" t="str">
        <x:v>B</x:v>
      </x:c>
      <x:c r="K222" t="str">
        <x:v>B</x:v>
      </x:c>
      <x:c r="L222" t="str">
        <x:v>B</x:v>
      </x:c>
      <x:c r="M222" t="str">
        <x:v>W</x:v>
      </x:c>
      <x:c r="N222" t="str">
        <x:v>B</x:v>
      </x:c>
      <x:c r="O222" t="str">
        <x:v>B</x:v>
      </x:c>
      <x:c r="P222" t="str">
        <x:v>W</x:v>
      </x:c>
      <x:c r="Q222" t="str">
        <x:v>W</x:v>
      </x:c>
      <x:c r="R222" t="str">
        <x:v>B</x:v>
      </x:c>
      <x:c r="S222" t="str">
        <x:v>W</x:v>
      </x:c>
      <x:c r="T222" t="str">
        <x:v>W</x:v>
      </x:c>
      <x:c r="U222" t="str">
        <x:v>B</x:v>
      </x:c>
      <x:c r="V222" t="n">
        <x:f>COUNTIF(B222:U222,"W")</x:f>
        <x:v>9</x:v>
      </x:c>
      <x:c r="W222" s="5" t="str">
        <x:f>IF(COUNTIF(B222:D222,"W")&gt;0,"Y","N")</x:f>
        <x:v>Y</x:v>
      </x:c>
      <x:c r="X222" s="5" t="str">
        <x:f>IF(COUNTIF(B222:I222,"W")&gt;=4,"Y","N")</x:f>
        <x:v>Y</x:v>
      </x:c>
      <x:c r="Y222" s="1"/>
      <x:c r="Z222" s="1"/>
      <x:c r="AA222" s="1"/>
      <x:c r="AB222" s="1"/>
      <x:c r="AC222" s="1"/>
      <x:c r="AD222" s="1"/>
      <x:c r="AE222" s="1"/>
    </x:row>
    <x:row r="223">
      <x:c r="A223" s="1">
        <x:v>222</x:v>
      </x:c>
      <x:c r="B223" t="str">
        <x:v>W</x:v>
      </x:c>
      <x:c r="C223" t="str">
        <x:v>W</x:v>
      </x:c>
      <x:c r="D223" t="str">
        <x:v>B</x:v>
      </x:c>
      <x:c r="E223" t="str">
        <x:v>W</x:v>
      </x:c>
      <x:c r="F223" t="str">
        <x:v>B</x:v>
      </x:c>
      <x:c r="G223" t="str">
        <x:v>B</x:v>
      </x:c>
      <x:c r="H223" t="str">
        <x:v>B</x:v>
      </x:c>
      <x:c r="I223" t="str">
        <x:v>B</x:v>
      </x:c>
      <x:c r="J223" t="str">
        <x:v>B</x:v>
      </x:c>
      <x:c r="K223" t="str">
        <x:v>B</x:v>
      </x:c>
      <x:c r="L223" t="str">
        <x:v>W</x:v>
      </x:c>
      <x:c r="M223" t="str">
        <x:v>B</x:v>
      </x:c>
      <x:c r="N223" t="str">
        <x:v>W</x:v>
      </x:c>
      <x:c r="O223" t="str">
        <x:v>B</x:v>
      </x:c>
      <x:c r="P223" t="str">
        <x:v>B</x:v>
      </x:c>
      <x:c r="Q223" t="str">
        <x:v>B</x:v>
      </x:c>
      <x:c r="R223" t="str">
        <x:v>W</x:v>
      </x:c>
      <x:c r="S223" t="str">
        <x:v>W</x:v>
      </x:c>
      <x:c r="T223" t="str">
        <x:v>B</x:v>
      </x:c>
      <x:c r="U223" t="str">
        <x:v>B</x:v>
      </x:c>
      <x:c r="V223" t="n">
        <x:f>COUNTIF(B223:U223,"W")</x:f>
        <x:v>7</x:v>
      </x:c>
      <x:c r="W223" s="5" t="str">
        <x:f>IF(COUNTIF(B223:D223,"W")&gt;0,"Y","N")</x:f>
        <x:v>Y</x:v>
      </x:c>
      <x:c r="X223" s="5" t="str">
        <x:f>IF(COUNTIF(B223:I223,"W")&gt;=4,"Y","N")</x:f>
        <x:v>N</x:v>
      </x:c>
      <x:c r="Y223" s="1"/>
      <x:c r="Z223" s="1"/>
      <x:c r="AA223" s="1"/>
      <x:c r="AB223" s="1"/>
      <x:c r="AC223" s="1"/>
      <x:c r="AD223" s="1"/>
      <x:c r="AE223" s="1"/>
    </x:row>
    <x:row r="224">
      <x:c r="A224" s="1">
        <x:v>223</x:v>
      </x:c>
      <x:c r="B224" t="str">
        <x:v>B</x:v>
      </x:c>
      <x:c r="C224" t="str">
        <x:v>B</x:v>
      </x:c>
      <x:c r="D224" t="str">
        <x:v>B</x:v>
      </x:c>
      <x:c r="E224" t="str">
        <x:v>B</x:v>
      </x:c>
      <x:c r="F224" t="str">
        <x:v>B</x:v>
      </x:c>
      <x:c r="G224" t="str">
        <x:v>W</x:v>
      </x:c>
      <x:c r="H224" t="str">
        <x:v>B</x:v>
      </x:c>
      <x:c r="I224" t="str">
        <x:v>W</x:v>
      </x:c>
      <x:c r="J224" t="str">
        <x:v>B</x:v>
      </x:c>
      <x:c r="K224" t="str">
        <x:v>W</x:v>
      </x:c>
      <x:c r="L224" t="str">
        <x:v>B</x:v>
      </x:c>
      <x:c r="M224" t="str">
        <x:v>B</x:v>
      </x:c>
      <x:c r="N224" t="str">
        <x:v>W</x:v>
      </x:c>
      <x:c r="O224" t="str">
        <x:v>W</x:v>
      </x:c>
      <x:c r="P224" t="str">
        <x:v>B</x:v>
      </x:c>
      <x:c r="Q224" t="str">
        <x:v>B</x:v>
      </x:c>
      <x:c r="R224" t="str">
        <x:v>B</x:v>
      </x:c>
      <x:c r="S224" t="str">
        <x:v>B</x:v>
      </x:c>
      <x:c r="T224" t="str">
        <x:v>B</x:v>
      </x:c>
      <x:c r="U224" t="str">
        <x:v>W</x:v>
      </x:c>
      <x:c r="V224" t="n">
        <x:f>COUNTIF(B224:U224,"W")</x:f>
        <x:v>6</x:v>
      </x:c>
      <x:c r="W224" s="5" t="str">
        <x:f>IF(COUNTIF(B224:D224,"W")&gt;0,"Y","N")</x:f>
        <x:v>N</x:v>
      </x:c>
      <x:c r="X224" s="5" t="str">
        <x:f>IF(COUNTIF(B224:I224,"W")&gt;=4,"Y","N")</x:f>
        <x:v>N</x:v>
      </x:c>
      <x:c r="Y224" s="1"/>
      <x:c r="Z224" s="1"/>
      <x:c r="AA224" s="1"/>
      <x:c r="AB224" s="1"/>
      <x:c r="AC224" s="1"/>
      <x:c r="AD224" s="1"/>
      <x:c r="AE224" s="1"/>
    </x:row>
    <x:row r="225">
      <x:c r="A225" s="1">
        <x:v>224</x:v>
      </x:c>
      <x:c r="B225" t="str">
        <x:v>B</x:v>
      </x:c>
      <x:c r="C225" t="str">
        <x:v>W</x:v>
      </x:c>
      <x:c r="D225" t="str">
        <x:v>W</x:v>
      </x:c>
      <x:c r="E225" t="str">
        <x:v>W</x:v>
      </x:c>
      <x:c r="F225" t="str">
        <x:v>B</x:v>
      </x:c>
      <x:c r="G225" t="str">
        <x:v>W</x:v>
      </x:c>
      <x:c r="H225" t="str">
        <x:v>W</x:v>
      </x:c>
      <x:c r="I225" t="str">
        <x:v>W</x:v>
      </x:c>
      <x:c r="J225" t="str">
        <x:v>W</x:v>
      </x:c>
      <x:c r="K225" t="str">
        <x:v>B</x:v>
      </x:c>
      <x:c r="L225" t="str">
        <x:v>W</x:v>
      </x:c>
      <x:c r="M225" t="str">
        <x:v>W</x:v>
      </x:c>
      <x:c r="N225" t="str">
        <x:v>W</x:v>
      </x:c>
      <x:c r="O225" t="str">
        <x:v>B</x:v>
      </x:c>
      <x:c r="P225" t="str">
        <x:v>B</x:v>
      </x:c>
      <x:c r="Q225" t="str">
        <x:v>B</x:v>
      </x:c>
      <x:c r="R225" t="str">
        <x:v>B</x:v>
      </x:c>
      <x:c r="S225" t="str">
        <x:v>B</x:v>
      </x:c>
      <x:c r="T225" t="str">
        <x:v>B</x:v>
      </x:c>
      <x:c r="U225" t="str">
        <x:v>B</x:v>
      </x:c>
      <x:c r="V225" t="n">
        <x:f>COUNTIF(B225:U225,"W")</x:f>
        <x:v>10</x:v>
      </x:c>
      <x:c r="W225" s="5" t="str">
        <x:f>IF(COUNTIF(B225:D225,"W")&gt;0,"Y","N")</x:f>
        <x:v>Y</x:v>
      </x:c>
      <x:c r="X225" s="5" t="str">
        <x:f>IF(COUNTIF(B225:I225,"W")&gt;=4,"Y","N")</x:f>
        <x:v>Y</x:v>
      </x:c>
      <x:c r="Y225" s="1"/>
      <x:c r="Z225" s="1"/>
      <x:c r="AA225" s="1"/>
      <x:c r="AB225" s="1"/>
      <x:c r="AC225" s="1"/>
      <x:c r="AD225" s="1"/>
      <x:c r="AE225" s="1"/>
    </x:row>
    <x:row r="226">
      <x:c r="A226" s="1">
        <x:v>225</x:v>
      </x:c>
      <x:c r="B226" t="str">
        <x:v>W</x:v>
      </x:c>
      <x:c r="C226" t="str">
        <x:v>B</x:v>
      </x:c>
      <x:c r="D226" t="str">
        <x:v>W</x:v>
      </x:c>
      <x:c r="E226" t="str">
        <x:v>W</x:v>
      </x:c>
      <x:c r="F226" t="str">
        <x:v>W</x:v>
      </x:c>
      <x:c r="G226" t="str">
        <x:v>B</x:v>
      </x:c>
      <x:c r="H226" t="str">
        <x:v>B</x:v>
      </x:c>
      <x:c r="I226" t="str">
        <x:v>B</x:v>
      </x:c>
      <x:c r="J226" t="str">
        <x:v>B</x:v>
      </x:c>
      <x:c r="K226" t="str">
        <x:v>B</x:v>
      </x:c>
      <x:c r="L226" t="str">
        <x:v>W</x:v>
      </x:c>
      <x:c r="M226" t="str">
        <x:v>W</x:v>
      </x:c>
      <x:c r="N226" t="str">
        <x:v>B</x:v>
      </x:c>
      <x:c r="O226" t="str">
        <x:v>B</x:v>
      </x:c>
      <x:c r="P226" t="str">
        <x:v>B</x:v>
      </x:c>
      <x:c r="Q226" t="str">
        <x:v>B</x:v>
      </x:c>
      <x:c r="R226" t="str">
        <x:v>B</x:v>
      </x:c>
      <x:c r="S226" t="str">
        <x:v>B</x:v>
      </x:c>
      <x:c r="T226" t="str">
        <x:v>B</x:v>
      </x:c>
      <x:c r="U226" t="str">
        <x:v>B</x:v>
      </x:c>
      <x:c r="V226" t="n">
        <x:f>COUNTIF(B226:U226,"W")</x:f>
        <x:v>6</x:v>
      </x:c>
      <x:c r="W226" s="5" t="str">
        <x:f>IF(COUNTIF(B226:D226,"W")&gt;0,"Y","N")</x:f>
        <x:v>Y</x:v>
      </x:c>
      <x:c r="X226" s="5" t="str">
        <x:f>IF(COUNTIF(B226:I226,"W")&gt;=4,"Y","N")</x:f>
        <x:v>Y</x:v>
      </x:c>
      <x:c r="Y226" s="1"/>
      <x:c r="Z226" s="1"/>
      <x:c r="AA226" s="1"/>
      <x:c r="AB226" s="1"/>
      <x:c r="AC226" s="1"/>
      <x:c r="AD226" s="1"/>
      <x:c r="AE226" s="1"/>
    </x:row>
    <x:row r="227">
      <x:c r="A227" s="1">
        <x:v>226</x:v>
      </x:c>
      <x:c r="B227" t="str">
        <x:v>B</x:v>
      </x:c>
      <x:c r="C227" t="str">
        <x:v>B</x:v>
      </x:c>
      <x:c r="D227" t="str">
        <x:v>B</x:v>
      </x:c>
      <x:c r="E227" t="str">
        <x:v>W</x:v>
      </x:c>
      <x:c r="F227" t="str">
        <x:v>B</x:v>
      </x:c>
      <x:c r="G227" t="str">
        <x:v>B</x:v>
      </x:c>
      <x:c r="H227" t="str">
        <x:v>B</x:v>
      </x:c>
      <x:c r="I227" t="str">
        <x:v>W</x:v>
      </x:c>
      <x:c r="J227" t="str">
        <x:v>W</x:v>
      </x:c>
      <x:c r="K227" t="str">
        <x:v>B</x:v>
      </x:c>
      <x:c r="L227" t="str">
        <x:v>W</x:v>
      </x:c>
      <x:c r="M227" t="str">
        <x:v>W</x:v>
      </x:c>
      <x:c r="N227" t="str">
        <x:v>W</x:v>
      </x:c>
      <x:c r="O227" t="str">
        <x:v>B</x:v>
      </x:c>
      <x:c r="P227" t="str">
        <x:v>W</x:v>
      </x:c>
      <x:c r="Q227" t="str">
        <x:v>W</x:v>
      </x:c>
      <x:c r="R227" t="str">
        <x:v>W</x:v>
      </x:c>
      <x:c r="S227" t="str">
        <x:v>B</x:v>
      </x:c>
      <x:c r="T227" t="str">
        <x:v>B</x:v>
      </x:c>
      <x:c r="U227" t="str">
        <x:v>B</x:v>
      </x:c>
      <x:c r="V227" t="n">
        <x:f>COUNTIF(B227:U227,"W")</x:f>
        <x:v>9</x:v>
      </x:c>
      <x:c r="W227" s="5" t="str">
        <x:f>IF(COUNTIF(B227:D227,"W")&gt;0,"Y","N")</x:f>
        <x:v>N</x:v>
      </x:c>
      <x:c r="X227" s="5" t="str">
        <x:f>IF(COUNTIF(B227:I227,"W")&gt;=4,"Y","N")</x:f>
        <x:v>N</x:v>
      </x:c>
      <x:c r="Y227" s="1"/>
      <x:c r="Z227" s="1"/>
      <x:c r="AA227" s="1"/>
      <x:c r="AB227" s="1"/>
      <x:c r="AC227" s="1"/>
      <x:c r="AD227" s="1"/>
      <x:c r="AE227" s="1"/>
    </x:row>
    <x:row r="228">
      <x:c r="A228" s="1">
        <x:v>227</x:v>
      </x:c>
      <x:c r="B228" t="str">
        <x:v>W</x:v>
      </x:c>
      <x:c r="C228" t="str">
        <x:v>B</x:v>
      </x:c>
      <x:c r="D228" t="str">
        <x:v>B</x:v>
      </x:c>
      <x:c r="E228" t="str">
        <x:v>B</x:v>
      </x:c>
      <x:c r="F228" t="str">
        <x:v>B</x:v>
      </x:c>
      <x:c r="G228" t="str">
        <x:v>B</x:v>
      </x:c>
      <x:c r="H228" t="str">
        <x:v>B</x:v>
      </x:c>
      <x:c r="I228" t="str">
        <x:v>B</x:v>
      </x:c>
      <x:c r="J228" t="str">
        <x:v>W</x:v>
      </x:c>
      <x:c r="K228" t="str">
        <x:v>B</x:v>
      </x:c>
      <x:c r="L228" t="str">
        <x:v>B</x:v>
      </x:c>
      <x:c r="M228" t="str">
        <x:v>B</x:v>
      </x:c>
      <x:c r="N228" t="str">
        <x:v>W</x:v>
      </x:c>
      <x:c r="O228" t="str">
        <x:v>W</x:v>
      </x:c>
      <x:c r="P228" t="str">
        <x:v>W</x:v>
      </x:c>
      <x:c r="Q228" t="str">
        <x:v>B</x:v>
      </x:c>
      <x:c r="R228" t="str">
        <x:v>W</x:v>
      </x:c>
      <x:c r="S228" t="str">
        <x:v>W</x:v>
      </x:c>
      <x:c r="T228" t="str">
        <x:v>W</x:v>
      </x:c>
      <x:c r="U228" t="str">
        <x:v>W</x:v>
      </x:c>
      <x:c r="V228" t="n">
        <x:f>COUNTIF(B228:U228,"W")</x:f>
        <x:v>9</x:v>
      </x:c>
      <x:c r="W228" s="5" t="str">
        <x:f>IF(COUNTIF(B228:D228,"W")&gt;0,"Y","N")</x:f>
        <x:v>Y</x:v>
      </x:c>
      <x:c r="X228" s="5" t="str">
        <x:f>IF(COUNTIF(B228:I228,"W")&gt;=4,"Y","N")</x:f>
        <x:v>N</x:v>
      </x:c>
      <x:c r="Y228" s="1"/>
      <x:c r="Z228" s="1"/>
      <x:c r="AA228" s="1"/>
      <x:c r="AB228" s="1"/>
      <x:c r="AC228" s="1"/>
      <x:c r="AD228" s="1"/>
      <x:c r="AE228" s="1"/>
    </x:row>
    <x:row r="229">
      <x:c r="A229" s="1">
        <x:v>228</x:v>
      </x:c>
      <x:c r="B229" t="str">
        <x:v>B</x:v>
      </x:c>
      <x:c r="C229" t="str">
        <x:v>B</x:v>
      </x:c>
      <x:c r="D229" t="str">
        <x:v>W</x:v>
      </x:c>
      <x:c r="E229" t="str">
        <x:v>B</x:v>
      </x:c>
      <x:c r="F229" t="str">
        <x:v>B</x:v>
      </x:c>
      <x:c r="G229" t="str">
        <x:v>B</x:v>
      </x:c>
      <x:c r="H229" t="str">
        <x:v>W</x:v>
      </x:c>
      <x:c r="I229" t="str">
        <x:v>B</x:v>
      </x:c>
      <x:c r="J229" t="str">
        <x:v>W</x:v>
      </x:c>
      <x:c r="K229" t="str">
        <x:v>W</x:v>
      </x:c>
      <x:c r="L229" t="str">
        <x:v>B</x:v>
      </x:c>
      <x:c r="M229" t="str">
        <x:v>B</x:v>
      </x:c>
      <x:c r="N229" t="str">
        <x:v>B</x:v>
      </x:c>
      <x:c r="O229" t="str">
        <x:v>B</x:v>
      </x:c>
      <x:c r="P229" t="str">
        <x:v>B</x:v>
      </x:c>
      <x:c r="Q229" t="str">
        <x:v>W</x:v>
      </x:c>
      <x:c r="R229" t="str">
        <x:v>B</x:v>
      </x:c>
      <x:c r="S229" t="str">
        <x:v>B</x:v>
      </x:c>
      <x:c r="T229" t="str">
        <x:v>B</x:v>
      </x:c>
      <x:c r="U229" t="str">
        <x:v>B</x:v>
      </x:c>
      <x:c r="V229" t="n">
        <x:f>COUNTIF(B229:U229,"W")</x:f>
        <x:v>5</x:v>
      </x:c>
      <x:c r="W229" s="5" t="str">
        <x:f>IF(COUNTIF(B229:D229,"W")&gt;0,"Y","N")</x:f>
        <x:v>Y</x:v>
      </x:c>
      <x:c r="X229" s="5" t="str">
        <x:f>IF(COUNTIF(B229:I229,"W")&gt;=4,"Y","N")</x:f>
        <x:v>N</x:v>
      </x:c>
      <x:c r="Y229" s="1"/>
      <x:c r="Z229" s="1"/>
      <x:c r="AA229" s="1"/>
      <x:c r="AB229" s="1"/>
      <x:c r="AC229" s="1"/>
      <x:c r="AD229" s="1"/>
      <x:c r="AE229" s="1"/>
    </x:row>
    <x:row r="230">
      <x:c r="A230" s="1">
        <x:v>229</x:v>
      </x:c>
      <x:c r="B230" t="str">
        <x:v>B</x:v>
      </x:c>
      <x:c r="C230" t="str">
        <x:v>B</x:v>
      </x:c>
      <x:c r="D230" t="str">
        <x:v>B</x:v>
      </x:c>
      <x:c r="E230" t="str">
        <x:v>B</x:v>
      </x:c>
      <x:c r="F230" t="str">
        <x:v>W</x:v>
      </x:c>
      <x:c r="G230" t="str">
        <x:v>B</x:v>
      </x:c>
      <x:c r="H230" t="str">
        <x:v>B</x:v>
      </x:c>
      <x:c r="I230" t="str">
        <x:v>W</x:v>
      </x:c>
      <x:c r="J230" t="str">
        <x:v>W</x:v>
      </x:c>
      <x:c r="K230" t="str">
        <x:v>B</x:v>
      </x:c>
      <x:c r="L230" t="str">
        <x:v>B</x:v>
      </x:c>
      <x:c r="M230" t="str">
        <x:v>B</x:v>
      </x:c>
      <x:c r="N230" t="str">
        <x:v>W</x:v>
      </x:c>
      <x:c r="O230" t="str">
        <x:v>B</x:v>
      </x:c>
      <x:c r="P230" t="str">
        <x:v>B</x:v>
      </x:c>
      <x:c r="Q230" t="str">
        <x:v>B</x:v>
      </x:c>
      <x:c r="R230" t="str">
        <x:v>B</x:v>
      </x:c>
      <x:c r="S230" t="str">
        <x:v>W</x:v>
      </x:c>
      <x:c r="T230" t="str">
        <x:v>B</x:v>
      </x:c>
      <x:c r="U230" t="str">
        <x:v>W</x:v>
      </x:c>
      <x:c r="V230" t="n">
        <x:f>COUNTIF(B230:U230,"W")</x:f>
        <x:v>6</x:v>
      </x:c>
      <x:c r="W230" s="5" t="str">
        <x:f>IF(COUNTIF(B230:D230,"W")&gt;0,"Y","N")</x:f>
        <x:v>N</x:v>
      </x:c>
      <x:c r="X230" s="5" t="str">
        <x:f>IF(COUNTIF(B230:I230,"W")&gt;=4,"Y","N")</x:f>
        <x:v>N</x:v>
      </x:c>
      <x:c r="Y230" s="1"/>
      <x:c r="Z230" s="1"/>
      <x:c r="AA230" s="1"/>
      <x:c r="AB230" s="1"/>
      <x:c r="AC230" s="1"/>
      <x:c r="AD230" s="1"/>
      <x:c r="AE230" s="1"/>
    </x:row>
    <x:row r="231">
      <x:c r="A231" s="1">
        <x:v>230</x:v>
      </x:c>
      <x:c r="B231" t="str">
        <x:v>B</x:v>
      </x:c>
      <x:c r="C231" t="str">
        <x:v>B</x:v>
      </x:c>
      <x:c r="D231" t="str">
        <x:v>W</x:v>
      </x:c>
      <x:c r="E231" t="str">
        <x:v>W</x:v>
      </x:c>
      <x:c r="F231" t="str">
        <x:v>B</x:v>
      </x:c>
      <x:c r="G231" t="str">
        <x:v>B</x:v>
      </x:c>
      <x:c r="H231" t="str">
        <x:v>B</x:v>
      </x:c>
      <x:c r="I231" t="str">
        <x:v>B</x:v>
      </x:c>
      <x:c r="J231" t="str">
        <x:v>B</x:v>
      </x:c>
      <x:c r="K231" t="str">
        <x:v>B</x:v>
      </x:c>
      <x:c r="L231" t="str">
        <x:v>B</x:v>
      </x:c>
      <x:c r="M231" t="str">
        <x:v>B</x:v>
      </x:c>
      <x:c r="N231" t="str">
        <x:v>B</x:v>
      </x:c>
      <x:c r="O231" t="str">
        <x:v>B</x:v>
      </x:c>
      <x:c r="P231" t="str">
        <x:v>B</x:v>
      </x:c>
      <x:c r="Q231" t="str">
        <x:v>W</x:v>
      </x:c>
      <x:c r="R231" t="str">
        <x:v>B</x:v>
      </x:c>
      <x:c r="S231" t="str">
        <x:v>B</x:v>
      </x:c>
      <x:c r="T231" t="str">
        <x:v>W</x:v>
      </x:c>
      <x:c r="U231" t="str">
        <x:v>W</x:v>
      </x:c>
      <x:c r="V231" t="n">
        <x:f>COUNTIF(B231:U231,"W")</x:f>
        <x:v>5</x:v>
      </x:c>
      <x:c r="W231" s="5" t="str">
        <x:f>IF(COUNTIF(B231:D231,"W")&gt;0,"Y","N")</x:f>
        <x:v>Y</x:v>
      </x:c>
      <x:c r="X231" s="5" t="str">
        <x:f>IF(COUNTIF(B231:I231,"W")&gt;=4,"Y","N")</x:f>
        <x:v>N</x:v>
      </x:c>
      <x:c r="Y231" s="1"/>
      <x:c r="Z231" s="1"/>
      <x:c r="AA231" s="1"/>
      <x:c r="AB231" s="1"/>
      <x:c r="AC231" s="1"/>
      <x:c r="AD231" s="1"/>
      <x:c r="AE231" s="1"/>
    </x:row>
    <x:row r="232">
      <x:c r="A232" s="1">
        <x:v>231</x:v>
      </x:c>
      <x:c r="B232" t="str">
        <x:v>W</x:v>
      </x:c>
      <x:c r="C232" t="str">
        <x:v>B</x:v>
      </x:c>
      <x:c r="D232" t="str">
        <x:v>B</x:v>
      </x:c>
      <x:c r="E232" t="str">
        <x:v>B</x:v>
      </x:c>
      <x:c r="F232" t="str">
        <x:v>B</x:v>
      </x:c>
      <x:c r="G232" t="str">
        <x:v>B</x:v>
      </x:c>
      <x:c r="H232" t="str">
        <x:v>B</x:v>
      </x:c>
      <x:c r="I232" t="str">
        <x:v>B</x:v>
      </x:c>
      <x:c r="J232" t="str">
        <x:v>B</x:v>
      </x:c>
      <x:c r="K232" t="str">
        <x:v>B</x:v>
      </x:c>
      <x:c r="L232" t="str">
        <x:v>W</x:v>
      </x:c>
      <x:c r="M232" t="str">
        <x:v>W</x:v>
      </x:c>
      <x:c r="N232" t="str">
        <x:v>B</x:v>
      </x:c>
      <x:c r="O232" t="str">
        <x:v>W</x:v>
      </x:c>
      <x:c r="P232" t="str">
        <x:v>B</x:v>
      </x:c>
      <x:c r="Q232" t="str">
        <x:v>W</x:v>
      </x:c>
      <x:c r="R232" t="str">
        <x:v>W</x:v>
      </x:c>
      <x:c r="S232" t="str">
        <x:v>B</x:v>
      </x:c>
      <x:c r="T232" t="str">
        <x:v>B</x:v>
      </x:c>
      <x:c r="U232" t="str">
        <x:v>W</x:v>
      </x:c>
      <x:c r="V232" t="n">
        <x:f>COUNTIF(B232:U232,"W")</x:f>
        <x:v>7</x:v>
      </x:c>
      <x:c r="W232" s="5" t="str">
        <x:f>IF(COUNTIF(B232:D232,"W")&gt;0,"Y","N")</x:f>
        <x:v>Y</x:v>
      </x:c>
      <x:c r="X232" s="5" t="str">
        <x:f>IF(COUNTIF(B232:I232,"W")&gt;=4,"Y","N")</x:f>
        <x:v>N</x:v>
      </x:c>
      <x:c r="Y232" s="1"/>
      <x:c r="Z232" s="1"/>
      <x:c r="AA232" s="1"/>
      <x:c r="AB232" s="1"/>
      <x:c r="AC232" s="1"/>
      <x:c r="AD232" s="1"/>
      <x:c r="AE232" s="1"/>
    </x:row>
    <x:row r="233">
      <x:c r="A233" s="1">
        <x:v>232</x:v>
      </x:c>
      <x:c r="B233" t="str">
        <x:v>B</x:v>
      </x:c>
      <x:c r="C233" t="str">
        <x:v>B</x:v>
      </x:c>
      <x:c r="D233" t="str">
        <x:v>B</x:v>
      </x:c>
      <x:c r="E233" t="str">
        <x:v>B</x:v>
      </x:c>
      <x:c r="F233" t="str">
        <x:v>W</x:v>
      </x:c>
      <x:c r="G233" t="str">
        <x:v>B</x:v>
      </x:c>
      <x:c r="H233" t="str">
        <x:v>B</x:v>
      </x:c>
      <x:c r="I233" t="str">
        <x:v>B</x:v>
      </x:c>
      <x:c r="J233" t="str">
        <x:v>B</x:v>
      </x:c>
      <x:c r="K233" t="str">
        <x:v>B</x:v>
      </x:c>
      <x:c r="L233" t="str">
        <x:v>W</x:v>
      </x:c>
      <x:c r="M233" t="str">
        <x:v>W</x:v>
      </x:c>
      <x:c r="N233" t="str">
        <x:v>W</x:v>
      </x:c>
      <x:c r="O233" t="str">
        <x:v>W</x:v>
      </x:c>
      <x:c r="P233" t="str">
        <x:v>W</x:v>
      </x:c>
      <x:c r="Q233" t="str">
        <x:v>B</x:v>
      </x:c>
      <x:c r="R233" t="str">
        <x:v>B</x:v>
      </x:c>
      <x:c r="S233" t="str">
        <x:v>B</x:v>
      </x:c>
      <x:c r="T233" t="str">
        <x:v>B</x:v>
      </x:c>
      <x:c r="U233" t="str">
        <x:v>B</x:v>
      </x:c>
      <x:c r="V233" t="n">
        <x:f>COUNTIF(B233:U233,"W")</x:f>
        <x:v>6</x:v>
      </x:c>
      <x:c r="W233" s="5" t="str">
        <x:f>IF(COUNTIF(B233:D233,"W")&gt;0,"Y","N")</x:f>
        <x:v>N</x:v>
      </x:c>
      <x:c r="X233" s="5" t="str">
        <x:f>IF(COUNTIF(B233:I233,"W")&gt;=4,"Y","N")</x:f>
        <x:v>N</x:v>
      </x:c>
      <x:c r="Y233" s="1"/>
      <x:c r="Z233" s="1"/>
      <x:c r="AA233" s="1"/>
      <x:c r="AB233" s="1"/>
      <x:c r="AC233" s="1"/>
      <x:c r="AD233" s="1"/>
      <x:c r="AE233" s="1"/>
    </x:row>
    <x:row r="234">
      <x:c r="A234" s="1">
        <x:v>233</x:v>
      </x:c>
      <x:c r="B234" t="str">
        <x:v>B</x:v>
      </x:c>
      <x:c r="C234" t="str">
        <x:v>B</x:v>
      </x:c>
      <x:c r="D234" t="str">
        <x:v>B</x:v>
      </x:c>
      <x:c r="E234" t="str">
        <x:v>W</x:v>
      </x:c>
      <x:c r="F234" t="str">
        <x:v>B</x:v>
      </x:c>
      <x:c r="G234" t="str">
        <x:v>B</x:v>
      </x:c>
      <x:c r="H234" t="str">
        <x:v>B</x:v>
      </x:c>
      <x:c r="I234" t="str">
        <x:v>W</x:v>
      </x:c>
      <x:c r="J234" t="str">
        <x:v>W</x:v>
      </x:c>
      <x:c r="K234" t="str">
        <x:v>B</x:v>
      </x:c>
      <x:c r="L234" t="str">
        <x:v>B</x:v>
      </x:c>
      <x:c r="M234" t="str">
        <x:v>W</x:v>
      </x:c>
      <x:c r="N234" t="str">
        <x:v>B</x:v>
      </x:c>
      <x:c r="O234" t="str">
        <x:v>B</x:v>
      </x:c>
      <x:c r="P234" t="str">
        <x:v>B</x:v>
      </x:c>
      <x:c r="Q234" t="str">
        <x:v>B</x:v>
      </x:c>
      <x:c r="R234" t="str">
        <x:v>B</x:v>
      </x:c>
      <x:c r="S234" t="str">
        <x:v>B</x:v>
      </x:c>
      <x:c r="T234" t="str">
        <x:v>B</x:v>
      </x:c>
      <x:c r="U234" t="str">
        <x:v>B</x:v>
      </x:c>
      <x:c r="V234" t="n">
        <x:f>COUNTIF(B234:U234,"W")</x:f>
        <x:v>4</x:v>
      </x:c>
      <x:c r="W234" s="5" t="str">
        <x:f>IF(COUNTIF(B234:D234,"W")&gt;0,"Y","N")</x:f>
        <x:v>N</x:v>
      </x:c>
      <x:c r="X234" s="5" t="str">
        <x:f>IF(COUNTIF(B234:I234,"W")&gt;=4,"Y","N")</x:f>
        <x:v>N</x:v>
      </x:c>
      <x:c r="Y234" s="1"/>
      <x:c r="Z234" s="1"/>
      <x:c r="AA234" s="1"/>
      <x:c r="AB234" s="1"/>
      <x:c r="AC234" s="1"/>
      <x:c r="AD234" s="1"/>
      <x:c r="AE234" s="1"/>
    </x:row>
    <x:row r="235">
      <x:c r="A235" s="1">
        <x:v>234</x:v>
      </x:c>
      <x:c r="B235" t="str">
        <x:v>B</x:v>
      </x:c>
      <x:c r="C235" t="str">
        <x:v>W</x:v>
      </x:c>
      <x:c r="D235" t="str">
        <x:v>W</x:v>
      </x:c>
      <x:c r="E235" t="str">
        <x:v>B</x:v>
      </x:c>
      <x:c r="F235" t="str">
        <x:v>B</x:v>
      </x:c>
      <x:c r="G235" t="str">
        <x:v>W</x:v>
      </x:c>
      <x:c r="H235" t="str">
        <x:v>W</x:v>
      </x:c>
      <x:c r="I235" t="str">
        <x:v>W</x:v>
      </x:c>
      <x:c r="J235" t="str">
        <x:v>W</x:v>
      </x:c>
      <x:c r="K235" t="str">
        <x:v>B</x:v>
      </x:c>
      <x:c r="L235" t="str">
        <x:v>B</x:v>
      </x:c>
      <x:c r="M235" t="str">
        <x:v>B</x:v>
      </x:c>
      <x:c r="N235" t="str">
        <x:v>W</x:v>
      </x:c>
      <x:c r="O235" t="str">
        <x:v>W</x:v>
      </x:c>
      <x:c r="P235" t="str">
        <x:v>W</x:v>
      </x:c>
      <x:c r="Q235" t="str">
        <x:v>B</x:v>
      </x:c>
      <x:c r="R235" t="str">
        <x:v>W</x:v>
      </x:c>
      <x:c r="S235" t="str">
        <x:v>W</x:v>
      </x:c>
      <x:c r="T235" t="str">
        <x:v>B</x:v>
      </x:c>
      <x:c r="U235" t="str">
        <x:v>B</x:v>
      </x:c>
      <x:c r="V235" t="n">
        <x:f>COUNTIF(B235:U235,"W")</x:f>
        <x:v>11</x:v>
      </x:c>
      <x:c r="W235" s="5" t="str">
        <x:f>IF(COUNTIF(B235:D235,"W")&gt;0,"Y","N")</x:f>
        <x:v>Y</x:v>
      </x:c>
      <x:c r="X235" s="5" t="str">
        <x:f>IF(COUNTIF(B235:I235,"W")&gt;=4,"Y","N")</x:f>
        <x:v>Y</x:v>
      </x:c>
      <x:c r="Y235" s="1"/>
      <x:c r="Z235" s="1"/>
      <x:c r="AA235" s="1"/>
      <x:c r="AB235" s="1"/>
      <x:c r="AC235" s="1"/>
      <x:c r="AD235" s="1"/>
      <x:c r="AE235" s="1"/>
    </x:row>
    <x:row r="236">
      <x:c r="A236" s="1">
        <x:v>235</x:v>
      </x:c>
      <x:c r="B236" t="str">
        <x:v>W</x:v>
      </x:c>
      <x:c r="C236" t="str">
        <x:v>B</x:v>
      </x:c>
      <x:c r="D236" t="str">
        <x:v>B</x:v>
      </x:c>
      <x:c r="E236" t="str">
        <x:v>W</x:v>
      </x:c>
      <x:c r="F236" t="str">
        <x:v>B</x:v>
      </x:c>
      <x:c r="G236" t="str">
        <x:v>B</x:v>
      </x:c>
      <x:c r="H236" t="str">
        <x:v>B</x:v>
      </x:c>
      <x:c r="I236" t="str">
        <x:v>B</x:v>
      </x:c>
      <x:c r="J236" t="str">
        <x:v>B</x:v>
      </x:c>
      <x:c r="K236" t="str">
        <x:v>W</x:v>
      </x:c>
      <x:c r="L236" t="str">
        <x:v>B</x:v>
      </x:c>
      <x:c r="M236" t="str">
        <x:v>B</x:v>
      </x:c>
      <x:c r="N236" t="str">
        <x:v>B</x:v>
      </x:c>
      <x:c r="O236" t="str">
        <x:v>B</x:v>
      </x:c>
      <x:c r="P236" t="str">
        <x:v>B</x:v>
      </x:c>
      <x:c r="Q236" t="str">
        <x:v>B</x:v>
      </x:c>
      <x:c r="R236" t="str">
        <x:v>W</x:v>
      </x:c>
      <x:c r="S236" t="str">
        <x:v>W</x:v>
      </x:c>
      <x:c r="T236" t="str">
        <x:v>W</x:v>
      </x:c>
      <x:c r="U236" t="str">
        <x:v>W</x:v>
      </x:c>
      <x:c r="V236" t="n">
        <x:f>COUNTIF(B236:U236,"W")</x:f>
        <x:v>7</x:v>
      </x:c>
      <x:c r="W236" s="5" t="str">
        <x:f>IF(COUNTIF(B236:D236,"W")&gt;0,"Y","N")</x:f>
        <x:v>Y</x:v>
      </x:c>
      <x:c r="X236" s="5" t="str">
        <x:f>IF(COUNTIF(B236:I236,"W")&gt;=4,"Y","N")</x:f>
        <x:v>N</x:v>
      </x:c>
      <x:c r="Y236" s="1"/>
      <x:c r="Z236" s="1"/>
      <x:c r="AA236" s="1"/>
      <x:c r="AB236" s="1"/>
      <x:c r="AC236" s="1"/>
      <x:c r="AD236" s="1"/>
      <x:c r="AE236" s="1"/>
    </x:row>
    <x:row r="237">
      <x:c r="A237" s="1">
        <x:v>236</x:v>
      </x:c>
      <x:c r="B237" t="str">
        <x:v>B</x:v>
      </x:c>
      <x:c r="C237" t="str">
        <x:v>B</x:v>
      </x:c>
      <x:c r="D237" t="str">
        <x:v>B</x:v>
      </x:c>
      <x:c r="E237" t="str">
        <x:v>B</x:v>
      </x:c>
      <x:c r="F237" t="str">
        <x:v>B</x:v>
      </x:c>
      <x:c r="G237" t="str">
        <x:v>B</x:v>
      </x:c>
      <x:c r="H237" t="str">
        <x:v>W</x:v>
      </x:c>
      <x:c r="I237" t="str">
        <x:v>W</x:v>
      </x:c>
      <x:c r="J237" t="str">
        <x:v>B</x:v>
      </x:c>
      <x:c r="K237" t="str">
        <x:v>B</x:v>
      </x:c>
      <x:c r="L237" t="str">
        <x:v>B</x:v>
      </x:c>
      <x:c r="M237" t="str">
        <x:v>B</x:v>
      </x:c>
      <x:c r="N237" t="str">
        <x:v>W</x:v>
      </x:c>
      <x:c r="O237" t="str">
        <x:v>B</x:v>
      </x:c>
      <x:c r="P237" t="str">
        <x:v>W</x:v>
      </x:c>
      <x:c r="Q237" t="str">
        <x:v>W</x:v>
      </x:c>
      <x:c r="R237" t="str">
        <x:v>B</x:v>
      </x:c>
      <x:c r="S237" t="str">
        <x:v>B</x:v>
      </x:c>
      <x:c r="T237" t="str">
        <x:v>W</x:v>
      </x:c>
      <x:c r="U237" t="str">
        <x:v>W</x:v>
      </x:c>
      <x:c r="V237" t="n">
        <x:f>COUNTIF(B237:U237,"W")</x:f>
        <x:v>7</x:v>
      </x:c>
      <x:c r="W237" s="5" t="str">
        <x:f>IF(COUNTIF(B237:D237,"W")&gt;0,"Y","N")</x:f>
        <x:v>N</x:v>
      </x:c>
      <x:c r="X237" s="5" t="str">
        <x:f>IF(COUNTIF(B237:I237,"W")&gt;=4,"Y","N")</x:f>
        <x:v>N</x:v>
      </x:c>
      <x:c r="Y237" s="1"/>
      <x:c r="Z237" s="1"/>
      <x:c r="AA237" s="1"/>
      <x:c r="AB237" s="1"/>
      <x:c r="AC237" s="1"/>
      <x:c r="AD237" s="1"/>
      <x:c r="AE237" s="1"/>
    </x:row>
    <x:row r="238">
      <x:c r="A238" s="1">
        <x:v>237</x:v>
      </x:c>
      <x:c r="B238" t="str">
        <x:v>B</x:v>
      </x:c>
      <x:c r="C238" t="str">
        <x:v>W</x:v>
      </x:c>
      <x:c r="D238" t="str">
        <x:v>W</x:v>
      </x:c>
      <x:c r="E238" t="str">
        <x:v>B</x:v>
      </x:c>
      <x:c r="F238" t="str">
        <x:v>W</x:v>
      </x:c>
      <x:c r="G238" t="str">
        <x:v>B</x:v>
      </x:c>
      <x:c r="H238" t="str">
        <x:v>W</x:v>
      </x:c>
      <x:c r="I238" t="str">
        <x:v>B</x:v>
      </x:c>
      <x:c r="J238" t="str">
        <x:v>B</x:v>
      </x:c>
      <x:c r="K238" t="str">
        <x:v>B</x:v>
      </x:c>
      <x:c r="L238" t="str">
        <x:v>B</x:v>
      </x:c>
      <x:c r="M238" t="str">
        <x:v>B</x:v>
      </x:c>
      <x:c r="N238" t="str">
        <x:v>B</x:v>
      </x:c>
      <x:c r="O238" t="str">
        <x:v>W</x:v>
      </x:c>
      <x:c r="P238" t="str">
        <x:v>W</x:v>
      </x:c>
      <x:c r="Q238" t="str">
        <x:v>B</x:v>
      </x:c>
      <x:c r="R238" t="str">
        <x:v>B</x:v>
      </x:c>
      <x:c r="S238" t="str">
        <x:v>B</x:v>
      </x:c>
      <x:c r="T238" t="str">
        <x:v>B</x:v>
      </x:c>
      <x:c r="U238" t="str">
        <x:v>B</x:v>
      </x:c>
      <x:c r="V238" t="n">
        <x:f>COUNTIF(B238:U238,"W")</x:f>
        <x:v>6</x:v>
      </x:c>
      <x:c r="W238" s="5" t="str">
        <x:f>IF(COUNTIF(B238:D238,"W")&gt;0,"Y","N")</x:f>
        <x:v>Y</x:v>
      </x:c>
      <x:c r="X238" s="5" t="str">
        <x:f>IF(COUNTIF(B238:I238,"W")&gt;=4,"Y","N")</x:f>
        <x:v>Y</x:v>
      </x:c>
      <x:c r="Y238" s="1"/>
      <x:c r="Z238" s="1"/>
      <x:c r="AA238" s="1"/>
      <x:c r="AB238" s="1"/>
      <x:c r="AC238" s="1"/>
      <x:c r="AD238" s="1"/>
      <x:c r="AE238" s="1"/>
    </x:row>
    <x:row r="239">
      <x:c r="A239" s="1">
        <x:v>238</x:v>
      </x:c>
      <x:c r="B239" t="str">
        <x:v>B</x:v>
      </x:c>
      <x:c r="C239" t="str">
        <x:v>W</x:v>
      </x:c>
      <x:c r="D239" t="str">
        <x:v>B</x:v>
      </x:c>
      <x:c r="E239" t="str">
        <x:v>W</x:v>
      </x:c>
      <x:c r="F239" t="str">
        <x:v>W</x:v>
      </x:c>
      <x:c r="G239" t="str">
        <x:v>B</x:v>
      </x:c>
      <x:c r="H239" t="str">
        <x:v>W</x:v>
      </x:c>
      <x:c r="I239" t="str">
        <x:v>B</x:v>
      </x:c>
      <x:c r="J239" t="str">
        <x:v>B</x:v>
      </x:c>
      <x:c r="K239" t="str">
        <x:v>W</x:v>
      </x:c>
      <x:c r="L239" t="str">
        <x:v>B</x:v>
      </x:c>
      <x:c r="M239" t="str">
        <x:v>B</x:v>
      </x:c>
      <x:c r="N239" t="str">
        <x:v>W</x:v>
      </x:c>
      <x:c r="O239" t="str">
        <x:v>B</x:v>
      </x:c>
      <x:c r="P239" t="str">
        <x:v>B</x:v>
      </x:c>
      <x:c r="Q239" t="str">
        <x:v>W</x:v>
      </x:c>
      <x:c r="R239" t="str">
        <x:v>B</x:v>
      </x:c>
      <x:c r="S239" t="str">
        <x:v>W</x:v>
      </x:c>
      <x:c r="T239" t="str">
        <x:v>W</x:v>
      </x:c>
      <x:c r="U239" t="str">
        <x:v>W</x:v>
      </x:c>
      <x:c r="V239" t="n">
        <x:f>COUNTIF(B239:U239,"W")</x:f>
        <x:v>10</x:v>
      </x:c>
      <x:c r="W239" s="5" t="str">
        <x:f>IF(COUNTIF(B239:D239,"W")&gt;0,"Y","N")</x:f>
        <x:v>Y</x:v>
      </x:c>
      <x:c r="X239" s="5" t="str">
        <x:f>IF(COUNTIF(B239:I239,"W")&gt;=4,"Y","N")</x:f>
        <x:v>Y</x:v>
      </x:c>
      <x:c r="Y239" s="1"/>
      <x:c r="Z239" s="1"/>
      <x:c r="AA239" s="1"/>
      <x:c r="AB239" s="1"/>
      <x:c r="AC239" s="1"/>
      <x:c r="AD239" s="1"/>
      <x:c r="AE239" s="1"/>
    </x:row>
    <x:row r="240">
      <x:c r="A240" s="1">
        <x:v>239</x:v>
      </x:c>
      <x:c r="B240" t="str">
        <x:v>B</x:v>
      </x:c>
      <x:c r="C240" t="str">
        <x:v>W</x:v>
      </x:c>
      <x:c r="D240" t="str">
        <x:v>B</x:v>
      </x:c>
      <x:c r="E240" t="str">
        <x:v>B</x:v>
      </x:c>
      <x:c r="F240" t="str">
        <x:v>W</x:v>
      </x:c>
      <x:c r="G240" t="str">
        <x:v>W</x:v>
      </x:c>
      <x:c r="H240" t="str">
        <x:v>B</x:v>
      </x:c>
      <x:c r="I240" t="str">
        <x:v>B</x:v>
      </x:c>
      <x:c r="J240" t="str">
        <x:v>B</x:v>
      </x:c>
      <x:c r="K240" t="str">
        <x:v>B</x:v>
      </x:c>
      <x:c r="L240" t="str">
        <x:v>B</x:v>
      </x:c>
      <x:c r="M240" t="str">
        <x:v>B</x:v>
      </x:c>
      <x:c r="N240" t="str">
        <x:v>W</x:v>
      </x:c>
      <x:c r="O240" t="str">
        <x:v>W</x:v>
      </x:c>
      <x:c r="P240" t="str">
        <x:v>B</x:v>
      </x:c>
      <x:c r="Q240" t="str">
        <x:v>B</x:v>
      </x:c>
      <x:c r="R240" t="str">
        <x:v>W</x:v>
      </x:c>
      <x:c r="S240" t="str">
        <x:v>B</x:v>
      </x:c>
      <x:c r="T240" t="str">
        <x:v>B</x:v>
      </x:c>
      <x:c r="U240" t="str">
        <x:v>B</x:v>
      </x:c>
      <x:c r="V240" t="n">
        <x:f>COUNTIF(B240:U240,"W")</x:f>
        <x:v>6</x:v>
      </x:c>
      <x:c r="W240" s="5" t="str">
        <x:f>IF(COUNTIF(B240:D240,"W")&gt;0,"Y","N")</x:f>
        <x:v>Y</x:v>
      </x:c>
      <x:c r="X240" s="5" t="str">
        <x:f>IF(COUNTIF(B240:I240,"W")&gt;=4,"Y","N")</x:f>
        <x:v>N</x:v>
      </x:c>
      <x:c r="Y240" s="1"/>
      <x:c r="Z240" s="1"/>
      <x:c r="AA240" s="1"/>
      <x:c r="AB240" s="1"/>
      <x:c r="AC240" s="1"/>
      <x:c r="AD240" s="1"/>
      <x:c r="AE240" s="1"/>
    </x:row>
    <x:row r="241">
      <x:c r="A241" s="1">
        <x:v>240</x:v>
      </x:c>
      <x:c r="B241" t="str">
        <x:v>B</x:v>
      </x:c>
      <x:c r="C241" t="str">
        <x:v>W</x:v>
      </x:c>
      <x:c r="D241" t="str">
        <x:v>B</x:v>
      </x:c>
      <x:c r="E241" t="str">
        <x:v>B</x:v>
      </x:c>
      <x:c r="F241" t="str">
        <x:v>B</x:v>
      </x:c>
      <x:c r="G241" t="str">
        <x:v>W</x:v>
      </x:c>
      <x:c r="H241" t="str">
        <x:v>B</x:v>
      </x:c>
      <x:c r="I241" t="str">
        <x:v>B</x:v>
      </x:c>
      <x:c r="J241" t="str">
        <x:v>W</x:v>
      </x:c>
      <x:c r="K241" t="str">
        <x:v>W</x:v>
      </x:c>
      <x:c r="L241" t="str">
        <x:v>B</x:v>
      </x:c>
      <x:c r="M241" t="str">
        <x:v>B</x:v>
      </x:c>
      <x:c r="N241" t="str">
        <x:v>W</x:v>
      </x:c>
      <x:c r="O241" t="str">
        <x:v>W</x:v>
      </x:c>
      <x:c r="P241" t="str">
        <x:v>B</x:v>
      </x:c>
      <x:c r="Q241" t="str">
        <x:v>W</x:v>
      </x:c>
      <x:c r="R241" t="str">
        <x:v>B</x:v>
      </x:c>
      <x:c r="S241" t="str">
        <x:v>B</x:v>
      </x:c>
      <x:c r="T241" t="str">
        <x:v>B</x:v>
      </x:c>
      <x:c r="U241" t="str">
        <x:v>B</x:v>
      </x:c>
      <x:c r="V241" t="n">
        <x:f>COUNTIF(B241:U241,"W")</x:f>
        <x:v>7</x:v>
      </x:c>
      <x:c r="W241" s="5" t="str">
        <x:f>IF(COUNTIF(B241:D241,"W")&gt;0,"Y","N")</x:f>
        <x:v>Y</x:v>
      </x:c>
      <x:c r="X241" s="5" t="str">
        <x:f>IF(COUNTIF(B241:I241,"W")&gt;=4,"Y","N")</x:f>
        <x:v>N</x:v>
      </x:c>
      <x:c r="Y241" s="1"/>
      <x:c r="Z241" s="1"/>
      <x:c r="AA241" s="1"/>
      <x:c r="AB241" s="1"/>
      <x:c r="AC241" s="1"/>
      <x:c r="AD241" s="1"/>
      <x:c r="AE241" s="1"/>
    </x:row>
    <x:row r="242">
      <x:c r="A242" s="1">
        <x:v>241</x:v>
      </x:c>
      <x:c r="B242" t="str">
        <x:v>W</x:v>
      </x:c>
      <x:c r="C242" t="str">
        <x:v>B</x:v>
      </x:c>
      <x:c r="D242" t="str">
        <x:v>W</x:v>
      </x:c>
      <x:c r="E242" t="str">
        <x:v>W</x:v>
      </x:c>
      <x:c r="F242" t="str">
        <x:v>W</x:v>
      </x:c>
      <x:c r="G242" t="str">
        <x:v>B</x:v>
      </x:c>
      <x:c r="H242" t="str">
        <x:v>W</x:v>
      </x:c>
      <x:c r="I242" t="str">
        <x:v>B</x:v>
      </x:c>
      <x:c r="J242" t="str">
        <x:v>B</x:v>
      </x:c>
      <x:c r="K242" t="str">
        <x:v>W</x:v>
      </x:c>
      <x:c r="L242" t="str">
        <x:v>B</x:v>
      </x:c>
      <x:c r="M242" t="str">
        <x:v>B</x:v>
      </x:c>
      <x:c r="N242" t="str">
        <x:v>B</x:v>
      </x:c>
      <x:c r="O242" t="str">
        <x:v>B</x:v>
      </x:c>
      <x:c r="P242" t="str">
        <x:v>B</x:v>
      </x:c>
      <x:c r="Q242" t="str">
        <x:v>W</x:v>
      </x:c>
      <x:c r="R242" t="str">
        <x:v>W</x:v>
      </x:c>
      <x:c r="S242" t="str">
        <x:v>B</x:v>
      </x:c>
      <x:c r="T242" t="str">
        <x:v>B</x:v>
      </x:c>
      <x:c r="U242" t="str">
        <x:v>B</x:v>
      </x:c>
      <x:c r="V242" t="n">
        <x:f>COUNTIF(B242:U242,"W")</x:f>
        <x:v>8</x:v>
      </x:c>
      <x:c r="W242" s="5" t="str">
        <x:f>IF(COUNTIF(B242:D242,"W")&gt;0,"Y","N")</x:f>
        <x:v>Y</x:v>
      </x:c>
      <x:c r="X242" s="5" t="str">
        <x:f>IF(COUNTIF(B242:I242,"W")&gt;=4,"Y","N")</x:f>
        <x:v>Y</x:v>
      </x:c>
      <x:c r="Y242" s="1"/>
      <x:c r="Z242" s="1"/>
      <x:c r="AA242" s="1"/>
      <x:c r="AB242" s="1"/>
      <x:c r="AC242" s="1"/>
      <x:c r="AD242" s="1"/>
      <x:c r="AE242" s="1"/>
    </x:row>
    <x:row r="243">
      <x:c r="A243" s="1">
        <x:v>242</x:v>
      </x:c>
      <x:c r="B243" t="str">
        <x:v>B</x:v>
      </x:c>
      <x:c r="C243" t="str">
        <x:v>W</x:v>
      </x:c>
      <x:c r="D243" t="str">
        <x:v>B</x:v>
      </x:c>
      <x:c r="E243" t="str">
        <x:v>B</x:v>
      </x:c>
      <x:c r="F243" t="str">
        <x:v>B</x:v>
      </x:c>
      <x:c r="G243" t="str">
        <x:v>B</x:v>
      </x:c>
      <x:c r="H243" t="str">
        <x:v>W</x:v>
      </x:c>
      <x:c r="I243" t="str">
        <x:v>B</x:v>
      </x:c>
      <x:c r="J243" t="str">
        <x:v>B</x:v>
      </x:c>
      <x:c r="K243" t="str">
        <x:v>B</x:v>
      </x:c>
      <x:c r="L243" t="str">
        <x:v>B</x:v>
      </x:c>
      <x:c r="M243" t="str">
        <x:v>B</x:v>
      </x:c>
      <x:c r="N243" t="str">
        <x:v>B</x:v>
      </x:c>
      <x:c r="O243" t="str">
        <x:v>B</x:v>
      </x:c>
      <x:c r="P243" t="str">
        <x:v>W</x:v>
      </x:c>
      <x:c r="Q243" t="str">
        <x:v>B</x:v>
      </x:c>
      <x:c r="R243" t="str">
        <x:v>W</x:v>
      </x:c>
      <x:c r="S243" t="str">
        <x:v>B</x:v>
      </x:c>
      <x:c r="T243" t="str">
        <x:v>W</x:v>
      </x:c>
      <x:c r="U243" t="str">
        <x:v>W</x:v>
      </x:c>
      <x:c r="V243" t="n">
        <x:f>COUNTIF(B243:U243,"W")</x:f>
        <x:v>6</x:v>
      </x:c>
      <x:c r="W243" s="5" t="str">
        <x:f>IF(COUNTIF(B243:D243,"W")&gt;0,"Y","N")</x:f>
        <x:v>Y</x:v>
      </x:c>
      <x:c r="X243" s="5" t="str">
        <x:f>IF(COUNTIF(B243:I243,"W")&gt;=4,"Y","N")</x:f>
        <x:v>N</x:v>
      </x:c>
      <x:c r="Y243" s="1"/>
      <x:c r="Z243" s="1"/>
      <x:c r="AA243" s="1"/>
      <x:c r="AB243" s="1"/>
      <x:c r="AC243" s="1"/>
      <x:c r="AD243" s="1"/>
      <x:c r="AE243" s="1"/>
    </x:row>
    <x:row r="244">
      <x:c r="A244" s="1">
        <x:v>243</x:v>
      </x:c>
      <x:c r="B244" t="str">
        <x:v>W</x:v>
      </x:c>
      <x:c r="C244" t="str">
        <x:v>B</x:v>
      </x:c>
      <x:c r="D244" t="str">
        <x:v>B</x:v>
      </x:c>
      <x:c r="E244" t="str">
        <x:v>W</x:v>
      </x:c>
      <x:c r="F244" t="str">
        <x:v>W</x:v>
      </x:c>
      <x:c r="G244" t="str">
        <x:v>W</x:v>
      </x:c>
      <x:c r="H244" t="str">
        <x:v>B</x:v>
      </x:c>
      <x:c r="I244" t="str">
        <x:v>W</x:v>
      </x:c>
      <x:c r="J244" t="str">
        <x:v>B</x:v>
      </x:c>
      <x:c r="K244" t="str">
        <x:v>W</x:v>
      </x:c>
      <x:c r="L244" t="str">
        <x:v>B</x:v>
      </x:c>
      <x:c r="M244" t="str">
        <x:v>W</x:v>
      </x:c>
      <x:c r="N244" t="str">
        <x:v>W</x:v>
      </x:c>
      <x:c r="O244" t="str">
        <x:v>B</x:v>
      </x:c>
      <x:c r="P244" t="str">
        <x:v>B</x:v>
      </x:c>
      <x:c r="Q244" t="str">
        <x:v>B</x:v>
      </x:c>
      <x:c r="R244" t="str">
        <x:v>B</x:v>
      </x:c>
      <x:c r="S244" t="str">
        <x:v>W</x:v>
      </x:c>
      <x:c r="T244" t="str">
        <x:v>W</x:v>
      </x:c>
      <x:c r="U244" t="str">
        <x:v>B</x:v>
      </x:c>
      <x:c r="V244" t="n">
        <x:f>COUNTIF(B244:U244,"W")</x:f>
        <x:v>10</x:v>
      </x:c>
      <x:c r="W244" s="5" t="str">
        <x:f>IF(COUNTIF(B244:D244,"W")&gt;0,"Y","N")</x:f>
        <x:v>Y</x:v>
      </x:c>
      <x:c r="X244" s="5" t="str">
        <x:f>IF(COUNTIF(B244:I244,"W")&gt;=4,"Y","N")</x:f>
        <x:v>Y</x:v>
      </x:c>
      <x:c r="Y244" s="1"/>
      <x:c r="Z244" s="1"/>
      <x:c r="AA244" s="1"/>
      <x:c r="AB244" s="1"/>
      <x:c r="AC244" s="1"/>
      <x:c r="AD244" s="1"/>
      <x:c r="AE244" s="1"/>
    </x:row>
    <x:row r="245">
      <x:c r="A245" s="1">
        <x:v>244</x:v>
      </x:c>
      <x:c r="B245" t="str">
        <x:v>W</x:v>
      </x:c>
      <x:c r="C245" t="str">
        <x:v>W</x:v>
      </x:c>
      <x:c r="D245" t="str">
        <x:v>B</x:v>
      </x:c>
      <x:c r="E245" t="str">
        <x:v>B</x:v>
      </x:c>
      <x:c r="F245" t="str">
        <x:v>B</x:v>
      </x:c>
      <x:c r="G245" t="str">
        <x:v>W</x:v>
      </x:c>
      <x:c r="H245" t="str">
        <x:v>W</x:v>
      </x:c>
      <x:c r="I245" t="str">
        <x:v>W</x:v>
      </x:c>
      <x:c r="J245" t="str">
        <x:v>B</x:v>
      </x:c>
      <x:c r="K245" t="str">
        <x:v>B</x:v>
      </x:c>
      <x:c r="L245" t="str">
        <x:v>W</x:v>
      </x:c>
      <x:c r="M245" t="str">
        <x:v>W</x:v>
      </x:c>
      <x:c r="N245" t="str">
        <x:v>B</x:v>
      </x:c>
      <x:c r="O245" t="str">
        <x:v>B</x:v>
      </x:c>
      <x:c r="P245" t="str">
        <x:v>W</x:v>
      </x:c>
      <x:c r="Q245" t="str">
        <x:v>W</x:v>
      </x:c>
      <x:c r="R245" t="str">
        <x:v>W</x:v>
      </x:c>
      <x:c r="S245" t="str">
        <x:v>B</x:v>
      </x:c>
      <x:c r="T245" t="str">
        <x:v>B</x:v>
      </x:c>
      <x:c r="U245" t="str">
        <x:v>W</x:v>
      </x:c>
      <x:c r="V245" t="n">
        <x:f>COUNTIF(B245:U245,"W")</x:f>
        <x:v>11</x:v>
      </x:c>
      <x:c r="W245" s="5" t="str">
        <x:f>IF(COUNTIF(B245:D245,"W")&gt;0,"Y","N")</x:f>
        <x:v>Y</x:v>
      </x:c>
      <x:c r="X245" s="5" t="str">
        <x:f>IF(COUNTIF(B245:I245,"W")&gt;=4,"Y","N")</x:f>
        <x:v>Y</x:v>
      </x:c>
      <x:c r="Y245" s="1"/>
      <x:c r="Z245" s="1"/>
      <x:c r="AA245" s="1"/>
      <x:c r="AB245" s="1"/>
      <x:c r="AC245" s="1"/>
      <x:c r="AD245" s="1"/>
      <x:c r="AE245" s="1"/>
    </x:row>
    <x:row r="246">
      <x:c r="A246" s="1">
        <x:v>245</x:v>
      </x:c>
      <x:c r="B246" t="str">
        <x:v>B</x:v>
      </x:c>
      <x:c r="C246" t="str">
        <x:v>B</x:v>
      </x:c>
      <x:c r="D246" t="str">
        <x:v>B</x:v>
      </x:c>
      <x:c r="E246" t="str">
        <x:v>W</x:v>
      </x:c>
      <x:c r="F246" t="str">
        <x:v>B</x:v>
      </x:c>
      <x:c r="G246" t="str">
        <x:v>W</x:v>
      </x:c>
      <x:c r="H246" t="str">
        <x:v>B</x:v>
      </x:c>
      <x:c r="I246" t="str">
        <x:v>B</x:v>
      </x:c>
      <x:c r="J246" t="str">
        <x:v>B</x:v>
      </x:c>
      <x:c r="K246" t="str">
        <x:v>B</x:v>
      </x:c>
      <x:c r="L246" t="str">
        <x:v>W</x:v>
      </x:c>
      <x:c r="M246" t="str">
        <x:v>B</x:v>
      </x:c>
      <x:c r="N246" t="str">
        <x:v>B</x:v>
      </x:c>
      <x:c r="O246" t="str">
        <x:v>W</x:v>
      </x:c>
      <x:c r="P246" t="str">
        <x:v>B</x:v>
      </x:c>
      <x:c r="Q246" t="str">
        <x:v>W</x:v>
      </x:c>
      <x:c r="R246" t="str">
        <x:v>B</x:v>
      </x:c>
      <x:c r="S246" t="str">
        <x:v>B</x:v>
      </x:c>
      <x:c r="T246" t="str">
        <x:v>B</x:v>
      </x:c>
      <x:c r="U246" t="str">
        <x:v>W</x:v>
      </x:c>
      <x:c r="V246" t="n">
        <x:f>COUNTIF(B246:U246,"W")</x:f>
        <x:v>6</x:v>
      </x:c>
      <x:c r="W246" s="5" t="str">
        <x:f>IF(COUNTIF(B246:D246,"W")&gt;0,"Y","N")</x:f>
        <x:v>N</x:v>
      </x:c>
      <x:c r="X246" s="5" t="str">
        <x:f>IF(COUNTIF(B246:I246,"W")&gt;=4,"Y","N")</x:f>
        <x:v>N</x:v>
      </x:c>
      <x:c r="Y246" s="1"/>
      <x:c r="Z246" s="1"/>
      <x:c r="AA246" s="1"/>
      <x:c r="AB246" s="1"/>
      <x:c r="AC246" s="1"/>
      <x:c r="AD246" s="1"/>
      <x:c r="AE246" s="1"/>
    </x:row>
    <x:row r="247">
      <x:c r="A247" s="1">
        <x:v>246</x:v>
      </x:c>
      <x:c r="B247" t="str">
        <x:v>B</x:v>
      </x:c>
      <x:c r="C247" t="str">
        <x:v>W</x:v>
      </x:c>
      <x:c r="D247" t="str">
        <x:v>B</x:v>
      </x:c>
      <x:c r="E247" t="str">
        <x:v>W</x:v>
      </x:c>
      <x:c r="F247" t="str">
        <x:v>B</x:v>
      </x:c>
      <x:c r="G247" t="str">
        <x:v>B</x:v>
      </x:c>
      <x:c r="H247" t="str">
        <x:v>B</x:v>
      </x:c>
      <x:c r="I247" t="str">
        <x:v>B</x:v>
      </x:c>
      <x:c r="J247" t="str">
        <x:v>W</x:v>
      </x:c>
      <x:c r="K247" t="str">
        <x:v>B</x:v>
      </x:c>
      <x:c r="L247" t="str">
        <x:v>W</x:v>
      </x:c>
      <x:c r="M247" t="str">
        <x:v>W</x:v>
      </x:c>
      <x:c r="N247" t="str">
        <x:v>W</x:v>
      </x:c>
      <x:c r="O247" t="str">
        <x:v>B</x:v>
      </x:c>
      <x:c r="P247" t="str">
        <x:v>B</x:v>
      </x:c>
      <x:c r="Q247" t="str">
        <x:v>W</x:v>
      </x:c>
      <x:c r="R247" t="str">
        <x:v>B</x:v>
      </x:c>
      <x:c r="S247" t="str">
        <x:v>B</x:v>
      </x:c>
      <x:c r="T247" t="str">
        <x:v>B</x:v>
      </x:c>
      <x:c r="U247" t="str">
        <x:v>B</x:v>
      </x:c>
      <x:c r="V247" t="n">
        <x:f>COUNTIF(B247:U247,"W")</x:f>
        <x:v>7</x:v>
      </x:c>
      <x:c r="W247" s="5" t="str">
        <x:f>IF(COUNTIF(B247:D247,"W")&gt;0,"Y","N")</x:f>
        <x:v>Y</x:v>
      </x:c>
      <x:c r="X247" s="5" t="str">
        <x:f>IF(COUNTIF(B247:I247,"W")&gt;=4,"Y","N")</x:f>
        <x:v>N</x:v>
      </x:c>
      <x:c r="Y247" s="1"/>
      <x:c r="Z247" s="1"/>
      <x:c r="AA247" s="1"/>
      <x:c r="AB247" s="1"/>
      <x:c r="AC247" s="1"/>
      <x:c r="AD247" s="1"/>
      <x:c r="AE247" s="1"/>
    </x:row>
    <x:row r="248">
      <x:c r="A248" s="1">
        <x:v>247</x:v>
      </x:c>
      <x:c r="B248" t="str">
        <x:v>B</x:v>
      </x:c>
      <x:c r="C248" t="str">
        <x:v>B</x:v>
      </x:c>
      <x:c r="D248" t="str">
        <x:v>B</x:v>
      </x:c>
      <x:c r="E248" t="str">
        <x:v>B</x:v>
      </x:c>
      <x:c r="F248" t="str">
        <x:v>B</x:v>
      </x:c>
      <x:c r="G248" t="str">
        <x:v>W</x:v>
      </x:c>
      <x:c r="H248" t="str">
        <x:v>B</x:v>
      </x:c>
      <x:c r="I248" t="str">
        <x:v>W</x:v>
      </x:c>
      <x:c r="J248" t="str">
        <x:v>W</x:v>
      </x:c>
      <x:c r="K248" t="str">
        <x:v>B</x:v>
      </x:c>
      <x:c r="L248" t="str">
        <x:v>W</x:v>
      </x:c>
      <x:c r="M248" t="str">
        <x:v>B</x:v>
      </x:c>
      <x:c r="N248" t="str">
        <x:v>W</x:v>
      </x:c>
      <x:c r="O248" t="str">
        <x:v>B</x:v>
      </x:c>
      <x:c r="P248" t="str">
        <x:v>W</x:v>
      </x:c>
      <x:c r="Q248" t="str">
        <x:v>W</x:v>
      </x:c>
      <x:c r="R248" t="str">
        <x:v>W</x:v>
      </x:c>
      <x:c r="S248" t="str">
        <x:v>B</x:v>
      </x:c>
      <x:c r="T248" t="str">
        <x:v>W</x:v>
      </x:c>
      <x:c r="U248" t="str">
        <x:v>W</x:v>
      </x:c>
      <x:c r="V248" t="n">
        <x:f>COUNTIF(B248:U248,"W")</x:f>
        <x:v>10</x:v>
      </x:c>
      <x:c r="W248" s="5" t="str">
        <x:f>IF(COUNTIF(B248:D248,"W")&gt;0,"Y","N")</x:f>
        <x:v>N</x:v>
      </x:c>
      <x:c r="X248" s="5" t="str">
        <x:f>IF(COUNTIF(B248:I248,"W")&gt;=4,"Y","N")</x:f>
        <x:v>N</x:v>
      </x:c>
      <x:c r="Y248" s="1"/>
      <x:c r="Z248" s="1"/>
      <x:c r="AA248" s="1"/>
      <x:c r="AB248" s="1"/>
      <x:c r="AC248" s="1"/>
      <x:c r="AD248" s="1"/>
      <x:c r="AE248" s="1"/>
    </x:row>
    <x:row r="249">
      <x:c r="A249" s="1">
        <x:v>248</x:v>
      </x:c>
      <x:c r="B249" t="str">
        <x:v>B</x:v>
      </x:c>
      <x:c r="C249" t="str">
        <x:v>B</x:v>
      </x:c>
      <x:c r="D249" t="str">
        <x:v>B</x:v>
      </x:c>
      <x:c r="E249" t="str">
        <x:v>W</x:v>
      </x:c>
      <x:c r="F249" t="str">
        <x:v>B</x:v>
      </x:c>
      <x:c r="G249" t="str">
        <x:v>B</x:v>
      </x:c>
      <x:c r="H249" t="str">
        <x:v>W</x:v>
      </x:c>
      <x:c r="I249" t="str">
        <x:v>B</x:v>
      </x:c>
      <x:c r="J249" t="str">
        <x:v>W</x:v>
      </x:c>
      <x:c r="K249" t="str">
        <x:v>W</x:v>
      </x:c>
      <x:c r="L249" t="str">
        <x:v>W</x:v>
      </x:c>
      <x:c r="M249" t="str">
        <x:v>W</x:v>
      </x:c>
      <x:c r="N249" t="str">
        <x:v>W</x:v>
      </x:c>
      <x:c r="O249" t="str">
        <x:v>B</x:v>
      </x:c>
      <x:c r="P249" t="str">
        <x:v>B</x:v>
      </x:c>
      <x:c r="Q249" t="str">
        <x:v>W</x:v>
      </x:c>
      <x:c r="R249" t="str">
        <x:v>B</x:v>
      </x:c>
      <x:c r="S249" t="str">
        <x:v>W</x:v>
      </x:c>
      <x:c r="T249" t="str">
        <x:v>B</x:v>
      </x:c>
      <x:c r="U249" t="str">
        <x:v>W</x:v>
      </x:c>
      <x:c r="V249" t="n">
        <x:f>COUNTIF(B249:U249,"W")</x:f>
        <x:v>10</x:v>
      </x:c>
      <x:c r="W249" s="5" t="str">
        <x:f>IF(COUNTIF(B249:D249,"W")&gt;0,"Y","N")</x:f>
        <x:v>N</x:v>
      </x:c>
      <x:c r="X249" s="5" t="str">
        <x:f>IF(COUNTIF(B249:I249,"W")&gt;=4,"Y","N")</x:f>
        <x:v>N</x:v>
      </x:c>
      <x:c r="Y249" s="1"/>
      <x:c r="Z249" s="1"/>
      <x:c r="AA249" s="1"/>
      <x:c r="AB249" s="1"/>
      <x:c r="AC249" s="1"/>
      <x:c r="AD249" s="1"/>
      <x:c r="AE249" s="1"/>
    </x:row>
    <x:row r="250">
      <x:c r="A250" s="1">
        <x:v>249</x:v>
      </x:c>
      <x:c r="B250" t="str">
        <x:v>W</x:v>
      </x:c>
      <x:c r="C250" t="str">
        <x:v>B</x:v>
      </x:c>
      <x:c r="D250" t="str">
        <x:v>B</x:v>
      </x:c>
      <x:c r="E250" t="str">
        <x:v>W</x:v>
      </x:c>
      <x:c r="F250" t="str">
        <x:v>B</x:v>
      </x:c>
      <x:c r="G250" t="str">
        <x:v>B</x:v>
      </x:c>
      <x:c r="H250" t="str">
        <x:v>B</x:v>
      </x:c>
      <x:c r="I250" t="str">
        <x:v>W</x:v>
      </x:c>
      <x:c r="J250" t="str">
        <x:v>B</x:v>
      </x:c>
      <x:c r="K250" t="str">
        <x:v>B</x:v>
      </x:c>
      <x:c r="L250" t="str">
        <x:v>W</x:v>
      </x:c>
      <x:c r="M250" t="str">
        <x:v>B</x:v>
      </x:c>
      <x:c r="N250" t="str">
        <x:v>B</x:v>
      </x:c>
      <x:c r="O250" t="str">
        <x:v>B</x:v>
      </x:c>
      <x:c r="P250" t="str">
        <x:v>W</x:v>
      </x:c>
      <x:c r="Q250" t="str">
        <x:v>B</x:v>
      </x:c>
      <x:c r="R250" t="str">
        <x:v>B</x:v>
      </x:c>
      <x:c r="S250" t="str">
        <x:v>W</x:v>
      </x:c>
      <x:c r="T250" t="str">
        <x:v>W</x:v>
      </x:c>
      <x:c r="U250" t="str">
        <x:v>W</x:v>
      </x:c>
      <x:c r="V250" t="n">
        <x:f>COUNTIF(B250:U250,"W")</x:f>
        <x:v>8</x:v>
      </x:c>
      <x:c r="W250" s="5" t="str">
        <x:f>IF(COUNTIF(B250:D250,"W")&gt;0,"Y","N")</x:f>
        <x:v>Y</x:v>
      </x:c>
      <x:c r="X250" s="5" t="str">
        <x:f>IF(COUNTIF(B250:I250,"W")&gt;=4,"Y","N")</x:f>
        <x:v>N</x:v>
      </x:c>
      <x:c r="Y250" s="1"/>
      <x:c r="Z250" s="1"/>
      <x:c r="AA250" s="1"/>
      <x:c r="AB250" s="1"/>
      <x:c r="AC250" s="1"/>
      <x:c r="AD250" s="1"/>
      <x:c r="AE250" s="1"/>
    </x:row>
    <x:row r="251">
      <x:c r="A251" s="1">
        <x:v>250</x:v>
      </x:c>
      <x:c r="B251" t="str">
        <x:v>B</x:v>
      </x:c>
      <x:c r="C251" t="str">
        <x:v>B</x:v>
      </x:c>
      <x:c r="D251" t="str">
        <x:v>W</x:v>
      </x:c>
      <x:c r="E251" t="str">
        <x:v>B</x:v>
      </x:c>
      <x:c r="F251" t="str">
        <x:v>W</x:v>
      </x:c>
      <x:c r="G251" t="str">
        <x:v>W</x:v>
      </x:c>
      <x:c r="H251" t="str">
        <x:v>W</x:v>
      </x:c>
      <x:c r="I251" t="str">
        <x:v>B</x:v>
      </x:c>
      <x:c r="J251" t="str">
        <x:v>B</x:v>
      </x:c>
      <x:c r="K251" t="str">
        <x:v>B</x:v>
      </x:c>
      <x:c r="L251" t="str">
        <x:v>B</x:v>
      </x:c>
      <x:c r="M251" t="str">
        <x:v>B</x:v>
      </x:c>
      <x:c r="N251" t="str">
        <x:v>B</x:v>
      </x:c>
      <x:c r="O251" t="str">
        <x:v>B</x:v>
      </x:c>
      <x:c r="P251" t="str">
        <x:v>B</x:v>
      </x:c>
      <x:c r="Q251" t="str">
        <x:v>B</x:v>
      </x:c>
      <x:c r="R251" t="str">
        <x:v>W</x:v>
      </x:c>
      <x:c r="S251" t="str">
        <x:v>W</x:v>
      </x:c>
      <x:c r="T251" t="str">
        <x:v>W</x:v>
      </x:c>
      <x:c r="U251" t="str">
        <x:v>B</x:v>
      </x:c>
      <x:c r="V251" t="n">
        <x:f>COUNTIF(B251:U251,"W")</x:f>
        <x:v>7</x:v>
      </x:c>
      <x:c r="W251" s="5" t="str">
        <x:f>IF(COUNTIF(B251:D251,"W")&gt;0,"Y","N")</x:f>
        <x:v>Y</x:v>
      </x:c>
      <x:c r="X251" s="5" t="str">
        <x:f>IF(COUNTIF(B251:I251,"W")&gt;=4,"Y","N")</x:f>
        <x:v>Y</x:v>
      </x:c>
      <x:c r="Y251" s="1"/>
      <x:c r="Z251" s="1"/>
      <x:c r="AA251" s="1"/>
      <x:c r="AB251" s="1"/>
      <x:c r="AC251" s="1"/>
      <x:c r="AD251" s="1"/>
      <x:c r="AE251" s="1"/>
    </x:row>
    <x:row r="252">
      <x:c r="A252" s="1">
        <x:v>251</x:v>
      </x:c>
      <x:c r="B252" t="str">
        <x:v>B</x:v>
      </x:c>
      <x:c r="C252" t="str">
        <x:v>W</x:v>
      </x:c>
      <x:c r="D252" t="str">
        <x:v>B</x:v>
      </x:c>
      <x:c r="E252" t="str">
        <x:v>W</x:v>
      </x:c>
      <x:c r="F252" t="str">
        <x:v>B</x:v>
      </x:c>
      <x:c r="G252" t="str">
        <x:v>B</x:v>
      </x:c>
      <x:c r="H252" t="str">
        <x:v>B</x:v>
      </x:c>
      <x:c r="I252" t="str">
        <x:v>B</x:v>
      </x:c>
      <x:c r="J252" t="str">
        <x:v>B</x:v>
      </x:c>
      <x:c r="K252" t="str">
        <x:v>W</x:v>
      </x:c>
      <x:c r="L252" t="str">
        <x:v>B</x:v>
      </x:c>
      <x:c r="M252" t="str">
        <x:v>W</x:v>
      </x:c>
      <x:c r="N252" t="str">
        <x:v>B</x:v>
      </x:c>
      <x:c r="O252" t="str">
        <x:v>W</x:v>
      </x:c>
      <x:c r="P252" t="str">
        <x:v>B</x:v>
      </x:c>
      <x:c r="Q252" t="str">
        <x:v>B</x:v>
      </x:c>
      <x:c r="R252" t="str">
        <x:v>B</x:v>
      </x:c>
      <x:c r="S252" t="str">
        <x:v>B</x:v>
      </x:c>
      <x:c r="T252" t="str">
        <x:v>B</x:v>
      </x:c>
      <x:c r="U252" t="str">
        <x:v>B</x:v>
      </x:c>
      <x:c r="V252" t="n">
        <x:f>COUNTIF(B252:U252,"W")</x:f>
        <x:v>5</x:v>
      </x:c>
      <x:c r="W252" s="5" t="str">
        <x:f>IF(COUNTIF(B252:D252,"W")&gt;0,"Y","N")</x:f>
        <x:v>Y</x:v>
      </x:c>
      <x:c r="X252" s="5" t="str">
        <x:f>IF(COUNTIF(B252:I252,"W")&gt;=4,"Y","N")</x:f>
        <x:v>N</x:v>
      </x:c>
      <x:c r="Y252" s="1"/>
      <x:c r="Z252" s="1"/>
      <x:c r="AA252" s="1"/>
      <x:c r="AB252" s="1"/>
      <x:c r="AC252" s="1"/>
      <x:c r="AD252" s="1"/>
      <x:c r="AE252" s="1"/>
    </x:row>
    <x:row r="253">
      <x:c r="A253" s="1">
        <x:v>252</x:v>
      </x:c>
      <x:c r="B253" t="str">
        <x:v>B</x:v>
      </x:c>
      <x:c r="C253" t="str">
        <x:v>B</x:v>
      </x:c>
      <x:c r="D253" t="str">
        <x:v>B</x:v>
      </x:c>
      <x:c r="E253" t="str">
        <x:v>B</x:v>
      </x:c>
      <x:c r="F253" t="str">
        <x:v>B</x:v>
      </x:c>
      <x:c r="G253" t="str">
        <x:v>W</x:v>
      </x:c>
      <x:c r="H253" t="str">
        <x:v>B</x:v>
      </x:c>
      <x:c r="I253" t="str">
        <x:v>B</x:v>
      </x:c>
      <x:c r="J253" t="str">
        <x:v>B</x:v>
      </x:c>
      <x:c r="K253" t="str">
        <x:v>W</x:v>
      </x:c>
      <x:c r="L253" t="str">
        <x:v>W</x:v>
      </x:c>
      <x:c r="M253" t="str">
        <x:v>W</x:v>
      </x:c>
      <x:c r="N253" t="str">
        <x:v>W</x:v>
      </x:c>
      <x:c r="O253" t="str">
        <x:v>W</x:v>
      </x:c>
      <x:c r="P253" t="str">
        <x:v>B</x:v>
      </x:c>
      <x:c r="Q253" t="str">
        <x:v>B</x:v>
      </x:c>
      <x:c r="R253" t="str">
        <x:v>B</x:v>
      </x:c>
      <x:c r="S253" t="str">
        <x:v>W</x:v>
      </x:c>
      <x:c r="T253" t="str">
        <x:v>B</x:v>
      </x:c>
      <x:c r="U253" t="str">
        <x:v>B</x:v>
      </x:c>
      <x:c r="V253" t="n">
        <x:f>COUNTIF(B253:U253,"W")</x:f>
        <x:v>7</x:v>
      </x:c>
      <x:c r="W253" s="5" t="str">
        <x:f>IF(COUNTIF(B253:D253,"W")&gt;0,"Y","N")</x:f>
        <x:v>N</x:v>
      </x:c>
      <x:c r="X253" s="5" t="str">
        <x:f>IF(COUNTIF(B253:I253,"W")&gt;=4,"Y","N")</x:f>
        <x:v>N</x:v>
      </x:c>
      <x:c r="Y253" s="1"/>
      <x:c r="Z253" s="1"/>
      <x:c r="AA253" s="1"/>
      <x:c r="AB253" s="1"/>
      <x:c r="AC253" s="1"/>
      <x:c r="AD253" s="1"/>
      <x:c r="AE253" s="1"/>
    </x:row>
    <x:row r="254">
      <x:c r="A254" s="1">
        <x:v>253</x:v>
      </x:c>
      <x:c r="B254" t="str">
        <x:v>B</x:v>
      </x:c>
      <x:c r="C254" t="str">
        <x:v>B</x:v>
      </x:c>
      <x:c r="D254" t="str">
        <x:v>B</x:v>
      </x:c>
      <x:c r="E254" t="str">
        <x:v>B</x:v>
      </x:c>
      <x:c r="F254" t="str">
        <x:v>W</x:v>
      </x:c>
      <x:c r="G254" t="str">
        <x:v>B</x:v>
      </x:c>
      <x:c r="H254" t="str">
        <x:v>B</x:v>
      </x:c>
      <x:c r="I254" t="str">
        <x:v>B</x:v>
      </x:c>
      <x:c r="J254" t="str">
        <x:v>B</x:v>
      </x:c>
      <x:c r="K254" t="str">
        <x:v>W</x:v>
      </x:c>
      <x:c r="L254" t="str">
        <x:v>B</x:v>
      </x:c>
      <x:c r="M254" t="str">
        <x:v>W</x:v>
      </x:c>
      <x:c r="N254" t="str">
        <x:v>B</x:v>
      </x:c>
      <x:c r="O254" t="str">
        <x:v>B</x:v>
      </x:c>
      <x:c r="P254" t="str">
        <x:v>B</x:v>
      </x:c>
      <x:c r="Q254" t="str">
        <x:v>B</x:v>
      </x:c>
      <x:c r="R254" t="str">
        <x:v>W</x:v>
      </x:c>
      <x:c r="S254" t="str">
        <x:v>B</x:v>
      </x:c>
      <x:c r="T254" t="str">
        <x:v>W</x:v>
      </x:c>
      <x:c r="U254" t="str">
        <x:v>W</x:v>
      </x:c>
      <x:c r="V254" t="n">
        <x:f>COUNTIF(B254:U254,"W")</x:f>
        <x:v>6</x:v>
      </x:c>
      <x:c r="W254" s="5" t="str">
        <x:f>IF(COUNTIF(B254:D254,"W")&gt;0,"Y","N")</x:f>
        <x:v>N</x:v>
      </x:c>
      <x:c r="X254" s="5" t="str">
        <x:f>IF(COUNTIF(B254:I254,"W")&gt;=4,"Y","N")</x:f>
        <x:v>N</x:v>
      </x:c>
      <x:c r="Y254" s="1"/>
      <x:c r="Z254" s="1"/>
      <x:c r="AA254" s="1"/>
      <x:c r="AB254" s="1"/>
      <x:c r="AC254" s="1"/>
      <x:c r="AD254" s="1"/>
      <x:c r="AE254" s="1"/>
    </x:row>
    <x:row r="255">
      <x:c r="A255" s="1">
        <x:v>254</x:v>
      </x:c>
      <x:c r="B255" t="str">
        <x:v>W</x:v>
      </x:c>
      <x:c r="C255" t="str">
        <x:v>W</x:v>
      </x:c>
      <x:c r="D255" t="str">
        <x:v>B</x:v>
      </x:c>
      <x:c r="E255" t="str">
        <x:v>B</x:v>
      </x:c>
      <x:c r="F255" t="str">
        <x:v>W</x:v>
      </x:c>
      <x:c r="G255" t="str">
        <x:v>B</x:v>
      </x:c>
      <x:c r="H255" t="str">
        <x:v>B</x:v>
      </x:c>
      <x:c r="I255" t="str">
        <x:v>W</x:v>
      </x:c>
      <x:c r="J255" t="str">
        <x:v>W</x:v>
      </x:c>
      <x:c r="K255" t="str">
        <x:v>B</x:v>
      </x:c>
      <x:c r="L255" t="str">
        <x:v>W</x:v>
      </x:c>
      <x:c r="M255" t="str">
        <x:v>W</x:v>
      </x:c>
      <x:c r="N255" t="str">
        <x:v>B</x:v>
      </x:c>
      <x:c r="O255" t="str">
        <x:v>B</x:v>
      </x:c>
      <x:c r="P255" t="str">
        <x:v>B</x:v>
      </x:c>
      <x:c r="Q255" t="str">
        <x:v>B</x:v>
      </x:c>
      <x:c r="R255" t="str">
        <x:v>B</x:v>
      </x:c>
      <x:c r="S255" t="str">
        <x:v>B</x:v>
      </x:c>
      <x:c r="T255" t="str">
        <x:v>W</x:v>
      </x:c>
      <x:c r="U255" t="str">
        <x:v>W</x:v>
      </x:c>
      <x:c r="V255" t="n">
        <x:f>COUNTIF(B255:U255,"W")</x:f>
        <x:v>9</x:v>
      </x:c>
      <x:c r="W255" s="5" t="str">
        <x:f>IF(COUNTIF(B255:D255,"W")&gt;0,"Y","N")</x:f>
        <x:v>Y</x:v>
      </x:c>
      <x:c r="X255" s="5" t="str">
        <x:f>IF(COUNTIF(B255:I255,"W")&gt;=4,"Y","N")</x:f>
        <x:v>Y</x:v>
      </x:c>
      <x:c r="Y255" s="1"/>
      <x:c r="Z255" s="1"/>
      <x:c r="AA255" s="1"/>
      <x:c r="AB255" s="1"/>
      <x:c r="AC255" s="1"/>
      <x:c r="AD255" s="1"/>
      <x:c r="AE255" s="1"/>
    </x:row>
    <x:row r="256">
      <x:c r="A256" s="1">
        <x:v>255</x:v>
      </x:c>
      <x:c r="B256" t="str">
        <x:v>B</x:v>
      </x:c>
      <x:c r="C256" t="str">
        <x:v>B</x:v>
      </x:c>
      <x:c r="D256" t="str">
        <x:v>B</x:v>
      </x:c>
      <x:c r="E256" t="str">
        <x:v>W</x:v>
      </x:c>
      <x:c r="F256" t="str">
        <x:v>W</x:v>
      </x:c>
      <x:c r="G256" t="str">
        <x:v>B</x:v>
      </x:c>
      <x:c r="H256" t="str">
        <x:v>B</x:v>
      </x:c>
      <x:c r="I256" t="str">
        <x:v>B</x:v>
      </x:c>
      <x:c r="J256" t="str">
        <x:v>W</x:v>
      </x:c>
      <x:c r="K256" t="str">
        <x:v>B</x:v>
      </x:c>
      <x:c r="L256" t="str">
        <x:v>B</x:v>
      </x:c>
      <x:c r="M256" t="str">
        <x:v>B</x:v>
      </x:c>
      <x:c r="N256" t="str">
        <x:v>W</x:v>
      </x:c>
      <x:c r="O256" t="str">
        <x:v>B</x:v>
      </x:c>
      <x:c r="P256" t="str">
        <x:v>B</x:v>
      </x:c>
      <x:c r="Q256" t="str">
        <x:v>B</x:v>
      </x:c>
      <x:c r="R256" t="str">
        <x:v>W</x:v>
      </x:c>
      <x:c r="S256" t="str">
        <x:v>B</x:v>
      </x:c>
      <x:c r="T256" t="str">
        <x:v>B</x:v>
      </x:c>
      <x:c r="U256" t="str">
        <x:v>W</x:v>
      </x:c>
      <x:c r="V256" t="n">
        <x:f>COUNTIF(B256:U256,"W")</x:f>
        <x:v>6</x:v>
      </x:c>
      <x:c r="W256" s="5" t="str">
        <x:f>IF(COUNTIF(B256:D256,"W")&gt;0,"Y","N")</x:f>
        <x:v>N</x:v>
      </x:c>
      <x:c r="X256" s="5" t="str">
        <x:f>IF(COUNTIF(B256:I256,"W")&gt;=4,"Y","N")</x:f>
        <x:v>N</x:v>
      </x:c>
      <x:c r="Y256" s="1"/>
      <x:c r="Z256" s="1"/>
      <x:c r="AA256" s="1"/>
      <x:c r="AB256" s="1"/>
      <x:c r="AC256" s="1"/>
      <x:c r="AD256" s="1"/>
      <x:c r="AE256" s="1"/>
    </x:row>
    <x:row r="257">
      <x:c r="A257" s="1">
        <x:v>256</x:v>
      </x:c>
      <x:c r="B257" t="str">
        <x:v>W</x:v>
      </x:c>
      <x:c r="C257" t="str">
        <x:v>B</x:v>
      </x:c>
      <x:c r="D257" t="str">
        <x:v>B</x:v>
      </x:c>
      <x:c r="E257" t="str">
        <x:v>B</x:v>
      </x:c>
      <x:c r="F257" t="str">
        <x:v>W</x:v>
      </x:c>
      <x:c r="G257" t="str">
        <x:v>W</x:v>
      </x:c>
      <x:c r="H257" t="str">
        <x:v>B</x:v>
      </x:c>
      <x:c r="I257" t="str">
        <x:v>B</x:v>
      </x:c>
      <x:c r="J257" t="str">
        <x:v>B</x:v>
      </x:c>
      <x:c r="K257" t="str">
        <x:v>B</x:v>
      </x:c>
      <x:c r="L257" t="str">
        <x:v>W</x:v>
      </x:c>
      <x:c r="M257" t="str">
        <x:v>W</x:v>
      </x:c>
      <x:c r="N257" t="str">
        <x:v>W</x:v>
      </x:c>
      <x:c r="O257" t="str">
        <x:v>W</x:v>
      </x:c>
      <x:c r="P257" t="str">
        <x:v>B</x:v>
      </x:c>
      <x:c r="Q257" t="str">
        <x:v>B</x:v>
      </x:c>
      <x:c r="R257" t="str">
        <x:v>W</x:v>
      </x:c>
      <x:c r="S257" t="str">
        <x:v>B</x:v>
      </x:c>
      <x:c r="T257" t="str">
        <x:v>B</x:v>
      </x:c>
      <x:c r="U257" t="str">
        <x:v>B</x:v>
      </x:c>
      <x:c r="V257" t="n">
        <x:f>COUNTIF(B257:U257,"W")</x:f>
        <x:v>8</x:v>
      </x:c>
      <x:c r="W257" s="5" t="str">
        <x:f>IF(COUNTIF(B257:D257,"W")&gt;0,"Y","N")</x:f>
        <x:v>Y</x:v>
      </x:c>
      <x:c r="X257" s="5" t="str">
        <x:f>IF(COUNTIF(B257:I257,"W")&gt;=4,"Y","N")</x:f>
        <x:v>N</x:v>
      </x:c>
      <x:c r="Y257" s="1"/>
      <x:c r="Z257" s="1"/>
      <x:c r="AA257" s="1"/>
      <x:c r="AB257" s="1"/>
      <x:c r="AC257" s="1"/>
      <x:c r="AD257" s="1"/>
      <x:c r="AE257" s="1"/>
    </x:row>
    <x:row r="258">
      <x:c r="A258" s="1">
        <x:v>257</x:v>
      </x:c>
      <x:c r="B258" t="str">
        <x:v>B</x:v>
      </x:c>
      <x:c r="C258" t="str">
        <x:v>W</x:v>
      </x:c>
      <x:c r="D258" t="str">
        <x:v>W</x:v>
      </x:c>
      <x:c r="E258" t="str">
        <x:v>B</x:v>
      </x:c>
      <x:c r="F258" t="str">
        <x:v>B</x:v>
      </x:c>
      <x:c r="G258" t="str">
        <x:v>B</x:v>
      </x:c>
      <x:c r="H258" t="str">
        <x:v>B</x:v>
      </x:c>
      <x:c r="I258" t="str">
        <x:v>W</x:v>
      </x:c>
      <x:c r="J258" t="str">
        <x:v>B</x:v>
      </x:c>
      <x:c r="K258" t="str">
        <x:v>W</x:v>
      </x:c>
      <x:c r="L258" t="str">
        <x:v>W</x:v>
      </x:c>
      <x:c r="M258" t="str">
        <x:v>B</x:v>
      </x:c>
      <x:c r="N258" t="str">
        <x:v>W</x:v>
      </x:c>
      <x:c r="O258" t="str">
        <x:v>B</x:v>
      </x:c>
      <x:c r="P258" t="str">
        <x:v>W</x:v>
      </x:c>
      <x:c r="Q258" t="str">
        <x:v>B</x:v>
      </x:c>
      <x:c r="R258" t="str">
        <x:v>B</x:v>
      </x:c>
      <x:c r="S258" t="str">
        <x:v>B</x:v>
      </x:c>
      <x:c r="T258" t="str">
        <x:v>B</x:v>
      </x:c>
      <x:c r="U258" t="str">
        <x:v>B</x:v>
      </x:c>
      <x:c r="V258" t="n">
        <x:f>COUNTIF(B258:U258,"W")</x:f>
        <x:v>7</x:v>
      </x:c>
      <x:c r="W258" s="5" t="str">
        <x:f>IF(COUNTIF(B258:D258,"W")&gt;0,"Y","N")</x:f>
        <x:v>Y</x:v>
      </x:c>
      <x:c r="X258" s="5" t="str">
        <x:f>IF(COUNTIF(B258:I258,"W")&gt;=4,"Y","N")</x:f>
        <x:v>N</x:v>
      </x:c>
      <x:c r="Y258" s="1"/>
      <x:c r="Z258" s="1"/>
      <x:c r="AA258" s="1"/>
      <x:c r="AB258" s="1"/>
      <x:c r="AC258" s="1"/>
      <x:c r="AD258" s="1"/>
      <x:c r="AE258" s="1"/>
    </x:row>
    <x:row r="259">
      <x:c r="A259" s="1">
        <x:v>258</x:v>
      </x:c>
      <x:c r="B259" t="str">
        <x:v>B</x:v>
      </x:c>
      <x:c r="C259" t="str">
        <x:v>W</x:v>
      </x:c>
      <x:c r="D259" t="str">
        <x:v>B</x:v>
      </x:c>
      <x:c r="E259" t="str">
        <x:v>W</x:v>
      </x:c>
      <x:c r="F259" t="str">
        <x:v>B</x:v>
      </x:c>
      <x:c r="G259" t="str">
        <x:v>B</x:v>
      </x:c>
      <x:c r="H259" t="str">
        <x:v>B</x:v>
      </x:c>
      <x:c r="I259" t="str">
        <x:v>B</x:v>
      </x:c>
      <x:c r="J259" t="str">
        <x:v>W</x:v>
      </x:c>
      <x:c r="K259" t="str">
        <x:v>B</x:v>
      </x:c>
      <x:c r="L259" t="str">
        <x:v>W</x:v>
      </x:c>
      <x:c r="M259" t="str">
        <x:v>W</x:v>
      </x:c>
      <x:c r="N259" t="str">
        <x:v>B</x:v>
      </x:c>
      <x:c r="O259" t="str">
        <x:v>B</x:v>
      </x:c>
      <x:c r="P259" t="str">
        <x:v>W</x:v>
      </x:c>
      <x:c r="Q259" t="str">
        <x:v>B</x:v>
      </x:c>
      <x:c r="R259" t="str">
        <x:v>B</x:v>
      </x:c>
      <x:c r="S259" t="str">
        <x:v>B</x:v>
      </x:c>
      <x:c r="T259" t="str">
        <x:v>B</x:v>
      </x:c>
      <x:c r="U259" t="str">
        <x:v>W</x:v>
      </x:c>
      <x:c r="V259" t="n">
        <x:f>COUNTIF(B259:U259,"W")</x:f>
        <x:v>7</x:v>
      </x:c>
      <x:c r="W259" s="5" t="str">
        <x:f>IF(COUNTIF(B259:D259,"W")&gt;0,"Y","N")</x:f>
        <x:v>Y</x:v>
      </x:c>
      <x:c r="X259" s="5" t="str">
        <x:f>IF(COUNTIF(B259:I259,"W")&gt;=4,"Y","N")</x:f>
        <x:v>N</x:v>
      </x:c>
      <x:c r="Y259" s="1"/>
      <x:c r="Z259" s="1"/>
      <x:c r="AA259" s="1"/>
      <x:c r="AB259" s="1"/>
      <x:c r="AC259" s="1"/>
      <x:c r="AD259" s="1"/>
      <x:c r="AE259" s="1"/>
    </x:row>
    <x:row r="260">
      <x:c r="A260" s="1">
        <x:v>259</x:v>
      </x:c>
      <x:c r="B260" t="str">
        <x:v>W</x:v>
      </x:c>
      <x:c r="C260" t="str">
        <x:v>B</x:v>
      </x:c>
      <x:c r="D260" t="str">
        <x:v>B</x:v>
      </x:c>
      <x:c r="E260" t="str">
        <x:v>W</x:v>
      </x:c>
      <x:c r="F260" t="str">
        <x:v>W</x:v>
      </x:c>
      <x:c r="G260" t="str">
        <x:v>B</x:v>
      </x:c>
      <x:c r="H260" t="str">
        <x:v>B</x:v>
      </x:c>
      <x:c r="I260" t="str">
        <x:v>W</x:v>
      </x:c>
      <x:c r="J260" t="str">
        <x:v>B</x:v>
      </x:c>
      <x:c r="K260" t="str">
        <x:v>B</x:v>
      </x:c>
      <x:c r="L260" t="str">
        <x:v>W</x:v>
      </x:c>
      <x:c r="M260" t="str">
        <x:v>B</x:v>
      </x:c>
      <x:c r="N260" t="str">
        <x:v>W</x:v>
      </x:c>
      <x:c r="O260" t="str">
        <x:v>B</x:v>
      </x:c>
      <x:c r="P260" t="str">
        <x:v>B</x:v>
      </x:c>
      <x:c r="Q260" t="str">
        <x:v>B</x:v>
      </x:c>
      <x:c r="R260" t="str">
        <x:v>B</x:v>
      </x:c>
      <x:c r="S260" t="str">
        <x:v>B</x:v>
      </x:c>
      <x:c r="T260" t="str">
        <x:v>B</x:v>
      </x:c>
      <x:c r="U260" t="str">
        <x:v>B</x:v>
      </x:c>
      <x:c r="V260" t="n">
        <x:f>COUNTIF(B260:U260,"W")</x:f>
        <x:v>6</x:v>
      </x:c>
      <x:c r="W260" s="5" t="str">
        <x:f>IF(COUNTIF(B260:D260,"W")&gt;0,"Y","N")</x:f>
        <x:v>Y</x:v>
      </x:c>
      <x:c r="X260" s="5" t="str">
        <x:f>IF(COUNTIF(B260:I260,"W")&gt;=4,"Y","N")</x:f>
        <x:v>Y</x:v>
      </x:c>
      <x:c r="Y260" s="1"/>
      <x:c r="Z260" s="1"/>
      <x:c r="AA260" s="1"/>
      <x:c r="AB260" s="1"/>
      <x:c r="AC260" s="1"/>
      <x:c r="AD260" s="1"/>
      <x:c r="AE260" s="1"/>
    </x:row>
    <x:row r="261">
      <x:c r="A261" s="1">
        <x:v>260</x:v>
      </x:c>
      <x:c r="B261" t="str">
        <x:v>B</x:v>
      </x:c>
      <x:c r="C261" t="str">
        <x:v>W</x:v>
      </x:c>
      <x:c r="D261" t="str">
        <x:v>B</x:v>
      </x:c>
      <x:c r="E261" t="str">
        <x:v>B</x:v>
      </x:c>
      <x:c r="F261" t="str">
        <x:v>W</x:v>
      </x:c>
      <x:c r="G261" t="str">
        <x:v>W</x:v>
      </x:c>
      <x:c r="H261" t="str">
        <x:v>W</x:v>
      </x:c>
      <x:c r="I261" t="str">
        <x:v>B</x:v>
      </x:c>
      <x:c r="J261" t="str">
        <x:v>B</x:v>
      </x:c>
      <x:c r="K261" t="str">
        <x:v>B</x:v>
      </x:c>
      <x:c r="L261" t="str">
        <x:v>B</x:v>
      </x:c>
      <x:c r="M261" t="str">
        <x:v>B</x:v>
      </x:c>
      <x:c r="N261" t="str">
        <x:v>W</x:v>
      </x:c>
      <x:c r="O261" t="str">
        <x:v>B</x:v>
      </x:c>
      <x:c r="P261" t="str">
        <x:v>B</x:v>
      </x:c>
      <x:c r="Q261" t="str">
        <x:v>W</x:v>
      </x:c>
      <x:c r="R261" t="str">
        <x:v>B</x:v>
      </x:c>
      <x:c r="S261" t="str">
        <x:v>W</x:v>
      </x:c>
      <x:c r="T261" t="str">
        <x:v>B</x:v>
      </x:c>
      <x:c r="U261" t="str">
        <x:v>B</x:v>
      </x:c>
      <x:c r="V261" t="n">
        <x:f>COUNTIF(B261:U261,"W")</x:f>
        <x:v>7</x:v>
      </x:c>
      <x:c r="W261" s="5" t="str">
        <x:f>IF(COUNTIF(B261:D261,"W")&gt;0,"Y","N")</x:f>
        <x:v>Y</x:v>
      </x:c>
      <x:c r="X261" s="5" t="str">
        <x:f>IF(COUNTIF(B261:I261,"W")&gt;=4,"Y","N")</x:f>
        <x:v>Y</x:v>
      </x:c>
      <x:c r="Y261" s="1"/>
      <x:c r="Z261" s="1"/>
      <x:c r="AA261" s="1"/>
      <x:c r="AB261" s="1"/>
      <x:c r="AC261" s="1"/>
      <x:c r="AD261" s="1"/>
      <x:c r="AE261" s="1"/>
    </x:row>
    <x:row r="262">
      <x:c r="A262" s="1">
        <x:v>261</x:v>
      </x:c>
      <x:c r="B262" t="str">
        <x:v>W</x:v>
      </x:c>
      <x:c r="C262" t="str">
        <x:v>W</x:v>
      </x:c>
      <x:c r="D262" t="str">
        <x:v>B</x:v>
      </x:c>
      <x:c r="E262" t="str">
        <x:v>W</x:v>
      </x:c>
      <x:c r="F262" t="str">
        <x:v>W</x:v>
      </x:c>
      <x:c r="G262" t="str">
        <x:v>W</x:v>
      </x:c>
      <x:c r="H262" t="str">
        <x:v>B</x:v>
      </x:c>
      <x:c r="I262" t="str">
        <x:v>W</x:v>
      </x:c>
      <x:c r="J262" t="str">
        <x:v>B</x:v>
      </x:c>
      <x:c r="K262" t="str">
        <x:v>B</x:v>
      </x:c>
      <x:c r="L262" t="str">
        <x:v>W</x:v>
      </x:c>
      <x:c r="M262" t="str">
        <x:v>W</x:v>
      </x:c>
      <x:c r="N262" t="str">
        <x:v>B</x:v>
      </x:c>
      <x:c r="O262" t="str">
        <x:v>W</x:v>
      </x:c>
      <x:c r="P262" t="str">
        <x:v>B</x:v>
      </x:c>
      <x:c r="Q262" t="str">
        <x:v>B</x:v>
      </x:c>
      <x:c r="R262" t="str">
        <x:v>B</x:v>
      </x:c>
      <x:c r="S262" t="str">
        <x:v>W</x:v>
      </x:c>
      <x:c r="T262" t="str">
        <x:v>B</x:v>
      </x:c>
      <x:c r="U262" t="str">
        <x:v>B</x:v>
      </x:c>
      <x:c r="V262" t="n">
        <x:f>COUNTIF(B262:U262,"W")</x:f>
        <x:v>10</x:v>
      </x:c>
      <x:c r="W262" s="5" t="str">
        <x:f>IF(COUNTIF(B262:D262,"W")&gt;0,"Y","N")</x:f>
        <x:v>Y</x:v>
      </x:c>
      <x:c r="X262" s="5" t="str">
        <x:f>IF(COUNTIF(B262:I262,"W")&gt;=4,"Y","N")</x:f>
        <x:v>Y</x:v>
      </x:c>
      <x:c r="Y262" s="1"/>
      <x:c r="Z262" s="1"/>
      <x:c r="AA262" s="1"/>
      <x:c r="AB262" s="1"/>
      <x:c r="AC262" s="1"/>
      <x:c r="AD262" s="1"/>
      <x:c r="AE262" s="1"/>
    </x:row>
    <x:row r="263">
      <x:c r="A263" s="1">
        <x:v>262</x:v>
      </x:c>
      <x:c r="B263" t="str">
        <x:v>W</x:v>
      </x:c>
      <x:c r="C263" t="str">
        <x:v>B</x:v>
      </x:c>
      <x:c r="D263" t="str">
        <x:v>W</x:v>
      </x:c>
      <x:c r="E263" t="str">
        <x:v>B</x:v>
      </x:c>
      <x:c r="F263" t="str">
        <x:v>B</x:v>
      </x:c>
      <x:c r="G263" t="str">
        <x:v>B</x:v>
      </x:c>
      <x:c r="H263" t="str">
        <x:v>W</x:v>
      </x:c>
      <x:c r="I263" t="str">
        <x:v>W</x:v>
      </x:c>
      <x:c r="J263" t="str">
        <x:v>W</x:v>
      </x:c>
      <x:c r="K263" t="str">
        <x:v>W</x:v>
      </x:c>
      <x:c r="L263" t="str">
        <x:v>B</x:v>
      </x:c>
      <x:c r="M263" t="str">
        <x:v>B</x:v>
      </x:c>
      <x:c r="N263" t="str">
        <x:v>B</x:v>
      </x:c>
      <x:c r="O263" t="str">
        <x:v>W</x:v>
      </x:c>
      <x:c r="P263" t="str">
        <x:v>B</x:v>
      </x:c>
      <x:c r="Q263" t="str">
        <x:v>B</x:v>
      </x:c>
      <x:c r="R263" t="str">
        <x:v>W</x:v>
      </x:c>
      <x:c r="S263" t="str">
        <x:v>B</x:v>
      </x:c>
      <x:c r="T263" t="str">
        <x:v>B</x:v>
      </x:c>
      <x:c r="U263" t="str">
        <x:v>B</x:v>
      </x:c>
      <x:c r="V263" t="n">
        <x:f>COUNTIF(B263:U263,"W")</x:f>
        <x:v>8</x:v>
      </x:c>
      <x:c r="W263" s="5" t="str">
        <x:f>IF(COUNTIF(B263:D263,"W")&gt;0,"Y","N")</x:f>
        <x:v>Y</x:v>
      </x:c>
      <x:c r="X263" s="5" t="str">
        <x:f>IF(COUNTIF(B263:I263,"W")&gt;=4,"Y","N")</x:f>
        <x:v>Y</x:v>
      </x:c>
      <x:c r="Y263" s="1"/>
      <x:c r="Z263" s="1"/>
      <x:c r="AA263" s="1"/>
      <x:c r="AB263" s="1"/>
      <x:c r="AC263" s="1"/>
      <x:c r="AD263" s="1"/>
      <x:c r="AE263" s="1"/>
    </x:row>
    <x:row r="264">
      <x:c r="A264" s="1">
        <x:v>263</x:v>
      </x:c>
      <x:c r="B264" t="str">
        <x:v>B</x:v>
      </x:c>
      <x:c r="C264" t="str">
        <x:v>W</x:v>
      </x:c>
      <x:c r="D264" t="str">
        <x:v>B</x:v>
      </x:c>
      <x:c r="E264" t="str">
        <x:v>B</x:v>
      </x:c>
      <x:c r="F264" t="str">
        <x:v>W</x:v>
      </x:c>
      <x:c r="G264" t="str">
        <x:v>W</x:v>
      </x:c>
      <x:c r="H264" t="str">
        <x:v>W</x:v>
      </x:c>
      <x:c r="I264" t="str">
        <x:v>W</x:v>
      </x:c>
      <x:c r="J264" t="str">
        <x:v>B</x:v>
      </x:c>
      <x:c r="K264" t="str">
        <x:v>W</x:v>
      </x:c>
      <x:c r="L264" t="str">
        <x:v>B</x:v>
      </x:c>
      <x:c r="M264" t="str">
        <x:v>B</x:v>
      </x:c>
      <x:c r="N264" t="str">
        <x:v>W</x:v>
      </x:c>
      <x:c r="O264" t="str">
        <x:v>W</x:v>
      </x:c>
      <x:c r="P264" t="str">
        <x:v>W</x:v>
      </x:c>
      <x:c r="Q264" t="str">
        <x:v>B</x:v>
      </x:c>
      <x:c r="R264" t="str">
        <x:v>B</x:v>
      </x:c>
      <x:c r="S264" t="str">
        <x:v>B</x:v>
      </x:c>
      <x:c r="T264" t="str">
        <x:v>B</x:v>
      </x:c>
      <x:c r="U264" t="str">
        <x:v>B</x:v>
      </x:c>
      <x:c r="V264" t="n">
        <x:f>COUNTIF(B264:U264,"W")</x:f>
        <x:v>9</x:v>
      </x:c>
      <x:c r="W264" s="5" t="str">
        <x:f>IF(COUNTIF(B264:D264,"W")&gt;0,"Y","N")</x:f>
        <x:v>Y</x:v>
      </x:c>
      <x:c r="X264" s="5" t="str">
        <x:f>IF(COUNTIF(B264:I264,"W")&gt;=4,"Y","N")</x:f>
        <x:v>Y</x:v>
      </x:c>
      <x:c r="Y264" s="1"/>
      <x:c r="Z264" s="1"/>
      <x:c r="AA264" s="1"/>
      <x:c r="AB264" s="1"/>
      <x:c r="AC264" s="1"/>
      <x:c r="AD264" s="1"/>
      <x:c r="AE264" s="1"/>
    </x:row>
    <x:row r="265">
      <x:c r="A265" s="1">
        <x:v>264</x:v>
      </x:c>
      <x:c r="B265" t="str">
        <x:v>W</x:v>
      </x:c>
      <x:c r="C265" t="str">
        <x:v>W</x:v>
      </x:c>
      <x:c r="D265" t="str">
        <x:v>B</x:v>
      </x:c>
      <x:c r="E265" t="str">
        <x:v>W</x:v>
      </x:c>
      <x:c r="F265" t="str">
        <x:v>B</x:v>
      </x:c>
      <x:c r="G265" t="str">
        <x:v>B</x:v>
      </x:c>
      <x:c r="H265" t="str">
        <x:v>W</x:v>
      </x:c>
      <x:c r="I265" t="str">
        <x:v>W</x:v>
      </x:c>
      <x:c r="J265" t="str">
        <x:v>W</x:v>
      </x:c>
      <x:c r="K265" t="str">
        <x:v>W</x:v>
      </x:c>
      <x:c r="L265" t="str">
        <x:v>W</x:v>
      </x:c>
      <x:c r="M265" t="str">
        <x:v>B</x:v>
      </x:c>
      <x:c r="N265" t="str">
        <x:v>W</x:v>
      </x:c>
      <x:c r="O265" t="str">
        <x:v>B</x:v>
      </x:c>
      <x:c r="P265" t="str">
        <x:v>B</x:v>
      </x:c>
      <x:c r="Q265" t="str">
        <x:v>W</x:v>
      </x:c>
      <x:c r="R265" t="str">
        <x:v>W</x:v>
      </x:c>
      <x:c r="S265" t="str">
        <x:v>B</x:v>
      </x:c>
      <x:c r="T265" t="str">
        <x:v>W</x:v>
      </x:c>
      <x:c r="U265" t="str">
        <x:v>B</x:v>
      </x:c>
      <x:c r="V265" t="n">
        <x:f>COUNTIF(B265:U265,"W")</x:f>
        <x:v>12</x:v>
      </x:c>
      <x:c r="W265" s="5" t="str">
        <x:f>IF(COUNTIF(B265:D265,"W")&gt;0,"Y","N")</x:f>
        <x:v>Y</x:v>
      </x:c>
      <x:c r="X265" s="5" t="str">
        <x:f>IF(COUNTIF(B265:I265,"W")&gt;=4,"Y","N")</x:f>
        <x:v>Y</x:v>
      </x:c>
      <x:c r="Y265" s="1"/>
      <x:c r="Z265" s="1"/>
      <x:c r="AA265" s="1"/>
      <x:c r="AB265" s="1"/>
      <x:c r="AC265" s="1"/>
      <x:c r="AD265" s="1"/>
      <x:c r="AE265" s="1"/>
    </x:row>
    <x:row r="266">
      <x:c r="A266" s="1">
        <x:v>265</x:v>
      </x:c>
      <x:c r="B266" t="str">
        <x:v>W</x:v>
      </x:c>
      <x:c r="C266" t="str">
        <x:v>B</x:v>
      </x:c>
      <x:c r="D266" t="str">
        <x:v>W</x:v>
      </x:c>
      <x:c r="E266" t="str">
        <x:v>W</x:v>
      </x:c>
      <x:c r="F266" t="str">
        <x:v>B</x:v>
      </x:c>
      <x:c r="G266" t="str">
        <x:v>B</x:v>
      </x:c>
      <x:c r="H266" t="str">
        <x:v>W</x:v>
      </x:c>
      <x:c r="I266" t="str">
        <x:v>W</x:v>
      </x:c>
      <x:c r="J266" t="str">
        <x:v>B</x:v>
      </x:c>
      <x:c r="K266" t="str">
        <x:v>W</x:v>
      </x:c>
      <x:c r="L266" t="str">
        <x:v>W</x:v>
      </x:c>
      <x:c r="M266" t="str">
        <x:v>B</x:v>
      </x:c>
      <x:c r="N266" t="str">
        <x:v>W</x:v>
      </x:c>
      <x:c r="O266" t="str">
        <x:v>B</x:v>
      </x:c>
      <x:c r="P266" t="str">
        <x:v>B</x:v>
      </x:c>
      <x:c r="Q266" t="str">
        <x:v>B</x:v>
      </x:c>
      <x:c r="R266" t="str">
        <x:v>B</x:v>
      </x:c>
      <x:c r="S266" t="str">
        <x:v>W</x:v>
      </x:c>
      <x:c r="T266" t="str">
        <x:v>B</x:v>
      </x:c>
      <x:c r="U266" t="str">
        <x:v>W</x:v>
      </x:c>
      <x:c r="V266" t="n">
        <x:f>COUNTIF(B266:U266,"W")</x:f>
        <x:v>10</x:v>
      </x:c>
      <x:c r="W266" s="5" t="str">
        <x:f>IF(COUNTIF(B266:D266,"W")&gt;0,"Y","N")</x:f>
        <x:v>Y</x:v>
      </x:c>
      <x:c r="X266" s="5" t="str">
        <x:f>IF(COUNTIF(B266:I266,"W")&gt;=4,"Y","N")</x:f>
        <x:v>Y</x:v>
      </x:c>
      <x:c r="Y266" s="1"/>
      <x:c r="Z266" s="1"/>
      <x:c r="AA266" s="1"/>
      <x:c r="AB266" s="1"/>
      <x:c r="AC266" s="1"/>
      <x:c r="AD266" s="1"/>
      <x:c r="AE266" s="1"/>
    </x:row>
    <x:row r="267">
      <x:c r="A267" s="1">
        <x:v>266</x:v>
      </x:c>
      <x:c r="B267" t="str">
        <x:v>W</x:v>
      </x:c>
      <x:c r="C267" t="str">
        <x:v>B</x:v>
      </x:c>
      <x:c r="D267" t="str">
        <x:v>W</x:v>
      </x:c>
      <x:c r="E267" t="str">
        <x:v>B</x:v>
      </x:c>
      <x:c r="F267" t="str">
        <x:v>W</x:v>
      </x:c>
      <x:c r="G267" t="str">
        <x:v>B</x:v>
      </x:c>
      <x:c r="H267" t="str">
        <x:v>W</x:v>
      </x:c>
      <x:c r="I267" t="str">
        <x:v>B</x:v>
      </x:c>
      <x:c r="J267" t="str">
        <x:v>B</x:v>
      </x:c>
      <x:c r="K267" t="str">
        <x:v>B</x:v>
      </x:c>
      <x:c r="L267" t="str">
        <x:v>W</x:v>
      </x:c>
      <x:c r="M267" t="str">
        <x:v>B</x:v>
      </x:c>
      <x:c r="N267" t="str">
        <x:v>B</x:v>
      </x:c>
      <x:c r="O267" t="str">
        <x:v>B</x:v>
      </x:c>
      <x:c r="P267" t="str">
        <x:v>W</x:v>
      </x:c>
      <x:c r="Q267" t="str">
        <x:v>W</x:v>
      </x:c>
      <x:c r="R267" t="str">
        <x:v>B</x:v>
      </x:c>
      <x:c r="S267" t="str">
        <x:v>B</x:v>
      </x:c>
      <x:c r="T267" t="str">
        <x:v>B</x:v>
      </x:c>
      <x:c r="U267" t="str">
        <x:v>B</x:v>
      </x:c>
      <x:c r="V267" t="n">
        <x:f>COUNTIF(B267:U267,"W")</x:f>
        <x:v>7</x:v>
      </x:c>
      <x:c r="W267" s="5" t="str">
        <x:f>IF(COUNTIF(B267:D267,"W")&gt;0,"Y","N")</x:f>
        <x:v>Y</x:v>
      </x:c>
      <x:c r="X267" s="5" t="str">
        <x:f>IF(COUNTIF(B267:I267,"W")&gt;=4,"Y","N")</x:f>
        <x:v>Y</x:v>
      </x:c>
      <x:c r="Y267" s="1"/>
      <x:c r="Z267" s="1"/>
      <x:c r="AA267" s="1"/>
      <x:c r="AB267" s="1"/>
      <x:c r="AC267" s="1"/>
      <x:c r="AD267" s="1"/>
      <x:c r="AE267" s="1"/>
    </x:row>
    <x:row r="268">
      <x:c r="A268" s="1">
        <x:v>267</x:v>
      </x:c>
      <x:c r="B268" t="str">
        <x:v>B</x:v>
      </x:c>
      <x:c r="C268" t="str">
        <x:v>W</x:v>
      </x:c>
      <x:c r="D268" t="str">
        <x:v>B</x:v>
      </x:c>
      <x:c r="E268" t="str">
        <x:v>W</x:v>
      </x:c>
      <x:c r="F268" t="str">
        <x:v>W</x:v>
      </x:c>
      <x:c r="G268" t="str">
        <x:v>W</x:v>
      </x:c>
      <x:c r="H268" t="str">
        <x:v>W</x:v>
      </x:c>
      <x:c r="I268" t="str">
        <x:v>W</x:v>
      </x:c>
      <x:c r="J268" t="str">
        <x:v>W</x:v>
      </x:c>
      <x:c r="K268" t="str">
        <x:v>W</x:v>
      </x:c>
      <x:c r="L268" t="str">
        <x:v>W</x:v>
      </x:c>
      <x:c r="M268" t="str">
        <x:v>B</x:v>
      </x:c>
      <x:c r="N268" t="str">
        <x:v>B</x:v>
      </x:c>
      <x:c r="O268" t="str">
        <x:v>B</x:v>
      </x:c>
      <x:c r="P268" t="str">
        <x:v>B</x:v>
      </x:c>
      <x:c r="Q268" t="str">
        <x:v>B</x:v>
      </x:c>
      <x:c r="R268" t="str">
        <x:v>B</x:v>
      </x:c>
      <x:c r="S268" t="str">
        <x:v>B</x:v>
      </x:c>
      <x:c r="T268" t="str">
        <x:v>W</x:v>
      </x:c>
      <x:c r="U268" t="str">
        <x:v>W</x:v>
      </x:c>
      <x:c r="V268" t="n">
        <x:f>COUNTIF(B268:U268,"W")</x:f>
        <x:v>11</x:v>
      </x:c>
      <x:c r="W268" s="5" t="str">
        <x:f>IF(COUNTIF(B268:D268,"W")&gt;0,"Y","N")</x:f>
        <x:v>Y</x:v>
      </x:c>
      <x:c r="X268" s="5" t="str">
        <x:f>IF(COUNTIF(B268:I268,"W")&gt;=4,"Y","N")</x:f>
        <x:v>Y</x:v>
      </x:c>
      <x:c r="Y268" s="1"/>
      <x:c r="Z268" s="1"/>
      <x:c r="AA268" s="1"/>
      <x:c r="AB268" s="1"/>
      <x:c r="AC268" s="1"/>
      <x:c r="AD268" s="1"/>
      <x:c r="AE268" s="1"/>
    </x:row>
    <x:row r="269">
      <x:c r="A269" s="1">
        <x:v>268</x:v>
      </x:c>
      <x:c r="B269" t="str">
        <x:v>B</x:v>
      </x:c>
      <x:c r="C269" t="str">
        <x:v>B</x:v>
      </x:c>
      <x:c r="D269" t="str">
        <x:v>B</x:v>
      </x:c>
      <x:c r="E269" t="str">
        <x:v>W</x:v>
      </x:c>
      <x:c r="F269" t="str">
        <x:v>B</x:v>
      </x:c>
      <x:c r="G269" t="str">
        <x:v>W</x:v>
      </x:c>
      <x:c r="H269" t="str">
        <x:v>B</x:v>
      </x:c>
      <x:c r="I269" t="str">
        <x:v>W</x:v>
      </x:c>
      <x:c r="J269" t="str">
        <x:v>B</x:v>
      </x:c>
      <x:c r="K269" t="str">
        <x:v>W</x:v>
      </x:c>
      <x:c r="L269" t="str">
        <x:v>W</x:v>
      </x:c>
      <x:c r="M269" t="str">
        <x:v>B</x:v>
      </x:c>
      <x:c r="N269" t="str">
        <x:v>B</x:v>
      </x:c>
      <x:c r="O269" t="str">
        <x:v>B</x:v>
      </x:c>
      <x:c r="P269" t="str">
        <x:v>B</x:v>
      </x:c>
      <x:c r="Q269" t="str">
        <x:v>B</x:v>
      </x:c>
      <x:c r="R269" t="str">
        <x:v>B</x:v>
      </x:c>
      <x:c r="S269" t="str">
        <x:v>B</x:v>
      </x:c>
      <x:c r="T269" t="str">
        <x:v>W</x:v>
      </x:c>
      <x:c r="U269" t="str">
        <x:v>B</x:v>
      </x:c>
      <x:c r="V269" t="n">
        <x:f>COUNTIF(B269:U269,"W")</x:f>
        <x:v>6</x:v>
      </x:c>
      <x:c r="W269" s="5" t="str">
        <x:f>IF(COUNTIF(B269:D269,"W")&gt;0,"Y","N")</x:f>
        <x:v>N</x:v>
      </x:c>
      <x:c r="X269" s="5" t="str">
        <x:f>IF(COUNTIF(B269:I269,"W")&gt;=4,"Y","N")</x:f>
        <x:v>N</x:v>
      </x:c>
      <x:c r="Y269" s="1"/>
      <x:c r="Z269" s="1"/>
      <x:c r="AA269" s="1"/>
      <x:c r="AB269" s="1"/>
      <x:c r="AC269" s="1"/>
      <x:c r="AD269" s="1"/>
      <x:c r="AE269" s="1"/>
    </x:row>
    <x:row r="270">
      <x:c r="A270" s="1">
        <x:v>269</x:v>
      </x:c>
      <x:c r="B270" t="str">
        <x:v>B</x:v>
      </x:c>
      <x:c r="C270" t="str">
        <x:v>B</x:v>
      </x:c>
      <x:c r="D270" t="str">
        <x:v>W</x:v>
      </x:c>
      <x:c r="E270" t="str">
        <x:v>B</x:v>
      </x:c>
      <x:c r="F270" t="str">
        <x:v>B</x:v>
      </x:c>
      <x:c r="G270" t="str">
        <x:v>W</x:v>
      </x:c>
      <x:c r="H270" t="str">
        <x:v>W</x:v>
      </x:c>
      <x:c r="I270" t="str">
        <x:v>B</x:v>
      </x:c>
      <x:c r="J270" t="str">
        <x:v>B</x:v>
      </x:c>
      <x:c r="K270" t="str">
        <x:v>B</x:v>
      </x:c>
      <x:c r="L270" t="str">
        <x:v>B</x:v>
      </x:c>
      <x:c r="M270" t="str">
        <x:v>B</x:v>
      </x:c>
      <x:c r="N270" t="str">
        <x:v>B</x:v>
      </x:c>
      <x:c r="O270" t="str">
        <x:v>B</x:v>
      </x:c>
      <x:c r="P270" t="str">
        <x:v>B</x:v>
      </x:c>
      <x:c r="Q270" t="str">
        <x:v>W</x:v>
      </x:c>
      <x:c r="R270" t="str">
        <x:v>B</x:v>
      </x:c>
      <x:c r="S270" t="str">
        <x:v>B</x:v>
      </x:c>
      <x:c r="T270" t="str">
        <x:v>B</x:v>
      </x:c>
      <x:c r="U270" t="str">
        <x:v>B</x:v>
      </x:c>
      <x:c r="V270" t="n">
        <x:f>COUNTIF(B270:U270,"W")</x:f>
        <x:v>4</x:v>
      </x:c>
      <x:c r="W270" s="5" t="str">
        <x:f>IF(COUNTIF(B270:D270,"W")&gt;0,"Y","N")</x:f>
        <x:v>Y</x:v>
      </x:c>
      <x:c r="X270" s="5" t="str">
        <x:f>IF(COUNTIF(B270:I270,"W")&gt;=4,"Y","N")</x:f>
        <x:v>N</x:v>
      </x:c>
      <x:c r="Y270" s="1"/>
      <x:c r="Z270" s="1"/>
      <x:c r="AA270" s="1"/>
      <x:c r="AB270" s="1"/>
      <x:c r="AC270" s="1"/>
      <x:c r="AD270" s="1"/>
      <x:c r="AE270" s="1"/>
    </x:row>
    <x:row r="271">
      <x:c r="A271" s="1">
        <x:v>270</x:v>
      </x:c>
      <x:c r="B271" t="str">
        <x:v>B</x:v>
      </x:c>
      <x:c r="C271" t="str">
        <x:v>B</x:v>
      </x:c>
      <x:c r="D271" t="str">
        <x:v>W</x:v>
      </x:c>
      <x:c r="E271" t="str">
        <x:v>W</x:v>
      </x:c>
      <x:c r="F271" t="str">
        <x:v>W</x:v>
      </x:c>
      <x:c r="G271" t="str">
        <x:v>B</x:v>
      </x:c>
      <x:c r="H271" t="str">
        <x:v>B</x:v>
      </x:c>
      <x:c r="I271" t="str">
        <x:v>B</x:v>
      </x:c>
      <x:c r="J271" t="str">
        <x:v>W</x:v>
      </x:c>
      <x:c r="K271" t="str">
        <x:v>W</x:v>
      </x:c>
      <x:c r="L271" t="str">
        <x:v>W</x:v>
      </x:c>
      <x:c r="M271" t="str">
        <x:v>B</x:v>
      </x:c>
      <x:c r="N271" t="str">
        <x:v>W</x:v>
      </x:c>
      <x:c r="O271" t="str">
        <x:v>W</x:v>
      </x:c>
      <x:c r="P271" t="str">
        <x:v>B</x:v>
      </x:c>
      <x:c r="Q271" t="str">
        <x:v>B</x:v>
      </x:c>
      <x:c r="R271" t="str">
        <x:v>B</x:v>
      </x:c>
      <x:c r="S271" t="str">
        <x:v>B</x:v>
      </x:c>
      <x:c r="T271" t="str">
        <x:v>B</x:v>
      </x:c>
      <x:c r="U271" t="str">
        <x:v>B</x:v>
      </x:c>
      <x:c r="V271" t="n">
        <x:f>COUNTIF(B271:U271,"W")</x:f>
        <x:v>8</x:v>
      </x:c>
      <x:c r="W271" s="5" t="str">
        <x:f>IF(COUNTIF(B271:D271,"W")&gt;0,"Y","N")</x:f>
        <x:v>Y</x:v>
      </x:c>
      <x:c r="X271" s="5" t="str">
        <x:f>IF(COUNTIF(B271:I271,"W")&gt;=4,"Y","N")</x:f>
        <x:v>N</x:v>
      </x:c>
      <x:c r="Y271" s="1"/>
      <x:c r="Z271" s="1"/>
      <x:c r="AA271" s="1"/>
      <x:c r="AB271" s="1"/>
      <x:c r="AC271" s="1"/>
      <x:c r="AD271" s="1"/>
      <x:c r="AE271" s="1"/>
    </x:row>
    <x:row r="272">
      <x:c r="A272" s="1">
        <x:v>271</x:v>
      </x:c>
      <x:c r="B272" t="str">
        <x:v>B</x:v>
      </x:c>
      <x:c r="C272" t="str">
        <x:v>B</x:v>
      </x:c>
      <x:c r="D272" t="str">
        <x:v>B</x:v>
      </x:c>
      <x:c r="E272" t="str">
        <x:v>B</x:v>
      </x:c>
      <x:c r="F272" t="str">
        <x:v>B</x:v>
      </x:c>
      <x:c r="G272" t="str">
        <x:v>W</x:v>
      </x:c>
      <x:c r="H272" t="str">
        <x:v>B</x:v>
      </x:c>
      <x:c r="I272" t="str">
        <x:v>B</x:v>
      </x:c>
      <x:c r="J272" t="str">
        <x:v>B</x:v>
      </x:c>
      <x:c r="K272" t="str">
        <x:v>B</x:v>
      </x:c>
      <x:c r="L272" t="str">
        <x:v>B</x:v>
      </x:c>
      <x:c r="M272" t="str">
        <x:v>B</x:v>
      </x:c>
      <x:c r="N272" t="str">
        <x:v>B</x:v>
      </x:c>
      <x:c r="O272" t="str">
        <x:v>B</x:v>
      </x:c>
      <x:c r="P272" t="str">
        <x:v>W</x:v>
      </x:c>
      <x:c r="Q272" t="str">
        <x:v>B</x:v>
      </x:c>
      <x:c r="R272" t="str">
        <x:v>B</x:v>
      </x:c>
      <x:c r="S272" t="str">
        <x:v>B</x:v>
      </x:c>
      <x:c r="T272" t="str">
        <x:v>W</x:v>
      </x:c>
      <x:c r="U272" t="str">
        <x:v>B</x:v>
      </x:c>
      <x:c r="V272" t="n">
        <x:f>COUNTIF(B272:U272,"W")</x:f>
        <x:v>3</x:v>
      </x:c>
      <x:c r="W272" s="5" t="str">
        <x:f>IF(COUNTIF(B272:D272,"W")&gt;0,"Y","N")</x:f>
        <x:v>N</x:v>
      </x:c>
      <x:c r="X272" s="5" t="str">
        <x:f>IF(COUNTIF(B272:I272,"W")&gt;=4,"Y","N")</x:f>
        <x:v>N</x:v>
      </x:c>
      <x:c r="Y272" s="1"/>
      <x:c r="Z272" s="1"/>
      <x:c r="AA272" s="1"/>
      <x:c r="AB272" s="1"/>
      <x:c r="AC272" s="1"/>
      <x:c r="AD272" s="1"/>
      <x:c r="AE272" s="1"/>
    </x:row>
    <x:row r="273">
      <x:c r="A273" s="1">
        <x:v>272</x:v>
      </x:c>
      <x:c r="B273" t="str">
        <x:v>W</x:v>
      </x:c>
      <x:c r="C273" t="str">
        <x:v>W</x:v>
      </x:c>
      <x:c r="D273" t="str">
        <x:v>B</x:v>
      </x:c>
      <x:c r="E273" t="str">
        <x:v>B</x:v>
      </x:c>
      <x:c r="F273" t="str">
        <x:v>B</x:v>
      </x:c>
      <x:c r="G273" t="str">
        <x:v>W</x:v>
      </x:c>
      <x:c r="H273" t="str">
        <x:v>B</x:v>
      </x:c>
      <x:c r="I273" t="str">
        <x:v>B</x:v>
      </x:c>
      <x:c r="J273" t="str">
        <x:v>W</x:v>
      </x:c>
      <x:c r="K273" t="str">
        <x:v>B</x:v>
      </x:c>
      <x:c r="L273" t="str">
        <x:v>B</x:v>
      </x:c>
      <x:c r="M273" t="str">
        <x:v>W</x:v>
      </x:c>
      <x:c r="N273" t="str">
        <x:v>B</x:v>
      </x:c>
      <x:c r="O273" t="str">
        <x:v>B</x:v>
      </x:c>
      <x:c r="P273" t="str">
        <x:v>W</x:v>
      </x:c>
      <x:c r="Q273" t="str">
        <x:v>W</x:v>
      </x:c>
      <x:c r="R273" t="str">
        <x:v>B</x:v>
      </x:c>
      <x:c r="S273" t="str">
        <x:v>W</x:v>
      </x:c>
      <x:c r="T273" t="str">
        <x:v>B</x:v>
      </x:c>
      <x:c r="U273" t="str">
        <x:v>B</x:v>
      </x:c>
      <x:c r="V273" t="n">
        <x:f>COUNTIF(B273:U273,"W")</x:f>
        <x:v>8</x:v>
      </x:c>
      <x:c r="W273" s="5" t="str">
        <x:f>IF(COUNTIF(B273:D273,"W")&gt;0,"Y","N")</x:f>
        <x:v>Y</x:v>
      </x:c>
      <x:c r="X273" s="5" t="str">
        <x:f>IF(COUNTIF(B273:I273,"W")&gt;=4,"Y","N")</x:f>
        <x:v>N</x:v>
      </x:c>
      <x:c r="Y273" s="1"/>
      <x:c r="Z273" s="1"/>
      <x:c r="AA273" s="1"/>
      <x:c r="AB273" s="1"/>
      <x:c r="AC273" s="1"/>
      <x:c r="AD273" s="1"/>
      <x:c r="AE273" s="1"/>
    </x:row>
    <x:row r="274">
      <x:c r="A274" s="1">
        <x:v>273</x:v>
      </x:c>
      <x:c r="B274" t="str">
        <x:v>W</x:v>
      </x:c>
      <x:c r="C274" t="str">
        <x:v>B</x:v>
      </x:c>
      <x:c r="D274" t="str">
        <x:v>B</x:v>
      </x:c>
      <x:c r="E274" t="str">
        <x:v>B</x:v>
      </x:c>
      <x:c r="F274" t="str">
        <x:v>W</x:v>
      </x:c>
      <x:c r="G274" t="str">
        <x:v>B</x:v>
      </x:c>
      <x:c r="H274" t="str">
        <x:v>W</x:v>
      </x:c>
      <x:c r="I274" t="str">
        <x:v>B</x:v>
      </x:c>
      <x:c r="J274" t="str">
        <x:v>B</x:v>
      </x:c>
      <x:c r="K274" t="str">
        <x:v>W</x:v>
      </x:c>
      <x:c r="L274" t="str">
        <x:v>B</x:v>
      </x:c>
      <x:c r="M274" t="str">
        <x:v>B</x:v>
      </x:c>
      <x:c r="N274" t="str">
        <x:v>W</x:v>
      </x:c>
      <x:c r="O274" t="str">
        <x:v>W</x:v>
      </x:c>
      <x:c r="P274" t="str">
        <x:v>B</x:v>
      </x:c>
      <x:c r="Q274" t="str">
        <x:v>B</x:v>
      </x:c>
      <x:c r="R274" t="str">
        <x:v>B</x:v>
      </x:c>
      <x:c r="S274" t="str">
        <x:v>B</x:v>
      </x:c>
      <x:c r="T274" t="str">
        <x:v>W</x:v>
      </x:c>
      <x:c r="U274" t="str">
        <x:v>B</x:v>
      </x:c>
      <x:c r="V274" t="n">
        <x:f>COUNTIF(B274:U274,"W")</x:f>
        <x:v>7</x:v>
      </x:c>
      <x:c r="W274" s="5" t="str">
        <x:f>IF(COUNTIF(B274:D274,"W")&gt;0,"Y","N")</x:f>
        <x:v>Y</x:v>
      </x:c>
      <x:c r="X274" s="5" t="str">
        <x:f>IF(COUNTIF(B274:I274,"W")&gt;=4,"Y","N")</x:f>
        <x:v>N</x:v>
      </x:c>
      <x:c r="Y274" s="1"/>
      <x:c r="Z274" s="1"/>
      <x:c r="AA274" s="1"/>
      <x:c r="AB274" s="1"/>
      <x:c r="AC274" s="1"/>
      <x:c r="AD274" s="1"/>
      <x:c r="AE274" s="1"/>
    </x:row>
    <x:row r="275">
      <x:c r="A275" s="1">
        <x:v>274</x:v>
      </x:c>
      <x:c r="B275" t="str">
        <x:v>W</x:v>
      </x:c>
      <x:c r="C275" t="str">
        <x:v>W</x:v>
      </x:c>
      <x:c r="D275" t="str">
        <x:v>B</x:v>
      </x:c>
      <x:c r="E275" t="str">
        <x:v>B</x:v>
      </x:c>
      <x:c r="F275" t="str">
        <x:v>W</x:v>
      </x:c>
      <x:c r="G275" t="str">
        <x:v>B</x:v>
      </x:c>
      <x:c r="H275" t="str">
        <x:v>B</x:v>
      </x:c>
      <x:c r="I275" t="str">
        <x:v>B</x:v>
      </x:c>
      <x:c r="J275" t="str">
        <x:v>W</x:v>
      </x:c>
      <x:c r="K275" t="str">
        <x:v>W</x:v>
      </x:c>
      <x:c r="L275" t="str">
        <x:v>W</x:v>
      </x:c>
      <x:c r="M275" t="str">
        <x:v>B</x:v>
      </x:c>
      <x:c r="N275" t="str">
        <x:v>B</x:v>
      </x:c>
      <x:c r="O275" t="str">
        <x:v>B</x:v>
      </x:c>
      <x:c r="P275" t="str">
        <x:v>B</x:v>
      </x:c>
      <x:c r="Q275" t="str">
        <x:v>W</x:v>
      </x:c>
      <x:c r="R275" t="str">
        <x:v>B</x:v>
      </x:c>
      <x:c r="S275" t="str">
        <x:v>B</x:v>
      </x:c>
      <x:c r="T275" t="str">
        <x:v>B</x:v>
      </x:c>
      <x:c r="U275" t="str">
        <x:v>W</x:v>
      </x:c>
      <x:c r="V275" t="n">
        <x:f>COUNTIF(B275:U275,"W")</x:f>
        <x:v>8</x:v>
      </x:c>
      <x:c r="W275" s="5" t="str">
        <x:f>IF(COUNTIF(B275:D275,"W")&gt;0,"Y","N")</x:f>
        <x:v>Y</x:v>
      </x:c>
      <x:c r="X275" s="5" t="str">
        <x:f>IF(COUNTIF(B275:I275,"W")&gt;=4,"Y","N")</x:f>
        <x:v>N</x:v>
      </x:c>
      <x:c r="Y275" s="1"/>
      <x:c r="Z275" s="1"/>
      <x:c r="AA275" s="1"/>
      <x:c r="AB275" s="1"/>
      <x:c r="AC275" s="1"/>
      <x:c r="AD275" s="1"/>
      <x:c r="AE275" s="1"/>
    </x:row>
    <x:row r="276">
      <x:c r="A276" s="1">
        <x:v>275</x:v>
      </x:c>
      <x:c r="B276" t="str">
        <x:v>B</x:v>
      </x:c>
      <x:c r="C276" t="str">
        <x:v>B</x:v>
      </x:c>
      <x:c r="D276" t="str">
        <x:v>B</x:v>
      </x:c>
      <x:c r="E276" t="str">
        <x:v>W</x:v>
      </x:c>
      <x:c r="F276" t="str">
        <x:v>W</x:v>
      </x:c>
      <x:c r="G276" t="str">
        <x:v>W</x:v>
      </x:c>
      <x:c r="H276" t="str">
        <x:v>W</x:v>
      </x:c>
      <x:c r="I276" t="str">
        <x:v>B</x:v>
      </x:c>
      <x:c r="J276" t="str">
        <x:v>W</x:v>
      </x:c>
      <x:c r="K276" t="str">
        <x:v>B</x:v>
      </x:c>
      <x:c r="L276" t="str">
        <x:v>B</x:v>
      </x:c>
      <x:c r="M276" t="str">
        <x:v>B</x:v>
      </x:c>
      <x:c r="N276" t="str">
        <x:v>W</x:v>
      </x:c>
      <x:c r="O276" t="str">
        <x:v>B</x:v>
      </x:c>
      <x:c r="P276" t="str">
        <x:v>B</x:v>
      </x:c>
      <x:c r="Q276" t="str">
        <x:v>B</x:v>
      </x:c>
      <x:c r="R276" t="str">
        <x:v>W</x:v>
      </x:c>
      <x:c r="S276" t="str">
        <x:v>B</x:v>
      </x:c>
      <x:c r="T276" t="str">
        <x:v>W</x:v>
      </x:c>
      <x:c r="U276" t="str">
        <x:v>W</x:v>
      </x:c>
      <x:c r="V276" t="n">
        <x:f>COUNTIF(B276:U276,"W")</x:f>
        <x:v>9</x:v>
      </x:c>
      <x:c r="W276" s="5" t="str">
        <x:f>IF(COUNTIF(B276:D276,"W")&gt;0,"Y","N")</x:f>
        <x:v>N</x:v>
      </x:c>
      <x:c r="X276" s="5" t="str">
        <x:f>IF(COUNTIF(B276:I276,"W")&gt;=4,"Y","N")</x:f>
        <x:v>Y</x:v>
      </x:c>
      <x:c r="Y276" s="1"/>
      <x:c r="Z276" s="1"/>
      <x:c r="AA276" s="1"/>
      <x:c r="AB276" s="1"/>
      <x:c r="AC276" s="1"/>
      <x:c r="AD276" s="1"/>
      <x:c r="AE276" s="1"/>
    </x:row>
    <x:row r="277">
      <x:c r="A277" s="1">
        <x:v>276</x:v>
      </x:c>
      <x:c r="B277" t="str">
        <x:v>W</x:v>
      </x:c>
      <x:c r="C277" t="str">
        <x:v>W</x:v>
      </x:c>
      <x:c r="D277" t="str">
        <x:v>B</x:v>
      </x:c>
      <x:c r="E277" t="str">
        <x:v>B</x:v>
      </x:c>
      <x:c r="F277" t="str">
        <x:v>B</x:v>
      </x:c>
      <x:c r="G277" t="str">
        <x:v>B</x:v>
      </x:c>
      <x:c r="H277" t="str">
        <x:v>W</x:v>
      </x:c>
      <x:c r="I277" t="str">
        <x:v>B</x:v>
      </x:c>
      <x:c r="J277" t="str">
        <x:v>W</x:v>
      </x:c>
      <x:c r="K277" t="str">
        <x:v>W</x:v>
      </x:c>
      <x:c r="L277" t="str">
        <x:v>W</x:v>
      </x:c>
      <x:c r="M277" t="str">
        <x:v>B</x:v>
      </x:c>
      <x:c r="N277" t="str">
        <x:v>W</x:v>
      </x:c>
      <x:c r="O277" t="str">
        <x:v>B</x:v>
      </x:c>
      <x:c r="P277" t="str">
        <x:v>B</x:v>
      </x:c>
      <x:c r="Q277" t="str">
        <x:v>B</x:v>
      </x:c>
      <x:c r="R277" t="str">
        <x:v>B</x:v>
      </x:c>
      <x:c r="S277" t="str">
        <x:v>B</x:v>
      </x:c>
      <x:c r="T277" t="str">
        <x:v>B</x:v>
      </x:c>
      <x:c r="U277" t="str">
        <x:v>B</x:v>
      </x:c>
      <x:c r="V277" t="n">
        <x:f>COUNTIF(B277:U277,"W")</x:f>
        <x:v>7</x:v>
      </x:c>
      <x:c r="W277" s="5" t="str">
        <x:f>IF(COUNTIF(B277:D277,"W")&gt;0,"Y","N")</x:f>
        <x:v>Y</x:v>
      </x:c>
      <x:c r="X277" s="5" t="str">
        <x:f>IF(COUNTIF(B277:I277,"W")&gt;=4,"Y","N")</x:f>
        <x:v>N</x:v>
      </x:c>
      <x:c r="Y277" s="1"/>
      <x:c r="Z277" s="1"/>
      <x:c r="AA277" s="1"/>
      <x:c r="AB277" s="1"/>
      <x:c r="AC277" s="1"/>
      <x:c r="AD277" s="1"/>
      <x:c r="AE277" s="1"/>
    </x:row>
    <x:row r="278">
      <x:c r="A278" s="1">
        <x:v>277</x:v>
      </x:c>
      <x:c r="B278" t="str">
        <x:v>W</x:v>
      </x:c>
      <x:c r="C278" t="str">
        <x:v>B</x:v>
      </x:c>
      <x:c r="D278" t="str">
        <x:v>B</x:v>
      </x:c>
      <x:c r="E278" t="str">
        <x:v>B</x:v>
      </x:c>
      <x:c r="F278" t="str">
        <x:v>W</x:v>
      </x:c>
      <x:c r="G278" t="str">
        <x:v>W</x:v>
      </x:c>
      <x:c r="H278" t="str">
        <x:v>W</x:v>
      </x:c>
      <x:c r="I278" t="str">
        <x:v>B</x:v>
      </x:c>
      <x:c r="J278" t="str">
        <x:v>W</x:v>
      </x:c>
      <x:c r="K278" t="str">
        <x:v>B</x:v>
      </x:c>
      <x:c r="L278" t="str">
        <x:v>B</x:v>
      </x:c>
      <x:c r="M278" t="str">
        <x:v>W</x:v>
      </x:c>
      <x:c r="N278" t="str">
        <x:v>B</x:v>
      </x:c>
      <x:c r="O278" t="str">
        <x:v>B</x:v>
      </x:c>
      <x:c r="P278" t="str">
        <x:v>W</x:v>
      </x:c>
      <x:c r="Q278" t="str">
        <x:v>B</x:v>
      </x:c>
      <x:c r="R278" t="str">
        <x:v>B</x:v>
      </x:c>
      <x:c r="S278" t="str">
        <x:v>B</x:v>
      </x:c>
      <x:c r="T278" t="str">
        <x:v>B</x:v>
      </x:c>
      <x:c r="U278" t="str">
        <x:v>B</x:v>
      </x:c>
      <x:c r="V278" t="n">
        <x:f>COUNTIF(B278:U278,"W")</x:f>
        <x:v>7</x:v>
      </x:c>
      <x:c r="W278" s="5" t="str">
        <x:f>IF(COUNTIF(B278:D278,"W")&gt;0,"Y","N")</x:f>
        <x:v>Y</x:v>
      </x:c>
      <x:c r="X278" s="5" t="str">
        <x:f>IF(COUNTIF(B278:I278,"W")&gt;=4,"Y","N")</x:f>
        <x:v>Y</x:v>
      </x:c>
      <x:c r="Y278" s="1"/>
      <x:c r="Z278" s="1"/>
      <x:c r="AA278" s="1"/>
      <x:c r="AB278" s="1"/>
      <x:c r="AC278" s="1"/>
      <x:c r="AD278" s="1"/>
      <x:c r="AE278" s="1"/>
    </x:row>
    <x:row r="279">
      <x:c r="A279" s="1">
        <x:v>278</x:v>
      </x:c>
      <x:c r="B279" t="str">
        <x:v>B</x:v>
      </x:c>
      <x:c r="C279" t="str">
        <x:v>B</x:v>
      </x:c>
      <x:c r="D279" t="str">
        <x:v>B</x:v>
      </x:c>
      <x:c r="E279" t="str">
        <x:v>B</x:v>
      </x:c>
      <x:c r="F279" t="str">
        <x:v>B</x:v>
      </x:c>
      <x:c r="G279" t="str">
        <x:v>B</x:v>
      </x:c>
      <x:c r="H279" t="str">
        <x:v>W</x:v>
      </x:c>
      <x:c r="I279" t="str">
        <x:v>B</x:v>
      </x:c>
      <x:c r="J279" t="str">
        <x:v>B</x:v>
      </x:c>
      <x:c r="K279" t="str">
        <x:v>W</x:v>
      </x:c>
      <x:c r="L279" t="str">
        <x:v>B</x:v>
      </x:c>
      <x:c r="M279" t="str">
        <x:v>B</x:v>
      </x:c>
      <x:c r="N279" t="str">
        <x:v>B</x:v>
      </x:c>
      <x:c r="O279" t="str">
        <x:v>B</x:v>
      </x:c>
      <x:c r="P279" t="str">
        <x:v>W</x:v>
      </x:c>
      <x:c r="Q279" t="str">
        <x:v>B</x:v>
      </x:c>
      <x:c r="R279" t="str">
        <x:v>W</x:v>
      </x:c>
      <x:c r="S279" t="str">
        <x:v>W</x:v>
      </x:c>
      <x:c r="T279" t="str">
        <x:v>W</x:v>
      </x:c>
      <x:c r="U279" t="str">
        <x:v>W</x:v>
      </x:c>
      <x:c r="V279" t="n">
        <x:f>COUNTIF(B279:U279,"W")</x:f>
        <x:v>7</x:v>
      </x:c>
      <x:c r="W279" s="5" t="str">
        <x:f>IF(COUNTIF(B279:D279,"W")&gt;0,"Y","N")</x:f>
        <x:v>N</x:v>
      </x:c>
      <x:c r="X279" s="5" t="str">
        <x:f>IF(COUNTIF(B279:I279,"W")&gt;=4,"Y","N")</x:f>
        <x:v>N</x:v>
      </x:c>
      <x:c r="Y279" s="1"/>
      <x:c r="Z279" s="1"/>
      <x:c r="AA279" s="1"/>
      <x:c r="AB279" s="1"/>
      <x:c r="AC279" s="1"/>
      <x:c r="AD279" s="1"/>
      <x:c r="AE279" s="1"/>
    </x:row>
    <x:row r="280">
      <x:c r="A280" s="1">
        <x:v>279</x:v>
      </x:c>
      <x:c r="B280" t="str">
        <x:v>W</x:v>
      </x:c>
      <x:c r="C280" t="str">
        <x:v>B</x:v>
      </x:c>
      <x:c r="D280" t="str">
        <x:v>W</x:v>
      </x:c>
      <x:c r="E280" t="str">
        <x:v>W</x:v>
      </x:c>
      <x:c r="F280" t="str">
        <x:v>B</x:v>
      </x:c>
      <x:c r="G280" t="str">
        <x:v>W</x:v>
      </x:c>
      <x:c r="H280" t="str">
        <x:v>B</x:v>
      </x:c>
      <x:c r="I280" t="str">
        <x:v>W</x:v>
      </x:c>
      <x:c r="J280" t="str">
        <x:v>B</x:v>
      </x:c>
      <x:c r="K280" t="str">
        <x:v>B</x:v>
      </x:c>
      <x:c r="L280" t="str">
        <x:v>W</x:v>
      </x:c>
      <x:c r="M280" t="str">
        <x:v>B</x:v>
      </x:c>
      <x:c r="N280" t="str">
        <x:v>B</x:v>
      </x:c>
      <x:c r="O280" t="str">
        <x:v>B</x:v>
      </x:c>
      <x:c r="P280" t="str">
        <x:v>W</x:v>
      </x:c>
      <x:c r="Q280" t="str">
        <x:v>W</x:v>
      </x:c>
      <x:c r="R280" t="str">
        <x:v>B</x:v>
      </x:c>
      <x:c r="S280" t="str">
        <x:v>W</x:v>
      </x:c>
      <x:c r="T280" t="str">
        <x:v>W</x:v>
      </x:c>
      <x:c r="U280" t="str">
        <x:v>W</x:v>
      </x:c>
      <x:c r="V280" t="n">
        <x:f>COUNTIF(B280:U280,"W")</x:f>
        <x:v>11</x:v>
      </x:c>
      <x:c r="W280" s="5" t="str">
        <x:f>IF(COUNTIF(B280:D280,"W")&gt;0,"Y","N")</x:f>
        <x:v>Y</x:v>
      </x:c>
      <x:c r="X280" s="5" t="str">
        <x:f>IF(COUNTIF(B280:I280,"W")&gt;=4,"Y","N")</x:f>
        <x:v>Y</x:v>
      </x:c>
      <x:c r="Y280" s="1"/>
      <x:c r="Z280" s="1"/>
      <x:c r="AA280" s="1"/>
      <x:c r="AB280" s="1"/>
      <x:c r="AC280" s="1"/>
      <x:c r="AD280" s="1"/>
      <x:c r="AE280" s="1"/>
    </x:row>
    <x:row r="281">
      <x:c r="A281" s="1">
        <x:v>280</x:v>
      </x:c>
      <x:c r="B281" t="str">
        <x:v>B</x:v>
      </x:c>
      <x:c r="C281" t="str">
        <x:v>B</x:v>
      </x:c>
      <x:c r="D281" t="str">
        <x:v>W</x:v>
      </x:c>
      <x:c r="E281" t="str">
        <x:v>B</x:v>
      </x:c>
      <x:c r="F281" t="str">
        <x:v>W</x:v>
      </x:c>
      <x:c r="G281" t="str">
        <x:v>W</x:v>
      </x:c>
      <x:c r="H281" t="str">
        <x:v>B</x:v>
      </x:c>
      <x:c r="I281" t="str">
        <x:v>B</x:v>
      </x:c>
      <x:c r="J281" t="str">
        <x:v>W</x:v>
      </x:c>
      <x:c r="K281" t="str">
        <x:v>B</x:v>
      </x:c>
      <x:c r="L281" t="str">
        <x:v>W</x:v>
      </x:c>
      <x:c r="M281" t="str">
        <x:v>B</x:v>
      </x:c>
      <x:c r="N281" t="str">
        <x:v>W</x:v>
      </x:c>
      <x:c r="O281" t="str">
        <x:v>B</x:v>
      </x:c>
      <x:c r="P281" t="str">
        <x:v>B</x:v>
      </x:c>
      <x:c r="Q281" t="str">
        <x:v>B</x:v>
      </x:c>
      <x:c r="R281" t="str">
        <x:v>B</x:v>
      </x:c>
      <x:c r="S281" t="str">
        <x:v>B</x:v>
      </x:c>
      <x:c r="T281" t="str">
        <x:v>W</x:v>
      </x:c>
      <x:c r="U281" t="str">
        <x:v>B</x:v>
      </x:c>
      <x:c r="V281" t="n">
        <x:f>COUNTIF(B281:U281,"W")</x:f>
        <x:v>7</x:v>
      </x:c>
      <x:c r="W281" s="5" t="str">
        <x:f>IF(COUNTIF(B281:D281,"W")&gt;0,"Y","N")</x:f>
        <x:v>Y</x:v>
      </x:c>
      <x:c r="X281" s="5" t="str">
        <x:f>IF(COUNTIF(B281:I281,"W")&gt;=4,"Y","N")</x:f>
        <x:v>N</x:v>
      </x:c>
      <x:c r="Y281" s="1"/>
      <x:c r="Z281" s="1"/>
      <x:c r="AA281" s="1"/>
      <x:c r="AB281" s="1"/>
      <x:c r="AC281" s="1"/>
      <x:c r="AD281" s="1"/>
      <x:c r="AE281" s="1"/>
    </x:row>
    <x:row r="282">
      <x:c r="A282" s="1">
        <x:v>281</x:v>
      </x:c>
      <x:c r="B282" t="str">
        <x:v>B</x:v>
      </x:c>
      <x:c r="C282" t="str">
        <x:v>B</x:v>
      </x:c>
      <x:c r="D282" t="str">
        <x:v>W</x:v>
      </x:c>
      <x:c r="E282" t="str">
        <x:v>B</x:v>
      </x:c>
      <x:c r="F282" t="str">
        <x:v>B</x:v>
      </x:c>
      <x:c r="G282" t="str">
        <x:v>W</x:v>
      </x:c>
      <x:c r="H282" t="str">
        <x:v>B</x:v>
      </x:c>
      <x:c r="I282" t="str">
        <x:v>W</x:v>
      </x:c>
      <x:c r="J282" t="str">
        <x:v>B</x:v>
      </x:c>
      <x:c r="K282" t="str">
        <x:v>B</x:v>
      </x:c>
      <x:c r="L282" t="str">
        <x:v>B</x:v>
      </x:c>
      <x:c r="M282" t="str">
        <x:v>W</x:v>
      </x:c>
      <x:c r="N282" t="str">
        <x:v>B</x:v>
      </x:c>
      <x:c r="O282" t="str">
        <x:v>B</x:v>
      </x:c>
      <x:c r="P282" t="str">
        <x:v>W</x:v>
      </x:c>
      <x:c r="Q282" t="str">
        <x:v>B</x:v>
      </x:c>
      <x:c r="R282" t="str">
        <x:v>W</x:v>
      </x:c>
      <x:c r="S282" t="str">
        <x:v>W</x:v>
      </x:c>
      <x:c r="T282" t="str">
        <x:v>W</x:v>
      </x:c>
      <x:c r="U282" t="str">
        <x:v>W</x:v>
      </x:c>
      <x:c r="V282" t="n">
        <x:f>COUNTIF(B282:U282,"W")</x:f>
        <x:v>9</x:v>
      </x:c>
      <x:c r="W282" s="5" t="str">
        <x:f>IF(COUNTIF(B282:D282,"W")&gt;0,"Y","N")</x:f>
        <x:v>Y</x:v>
      </x:c>
      <x:c r="X282" s="5" t="str">
        <x:f>IF(COUNTIF(B282:I282,"W")&gt;=4,"Y","N")</x:f>
        <x:v>N</x:v>
      </x:c>
      <x:c r="Y282" s="1"/>
      <x:c r="Z282" s="1"/>
      <x:c r="AA282" s="1"/>
      <x:c r="AB282" s="1"/>
      <x:c r="AC282" s="1"/>
      <x:c r="AD282" s="1"/>
      <x:c r="AE282" s="1"/>
    </x:row>
    <x:row r="283">
      <x:c r="A283" s="1">
        <x:v>282</x:v>
      </x:c>
      <x:c r="B283" t="str">
        <x:v>W</x:v>
      </x:c>
      <x:c r="C283" t="str">
        <x:v>W</x:v>
      </x:c>
      <x:c r="D283" t="str">
        <x:v>B</x:v>
      </x:c>
      <x:c r="E283" t="str">
        <x:v>B</x:v>
      </x:c>
      <x:c r="F283" t="str">
        <x:v>B</x:v>
      </x:c>
      <x:c r="G283" t="str">
        <x:v>B</x:v>
      </x:c>
      <x:c r="H283" t="str">
        <x:v>W</x:v>
      </x:c>
      <x:c r="I283" t="str">
        <x:v>B</x:v>
      </x:c>
      <x:c r="J283" t="str">
        <x:v>B</x:v>
      </x:c>
      <x:c r="K283" t="str">
        <x:v>B</x:v>
      </x:c>
      <x:c r="L283" t="str">
        <x:v>B</x:v>
      </x:c>
      <x:c r="M283" t="str">
        <x:v>B</x:v>
      </x:c>
      <x:c r="N283" t="str">
        <x:v>W</x:v>
      </x:c>
      <x:c r="O283" t="str">
        <x:v>B</x:v>
      </x:c>
      <x:c r="P283" t="str">
        <x:v>W</x:v>
      </x:c>
      <x:c r="Q283" t="str">
        <x:v>B</x:v>
      </x:c>
      <x:c r="R283" t="str">
        <x:v>B</x:v>
      </x:c>
      <x:c r="S283" t="str">
        <x:v>W</x:v>
      </x:c>
      <x:c r="T283" t="str">
        <x:v>B</x:v>
      </x:c>
      <x:c r="U283" t="str">
        <x:v>W</x:v>
      </x:c>
      <x:c r="V283" t="n">
        <x:f>COUNTIF(B283:U283,"W")</x:f>
        <x:v>7</x:v>
      </x:c>
      <x:c r="W283" s="5" t="str">
        <x:f>IF(COUNTIF(B283:D283,"W")&gt;0,"Y","N")</x:f>
        <x:v>Y</x:v>
      </x:c>
      <x:c r="X283" s="5" t="str">
        <x:f>IF(COUNTIF(B283:I283,"W")&gt;=4,"Y","N")</x:f>
        <x:v>N</x:v>
      </x:c>
      <x:c r="Y283" s="1"/>
      <x:c r="Z283" s="1"/>
      <x:c r="AA283" s="1"/>
      <x:c r="AB283" s="1"/>
      <x:c r="AC283" s="1"/>
      <x:c r="AD283" s="1"/>
      <x:c r="AE283" s="1"/>
    </x:row>
    <x:row r="284">
      <x:c r="A284" s="1">
        <x:v>283</x:v>
      </x:c>
      <x:c r="B284" t="str">
        <x:v>W</x:v>
      </x:c>
      <x:c r="C284" t="str">
        <x:v>W</x:v>
      </x:c>
      <x:c r="D284" t="str">
        <x:v>B</x:v>
      </x:c>
      <x:c r="E284" t="str">
        <x:v>W</x:v>
      </x:c>
      <x:c r="F284" t="str">
        <x:v>B</x:v>
      </x:c>
      <x:c r="G284" t="str">
        <x:v>W</x:v>
      </x:c>
      <x:c r="H284" t="str">
        <x:v>W</x:v>
      </x:c>
      <x:c r="I284" t="str">
        <x:v>B</x:v>
      </x:c>
      <x:c r="J284" t="str">
        <x:v>B</x:v>
      </x:c>
      <x:c r="K284" t="str">
        <x:v>B</x:v>
      </x:c>
      <x:c r="L284" t="str">
        <x:v>W</x:v>
      </x:c>
      <x:c r="M284" t="str">
        <x:v>B</x:v>
      </x:c>
      <x:c r="N284" t="str">
        <x:v>B</x:v>
      </x:c>
      <x:c r="O284" t="str">
        <x:v>B</x:v>
      </x:c>
      <x:c r="P284" t="str">
        <x:v>B</x:v>
      </x:c>
      <x:c r="Q284" t="str">
        <x:v>W</x:v>
      </x:c>
      <x:c r="R284" t="str">
        <x:v>W</x:v>
      </x:c>
      <x:c r="S284" t="str">
        <x:v>B</x:v>
      </x:c>
      <x:c r="T284" t="str">
        <x:v>B</x:v>
      </x:c>
      <x:c r="U284" t="str">
        <x:v>B</x:v>
      </x:c>
      <x:c r="V284" t="n">
        <x:f>COUNTIF(B284:U284,"W")</x:f>
        <x:v>8</x:v>
      </x:c>
      <x:c r="W284" s="5" t="str">
        <x:f>IF(COUNTIF(B284:D284,"W")&gt;0,"Y","N")</x:f>
        <x:v>Y</x:v>
      </x:c>
      <x:c r="X284" s="5" t="str">
        <x:f>IF(COUNTIF(B284:I284,"W")&gt;=4,"Y","N")</x:f>
        <x:v>Y</x:v>
      </x:c>
      <x:c r="Y284" s="1"/>
      <x:c r="Z284" s="1"/>
      <x:c r="AA284" s="1"/>
      <x:c r="AB284" s="1"/>
      <x:c r="AC284" s="1"/>
      <x:c r="AD284" s="1"/>
      <x:c r="AE284" s="1"/>
    </x:row>
    <x:row r="285">
      <x:c r="A285" s="1">
        <x:v>284</x:v>
      </x:c>
      <x:c r="B285" t="str">
        <x:v>B</x:v>
      </x:c>
      <x:c r="C285" t="str">
        <x:v>B</x:v>
      </x:c>
      <x:c r="D285" t="str">
        <x:v>W</x:v>
      </x:c>
      <x:c r="E285" t="str">
        <x:v>B</x:v>
      </x:c>
      <x:c r="F285" t="str">
        <x:v>B</x:v>
      </x:c>
      <x:c r="G285" t="str">
        <x:v>W</x:v>
      </x:c>
      <x:c r="H285" t="str">
        <x:v>B</x:v>
      </x:c>
      <x:c r="I285" t="str">
        <x:v>W</x:v>
      </x:c>
      <x:c r="J285" t="str">
        <x:v>W</x:v>
      </x:c>
      <x:c r="K285" t="str">
        <x:v>B</x:v>
      </x:c>
      <x:c r="L285" t="str">
        <x:v>B</x:v>
      </x:c>
      <x:c r="M285" t="str">
        <x:v>B</x:v>
      </x:c>
      <x:c r="N285" t="str">
        <x:v>B</x:v>
      </x:c>
      <x:c r="O285" t="str">
        <x:v>B</x:v>
      </x:c>
      <x:c r="P285" t="str">
        <x:v>W</x:v>
      </x:c>
      <x:c r="Q285" t="str">
        <x:v>W</x:v>
      </x:c>
      <x:c r="R285" t="str">
        <x:v>B</x:v>
      </x:c>
      <x:c r="S285" t="str">
        <x:v>B</x:v>
      </x:c>
      <x:c r="T285" t="str">
        <x:v>B</x:v>
      </x:c>
      <x:c r="U285" t="str">
        <x:v>B</x:v>
      </x:c>
      <x:c r="V285" t="n">
        <x:f>COUNTIF(B285:U285,"W")</x:f>
        <x:v>6</x:v>
      </x:c>
      <x:c r="W285" s="5" t="str">
        <x:f>IF(COUNTIF(B285:D285,"W")&gt;0,"Y","N")</x:f>
        <x:v>Y</x:v>
      </x:c>
      <x:c r="X285" s="5" t="str">
        <x:f>IF(COUNTIF(B285:I285,"W")&gt;=4,"Y","N")</x:f>
        <x:v>N</x:v>
      </x:c>
      <x:c r="Y285" s="1"/>
      <x:c r="Z285" s="1"/>
      <x:c r="AA285" s="1"/>
      <x:c r="AB285" s="1"/>
      <x:c r="AC285" s="1"/>
      <x:c r="AD285" s="1"/>
      <x:c r="AE285" s="1"/>
    </x:row>
    <x:row r="286">
      <x:c r="A286" s="1">
        <x:v>285</x:v>
      </x:c>
      <x:c r="B286" t="str">
        <x:v>B</x:v>
      </x:c>
      <x:c r="C286" t="str">
        <x:v>B</x:v>
      </x:c>
      <x:c r="D286" t="str">
        <x:v>B</x:v>
      </x:c>
      <x:c r="E286" t="str">
        <x:v>W</x:v>
      </x:c>
      <x:c r="F286" t="str">
        <x:v>W</x:v>
      </x:c>
      <x:c r="G286" t="str">
        <x:v>B</x:v>
      </x:c>
      <x:c r="H286" t="str">
        <x:v>B</x:v>
      </x:c>
      <x:c r="I286" t="str">
        <x:v>B</x:v>
      </x:c>
      <x:c r="J286" t="str">
        <x:v>B</x:v>
      </x:c>
      <x:c r="K286" t="str">
        <x:v>W</x:v>
      </x:c>
      <x:c r="L286" t="str">
        <x:v>B</x:v>
      </x:c>
      <x:c r="M286" t="str">
        <x:v>B</x:v>
      </x:c>
      <x:c r="N286" t="str">
        <x:v>W</x:v>
      </x:c>
      <x:c r="O286" t="str">
        <x:v>B</x:v>
      </x:c>
      <x:c r="P286" t="str">
        <x:v>B</x:v>
      </x:c>
      <x:c r="Q286" t="str">
        <x:v>W</x:v>
      </x:c>
      <x:c r="R286" t="str">
        <x:v>B</x:v>
      </x:c>
      <x:c r="S286" t="str">
        <x:v>W</x:v>
      </x:c>
      <x:c r="T286" t="str">
        <x:v>B</x:v>
      </x:c>
      <x:c r="U286" t="str">
        <x:v>W</x:v>
      </x:c>
      <x:c r="V286" t="n">
        <x:f>COUNTIF(B286:U286,"W")</x:f>
        <x:v>7</x:v>
      </x:c>
      <x:c r="W286" s="5" t="str">
        <x:f>IF(COUNTIF(B286:D286,"W")&gt;0,"Y","N")</x:f>
        <x:v>N</x:v>
      </x:c>
      <x:c r="X286" s="5" t="str">
        <x:f>IF(COUNTIF(B286:I286,"W")&gt;=4,"Y","N")</x:f>
        <x:v>N</x:v>
      </x:c>
      <x:c r="Y286" s="1"/>
      <x:c r="Z286" s="1"/>
      <x:c r="AA286" s="1"/>
      <x:c r="AB286" s="1"/>
      <x:c r="AC286" s="1"/>
      <x:c r="AD286" s="1"/>
      <x:c r="AE286" s="1"/>
    </x:row>
    <x:row r="287">
      <x:c r="A287" s="1">
        <x:v>286</x:v>
      </x:c>
      <x:c r="B287" t="str">
        <x:v>W</x:v>
      </x:c>
      <x:c r="C287" t="str">
        <x:v>W</x:v>
      </x:c>
      <x:c r="D287" t="str">
        <x:v>W</x:v>
      </x:c>
      <x:c r="E287" t="str">
        <x:v>W</x:v>
      </x:c>
      <x:c r="F287" t="str">
        <x:v>B</x:v>
      </x:c>
      <x:c r="G287" t="str">
        <x:v>B</x:v>
      </x:c>
      <x:c r="H287" t="str">
        <x:v>B</x:v>
      </x:c>
      <x:c r="I287" t="str">
        <x:v>W</x:v>
      </x:c>
      <x:c r="J287" t="str">
        <x:v>B</x:v>
      </x:c>
      <x:c r="K287" t="str">
        <x:v>B</x:v>
      </x:c>
      <x:c r="L287" t="str">
        <x:v>B</x:v>
      </x:c>
      <x:c r="M287" t="str">
        <x:v>W</x:v>
      </x:c>
      <x:c r="N287" t="str">
        <x:v>B</x:v>
      </x:c>
      <x:c r="O287" t="str">
        <x:v>W</x:v>
      </x:c>
      <x:c r="P287" t="str">
        <x:v>W</x:v>
      </x:c>
      <x:c r="Q287" t="str">
        <x:v>B</x:v>
      </x:c>
      <x:c r="R287" t="str">
        <x:v>W</x:v>
      </x:c>
      <x:c r="S287" t="str">
        <x:v>B</x:v>
      </x:c>
      <x:c r="T287" t="str">
        <x:v>B</x:v>
      </x:c>
      <x:c r="U287" t="str">
        <x:v>W</x:v>
      </x:c>
      <x:c r="V287" t="n">
        <x:f>COUNTIF(B287:U287,"W")</x:f>
        <x:v>10</x:v>
      </x:c>
      <x:c r="W287" s="5" t="str">
        <x:f>IF(COUNTIF(B287:D287,"W")&gt;0,"Y","N")</x:f>
        <x:v>Y</x:v>
      </x:c>
      <x:c r="X287" s="5" t="str">
        <x:f>IF(COUNTIF(B287:I287,"W")&gt;=4,"Y","N")</x:f>
        <x:v>Y</x:v>
      </x:c>
      <x:c r="Y287" s="1"/>
      <x:c r="Z287" s="1"/>
      <x:c r="AA287" s="1"/>
      <x:c r="AB287" s="1"/>
      <x:c r="AC287" s="1"/>
      <x:c r="AD287" s="1"/>
      <x:c r="AE287" s="1"/>
    </x:row>
    <x:row r="288">
      <x:c r="A288" s="1">
        <x:v>287</x:v>
      </x:c>
      <x:c r="B288" t="str">
        <x:v>W</x:v>
      </x:c>
      <x:c r="C288" t="str">
        <x:v>B</x:v>
      </x:c>
      <x:c r="D288" t="str">
        <x:v>W</x:v>
      </x:c>
      <x:c r="E288" t="str">
        <x:v>W</x:v>
      </x:c>
      <x:c r="F288" t="str">
        <x:v>W</x:v>
      </x:c>
      <x:c r="G288" t="str">
        <x:v>B</x:v>
      </x:c>
      <x:c r="H288" t="str">
        <x:v>W</x:v>
      </x:c>
      <x:c r="I288" t="str">
        <x:v>W</x:v>
      </x:c>
      <x:c r="J288" t="str">
        <x:v>B</x:v>
      </x:c>
      <x:c r="K288" t="str">
        <x:v>W</x:v>
      </x:c>
      <x:c r="L288" t="str">
        <x:v>B</x:v>
      </x:c>
      <x:c r="M288" t="str">
        <x:v>B</x:v>
      </x:c>
      <x:c r="N288" t="str">
        <x:v>B</x:v>
      </x:c>
      <x:c r="O288" t="str">
        <x:v>B</x:v>
      </x:c>
      <x:c r="P288" t="str">
        <x:v>W</x:v>
      </x:c>
      <x:c r="Q288" t="str">
        <x:v>B</x:v>
      </x:c>
      <x:c r="R288" t="str">
        <x:v>W</x:v>
      </x:c>
      <x:c r="S288" t="str">
        <x:v>W</x:v>
      </x:c>
      <x:c r="T288" t="str">
        <x:v>W</x:v>
      </x:c>
      <x:c r="U288" t="str">
        <x:v>B</x:v>
      </x:c>
      <x:c r="V288" t="n">
        <x:f>COUNTIF(B288:U288,"W")</x:f>
        <x:v>11</x:v>
      </x:c>
      <x:c r="W288" s="5" t="str">
        <x:f>IF(COUNTIF(B288:D288,"W")&gt;0,"Y","N")</x:f>
        <x:v>Y</x:v>
      </x:c>
      <x:c r="X288" s="5" t="str">
        <x:f>IF(COUNTIF(B288:I288,"W")&gt;=4,"Y","N")</x:f>
        <x:v>Y</x:v>
      </x:c>
      <x:c r="Y288" s="1"/>
      <x:c r="Z288" s="1"/>
      <x:c r="AA288" s="1"/>
      <x:c r="AB288" s="1"/>
      <x:c r="AC288" s="1"/>
      <x:c r="AD288" s="1"/>
      <x:c r="AE288" s="1"/>
    </x:row>
    <x:row r="289">
      <x:c r="A289" s="1">
        <x:v>288</x:v>
      </x:c>
      <x:c r="B289" t="str">
        <x:v>W</x:v>
      </x:c>
      <x:c r="C289" t="str">
        <x:v>B</x:v>
      </x:c>
      <x:c r="D289" t="str">
        <x:v>W</x:v>
      </x:c>
      <x:c r="E289" t="str">
        <x:v>B</x:v>
      </x:c>
      <x:c r="F289" t="str">
        <x:v>B</x:v>
      </x:c>
      <x:c r="G289" t="str">
        <x:v>B</x:v>
      </x:c>
      <x:c r="H289" t="str">
        <x:v>B</x:v>
      </x:c>
      <x:c r="I289" t="str">
        <x:v>B</x:v>
      </x:c>
      <x:c r="J289" t="str">
        <x:v>B</x:v>
      </x:c>
      <x:c r="K289" t="str">
        <x:v>B</x:v>
      </x:c>
      <x:c r="L289" t="str">
        <x:v>B</x:v>
      </x:c>
      <x:c r="M289" t="str">
        <x:v>W</x:v>
      </x:c>
      <x:c r="N289" t="str">
        <x:v>B</x:v>
      </x:c>
      <x:c r="O289" t="str">
        <x:v>W</x:v>
      </x:c>
      <x:c r="P289" t="str">
        <x:v>B</x:v>
      </x:c>
      <x:c r="Q289" t="str">
        <x:v>B</x:v>
      </x:c>
      <x:c r="R289" t="str">
        <x:v>W</x:v>
      </x:c>
      <x:c r="S289" t="str">
        <x:v>B</x:v>
      </x:c>
      <x:c r="T289" t="str">
        <x:v>B</x:v>
      </x:c>
      <x:c r="U289" t="str">
        <x:v>B</x:v>
      </x:c>
      <x:c r="V289" t="n">
        <x:f>COUNTIF(B289:U289,"W")</x:f>
        <x:v>5</x:v>
      </x:c>
      <x:c r="W289" s="5" t="str">
        <x:f>IF(COUNTIF(B289:D289,"W")&gt;0,"Y","N")</x:f>
        <x:v>Y</x:v>
      </x:c>
      <x:c r="X289" s="5" t="str">
        <x:f>IF(COUNTIF(B289:I289,"W")&gt;=4,"Y","N")</x:f>
        <x:v>N</x:v>
      </x:c>
      <x:c r="Y289" s="1"/>
      <x:c r="Z289" s="1"/>
      <x:c r="AA289" s="1"/>
      <x:c r="AB289" s="1"/>
      <x:c r="AC289" s="1"/>
      <x:c r="AD289" s="1"/>
      <x:c r="AE289" s="1"/>
    </x:row>
    <x:row r="290">
      <x:c r="A290" s="1">
        <x:v>289</x:v>
      </x:c>
      <x:c r="B290" t="str">
        <x:v>B</x:v>
      </x:c>
      <x:c r="C290" t="str">
        <x:v>W</x:v>
      </x:c>
      <x:c r="D290" t="str">
        <x:v>B</x:v>
      </x:c>
      <x:c r="E290" t="str">
        <x:v>W</x:v>
      </x:c>
      <x:c r="F290" t="str">
        <x:v>W</x:v>
      </x:c>
      <x:c r="G290" t="str">
        <x:v>W</x:v>
      </x:c>
      <x:c r="H290" t="str">
        <x:v>B</x:v>
      </x:c>
      <x:c r="I290" t="str">
        <x:v>B</x:v>
      </x:c>
      <x:c r="J290" t="str">
        <x:v>B</x:v>
      </x:c>
      <x:c r="K290" t="str">
        <x:v>W</x:v>
      </x:c>
      <x:c r="L290" t="str">
        <x:v>W</x:v>
      </x:c>
      <x:c r="M290" t="str">
        <x:v>W</x:v>
      </x:c>
      <x:c r="N290" t="str">
        <x:v>W</x:v>
      </x:c>
      <x:c r="O290" t="str">
        <x:v>W</x:v>
      </x:c>
      <x:c r="P290" t="str">
        <x:v>W</x:v>
      </x:c>
      <x:c r="Q290" t="str">
        <x:v>B</x:v>
      </x:c>
      <x:c r="R290" t="str">
        <x:v>B</x:v>
      </x:c>
      <x:c r="S290" t="str">
        <x:v>W</x:v>
      </x:c>
      <x:c r="T290" t="str">
        <x:v>W</x:v>
      </x:c>
      <x:c r="U290" t="str">
        <x:v>B</x:v>
      </x:c>
      <x:c r="V290" t="n">
        <x:f>COUNTIF(B290:U290,"W")</x:f>
        <x:v>12</x:v>
      </x:c>
      <x:c r="W290" s="5" t="str">
        <x:f>IF(COUNTIF(B290:D290,"W")&gt;0,"Y","N")</x:f>
        <x:v>Y</x:v>
      </x:c>
      <x:c r="X290" s="5" t="str">
        <x:f>IF(COUNTIF(B290:I290,"W")&gt;=4,"Y","N")</x:f>
        <x:v>Y</x:v>
      </x:c>
      <x:c r="Y290" s="1"/>
      <x:c r="Z290" s="1"/>
      <x:c r="AA290" s="1"/>
      <x:c r="AB290" s="1"/>
      <x:c r="AC290" s="1"/>
      <x:c r="AD290" s="1"/>
      <x:c r="AE290" s="1"/>
    </x:row>
    <x:row r="291">
      <x:c r="A291" s="1">
        <x:v>290</x:v>
      </x:c>
      <x:c r="B291" t="str">
        <x:v>W</x:v>
      </x:c>
      <x:c r="C291" t="str">
        <x:v>B</x:v>
      </x:c>
      <x:c r="D291" t="str">
        <x:v>B</x:v>
      </x:c>
      <x:c r="E291" t="str">
        <x:v>B</x:v>
      </x:c>
      <x:c r="F291" t="str">
        <x:v>W</x:v>
      </x:c>
      <x:c r="G291" t="str">
        <x:v>B</x:v>
      </x:c>
      <x:c r="H291" t="str">
        <x:v>B</x:v>
      </x:c>
      <x:c r="I291" t="str">
        <x:v>B</x:v>
      </x:c>
      <x:c r="J291" t="str">
        <x:v>B</x:v>
      </x:c>
      <x:c r="K291" t="str">
        <x:v>B</x:v>
      </x:c>
      <x:c r="L291" t="str">
        <x:v>B</x:v>
      </x:c>
      <x:c r="M291" t="str">
        <x:v>W</x:v>
      </x:c>
      <x:c r="N291" t="str">
        <x:v>B</x:v>
      </x:c>
      <x:c r="O291" t="str">
        <x:v>B</x:v>
      </x:c>
      <x:c r="P291" t="str">
        <x:v>W</x:v>
      </x:c>
      <x:c r="Q291" t="str">
        <x:v>B</x:v>
      </x:c>
      <x:c r="R291" t="str">
        <x:v>B</x:v>
      </x:c>
      <x:c r="S291" t="str">
        <x:v>W</x:v>
      </x:c>
      <x:c r="T291" t="str">
        <x:v>B</x:v>
      </x:c>
      <x:c r="U291" t="str">
        <x:v>B</x:v>
      </x:c>
      <x:c r="V291" t="n">
        <x:f>COUNTIF(B291:U291,"W")</x:f>
        <x:v>5</x:v>
      </x:c>
      <x:c r="W291" s="5" t="str">
        <x:f>IF(COUNTIF(B291:D291,"W")&gt;0,"Y","N")</x:f>
        <x:v>Y</x:v>
      </x:c>
      <x:c r="X291" s="5" t="str">
        <x:f>IF(COUNTIF(B291:I291,"W")&gt;=4,"Y","N")</x:f>
        <x:v>N</x:v>
      </x:c>
      <x:c r="Y291" s="1"/>
      <x:c r="Z291" s="1"/>
      <x:c r="AA291" s="1"/>
      <x:c r="AB291" s="1"/>
      <x:c r="AC291" s="1"/>
      <x:c r="AD291" s="1"/>
      <x:c r="AE291" s="1"/>
    </x:row>
    <x:row r="292">
      <x:c r="A292" s="1">
        <x:v>291</x:v>
      </x:c>
      <x:c r="B292" t="str">
        <x:v>B</x:v>
      </x:c>
      <x:c r="C292" t="str">
        <x:v>B</x:v>
      </x:c>
      <x:c r="D292" t="str">
        <x:v>B</x:v>
      </x:c>
      <x:c r="E292" t="str">
        <x:v>B</x:v>
      </x:c>
      <x:c r="F292" t="str">
        <x:v>B</x:v>
      </x:c>
      <x:c r="G292" t="str">
        <x:v>W</x:v>
      </x:c>
      <x:c r="H292" t="str">
        <x:v>B</x:v>
      </x:c>
      <x:c r="I292" t="str">
        <x:v>B</x:v>
      </x:c>
      <x:c r="J292" t="str">
        <x:v>B</x:v>
      </x:c>
      <x:c r="K292" t="str">
        <x:v>W</x:v>
      </x:c>
      <x:c r="L292" t="str">
        <x:v>B</x:v>
      </x:c>
      <x:c r="M292" t="str">
        <x:v>W</x:v>
      </x:c>
      <x:c r="N292" t="str">
        <x:v>W</x:v>
      </x:c>
      <x:c r="O292" t="str">
        <x:v>W</x:v>
      </x:c>
      <x:c r="P292" t="str">
        <x:v>B</x:v>
      </x:c>
      <x:c r="Q292" t="str">
        <x:v>B</x:v>
      </x:c>
      <x:c r="R292" t="str">
        <x:v>B</x:v>
      </x:c>
      <x:c r="S292" t="str">
        <x:v>B</x:v>
      </x:c>
      <x:c r="T292" t="str">
        <x:v>B</x:v>
      </x:c>
      <x:c r="U292" t="str">
        <x:v>B</x:v>
      </x:c>
      <x:c r="V292" t="n">
        <x:f>COUNTIF(B292:U292,"W")</x:f>
        <x:v>5</x:v>
      </x:c>
      <x:c r="W292" s="5" t="str">
        <x:f>IF(COUNTIF(B292:D292,"W")&gt;0,"Y","N")</x:f>
        <x:v>N</x:v>
      </x:c>
      <x:c r="X292" s="5" t="str">
        <x:f>IF(COUNTIF(B292:I292,"W")&gt;=4,"Y","N")</x:f>
        <x:v>N</x:v>
      </x:c>
      <x:c r="Y292" s="1"/>
      <x:c r="Z292" s="1"/>
      <x:c r="AA292" s="1"/>
      <x:c r="AB292" s="1"/>
      <x:c r="AC292" s="1"/>
      <x:c r="AD292" s="1"/>
      <x:c r="AE292" s="1"/>
    </x:row>
    <x:row r="293">
      <x:c r="A293" s="1">
        <x:v>292</x:v>
      </x:c>
      <x:c r="B293" t="str">
        <x:v>W</x:v>
      </x:c>
      <x:c r="C293" t="str">
        <x:v>W</x:v>
      </x:c>
      <x:c r="D293" t="str">
        <x:v>W</x:v>
      </x:c>
      <x:c r="E293" t="str">
        <x:v>B</x:v>
      </x:c>
      <x:c r="F293" t="str">
        <x:v>B</x:v>
      </x:c>
      <x:c r="G293" t="str">
        <x:v>W</x:v>
      </x:c>
      <x:c r="H293" t="str">
        <x:v>B</x:v>
      </x:c>
      <x:c r="I293" t="str">
        <x:v>W</x:v>
      </x:c>
      <x:c r="J293" t="str">
        <x:v>W</x:v>
      </x:c>
      <x:c r="K293" t="str">
        <x:v>B</x:v>
      </x:c>
      <x:c r="L293" t="str">
        <x:v>B</x:v>
      </x:c>
      <x:c r="M293" t="str">
        <x:v>B</x:v>
      </x:c>
      <x:c r="N293" t="str">
        <x:v>B</x:v>
      </x:c>
      <x:c r="O293" t="str">
        <x:v>B</x:v>
      </x:c>
      <x:c r="P293" t="str">
        <x:v>B</x:v>
      </x:c>
      <x:c r="Q293" t="str">
        <x:v>B</x:v>
      </x:c>
      <x:c r="R293" t="str">
        <x:v>W</x:v>
      </x:c>
      <x:c r="S293" t="str">
        <x:v>W</x:v>
      </x:c>
      <x:c r="T293" t="str">
        <x:v>B</x:v>
      </x:c>
      <x:c r="U293" t="str">
        <x:v>B</x:v>
      </x:c>
      <x:c r="V293" t="n">
        <x:f>COUNTIF(B293:U293,"W")</x:f>
        <x:v>8</x:v>
      </x:c>
      <x:c r="W293" s="5" t="str">
        <x:f>IF(COUNTIF(B293:D293,"W")&gt;0,"Y","N")</x:f>
        <x:v>Y</x:v>
      </x:c>
      <x:c r="X293" s="5" t="str">
        <x:f>IF(COUNTIF(B293:I293,"W")&gt;=4,"Y","N")</x:f>
        <x:v>Y</x:v>
      </x:c>
      <x:c r="Y293" s="1"/>
      <x:c r="Z293" s="1"/>
      <x:c r="AA293" s="1"/>
      <x:c r="AB293" s="1"/>
      <x:c r="AC293" s="1"/>
      <x:c r="AD293" s="1"/>
      <x:c r="AE293" s="1"/>
    </x:row>
    <x:row r="294">
      <x:c r="A294" s="1">
        <x:v>293</x:v>
      </x:c>
      <x:c r="B294" t="str">
        <x:v>B</x:v>
      </x:c>
      <x:c r="C294" t="str">
        <x:v>B</x:v>
      </x:c>
      <x:c r="D294" t="str">
        <x:v>W</x:v>
      </x:c>
      <x:c r="E294" t="str">
        <x:v>W</x:v>
      </x:c>
      <x:c r="F294" t="str">
        <x:v>W</x:v>
      </x:c>
      <x:c r="G294" t="str">
        <x:v>B</x:v>
      </x:c>
      <x:c r="H294" t="str">
        <x:v>W</x:v>
      </x:c>
      <x:c r="I294" t="str">
        <x:v>B</x:v>
      </x:c>
      <x:c r="J294" t="str">
        <x:v>B</x:v>
      </x:c>
      <x:c r="K294" t="str">
        <x:v>B</x:v>
      </x:c>
      <x:c r="L294" t="str">
        <x:v>W</x:v>
      </x:c>
      <x:c r="M294" t="str">
        <x:v>B</x:v>
      </x:c>
      <x:c r="N294" t="str">
        <x:v>B</x:v>
      </x:c>
      <x:c r="O294" t="str">
        <x:v>B</x:v>
      </x:c>
      <x:c r="P294" t="str">
        <x:v>B</x:v>
      </x:c>
      <x:c r="Q294" t="str">
        <x:v>W</x:v>
      </x:c>
      <x:c r="R294" t="str">
        <x:v>W</x:v>
      </x:c>
      <x:c r="S294" t="str">
        <x:v>B</x:v>
      </x:c>
      <x:c r="T294" t="str">
        <x:v>W</x:v>
      </x:c>
      <x:c r="U294" t="str">
        <x:v>B</x:v>
      </x:c>
      <x:c r="V294" t="n">
        <x:f>COUNTIF(B294:U294,"W")</x:f>
        <x:v>8</x:v>
      </x:c>
      <x:c r="W294" s="5" t="str">
        <x:f>IF(COUNTIF(B294:D294,"W")&gt;0,"Y","N")</x:f>
        <x:v>Y</x:v>
      </x:c>
      <x:c r="X294" s="5" t="str">
        <x:f>IF(COUNTIF(B294:I294,"W")&gt;=4,"Y","N")</x:f>
        <x:v>Y</x:v>
      </x:c>
      <x:c r="Y294" s="1"/>
      <x:c r="Z294" s="1"/>
      <x:c r="AA294" s="1"/>
      <x:c r="AB294" s="1"/>
      <x:c r="AC294" s="1"/>
      <x:c r="AD294" s="1"/>
      <x:c r="AE294" s="1"/>
    </x:row>
    <x:row r="295">
      <x:c r="A295" s="1">
        <x:v>294</x:v>
      </x:c>
      <x:c r="B295" t="str">
        <x:v>B</x:v>
      </x:c>
      <x:c r="C295" t="str">
        <x:v>B</x:v>
      </x:c>
      <x:c r="D295" t="str">
        <x:v>W</x:v>
      </x:c>
      <x:c r="E295" t="str">
        <x:v>B</x:v>
      </x:c>
      <x:c r="F295" t="str">
        <x:v>W</x:v>
      </x:c>
      <x:c r="G295" t="str">
        <x:v>B</x:v>
      </x:c>
      <x:c r="H295" t="str">
        <x:v>W</x:v>
      </x:c>
      <x:c r="I295" t="str">
        <x:v>W</x:v>
      </x:c>
      <x:c r="J295" t="str">
        <x:v>W</x:v>
      </x:c>
      <x:c r="K295" t="str">
        <x:v>W</x:v>
      </x:c>
      <x:c r="L295" t="str">
        <x:v>W</x:v>
      </x:c>
      <x:c r="M295" t="str">
        <x:v>B</x:v>
      </x:c>
      <x:c r="N295" t="str">
        <x:v>W</x:v>
      </x:c>
      <x:c r="O295" t="str">
        <x:v>B</x:v>
      </x:c>
      <x:c r="P295" t="str">
        <x:v>W</x:v>
      </x:c>
      <x:c r="Q295" t="str">
        <x:v>W</x:v>
      </x:c>
      <x:c r="R295" t="str">
        <x:v>W</x:v>
      </x:c>
      <x:c r="S295" t="str">
        <x:v>W</x:v>
      </x:c>
      <x:c r="T295" t="str">
        <x:v>W</x:v>
      </x:c>
      <x:c r="U295" t="str">
        <x:v>W</x:v>
      </x:c>
      <x:c r="V295" t="n">
        <x:f>COUNTIF(B295:U295,"W")</x:f>
        <x:v>14</x:v>
      </x:c>
      <x:c r="W295" s="5" t="str">
        <x:f>IF(COUNTIF(B295:D295,"W")&gt;0,"Y","N")</x:f>
        <x:v>Y</x:v>
      </x:c>
      <x:c r="X295" s="5" t="str">
        <x:f>IF(COUNTIF(B295:I295,"W")&gt;=4,"Y","N")</x:f>
        <x:v>Y</x:v>
      </x:c>
      <x:c r="Y295" s="1"/>
      <x:c r="Z295" s="1"/>
      <x:c r="AA295" s="1"/>
      <x:c r="AB295" s="1"/>
      <x:c r="AC295" s="1"/>
      <x:c r="AD295" s="1"/>
      <x:c r="AE295" s="1"/>
    </x:row>
    <x:row r="296">
      <x:c r="A296" s="1">
        <x:v>295</x:v>
      </x:c>
      <x:c r="B296" t="str">
        <x:v>B</x:v>
      </x:c>
      <x:c r="C296" t="str">
        <x:v>W</x:v>
      </x:c>
      <x:c r="D296" t="str">
        <x:v>B</x:v>
      </x:c>
      <x:c r="E296" t="str">
        <x:v>W</x:v>
      </x:c>
      <x:c r="F296" t="str">
        <x:v>W</x:v>
      </x:c>
      <x:c r="G296" t="str">
        <x:v>W</x:v>
      </x:c>
      <x:c r="H296" t="str">
        <x:v>B</x:v>
      </x:c>
      <x:c r="I296" t="str">
        <x:v>W</x:v>
      </x:c>
      <x:c r="J296" t="str">
        <x:v>W</x:v>
      </x:c>
      <x:c r="K296" t="str">
        <x:v>B</x:v>
      </x:c>
      <x:c r="L296" t="str">
        <x:v>W</x:v>
      </x:c>
      <x:c r="M296" t="str">
        <x:v>B</x:v>
      </x:c>
      <x:c r="N296" t="str">
        <x:v>B</x:v>
      </x:c>
      <x:c r="O296" t="str">
        <x:v>W</x:v>
      </x:c>
      <x:c r="P296" t="str">
        <x:v>B</x:v>
      </x:c>
      <x:c r="Q296" t="str">
        <x:v>B</x:v>
      </x:c>
      <x:c r="R296" t="str">
        <x:v>B</x:v>
      </x:c>
      <x:c r="S296" t="str">
        <x:v>B</x:v>
      </x:c>
      <x:c r="T296" t="str">
        <x:v>W</x:v>
      </x:c>
      <x:c r="U296" t="str">
        <x:v>B</x:v>
      </x:c>
      <x:c r="V296" t="n">
        <x:f>COUNTIF(B296:U296,"W")</x:f>
        <x:v>9</x:v>
      </x:c>
      <x:c r="W296" s="5" t="str">
        <x:f>IF(COUNTIF(B296:D296,"W")&gt;0,"Y","N")</x:f>
        <x:v>Y</x:v>
      </x:c>
      <x:c r="X296" s="5" t="str">
        <x:f>IF(COUNTIF(B296:I296,"W")&gt;=4,"Y","N")</x:f>
        <x:v>Y</x:v>
      </x:c>
      <x:c r="Y296" s="1"/>
      <x:c r="Z296" s="1"/>
      <x:c r="AA296" s="1"/>
      <x:c r="AB296" s="1"/>
      <x:c r="AC296" s="1"/>
      <x:c r="AD296" s="1"/>
      <x:c r="AE296" s="1"/>
    </x:row>
    <x:row r="297">
      <x:c r="A297" s="1">
        <x:v>296</x:v>
      </x:c>
      <x:c r="B297" t="str">
        <x:v>B</x:v>
      </x:c>
      <x:c r="C297" t="str">
        <x:v>B</x:v>
      </x:c>
      <x:c r="D297" t="str">
        <x:v>B</x:v>
      </x:c>
      <x:c r="E297" t="str">
        <x:v>B</x:v>
      </x:c>
      <x:c r="F297" t="str">
        <x:v>W</x:v>
      </x:c>
      <x:c r="G297" t="str">
        <x:v>W</x:v>
      </x:c>
      <x:c r="H297" t="str">
        <x:v>W</x:v>
      </x:c>
      <x:c r="I297" t="str">
        <x:v>B</x:v>
      </x:c>
      <x:c r="J297" t="str">
        <x:v>W</x:v>
      </x:c>
      <x:c r="K297" t="str">
        <x:v>B</x:v>
      </x:c>
      <x:c r="L297" t="str">
        <x:v>B</x:v>
      </x:c>
      <x:c r="M297" t="str">
        <x:v>B</x:v>
      </x:c>
      <x:c r="N297" t="str">
        <x:v>W</x:v>
      </x:c>
      <x:c r="O297" t="str">
        <x:v>W</x:v>
      </x:c>
      <x:c r="P297" t="str">
        <x:v>B</x:v>
      </x:c>
      <x:c r="Q297" t="str">
        <x:v>B</x:v>
      </x:c>
      <x:c r="R297" t="str">
        <x:v>W</x:v>
      </x:c>
      <x:c r="S297" t="str">
        <x:v>W</x:v>
      </x:c>
      <x:c r="T297" t="str">
        <x:v>W</x:v>
      </x:c>
      <x:c r="U297" t="str">
        <x:v>B</x:v>
      </x:c>
      <x:c r="V297" t="n">
        <x:f>COUNTIF(B297:U297,"W")</x:f>
        <x:v>9</x:v>
      </x:c>
      <x:c r="W297" s="5" t="str">
        <x:f>IF(COUNTIF(B297:D297,"W")&gt;0,"Y","N")</x:f>
        <x:v>N</x:v>
      </x:c>
      <x:c r="X297" s="5" t="str">
        <x:f>IF(COUNTIF(B297:I297,"W")&gt;=4,"Y","N")</x:f>
        <x:v>N</x:v>
      </x:c>
      <x:c r="Y297" s="1"/>
      <x:c r="Z297" s="1"/>
      <x:c r="AA297" s="1"/>
      <x:c r="AB297" s="1"/>
      <x:c r="AC297" s="1"/>
      <x:c r="AD297" s="1"/>
      <x:c r="AE297" s="1"/>
    </x:row>
    <x:row r="298">
      <x:c r="A298" s="1">
        <x:v>297</x:v>
      </x:c>
      <x:c r="B298" t="str">
        <x:v>B</x:v>
      </x:c>
      <x:c r="C298" t="str">
        <x:v>W</x:v>
      </x:c>
      <x:c r="D298" t="str">
        <x:v>B</x:v>
      </x:c>
      <x:c r="E298" t="str">
        <x:v>B</x:v>
      </x:c>
      <x:c r="F298" t="str">
        <x:v>B</x:v>
      </x:c>
      <x:c r="G298" t="str">
        <x:v>B</x:v>
      </x:c>
      <x:c r="H298" t="str">
        <x:v>B</x:v>
      </x:c>
      <x:c r="I298" t="str">
        <x:v>W</x:v>
      </x:c>
      <x:c r="J298" t="str">
        <x:v>B</x:v>
      </x:c>
      <x:c r="K298" t="str">
        <x:v>W</x:v>
      </x:c>
      <x:c r="L298" t="str">
        <x:v>B</x:v>
      </x:c>
      <x:c r="M298" t="str">
        <x:v>W</x:v>
      </x:c>
      <x:c r="N298" t="str">
        <x:v>B</x:v>
      </x:c>
      <x:c r="O298" t="str">
        <x:v>B</x:v>
      </x:c>
      <x:c r="P298" t="str">
        <x:v>B</x:v>
      </x:c>
      <x:c r="Q298" t="str">
        <x:v>B</x:v>
      </x:c>
      <x:c r="R298" t="str">
        <x:v>B</x:v>
      </x:c>
      <x:c r="S298" t="str">
        <x:v>W</x:v>
      </x:c>
      <x:c r="T298" t="str">
        <x:v>W</x:v>
      </x:c>
      <x:c r="U298" t="str">
        <x:v>B</x:v>
      </x:c>
      <x:c r="V298" t="n">
        <x:f>COUNTIF(B298:U298,"W")</x:f>
        <x:v>6</x:v>
      </x:c>
      <x:c r="W298" s="5" t="str">
        <x:f>IF(COUNTIF(B298:D298,"W")&gt;0,"Y","N")</x:f>
        <x:v>Y</x:v>
      </x:c>
      <x:c r="X298" s="5" t="str">
        <x:f>IF(COUNTIF(B298:I298,"W")&gt;=4,"Y","N")</x:f>
        <x:v>N</x:v>
      </x:c>
      <x:c r="Y298" s="1"/>
      <x:c r="Z298" s="1"/>
      <x:c r="AA298" s="1"/>
      <x:c r="AB298" s="1"/>
      <x:c r="AC298" s="1"/>
      <x:c r="AD298" s="1"/>
      <x:c r="AE298" s="1"/>
    </x:row>
    <x:row r="299">
      <x:c r="A299" s="1">
        <x:v>298</x:v>
      </x:c>
      <x:c r="B299" t="str">
        <x:v>B</x:v>
      </x:c>
      <x:c r="C299" t="str">
        <x:v>W</x:v>
      </x:c>
      <x:c r="D299" t="str">
        <x:v>W</x:v>
      </x:c>
      <x:c r="E299" t="str">
        <x:v>B</x:v>
      </x:c>
      <x:c r="F299" t="str">
        <x:v>B</x:v>
      </x:c>
      <x:c r="G299" t="str">
        <x:v>W</x:v>
      </x:c>
      <x:c r="H299" t="str">
        <x:v>B</x:v>
      </x:c>
      <x:c r="I299" t="str">
        <x:v>W</x:v>
      </x:c>
      <x:c r="J299" t="str">
        <x:v>W</x:v>
      </x:c>
      <x:c r="K299" t="str">
        <x:v>B</x:v>
      </x:c>
      <x:c r="L299" t="str">
        <x:v>W</x:v>
      </x:c>
      <x:c r="M299" t="str">
        <x:v>B</x:v>
      </x:c>
      <x:c r="N299" t="str">
        <x:v>B</x:v>
      </x:c>
      <x:c r="O299" t="str">
        <x:v>B</x:v>
      </x:c>
      <x:c r="P299" t="str">
        <x:v>B</x:v>
      </x:c>
      <x:c r="Q299" t="str">
        <x:v>W</x:v>
      </x:c>
      <x:c r="R299" t="str">
        <x:v>B</x:v>
      </x:c>
      <x:c r="S299" t="str">
        <x:v>W</x:v>
      </x:c>
      <x:c r="T299" t="str">
        <x:v>B</x:v>
      </x:c>
      <x:c r="U299" t="str">
        <x:v>B</x:v>
      </x:c>
      <x:c r="V299" t="n">
        <x:f>COUNTIF(B299:U299,"W")</x:f>
        <x:v>8</x:v>
      </x:c>
      <x:c r="W299" s="5" t="str">
        <x:f>IF(COUNTIF(B299:D299,"W")&gt;0,"Y","N")</x:f>
        <x:v>Y</x:v>
      </x:c>
      <x:c r="X299" s="5" t="str">
        <x:f>IF(COUNTIF(B299:I299,"W")&gt;=4,"Y","N")</x:f>
        <x:v>Y</x:v>
      </x:c>
      <x:c r="Y299" s="1"/>
      <x:c r="Z299" s="1"/>
      <x:c r="AA299" s="1"/>
      <x:c r="AB299" s="1"/>
      <x:c r="AC299" s="1"/>
      <x:c r="AD299" s="1"/>
      <x:c r="AE299" s="1"/>
    </x:row>
    <x:row r="300">
      <x:c r="A300" s="1">
        <x:v>299</x:v>
      </x:c>
      <x:c r="B300" t="str">
        <x:v>B</x:v>
      </x:c>
      <x:c r="C300" t="str">
        <x:v>W</x:v>
      </x:c>
      <x:c r="D300" t="str">
        <x:v>W</x:v>
      </x:c>
      <x:c r="E300" t="str">
        <x:v>B</x:v>
      </x:c>
      <x:c r="F300" t="str">
        <x:v>B</x:v>
      </x:c>
      <x:c r="G300" t="str">
        <x:v>B</x:v>
      </x:c>
      <x:c r="H300" t="str">
        <x:v>B</x:v>
      </x:c>
      <x:c r="I300" t="str">
        <x:v>B</x:v>
      </x:c>
      <x:c r="J300" t="str">
        <x:v>B</x:v>
      </x:c>
      <x:c r="K300" t="str">
        <x:v>W</x:v>
      </x:c>
      <x:c r="L300" t="str">
        <x:v>B</x:v>
      </x:c>
      <x:c r="M300" t="str">
        <x:v>B</x:v>
      </x:c>
      <x:c r="N300" t="str">
        <x:v>B</x:v>
      </x:c>
      <x:c r="O300" t="str">
        <x:v>B</x:v>
      </x:c>
      <x:c r="P300" t="str">
        <x:v>W</x:v>
      </x:c>
      <x:c r="Q300" t="str">
        <x:v>B</x:v>
      </x:c>
      <x:c r="R300" t="str">
        <x:v>B</x:v>
      </x:c>
      <x:c r="S300" t="str">
        <x:v>W</x:v>
      </x:c>
      <x:c r="T300" t="str">
        <x:v>B</x:v>
      </x:c>
      <x:c r="U300" t="str">
        <x:v>B</x:v>
      </x:c>
      <x:c r="V300" t="n">
        <x:f>COUNTIF(B300:U300,"W")</x:f>
        <x:v>5</x:v>
      </x:c>
      <x:c r="W300" s="5" t="str">
        <x:f>IF(COUNTIF(B300:D300,"W")&gt;0,"Y","N")</x:f>
        <x:v>Y</x:v>
      </x:c>
      <x:c r="X300" s="5" t="str">
        <x:f>IF(COUNTIF(B300:I300,"W")&gt;=4,"Y","N")</x:f>
        <x:v>N</x:v>
      </x:c>
      <x:c r="Y300" s="1"/>
      <x:c r="Z300" s="1"/>
      <x:c r="AA300" s="1"/>
      <x:c r="AB300" s="1"/>
      <x:c r="AC300" s="1"/>
      <x:c r="AD300" s="1"/>
      <x:c r="AE300" s="1"/>
    </x:row>
    <x:row r="301">
      <x:c r="A301" s="1">
        <x:v>300</x:v>
      </x:c>
      <x:c r="B301" t="str">
        <x:v>W</x:v>
      </x:c>
      <x:c r="C301" t="str">
        <x:v>B</x:v>
      </x:c>
      <x:c r="D301" t="str">
        <x:v>B</x:v>
      </x:c>
      <x:c r="E301" t="str">
        <x:v>B</x:v>
      </x:c>
      <x:c r="F301" t="str">
        <x:v>W</x:v>
      </x:c>
      <x:c r="G301" t="str">
        <x:v>B</x:v>
      </x:c>
      <x:c r="H301" t="str">
        <x:v>B</x:v>
      </x:c>
      <x:c r="I301" t="str">
        <x:v>B</x:v>
      </x:c>
      <x:c r="J301" t="str">
        <x:v>B</x:v>
      </x:c>
      <x:c r="K301" t="str">
        <x:v>B</x:v>
      </x:c>
      <x:c r="L301" t="str">
        <x:v>B</x:v>
      </x:c>
      <x:c r="M301" t="str">
        <x:v>B</x:v>
      </x:c>
      <x:c r="N301" t="str">
        <x:v>B</x:v>
      </x:c>
      <x:c r="O301" t="str">
        <x:v>B</x:v>
      </x:c>
      <x:c r="P301" t="str">
        <x:v>B</x:v>
      </x:c>
      <x:c r="Q301" t="str">
        <x:v>B</x:v>
      </x:c>
      <x:c r="R301" t="str">
        <x:v>B</x:v>
      </x:c>
      <x:c r="S301" t="str">
        <x:v>B</x:v>
      </x:c>
      <x:c r="T301" t="str">
        <x:v>W</x:v>
      </x:c>
      <x:c r="U301" t="str">
        <x:v>B</x:v>
      </x:c>
      <x:c r="V301" t="n">
        <x:f>COUNTIF(B301:U301,"W")</x:f>
        <x:v>3</x:v>
      </x:c>
      <x:c r="W301" s="5" t="str">
        <x:f>IF(COUNTIF(B301:D301,"W")&gt;0,"Y","N")</x:f>
        <x:v>Y</x:v>
      </x:c>
      <x:c r="X301" s="5" t="str">
        <x:f>IF(COUNTIF(B301:I301,"W")&gt;=4,"Y","N")</x:f>
        <x:v>N</x:v>
      </x:c>
      <x:c r="Y301" s="1"/>
      <x:c r="Z301" s="1"/>
      <x:c r="AA301" s="1"/>
      <x:c r="AB301" s="1"/>
      <x:c r="AC301" s="1"/>
      <x:c r="AD301" s="1"/>
      <x:c r="AE301" s="1"/>
    </x:row>
    <x:row r="302">
      <x:c r="A302" s="1">
        <x:v>301</x:v>
      </x:c>
      <x:c r="B302" t="str">
        <x:v>B</x:v>
      </x:c>
      <x:c r="C302" t="str">
        <x:v>B</x:v>
      </x:c>
      <x:c r="D302" t="str">
        <x:v>B</x:v>
      </x:c>
      <x:c r="E302" t="str">
        <x:v>W</x:v>
      </x:c>
      <x:c r="F302" t="str">
        <x:v>W</x:v>
      </x:c>
      <x:c r="G302" t="str">
        <x:v>W</x:v>
      </x:c>
      <x:c r="H302" t="str">
        <x:v>W</x:v>
      </x:c>
      <x:c r="I302" t="str">
        <x:v>B</x:v>
      </x:c>
      <x:c r="J302" t="str">
        <x:v>W</x:v>
      </x:c>
      <x:c r="K302" t="str">
        <x:v>W</x:v>
      </x:c>
      <x:c r="L302" t="str">
        <x:v>B</x:v>
      </x:c>
      <x:c r="M302" t="str">
        <x:v>W</x:v>
      </x:c>
      <x:c r="N302" t="str">
        <x:v>W</x:v>
      </x:c>
      <x:c r="O302" t="str">
        <x:v>B</x:v>
      </x:c>
      <x:c r="P302" t="str">
        <x:v>W</x:v>
      </x:c>
      <x:c r="Q302" t="str">
        <x:v>W</x:v>
      </x:c>
      <x:c r="R302" t="str">
        <x:v>B</x:v>
      </x:c>
      <x:c r="S302" t="str">
        <x:v>W</x:v>
      </x:c>
      <x:c r="T302" t="str">
        <x:v>B</x:v>
      </x:c>
      <x:c r="U302" t="str">
        <x:v>W</x:v>
      </x:c>
      <x:c r="V302" t="n">
        <x:f>COUNTIF(B302:U302,"W")</x:f>
        <x:v>12</x:v>
      </x:c>
      <x:c r="W302" s="5" t="str">
        <x:f>IF(COUNTIF(B302:D302,"W")&gt;0,"Y","N")</x:f>
        <x:v>N</x:v>
      </x:c>
      <x:c r="X302" s="5" t="str">
        <x:f>IF(COUNTIF(B302:I302,"W")&gt;=4,"Y","N")</x:f>
        <x:v>Y</x:v>
      </x:c>
      <x:c r="Y302" s="1"/>
      <x:c r="Z302" s="1"/>
      <x:c r="AA302" s="1"/>
      <x:c r="AB302" s="1"/>
      <x:c r="AC302" s="1"/>
      <x:c r="AD302" s="1"/>
      <x:c r="AE302" s="1"/>
    </x:row>
    <x:row r="303">
      <x:c r="A303" s="1">
        <x:v>302</x:v>
      </x:c>
      <x:c r="B303" t="str">
        <x:v>W</x:v>
      </x:c>
      <x:c r="C303" t="str">
        <x:v>W</x:v>
      </x:c>
      <x:c r="D303" t="str">
        <x:v>B</x:v>
      </x:c>
      <x:c r="E303" t="str">
        <x:v>B</x:v>
      </x:c>
      <x:c r="F303" t="str">
        <x:v>W</x:v>
      </x:c>
      <x:c r="G303" t="str">
        <x:v>W</x:v>
      </x:c>
      <x:c r="H303" t="str">
        <x:v>W</x:v>
      </x:c>
      <x:c r="I303" t="str">
        <x:v>B</x:v>
      </x:c>
      <x:c r="J303" t="str">
        <x:v>B</x:v>
      </x:c>
      <x:c r="K303" t="str">
        <x:v>W</x:v>
      </x:c>
      <x:c r="L303" t="str">
        <x:v>B</x:v>
      </x:c>
      <x:c r="M303" t="str">
        <x:v>B</x:v>
      </x:c>
      <x:c r="N303" t="str">
        <x:v>W</x:v>
      </x:c>
      <x:c r="O303" t="str">
        <x:v>B</x:v>
      </x:c>
      <x:c r="P303" t="str">
        <x:v>B</x:v>
      </x:c>
      <x:c r="Q303" t="str">
        <x:v>B</x:v>
      </x:c>
      <x:c r="R303" t="str">
        <x:v>B</x:v>
      </x:c>
      <x:c r="S303" t="str">
        <x:v>W</x:v>
      </x:c>
      <x:c r="T303" t="str">
        <x:v>B</x:v>
      </x:c>
      <x:c r="U303" t="str">
        <x:v>B</x:v>
      </x:c>
      <x:c r="V303" t="n">
        <x:f>COUNTIF(B303:U303,"W")</x:f>
        <x:v>8</x:v>
      </x:c>
      <x:c r="W303" s="5" t="str">
        <x:f>IF(COUNTIF(B303:D303,"W")&gt;0,"Y","N")</x:f>
        <x:v>Y</x:v>
      </x:c>
      <x:c r="X303" s="5" t="str">
        <x:f>IF(COUNTIF(B303:I303,"W")&gt;=4,"Y","N")</x:f>
        <x:v>Y</x:v>
      </x:c>
      <x:c r="Y303" s="1"/>
      <x:c r="Z303" s="1"/>
      <x:c r="AA303" s="1"/>
      <x:c r="AB303" s="1"/>
      <x:c r="AC303" s="1"/>
      <x:c r="AD303" s="1"/>
      <x:c r="AE303" s="1"/>
    </x:row>
    <x:row r="304">
      <x:c r="A304" s="1">
        <x:v>303</x:v>
      </x:c>
      <x:c r="B304" t="str">
        <x:v>B</x:v>
      </x:c>
      <x:c r="C304" t="str">
        <x:v>W</x:v>
      </x:c>
      <x:c r="D304" t="str">
        <x:v>W</x:v>
      </x:c>
      <x:c r="E304" t="str">
        <x:v>B</x:v>
      </x:c>
      <x:c r="F304" t="str">
        <x:v>B</x:v>
      </x:c>
      <x:c r="G304" t="str">
        <x:v>W</x:v>
      </x:c>
      <x:c r="H304" t="str">
        <x:v>B</x:v>
      </x:c>
      <x:c r="I304" t="str">
        <x:v>B</x:v>
      </x:c>
      <x:c r="J304" t="str">
        <x:v>B</x:v>
      </x:c>
      <x:c r="K304" t="str">
        <x:v>W</x:v>
      </x:c>
      <x:c r="L304" t="str">
        <x:v>W</x:v>
      </x:c>
      <x:c r="M304" t="str">
        <x:v>B</x:v>
      </x:c>
      <x:c r="N304" t="str">
        <x:v>B</x:v>
      </x:c>
      <x:c r="O304" t="str">
        <x:v>B</x:v>
      </x:c>
      <x:c r="P304" t="str">
        <x:v>W</x:v>
      </x:c>
      <x:c r="Q304" t="str">
        <x:v>B</x:v>
      </x:c>
      <x:c r="R304" t="str">
        <x:v>W</x:v>
      </x:c>
      <x:c r="S304" t="str">
        <x:v>B</x:v>
      </x:c>
      <x:c r="T304" t="str">
        <x:v>W</x:v>
      </x:c>
      <x:c r="U304" t="str">
        <x:v>W</x:v>
      </x:c>
      <x:c r="V304" t="n">
        <x:f>COUNTIF(B304:U304,"W")</x:f>
        <x:v>9</x:v>
      </x:c>
      <x:c r="W304" s="5" t="str">
        <x:f>IF(COUNTIF(B304:D304,"W")&gt;0,"Y","N")</x:f>
        <x:v>Y</x:v>
      </x:c>
      <x:c r="X304" s="5" t="str">
        <x:f>IF(COUNTIF(B304:I304,"W")&gt;=4,"Y","N")</x:f>
        <x:v>N</x:v>
      </x:c>
      <x:c r="Y304" s="1"/>
      <x:c r="Z304" s="1"/>
      <x:c r="AA304" s="1"/>
      <x:c r="AB304" s="1"/>
      <x:c r="AC304" s="1"/>
      <x:c r="AD304" s="1"/>
      <x:c r="AE304" s="1"/>
    </x:row>
    <x:row r="305">
      <x:c r="A305" s="1">
        <x:v>304</x:v>
      </x:c>
      <x:c r="B305" t="str">
        <x:v>B</x:v>
      </x:c>
      <x:c r="C305" t="str">
        <x:v>B</x:v>
      </x:c>
      <x:c r="D305" t="str">
        <x:v>W</x:v>
      </x:c>
      <x:c r="E305" t="str">
        <x:v>W</x:v>
      </x:c>
      <x:c r="F305" t="str">
        <x:v>B</x:v>
      </x:c>
      <x:c r="G305" t="str">
        <x:v>B</x:v>
      </x:c>
      <x:c r="H305" t="str">
        <x:v>B</x:v>
      </x:c>
      <x:c r="I305" t="str">
        <x:v>B</x:v>
      </x:c>
      <x:c r="J305" t="str">
        <x:v>B</x:v>
      </x:c>
      <x:c r="K305" t="str">
        <x:v>B</x:v>
      </x:c>
      <x:c r="L305" t="str">
        <x:v>B</x:v>
      </x:c>
      <x:c r="M305" t="str">
        <x:v>B</x:v>
      </x:c>
      <x:c r="N305" t="str">
        <x:v>W</x:v>
      </x:c>
      <x:c r="O305" t="str">
        <x:v>B</x:v>
      </x:c>
      <x:c r="P305" t="str">
        <x:v>B</x:v>
      </x:c>
      <x:c r="Q305" t="str">
        <x:v>B</x:v>
      </x:c>
      <x:c r="R305" t="str">
        <x:v>W</x:v>
      </x:c>
      <x:c r="S305" t="str">
        <x:v>B</x:v>
      </x:c>
      <x:c r="T305" t="str">
        <x:v>B</x:v>
      </x:c>
      <x:c r="U305" t="str">
        <x:v>B</x:v>
      </x:c>
      <x:c r="V305" t="n">
        <x:f>COUNTIF(B305:U305,"W")</x:f>
        <x:v>4</x:v>
      </x:c>
      <x:c r="W305" s="5" t="str">
        <x:f>IF(COUNTIF(B305:D305,"W")&gt;0,"Y","N")</x:f>
        <x:v>Y</x:v>
      </x:c>
      <x:c r="X305" s="5" t="str">
        <x:f>IF(COUNTIF(B305:I305,"W")&gt;=4,"Y","N")</x:f>
        <x:v>N</x:v>
      </x:c>
      <x:c r="Y305" s="1"/>
      <x:c r="Z305" s="1"/>
      <x:c r="AA305" s="1"/>
      <x:c r="AB305" s="1"/>
      <x:c r="AC305" s="1"/>
      <x:c r="AD305" s="1"/>
      <x:c r="AE305" s="1"/>
    </x:row>
    <x:row r="306">
      <x:c r="A306" s="1">
        <x:v>305</x:v>
      </x:c>
      <x:c r="B306" t="str">
        <x:v>B</x:v>
      </x:c>
      <x:c r="C306" t="str">
        <x:v>W</x:v>
      </x:c>
      <x:c r="D306" t="str">
        <x:v>B</x:v>
      </x:c>
      <x:c r="E306" t="str">
        <x:v>W</x:v>
      </x:c>
      <x:c r="F306" t="str">
        <x:v>W</x:v>
      </x:c>
      <x:c r="G306" t="str">
        <x:v>W</x:v>
      </x:c>
      <x:c r="H306" t="str">
        <x:v>B</x:v>
      </x:c>
      <x:c r="I306" t="str">
        <x:v>W</x:v>
      </x:c>
      <x:c r="J306" t="str">
        <x:v>W</x:v>
      </x:c>
      <x:c r="K306" t="str">
        <x:v>B</x:v>
      </x:c>
      <x:c r="L306" t="str">
        <x:v>B</x:v>
      </x:c>
      <x:c r="M306" t="str">
        <x:v>B</x:v>
      </x:c>
      <x:c r="N306" t="str">
        <x:v>B</x:v>
      </x:c>
      <x:c r="O306" t="str">
        <x:v>B</x:v>
      </x:c>
      <x:c r="P306" t="str">
        <x:v>B</x:v>
      </x:c>
      <x:c r="Q306" t="str">
        <x:v>B</x:v>
      </x:c>
      <x:c r="R306" t="str">
        <x:v>W</x:v>
      </x:c>
      <x:c r="S306" t="str">
        <x:v>B</x:v>
      </x:c>
      <x:c r="T306" t="str">
        <x:v>W</x:v>
      </x:c>
      <x:c r="U306" t="str">
        <x:v>B</x:v>
      </x:c>
      <x:c r="V306" t="n">
        <x:f>COUNTIF(B306:U306,"W")</x:f>
        <x:v>8</x:v>
      </x:c>
      <x:c r="W306" s="5" t="str">
        <x:f>IF(COUNTIF(B306:D306,"W")&gt;0,"Y","N")</x:f>
        <x:v>Y</x:v>
      </x:c>
      <x:c r="X306" s="5" t="str">
        <x:f>IF(COUNTIF(B306:I306,"W")&gt;=4,"Y","N")</x:f>
        <x:v>Y</x:v>
      </x:c>
      <x:c r="Y306" s="1"/>
      <x:c r="Z306" s="1"/>
      <x:c r="AA306" s="1"/>
      <x:c r="AB306" s="1"/>
      <x:c r="AC306" s="1"/>
      <x:c r="AD306" s="1"/>
      <x:c r="AE306" s="1"/>
    </x:row>
    <x:row r="307">
      <x:c r="A307" s="1">
        <x:v>306</x:v>
      </x:c>
      <x:c r="B307" t="str">
        <x:v>W</x:v>
      </x:c>
      <x:c r="C307" t="str">
        <x:v>B</x:v>
      </x:c>
      <x:c r="D307" t="str">
        <x:v>B</x:v>
      </x:c>
      <x:c r="E307" t="str">
        <x:v>W</x:v>
      </x:c>
      <x:c r="F307" t="str">
        <x:v>B</x:v>
      </x:c>
      <x:c r="G307" t="str">
        <x:v>W</x:v>
      </x:c>
      <x:c r="H307" t="str">
        <x:v>B</x:v>
      </x:c>
      <x:c r="I307" t="str">
        <x:v>B</x:v>
      </x:c>
      <x:c r="J307" t="str">
        <x:v>W</x:v>
      </x:c>
      <x:c r="K307" t="str">
        <x:v>B</x:v>
      </x:c>
      <x:c r="L307" t="str">
        <x:v>B</x:v>
      </x:c>
      <x:c r="M307" t="str">
        <x:v>B</x:v>
      </x:c>
      <x:c r="N307" t="str">
        <x:v>B</x:v>
      </x:c>
      <x:c r="O307" t="str">
        <x:v>W</x:v>
      </x:c>
      <x:c r="P307" t="str">
        <x:v>B</x:v>
      </x:c>
      <x:c r="Q307" t="str">
        <x:v>B</x:v>
      </x:c>
      <x:c r="R307" t="str">
        <x:v>B</x:v>
      </x:c>
      <x:c r="S307" t="str">
        <x:v>W</x:v>
      </x:c>
      <x:c r="T307" t="str">
        <x:v>B</x:v>
      </x:c>
      <x:c r="U307" t="str">
        <x:v>W</x:v>
      </x:c>
      <x:c r="V307" t="n">
        <x:f>COUNTIF(B307:U307,"W")</x:f>
        <x:v>7</x:v>
      </x:c>
      <x:c r="W307" s="5" t="str">
        <x:f>IF(COUNTIF(B307:D307,"W")&gt;0,"Y","N")</x:f>
        <x:v>Y</x:v>
      </x:c>
      <x:c r="X307" s="5" t="str">
        <x:f>IF(COUNTIF(B307:I307,"W")&gt;=4,"Y","N")</x:f>
        <x:v>N</x:v>
      </x:c>
      <x:c r="Y307" s="1"/>
      <x:c r="Z307" s="1"/>
      <x:c r="AA307" s="1"/>
      <x:c r="AB307" s="1"/>
      <x:c r="AC307" s="1"/>
      <x:c r="AD307" s="1"/>
      <x:c r="AE307" s="1"/>
    </x:row>
    <x:row r="308">
      <x:c r="A308" s="1">
        <x:v>307</x:v>
      </x:c>
      <x:c r="B308" t="str">
        <x:v>W</x:v>
      </x:c>
      <x:c r="C308" t="str">
        <x:v>B</x:v>
      </x:c>
      <x:c r="D308" t="str">
        <x:v>B</x:v>
      </x:c>
      <x:c r="E308" t="str">
        <x:v>B</x:v>
      </x:c>
      <x:c r="F308" t="str">
        <x:v>W</x:v>
      </x:c>
      <x:c r="G308" t="str">
        <x:v>W</x:v>
      </x:c>
      <x:c r="H308" t="str">
        <x:v>B</x:v>
      </x:c>
      <x:c r="I308" t="str">
        <x:v>B</x:v>
      </x:c>
      <x:c r="J308" t="str">
        <x:v>B</x:v>
      </x:c>
      <x:c r="K308" t="str">
        <x:v>W</x:v>
      </x:c>
      <x:c r="L308" t="str">
        <x:v>B</x:v>
      </x:c>
      <x:c r="M308" t="str">
        <x:v>W</x:v>
      </x:c>
      <x:c r="N308" t="str">
        <x:v>W</x:v>
      </x:c>
      <x:c r="O308" t="str">
        <x:v>B</x:v>
      </x:c>
      <x:c r="P308" t="str">
        <x:v>B</x:v>
      </x:c>
      <x:c r="Q308" t="str">
        <x:v>B</x:v>
      </x:c>
      <x:c r="R308" t="str">
        <x:v>B</x:v>
      </x:c>
      <x:c r="S308" t="str">
        <x:v>B</x:v>
      </x:c>
      <x:c r="T308" t="str">
        <x:v>B</x:v>
      </x:c>
      <x:c r="U308" t="str">
        <x:v>B</x:v>
      </x:c>
      <x:c r="V308" t="n">
        <x:f>COUNTIF(B308:U308,"W")</x:f>
        <x:v>6</x:v>
      </x:c>
      <x:c r="W308" s="5" t="str">
        <x:f>IF(COUNTIF(B308:D308,"W")&gt;0,"Y","N")</x:f>
        <x:v>Y</x:v>
      </x:c>
      <x:c r="X308" s="5" t="str">
        <x:f>IF(COUNTIF(B308:I308,"W")&gt;=4,"Y","N")</x:f>
        <x:v>N</x:v>
      </x:c>
      <x:c r="Y308" s="1"/>
      <x:c r="Z308" s="1"/>
      <x:c r="AA308" s="1"/>
      <x:c r="AB308" s="1"/>
      <x:c r="AC308" s="1"/>
      <x:c r="AD308" s="1"/>
      <x:c r="AE308" s="1"/>
    </x:row>
    <x:row r="309">
      <x:c r="A309" s="1">
        <x:v>308</x:v>
      </x:c>
      <x:c r="B309" t="str">
        <x:v>B</x:v>
      </x:c>
      <x:c r="C309" t="str">
        <x:v>B</x:v>
      </x:c>
      <x:c r="D309" t="str">
        <x:v>W</x:v>
      </x:c>
      <x:c r="E309" t="str">
        <x:v>B</x:v>
      </x:c>
      <x:c r="F309" t="str">
        <x:v>B</x:v>
      </x:c>
      <x:c r="G309" t="str">
        <x:v>B</x:v>
      </x:c>
      <x:c r="H309" t="str">
        <x:v>B</x:v>
      </x:c>
      <x:c r="I309" t="str">
        <x:v>W</x:v>
      </x:c>
      <x:c r="J309" t="str">
        <x:v>B</x:v>
      </x:c>
      <x:c r="K309" t="str">
        <x:v>W</x:v>
      </x:c>
      <x:c r="L309" t="str">
        <x:v>W</x:v>
      </x:c>
      <x:c r="M309" t="str">
        <x:v>B</x:v>
      </x:c>
      <x:c r="N309" t="str">
        <x:v>B</x:v>
      </x:c>
      <x:c r="O309" t="str">
        <x:v>W</x:v>
      </x:c>
      <x:c r="P309" t="str">
        <x:v>W</x:v>
      </x:c>
      <x:c r="Q309" t="str">
        <x:v>B</x:v>
      </x:c>
      <x:c r="R309" t="str">
        <x:v>B</x:v>
      </x:c>
      <x:c r="S309" t="str">
        <x:v>W</x:v>
      </x:c>
      <x:c r="T309" t="str">
        <x:v>B</x:v>
      </x:c>
      <x:c r="U309" t="str">
        <x:v>B</x:v>
      </x:c>
      <x:c r="V309" t="n">
        <x:f>COUNTIF(B309:U309,"W")</x:f>
        <x:v>7</x:v>
      </x:c>
      <x:c r="W309" s="5" t="str">
        <x:f>IF(COUNTIF(B309:D309,"W")&gt;0,"Y","N")</x:f>
        <x:v>Y</x:v>
      </x:c>
      <x:c r="X309" s="5" t="str">
        <x:f>IF(COUNTIF(B309:I309,"W")&gt;=4,"Y","N")</x:f>
        <x:v>N</x:v>
      </x:c>
      <x:c r="Y309" s="1"/>
      <x:c r="Z309" s="1"/>
      <x:c r="AA309" s="1"/>
      <x:c r="AB309" s="1"/>
      <x:c r="AC309" s="1"/>
      <x:c r="AD309" s="1"/>
      <x:c r="AE309" s="1"/>
    </x:row>
    <x:row r="310">
      <x:c r="A310" s="1">
        <x:v>309</x:v>
      </x:c>
      <x:c r="B310" t="str">
        <x:v>B</x:v>
      </x:c>
      <x:c r="C310" t="str">
        <x:v>B</x:v>
      </x:c>
      <x:c r="D310" t="str">
        <x:v>B</x:v>
      </x:c>
      <x:c r="E310" t="str">
        <x:v>B</x:v>
      </x:c>
      <x:c r="F310" t="str">
        <x:v>W</x:v>
      </x:c>
      <x:c r="G310" t="str">
        <x:v>B</x:v>
      </x:c>
      <x:c r="H310" t="str">
        <x:v>B</x:v>
      </x:c>
      <x:c r="I310" t="str">
        <x:v>B</x:v>
      </x:c>
      <x:c r="J310" t="str">
        <x:v>W</x:v>
      </x:c>
      <x:c r="K310" t="str">
        <x:v>W</x:v>
      </x:c>
      <x:c r="L310" t="str">
        <x:v>W</x:v>
      </x:c>
      <x:c r="M310" t="str">
        <x:v>B</x:v>
      </x:c>
      <x:c r="N310" t="str">
        <x:v>W</x:v>
      </x:c>
      <x:c r="O310" t="str">
        <x:v>W</x:v>
      </x:c>
      <x:c r="P310" t="str">
        <x:v>B</x:v>
      </x:c>
      <x:c r="Q310" t="str">
        <x:v>W</x:v>
      </x:c>
      <x:c r="R310" t="str">
        <x:v>W</x:v>
      </x:c>
      <x:c r="S310" t="str">
        <x:v>W</x:v>
      </x:c>
      <x:c r="T310" t="str">
        <x:v>B</x:v>
      </x:c>
      <x:c r="U310" t="str">
        <x:v>B</x:v>
      </x:c>
      <x:c r="V310" t="n">
        <x:f>COUNTIF(B310:U310,"W")</x:f>
        <x:v>9</x:v>
      </x:c>
      <x:c r="W310" s="5" t="str">
        <x:f>IF(COUNTIF(B310:D310,"W")&gt;0,"Y","N")</x:f>
        <x:v>N</x:v>
      </x:c>
      <x:c r="X310" s="5" t="str">
        <x:f>IF(COUNTIF(B310:I310,"W")&gt;=4,"Y","N")</x:f>
        <x:v>N</x:v>
      </x:c>
      <x:c r="Y310" s="1"/>
      <x:c r="Z310" s="1"/>
      <x:c r="AA310" s="1"/>
      <x:c r="AB310" s="1"/>
      <x:c r="AC310" s="1"/>
      <x:c r="AD310" s="1"/>
      <x:c r="AE310" s="1"/>
    </x:row>
    <x:row r="311">
      <x:c r="A311" s="1">
        <x:v>310</x:v>
      </x:c>
      <x:c r="B311" t="str">
        <x:v>W</x:v>
      </x:c>
      <x:c r="C311" t="str">
        <x:v>W</x:v>
      </x:c>
      <x:c r="D311" t="str">
        <x:v>W</x:v>
      </x:c>
      <x:c r="E311" t="str">
        <x:v>B</x:v>
      </x:c>
      <x:c r="F311" t="str">
        <x:v>W</x:v>
      </x:c>
      <x:c r="G311" t="str">
        <x:v>B</x:v>
      </x:c>
      <x:c r="H311" t="str">
        <x:v>B</x:v>
      </x:c>
      <x:c r="I311" t="str">
        <x:v>B</x:v>
      </x:c>
      <x:c r="J311" t="str">
        <x:v>B</x:v>
      </x:c>
      <x:c r="K311" t="str">
        <x:v>B</x:v>
      </x:c>
      <x:c r="L311" t="str">
        <x:v>B</x:v>
      </x:c>
      <x:c r="M311" t="str">
        <x:v>B</x:v>
      </x:c>
      <x:c r="N311" t="str">
        <x:v>B</x:v>
      </x:c>
      <x:c r="O311" t="str">
        <x:v>W</x:v>
      </x:c>
      <x:c r="P311" t="str">
        <x:v>B</x:v>
      </x:c>
      <x:c r="Q311" t="str">
        <x:v>W</x:v>
      </x:c>
      <x:c r="R311" t="str">
        <x:v>W</x:v>
      </x:c>
      <x:c r="S311" t="str">
        <x:v>B</x:v>
      </x:c>
      <x:c r="T311" t="str">
        <x:v>B</x:v>
      </x:c>
      <x:c r="U311" t="str">
        <x:v>W</x:v>
      </x:c>
      <x:c r="V311" t="n">
        <x:f>COUNTIF(B311:U311,"W")</x:f>
        <x:v>8</x:v>
      </x:c>
      <x:c r="W311" s="5" t="str">
        <x:f>IF(COUNTIF(B311:D311,"W")&gt;0,"Y","N")</x:f>
        <x:v>Y</x:v>
      </x:c>
      <x:c r="X311" s="5" t="str">
        <x:f>IF(COUNTIF(B311:I311,"W")&gt;=4,"Y","N")</x:f>
        <x:v>Y</x:v>
      </x:c>
      <x:c r="Y311" s="1"/>
      <x:c r="Z311" s="1"/>
      <x:c r="AA311" s="1"/>
      <x:c r="AB311" s="1"/>
      <x:c r="AC311" s="1"/>
      <x:c r="AD311" s="1"/>
      <x:c r="AE311" s="1"/>
    </x:row>
    <x:row r="312">
      <x:c r="A312" s="1">
        <x:v>311</x:v>
      </x:c>
      <x:c r="B312" t="str">
        <x:v>W</x:v>
      </x:c>
      <x:c r="C312" t="str">
        <x:v>B</x:v>
      </x:c>
      <x:c r="D312" t="str">
        <x:v>W</x:v>
      </x:c>
      <x:c r="E312" t="str">
        <x:v>W</x:v>
      </x:c>
      <x:c r="F312" t="str">
        <x:v>B</x:v>
      </x:c>
      <x:c r="G312" t="str">
        <x:v>W</x:v>
      </x:c>
      <x:c r="H312" t="str">
        <x:v>B</x:v>
      </x:c>
      <x:c r="I312" t="str">
        <x:v>W</x:v>
      </x:c>
      <x:c r="J312" t="str">
        <x:v>W</x:v>
      </x:c>
      <x:c r="K312" t="str">
        <x:v>W</x:v>
      </x:c>
      <x:c r="L312" t="str">
        <x:v>W</x:v>
      </x:c>
      <x:c r="M312" t="str">
        <x:v>B</x:v>
      </x:c>
      <x:c r="N312" t="str">
        <x:v>W</x:v>
      </x:c>
      <x:c r="O312" t="str">
        <x:v>B</x:v>
      </x:c>
      <x:c r="P312" t="str">
        <x:v>W</x:v>
      </x:c>
      <x:c r="Q312" t="str">
        <x:v>W</x:v>
      </x:c>
      <x:c r="R312" t="str">
        <x:v>W</x:v>
      </x:c>
      <x:c r="S312" t="str">
        <x:v>B</x:v>
      </x:c>
      <x:c r="T312" t="str">
        <x:v>B</x:v>
      </x:c>
      <x:c r="U312" t="str">
        <x:v>B</x:v>
      </x:c>
      <x:c r="V312" t="n">
        <x:f>COUNTIF(B312:U312,"W")</x:f>
        <x:v>12</x:v>
      </x:c>
      <x:c r="W312" s="5" t="str">
        <x:f>IF(COUNTIF(B312:D312,"W")&gt;0,"Y","N")</x:f>
        <x:v>Y</x:v>
      </x:c>
      <x:c r="X312" s="5" t="str">
        <x:f>IF(COUNTIF(B312:I312,"W")&gt;=4,"Y","N")</x:f>
        <x:v>Y</x:v>
      </x:c>
      <x:c r="Y312" s="1"/>
      <x:c r="Z312" s="1"/>
      <x:c r="AA312" s="1"/>
      <x:c r="AB312" s="1"/>
      <x:c r="AC312" s="1"/>
      <x:c r="AD312" s="1"/>
      <x:c r="AE312" s="1"/>
    </x:row>
    <x:row r="313">
      <x:c r="A313" s="1">
        <x:v>312</x:v>
      </x:c>
      <x:c r="B313" t="str">
        <x:v>B</x:v>
      </x:c>
      <x:c r="C313" t="str">
        <x:v>W</x:v>
      </x:c>
      <x:c r="D313" t="str">
        <x:v>W</x:v>
      </x:c>
      <x:c r="E313" t="str">
        <x:v>B</x:v>
      </x:c>
      <x:c r="F313" t="str">
        <x:v>B</x:v>
      </x:c>
      <x:c r="G313" t="str">
        <x:v>W</x:v>
      </x:c>
      <x:c r="H313" t="str">
        <x:v>W</x:v>
      </x:c>
      <x:c r="I313" t="str">
        <x:v>W</x:v>
      </x:c>
      <x:c r="J313" t="str">
        <x:v>B</x:v>
      </x:c>
      <x:c r="K313" t="str">
        <x:v>W</x:v>
      </x:c>
      <x:c r="L313" t="str">
        <x:v>B</x:v>
      </x:c>
      <x:c r="M313" t="str">
        <x:v>B</x:v>
      </x:c>
      <x:c r="N313" t="str">
        <x:v>W</x:v>
      </x:c>
      <x:c r="O313" t="str">
        <x:v>B</x:v>
      </x:c>
      <x:c r="P313" t="str">
        <x:v>W</x:v>
      </x:c>
      <x:c r="Q313" t="str">
        <x:v>B</x:v>
      </x:c>
      <x:c r="R313" t="str">
        <x:v>B</x:v>
      </x:c>
      <x:c r="S313" t="str">
        <x:v>B</x:v>
      </x:c>
      <x:c r="T313" t="str">
        <x:v>W</x:v>
      </x:c>
      <x:c r="U313" t="str">
        <x:v>B</x:v>
      </x:c>
      <x:c r="V313" t="n">
        <x:f>COUNTIF(B313:U313,"W")</x:f>
        <x:v>9</x:v>
      </x:c>
      <x:c r="W313" s="5" t="str">
        <x:f>IF(COUNTIF(B313:D313,"W")&gt;0,"Y","N")</x:f>
        <x:v>Y</x:v>
      </x:c>
      <x:c r="X313" s="5" t="str">
        <x:f>IF(COUNTIF(B313:I313,"W")&gt;=4,"Y","N")</x:f>
        <x:v>Y</x:v>
      </x:c>
      <x:c r="Y313" s="1"/>
      <x:c r="Z313" s="1"/>
      <x:c r="AA313" s="1"/>
      <x:c r="AB313" s="1"/>
      <x:c r="AC313" s="1"/>
      <x:c r="AD313" s="1"/>
      <x:c r="AE313" s="1"/>
    </x:row>
    <x:row r="314">
      <x:c r="A314" s="1">
        <x:v>313</x:v>
      </x:c>
      <x:c r="B314" t="str">
        <x:v>B</x:v>
      </x:c>
      <x:c r="C314" t="str">
        <x:v>B</x:v>
      </x:c>
      <x:c r="D314" t="str">
        <x:v>B</x:v>
      </x:c>
      <x:c r="E314" t="str">
        <x:v>W</x:v>
      </x:c>
      <x:c r="F314" t="str">
        <x:v>B</x:v>
      </x:c>
      <x:c r="G314" t="str">
        <x:v>W</x:v>
      </x:c>
      <x:c r="H314" t="str">
        <x:v>B</x:v>
      </x:c>
      <x:c r="I314" t="str">
        <x:v>B</x:v>
      </x:c>
      <x:c r="J314" t="str">
        <x:v>W</x:v>
      </x:c>
      <x:c r="K314" t="str">
        <x:v>B</x:v>
      </x:c>
      <x:c r="L314" t="str">
        <x:v>B</x:v>
      </x:c>
      <x:c r="M314" t="str">
        <x:v>B</x:v>
      </x:c>
      <x:c r="N314" t="str">
        <x:v>B</x:v>
      </x:c>
      <x:c r="O314" t="str">
        <x:v>W</x:v>
      </x:c>
      <x:c r="P314" t="str">
        <x:v>W</x:v>
      </x:c>
      <x:c r="Q314" t="str">
        <x:v>B</x:v>
      </x:c>
      <x:c r="R314" t="str">
        <x:v>W</x:v>
      </x:c>
      <x:c r="S314" t="str">
        <x:v>B</x:v>
      </x:c>
      <x:c r="T314" t="str">
        <x:v>W</x:v>
      </x:c>
      <x:c r="U314" t="str">
        <x:v>W</x:v>
      </x:c>
      <x:c r="V314" t="n">
        <x:f>COUNTIF(B314:U314,"W")</x:f>
        <x:v>8</x:v>
      </x:c>
      <x:c r="W314" s="5" t="str">
        <x:f>IF(COUNTIF(B314:D314,"W")&gt;0,"Y","N")</x:f>
        <x:v>N</x:v>
      </x:c>
      <x:c r="X314" s="5" t="str">
        <x:f>IF(COUNTIF(B314:I314,"W")&gt;=4,"Y","N")</x:f>
        <x:v>N</x:v>
      </x:c>
      <x:c r="Y314" s="1"/>
      <x:c r="Z314" s="1"/>
      <x:c r="AA314" s="1"/>
      <x:c r="AB314" s="1"/>
      <x:c r="AC314" s="1"/>
      <x:c r="AD314" s="1"/>
      <x:c r="AE314" s="1"/>
    </x:row>
    <x:row r="315">
      <x:c r="A315" s="1">
        <x:v>314</x:v>
      </x:c>
      <x:c r="B315" t="str">
        <x:v>B</x:v>
      </x:c>
      <x:c r="C315" t="str">
        <x:v>B</x:v>
      </x:c>
      <x:c r="D315" t="str">
        <x:v>W</x:v>
      </x:c>
      <x:c r="E315" t="str">
        <x:v>B</x:v>
      </x:c>
      <x:c r="F315" t="str">
        <x:v>B</x:v>
      </x:c>
      <x:c r="G315" t="str">
        <x:v>B</x:v>
      </x:c>
      <x:c r="H315" t="str">
        <x:v>B</x:v>
      </x:c>
      <x:c r="I315" t="str">
        <x:v>B</x:v>
      </x:c>
      <x:c r="J315" t="str">
        <x:v>B</x:v>
      </x:c>
      <x:c r="K315" t="str">
        <x:v>W</x:v>
      </x:c>
      <x:c r="L315" t="str">
        <x:v>B</x:v>
      </x:c>
      <x:c r="M315" t="str">
        <x:v>B</x:v>
      </x:c>
      <x:c r="N315" t="str">
        <x:v>B</x:v>
      </x:c>
      <x:c r="O315" t="str">
        <x:v>W</x:v>
      </x:c>
      <x:c r="P315" t="str">
        <x:v>W</x:v>
      </x:c>
      <x:c r="Q315" t="str">
        <x:v>B</x:v>
      </x:c>
      <x:c r="R315" t="str">
        <x:v>B</x:v>
      </x:c>
      <x:c r="S315" t="str">
        <x:v>B</x:v>
      </x:c>
      <x:c r="T315" t="str">
        <x:v>W</x:v>
      </x:c>
      <x:c r="U315" t="str">
        <x:v>B</x:v>
      </x:c>
      <x:c r="V315" t="n">
        <x:f>COUNTIF(B315:U315,"W")</x:f>
        <x:v>5</x:v>
      </x:c>
      <x:c r="W315" s="5" t="str">
        <x:f>IF(COUNTIF(B315:D315,"W")&gt;0,"Y","N")</x:f>
        <x:v>Y</x:v>
      </x:c>
      <x:c r="X315" s="5" t="str">
        <x:f>IF(COUNTIF(B315:I315,"W")&gt;=4,"Y","N")</x:f>
        <x:v>N</x:v>
      </x:c>
      <x:c r="Y315" s="1"/>
      <x:c r="Z315" s="1"/>
      <x:c r="AA315" s="1"/>
      <x:c r="AB315" s="1"/>
      <x:c r="AC315" s="1"/>
      <x:c r="AD315" s="1"/>
      <x:c r="AE315" s="1"/>
    </x:row>
    <x:row r="316">
      <x:c r="A316" s="1">
        <x:v>315</x:v>
      </x:c>
      <x:c r="B316" t="str">
        <x:v>B</x:v>
      </x:c>
      <x:c r="C316" t="str">
        <x:v>W</x:v>
      </x:c>
      <x:c r="D316" t="str">
        <x:v>B</x:v>
      </x:c>
      <x:c r="E316" t="str">
        <x:v>B</x:v>
      </x:c>
      <x:c r="F316" t="str">
        <x:v>W</x:v>
      </x:c>
      <x:c r="G316" t="str">
        <x:v>B</x:v>
      </x:c>
      <x:c r="H316" t="str">
        <x:v>B</x:v>
      </x:c>
      <x:c r="I316" t="str">
        <x:v>W</x:v>
      </x:c>
      <x:c r="J316" t="str">
        <x:v>B</x:v>
      </x:c>
      <x:c r="K316" t="str">
        <x:v>B</x:v>
      </x:c>
      <x:c r="L316" t="str">
        <x:v>W</x:v>
      </x:c>
      <x:c r="M316" t="str">
        <x:v>B</x:v>
      </x:c>
      <x:c r="N316" t="str">
        <x:v>W</x:v>
      </x:c>
      <x:c r="O316" t="str">
        <x:v>W</x:v>
      </x:c>
      <x:c r="P316" t="str">
        <x:v>B</x:v>
      </x:c>
      <x:c r="Q316" t="str">
        <x:v>B</x:v>
      </x:c>
      <x:c r="R316" t="str">
        <x:v>B</x:v>
      </x:c>
      <x:c r="S316" t="str">
        <x:v>B</x:v>
      </x:c>
      <x:c r="T316" t="str">
        <x:v>B</x:v>
      </x:c>
      <x:c r="U316" t="str">
        <x:v>B</x:v>
      </x:c>
      <x:c r="V316" t="n">
        <x:f>COUNTIF(B316:U316,"W")</x:f>
        <x:v>6</x:v>
      </x:c>
      <x:c r="W316" s="5" t="str">
        <x:f>IF(COUNTIF(B316:D316,"W")&gt;0,"Y","N")</x:f>
        <x:v>Y</x:v>
      </x:c>
      <x:c r="X316" s="5" t="str">
        <x:f>IF(COUNTIF(B316:I316,"W")&gt;=4,"Y","N")</x:f>
        <x:v>N</x:v>
      </x:c>
      <x:c r="Y316" s="1"/>
      <x:c r="Z316" s="1"/>
      <x:c r="AA316" s="1"/>
      <x:c r="AB316" s="1"/>
      <x:c r="AC316" s="1"/>
      <x:c r="AD316" s="1"/>
      <x:c r="AE316" s="1"/>
    </x:row>
    <x:row r="317">
      <x:c r="A317" s="1">
        <x:v>316</x:v>
      </x:c>
      <x:c r="B317" t="str">
        <x:v>W</x:v>
      </x:c>
      <x:c r="C317" t="str">
        <x:v>B</x:v>
      </x:c>
      <x:c r="D317" t="str">
        <x:v>B</x:v>
      </x:c>
      <x:c r="E317" t="str">
        <x:v>B</x:v>
      </x:c>
      <x:c r="F317" t="str">
        <x:v>B</x:v>
      </x:c>
      <x:c r="G317" t="str">
        <x:v>W</x:v>
      </x:c>
      <x:c r="H317" t="str">
        <x:v>B</x:v>
      </x:c>
      <x:c r="I317" t="str">
        <x:v>B</x:v>
      </x:c>
      <x:c r="J317" t="str">
        <x:v>B</x:v>
      </x:c>
      <x:c r="K317" t="str">
        <x:v>W</x:v>
      </x:c>
      <x:c r="L317" t="str">
        <x:v>B</x:v>
      </x:c>
      <x:c r="M317" t="str">
        <x:v>B</x:v>
      </x:c>
      <x:c r="N317" t="str">
        <x:v>B</x:v>
      </x:c>
      <x:c r="O317" t="str">
        <x:v>B</x:v>
      </x:c>
      <x:c r="P317" t="str">
        <x:v>W</x:v>
      </x:c>
      <x:c r="Q317" t="str">
        <x:v>B</x:v>
      </x:c>
      <x:c r="R317" t="str">
        <x:v>W</x:v>
      </x:c>
      <x:c r="S317" t="str">
        <x:v>W</x:v>
      </x:c>
      <x:c r="T317" t="str">
        <x:v>B</x:v>
      </x:c>
      <x:c r="U317" t="str">
        <x:v>B</x:v>
      </x:c>
      <x:c r="V317" t="n">
        <x:f>COUNTIF(B317:U317,"W")</x:f>
        <x:v>6</x:v>
      </x:c>
      <x:c r="W317" s="5" t="str">
        <x:f>IF(COUNTIF(B317:D317,"W")&gt;0,"Y","N")</x:f>
        <x:v>Y</x:v>
      </x:c>
      <x:c r="X317" s="5" t="str">
        <x:f>IF(COUNTIF(B317:I317,"W")&gt;=4,"Y","N")</x:f>
        <x:v>N</x:v>
      </x:c>
      <x:c r="Y317" s="1"/>
      <x:c r="Z317" s="1"/>
      <x:c r="AA317" s="1"/>
      <x:c r="AB317" s="1"/>
      <x:c r="AC317" s="1"/>
      <x:c r="AD317" s="1"/>
      <x:c r="AE317" s="1"/>
    </x:row>
    <x:row r="318">
      <x:c r="A318" s="1">
        <x:v>317</x:v>
      </x:c>
      <x:c r="B318" t="str">
        <x:v>W</x:v>
      </x:c>
      <x:c r="C318" t="str">
        <x:v>W</x:v>
      </x:c>
      <x:c r="D318" t="str">
        <x:v>B</x:v>
      </x:c>
      <x:c r="E318" t="str">
        <x:v>B</x:v>
      </x:c>
      <x:c r="F318" t="str">
        <x:v>B</x:v>
      </x:c>
      <x:c r="G318" t="str">
        <x:v>W</x:v>
      </x:c>
      <x:c r="H318" t="str">
        <x:v>W</x:v>
      </x:c>
      <x:c r="I318" t="str">
        <x:v>B</x:v>
      </x:c>
      <x:c r="J318" t="str">
        <x:v>B</x:v>
      </x:c>
      <x:c r="K318" t="str">
        <x:v>B</x:v>
      </x:c>
      <x:c r="L318" t="str">
        <x:v>W</x:v>
      </x:c>
      <x:c r="M318" t="str">
        <x:v>B</x:v>
      </x:c>
      <x:c r="N318" t="str">
        <x:v>W</x:v>
      </x:c>
      <x:c r="O318" t="str">
        <x:v>W</x:v>
      </x:c>
      <x:c r="P318" t="str">
        <x:v>W</x:v>
      </x:c>
      <x:c r="Q318" t="str">
        <x:v>B</x:v>
      </x:c>
      <x:c r="R318" t="str">
        <x:v>B</x:v>
      </x:c>
      <x:c r="S318" t="str">
        <x:v>W</x:v>
      </x:c>
      <x:c r="T318" t="str">
        <x:v>B</x:v>
      </x:c>
      <x:c r="U318" t="str">
        <x:v>W</x:v>
      </x:c>
      <x:c r="V318" t="n">
        <x:f>COUNTIF(B318:U318,"W")</x:f>
        <x:v>10</x:v>
      </x:c>
      <x:c r="W318" s="5" t="str">
        <x:f>IF(COUNTIF(B318:D318,"W")&gt;0,"Y","N")</x:f>
        <x:v>Y</x:v>
      </x:c>
      <x:c r="X318" s="5" t="str">
        <x:f>IF(COUNTIF(B318:I318,"W")&gt;=4,"Y","N")</x:f>
        <x:v>Y</x:v>
      </x:c>
      <x:c r="Y318" s="1"/>
      <x:c r="Z318" s="1"/>
      <x:c r="AA318" s="1"/>
      <x:c r="AB318" s="1"/>
      <x:c r="AC318" s="1"/>
      <x:c r="AD318" s="1"/>
      <x:c r="AE318" s="1"/>
    </x:row>
    <x:row r="319">
      <x:c r="A319" s="1">
        <x:v>318</x:v>
      </x:c>
      <x:c r="B319" t="str">
        <x:v>B</x:v>
      </x:c>
      <x:c r="C319" t="str">
        <x:v>W</x:v>
      </x:c>
      <x:c r="D319" t="str">
        <x:v>B</x:v>
      </x:c>
      <x:c r="E319" t="str">
        <x:v>W</x:v>
      </x:c>
      <x:c r="F319" t="str">
        <x:v>B</x:v>
      </x:c>
      <x:c r="G319" t="str">
        <x:v>B</x:v>
      </x:c>
      <x:c r="H319" t="str">
        <x:v>B</x:v>
      </x:c>
      <x:c r="I319" t="str">
        <x:v>W</x:v>
      </x:c>
      <x:c r="J319" t="str">
        <x:v>B</x:v>
      </x:c>
      <x:c r="K319" t="str">
        <x:v>W</x:v>
      </x:c>
      <x:c r="L319" t="str">
        <x:v>B</x:v>
      </x:c>
      <x:c r="M319" t="str">
        <x:v>W</x:v>
      </x:c>
      <x:c r="N319" t="str">
        <x:v>W</x:v>
      </x:c>
      <x:c r="O319" t="str">
        <x:v>B</x:v>
      </x:c>
      <x:c r="P319" t="str">
        <x:v>W</x:v>
      </x:c>
      <x:c r="Q319" t="str">
        <x:v>W</x:v>
      </x:c>
      <x:c r="R319" t="str">
        <x:v>B</x:v>
      </x:c>
      <x:c r="S319" t="str">
        <x:v>W</x:v>
      </x:c>
      <x:c r="T319" t="str">
        <x:v>B</x:v>
      </x:c>
      <x:c r="U319" t="str">
        <x:v>B</x:v>
      </x:c>
      <x:c r="V319" t="n">
        <x:f>COUNTIF(B319:U319,"W")</x:f>
        <x:v>9</x:v>
      </x:c>
      <x:c r="W319" s="5" t="str">
        <x:f>IF(COUNTIF(B319:D319,"W")&gt;0,"Y","N")</x:f>
        <x:v>Y</x:v>
      </x:c>
      <x:c r="X319" s="5" t="str">
        <x:f>IF(COUNTIF(B319:I319,"W")&gt;=4,"Y","N")</x:f>
        <x:v>N</x:v>
      </x:c>
      <x:c r="Y319" s="1"/>
      <x:c r="Z319" s="1"/>
      <x:c r="AA319" s="1"/>
      <x:c r="AB319" s="1"/>
      <x:c r="AC319" s="1"/>
      <x:c r="AD319" s="1"/>
      <x:c r="AE319" s="1"/>
    </x:row>
    <x:row r="320">
      <x:c r="A320" s="1">
        <x:v>319</x:v>
      </x:c>
      <x:c r="B320" t="str">
        <x:v>B</x:v>
      </x:c>
      <x:c r="C320" t="str">
        <x:v>B</x:v>
      </x:c>
      <x:c r="D320" t="str">
        <x:v>B</x:v>
      </x:c>
      <x:c r="E320" t="str">
        <x:v>B</x:v>
      </x:c>
      <x:c r="F320" t="str">
        <x:v>W</x:v>
      </x:c>
      <x:c r="G320" t="str">
        <x:v>B</x:v>
      </x:c>
      <x:c r="H320" t="str">
        <x:v>W</x:v>
      </x:c>
      <x:c r="I320" t="str">
        <x:v>B</x:v>
      </x:c>
      <x:c r="J320" t="str">
        <x:v>B</x:v>
      </x:c>
      <x:c r="K320" t="str">
        <x:v>W</x:v>
      </x:c>
      <x:c r="L320" t="str">
        <x:v>W</x:v>
      </x:c>
      <x:c r="M320" t="str">
        <x:v>W</x:v>
      </x:c>
      <x:c r="N320" t="str">
        <x:v>B</x:v>
      </x:c>
      <x:c r="O320" t="str">
        <x:v>W</x:v>
      </x:c>
      <x:c r="P320" t="str">
        <x:v>W</x:v>
      </x:c>
      <x:c r="Q320" t="str">
        <x:v>W</x:v>
      </x:c>
      <x:c r="R320" t="str">
        <x:v>B</x:v>
      </x:c>
      <x:c r="S320" t="str">
        <x:v>B</x:v>
      </x:c>
      <x:c r="T320" t="str">
        <x:v>W</x:v>
      </x:c>
      <x:c r="U320" t="str">
        <x:v>B</x:v>
      </x:c>
      <x:c r="V320" t="n">
        <x:f>COUNTIF(B320:U320,"W")</x:f>
        <x:v>9</x:v>
      </x:c>
      <x:c r="W320" s="5" t="str">
        <x:f>IF(COUNTIF(B320:D320,"W")&gt;0,"Y","N")</x:f>
        <x:v>N</x:v>
      </x:c>
      <x:c r="X320" s="5" t="str">
        <x:f>IF(COUNTIF(B320:I320,"W")&gt;=4,"Y","N")</x:f>
        <x:v>N</x:v>
      </x:c>
      <x:c r="Y320" s="1"/>
      <x:c r="Z320" s="1"/>
      <x:c r="AA320" s="1"/>
      <x:c r="AB320" s="1"/>
      <x:c r="AC320" s="1"/>
      <x:c r="AD320" s="1"/>
      <x:c r="AE320" s="1"/>
    </x:row>
    <x:row r="321">
      <x:c r="A321" s="1">
        <x:v>320</x:v>
      </x:c>
      <x:c r="B321" t="str">
        <x:v>B</x:v>
      </x:c>
      <x:c r="C321" t="str">
        <x:v>W</x:v>
      </x:c>
      <x:c r="D321" t="str">
        <x:v>B</x:v>
      </x:c>
      <x:c r="E321" t="str">
        <x:v>B</x:v>
      </x:c>
      <x:c r="F321" t="str">
        <x:v>B</x:v>
      </x:c>
      <x:c r="G321" t="str">
        <x:v>B</x:v>
      </x:c>
      <x:c r="H321" t="str">
        <x:v>W</x:v>
      </x:c>
      <x:c r="I321" t="str">
        <x:v>B</x:v>
      </x:c>
      <x:c r="J321" t="str">
        <x:v>B</x:v>
      </x:c>
      <x:c r="K321" t="str">
        <x:v>B</x:v>
      </x:c>
      <x:c r="L321" t="str">
        <x:v>W</x:v>
      </x:c>
      <x:c r="M321" t="str">
        <x:v>B</x:v>
      </x:c>
      <x:c r="N321" t="str">
        <x:v>B</x:v>
      </x:c>
      <x:c r="O321" t="str">
        <x:v>W</x:v>
      </x:c>
      <x:c r="P321" t="str">
        <x:v>B</x:v>
      </x:c>
      <x:c r="Q321" t="str">
        <x:v>B</x:v>
      </x:c>
      <x:c r="R321" t="str">
        <x:v>B</x:v>
      </x:c>
      <x:c r="S321" t="str">
        <x:v>W</x:v>
      </x:c>
      <x:c r="T321" t="str">
        <x:v>W</x:v>
      </x:c>
      <x:c r="U321" t="str">
        <x:v>B</x:v>
      </x:c>
      <x:c r="V321" t="n">
        <x:f>COUNTIF(B321:U321,"W")</x:f>
        <x:v>6</x:v>
      </x:c>
      <x:c r="W321" s="5" t="str">
        <x:f>IF(COUNTIF(B321:D321,"W")&gt;0,"Y","N")</x:f>
        <x:v>Y</x:v>
      </x:c>
      <x:c r="X321" s="5" t="str">
        <x:f>IF(COUNTIF(B321:I321,"W")&gt;=4,"Y","N")</x:f>
        <x:v>N</x:v>
      </x:c>
      <x:c r="Y321" s="1"/>
      <x:c r="Z321" s="1"/>
      <x:c r="AA321" s="1"/>
      <x:c r="AB321" s="1"/>
      <x:c r="AC321" s="1"/>
      <x:c r="AD321" s="1"/>
      <x:c r="AE321" s="1"/>
    </x:row>
    <x:row r="322">
      <x:c r="A322" s="1">
        <x:v>321</x:v>
      </x:c>
      <x:c r="B322" t="str">
        <x:v>B</x:v>
      </x:c>
      <x:c r="C322" t="str">
        <x:v>B</x:v>
      </x:c>
      <x:c r="D322" t="str">
        <x:v>B</x:v>
      </x:c>
      <x:c r="E322" t="str">
        <x:v>W</x:v>
      </x:c>
      <x:c r="F322" t="str">
        <x:v>B</x:v>
      </x:c>
      <x:c r="G322" t="str">
        <x:v>B</x:v>
      </x:c>
      <x:c r="H322" t="str">
        <x:v>W</x:v>
      </x:c>
      <x:c r="I322" t="str">
        <x:v>B</x:v>
      </x:c>
      <x:c r="J322" t="str">
        <x:v>W</x:v>
      </x:c>
      <x:c r="K322" t="str">
        <x:v>B</x:v>
      </x:c>
      <x:c r="L322" t="str">
        <x:v>B</x:v>
      </x:c>
      <x:c r="M322" t="str">
        <x:v>B</x:v>
      </x:c>
      <x:c r="N322" t="str">
        <x:v>B</x:v>
      </x:c>
      <x:c r="O322" t="str">
        <x:v>B</x:v>
      </x:c>
      <x:c r="P322" t="str">
        <x:v>W</x:v>
      </x:c>
      <x:c r="Q322" t="str">
        <x:v>W</x:v>
      </x:c>
      <x:c r="R322" t="str">
        <x:v>B</x:v>
      </x:c>
      <x:c r="S322" t="str">
        <x:v>B</x:v>
      </x:c>
      <x:c r="T322" t="str">
        <x:v>B</x:v>
      </x:c>
      <x:c r="U322" t="str">
        <x:v>B</x:v>
      </x:c>
      <x:c r="V322" t="n">
        <x:f>COUNTIF(B322:U322,"W")</x:f>
        <x:v>5</x:v>
      </x:c>
      <x:c r="W322" s="5" t="str">
        <x:f>IF(COUNTIF(B322:D322,"W")&gt;0,"Y","N")</x:f>
        <x:v>N</x:v>
      </x:c>
      <x:c r="X322" s="5" t="str">
        <x:f>IF(COUNTIF(B322:I322,"W")&gt;=4,"Y","N")</x:f>
        <x:v>N</x:v>
      </x:c>
      <x:c r="Y322" s="1"/>
      <x:c r="Z322" s="1"/>
      <x:c r="AA322" s="1"/>
      <x:c r="AB322" s="1"/>
      <x:c r="AC322" s="1"/>
      <x:c r="AD322" s="1"/>
      <x:c r="AE322" s="1"/>
    </x:row>
    <x:row r="323">
      <x:c r="A323" s="1">
        <x:v>322</x:v>
      </x:c>
      <x:c r="B323" t="str">
        <x:v>B</x:v>
      </x:c>
      <x:c r="C323" t="str">
        <x:v>B</x:v>
      </x:c>
      <x:c r="D323" t="str">
        <x:v>B</x:v>
      </x:c>
      <x:c r="E323" t="str">
        <x:v>B</x:v>
      </x:c>
      <x:c r="F323" t="str">
        <x:v>W</x:v>
      </x:c>
      <x:c r="G323" t="str">
        <x:v>W</x:v>
      </x:c>
      <x:c r="H323" t="str">
        <x:v>W</x:v>
      </x:c>
      <x:c r="I323" t="str">
        <x:v>W</x:v>
      </x:c>
      <x:c r="J323" t="str">
        <x:v>B</x:v>
      </x:c>
      <x:c r="K323" t="str">
        <x:v>W</x:v>
      </x:c>
      <x:c r="L323" t="str">
        <x:v>W</x:v>
      </x:c>
      <x:c r="M323" t="str">
        <x:v>B</x:v>
      </x:c>
      <x:c r="N323" t="str">
        <x:v>W</x:v>
      </x:c>
      <x:c r="O323" t="str">
        <x:v>B</x:v>
      </x:c>
      <x:c r="P323" t="str">
        <x:v>W</x:v>
      </x:c>
      <x:c r="Q323" t="str">
        <x:v>B</x:v>
      </x:c>
      <x:c r="R323" t="str">
        <x:v>B</x:v>
      </x:c>
      <x:c r="S323" t="str">
        <x:v>W</x:v>
      </x:c>
      <x:c r="T323" t="str">
        <x:v>B</x:v>
      </x:c>
      <x:c r="U323" t="str">
        <x:v>B</x:v>
      </x:c>
      <x:c r="V323" t="n">
        <x:f>COUNTIF(B323:U323,"W")</x:f>
        <x:v>9</x:v>
      </x:c>
      <x:c r="W323" s="5" t="str">
        <x:f>IF(COUNTIF(B323:D323,"W")&gt;0,"Y","N")</x:f>
        <x:v>N</x:v>
      </x:c>
      <x:c r="X323" s="5" t="str">
        <x:f>IF(COUNTIF(B323:I323,"W")&gt;=4,"Y","N")</x:f>
        <x:v>Y</x:v>
      </x:c>
      <x:c r="Y323" s="1"/>
      <x:c r="Z323" s="1"/>
      <x:c r="AA323" s="1"/>
      <x:c r="AB323" s="1"/>
      <x:c r="AC323" s="1"/>
      <x:c r="AD323" s="1"/>
      <x:c r="AE323" s="1"/>
    </x:row>
    <x:row r="324">
      <x:c r="A324" s="1">
        <x:v>323</x:v>
      </x:c>
      <x:c r="B324" t="str">
        <x:v>B</x:v>
      </x:c>
      <x:c r="C324" t="str">
        <x:v>W</x:v>
      </x:c>
      <x:c r="D324" t="str">
        <x:v>B</x:v>
      </x:c>
      <x:c r="E324" t="str">
        <x:v>B</x:v>
      </x:c>
      <x:c r="F324" t="str">
        <x:v>W</x:v>
      </x:c>
      <x:c r="G324" t="str">
        <x:v>B</x:v>
      </x:c>
      <x:c r="H324" t="str">
        <x:v>B</x:v>
      </x:c>
      <x:c r="I324" t="str">
        <x:v>W</x:v>
      </x:c>
      <x:c r="J324" t="str">
        <x:v>W</x:v>
      </x:c>
      <x:c r="K324" t="str">
        <x:v>W</x:v>
      </x:c>
      <x:c r="L324" t="str">
        <x:v>B</x:v>
      </x:c>
      <x:c r="M324" t="str">
        <x:v>W</x:v>
      </x:c>
      <x:c r="N324" t="str">
        <x:v>W</x:v>
      </x:c>
      <x:c r="O324" t="str">
        <x:v>B</x:v>
      </x:c>
      <x:c r="P324" t="str">
        <x:v>B</x:v>
      </x:c>
      <x:c r="Q324" t="str">
        <x:v>W</x:v>
      </x:c>
      <x:c r="R324" t="str">
        <x:v>B</x:v>
      </x:c>
      <x:c r="S324" t="str">
        <x:v>B</x:v>
      </x:c>
      <x:c r="T324" t="str">
        <x:v>B</x:v>
      </x:c>
      <x:c r="U324" t="str">
        <x:v>B</x:v>
      </x:c>
      <x:c r="V324" t="n">
        <x:f>COUNTIF(B324:U324,"W")</x:f>
        <x:v>8</x:v>
      </x:c>
      <x:c r="W324" s="5" t="str">
        <x:f>IF(COUNTIF(B324:D324,"W")&gt;0,"Y","N")</x:f>
        <x:v>Y</x:v>
      </x:c>
      <x:c r="X324" s="5" t="str">
        <x:f>IF(COUNTIF(B324:I324,"W")&gt;=4,"Y","N")</x:f>
        <x:v>N</x:v>
      </x:c>
      <x:c r="Y324" s="1"/>
      <x:c r="Z324" s="1"/>
      <x:c r="AA324" s="1"/>
      <x:c r="AB324" s="1"/>
      <x:c r="AC324" s="1"/>
      <x:c r="AD324" s="1"/>
      <x:c r="AE324" s="1"/>
    </x:row>
    <x:row r="325">
      <x:c r="A325" s="1">
        <x:v>324</x:v>
      </x:c>
      <x:c r="B325" t="str">
        <x:v>B</x:v>
      </x:c>
      <x:c r="C325" t="str">
        <x:v>W</x:v>
      </x:c>
      <x:c r="D325" t="str">
        <x:v>B</x:v>
      </x:c>
      <x:c r="E325" t="str">
        <x:v>W</x:v>
      </x:c>
      <x:c r="F325" t="str">
        <x:v>W</x:v>
      </x:c>
      <x:c r="G325" t="str">
        <x:v>B</x:v>
      </x:c>
      <x:c r="H325" t="str">
        <x:v>B</x:v>
      </x:c>
      <x:c r="I325" t="str">
        <x:v>B</x:v>
      </x:c>
      <x:c r="J325" t="str">
        <x:v>W</x:v>
      </x:c>
      <x:c r="K325" t="str">
        <x:v>B</x:v>
      </x:c>
      <x:c r="L325" t="str">
        <x:v>W</x:v>
      </x:c>
      <x:c r="M325" t="str">
        <x:v>W</x:v>
      </x:c>
      <x:c r="N325" t="str">
        <x:v>B</x:v>
      </x:c>
      <x:c r="O325" t="str">
        <x:v>B</x:v>
      </x:c>
      <x:c r="P325" t="str">
        <x:v>B</x:v>
      </x:c>
      <x:c r="Q325" t="str">
        <x:v>W</x:v>
      </x:c>
      <x:c r="R325" t="str">
        <x:v>B</x:v>
      </x:c>
      <x:c r="S325" t="str">
        <x:v>B</x:v>
      </x:c>
      <x:c r="T325" t="str">
        <x:v>B</x:v>
      </x:c>
      <x:c r="U325" t="str">
        <x:v>B</x:v>
      </x:c>
      <x:c r="V325" t="n">
        <x:f>COUNTIF(B325:U325,"W")</x:f>
        <x:v>7</x:v>
      </x:c>
      <x:c r="W325" s="5" t="str">
        <x:f>IF(COUNTIF(B325:D325,"W")&gt;0,"Y","N")</x:f>
        <x:v>Y</x:v>
      </x:c>
      <x:c r="X325" s="5" t="str">
        <x:f>IF(COUNTIF(B325:I325,"W")&gt;=4,"Y","N")</x:f>
        <x:v>N</x:v>
      </x:c>
      <x:c r="Y325" s="1"/>
      <x:c r="Z325" s="1"/>
      <x:c r="AA325" s="1"/>
      <x:c r="AB325" s="1"/>
      <x:c r="AC325" s="1"/>
      <x:c r="AD325" s="1"/>
      <x:c r="AE325" s="1"/>
    </x:row>
    <x:row r="326">
      <x:c r="A326" s="1">
        <x:v>325</x:v>
      </x:c>
      <x:c r="B326" t="str">
        <x:v>B</x:v>
      </x:c>
      <x:c r="C326" t="str">
        <x:v>W</x:v>
      </x:c>
      <x:c r="D326" t="str">
        <x:v>W</x:v>
      </x:c>
      <x:c r="E326" t="str">
        <x:v>B</x:v>
      </x:c>
      <x:c r="F326" t="str">
        <x:v>B</x:v>
      </x:c>
      <x:c r="G326" t="str">
        <x:v>B</x:v>
      </x:c>
      <x:c r="H326" t="str">
        <x:v>W</x:v>
      </x:c>
      <x:c r="I326" t="str">
        <x:v>B</x:v>
      </x:c>
      <x:c r="J326" t="str">
        <x:v>W</x:v>
      </x:c>
      <x:c r="K326" t="str">
        <x:v>B</x:v>
      </x:c>
      <x:c r="L326" t="str">
        <x:v>W</x:v>
      </x:c>
      <x:c r="M326" t="str">
        <x:v>B</x:v>
      </x:c>
      <x:c r="N326" t="str">
        <x:v>B</x:v>
      </x:c>
      <x:c r="O326" t="str">
        <x:v>B</x:v>
      </x:c>
      <x:c r="P326" t="str">
        <x:v>W</x:v>
      </x:c>
      <x:c r="Q326" t="str">
        <x:v>B</x:v>
      </x:c>
      <x:c r="R326" t="str">
        <x:v>W</x:v>
      </x:c>
      <x:c r="S326" t="str">
        <x:v>W</x:v>
      </x:c>
      <x:c r="T326" t="str">
        <x:v>W</x:v>
      </x:c>
      <x:c r="U326" t="str">
        <x:v>B</x:v>
      </x:c>
      <x:c r="V326" t="n">
        <x:f>COUNTIF(B326:U326,"W")</x:f>
        <x:v>9</x:v>
      </x:c>
      <x:c r="W326" s="5" t="str">
        <x:f>IF(COUNTIF(B326:D326,"W")&gt;0,"Y","N")</x:f>
        <x:v>Y</x:v>
      </x:c>
      <x:c r="X326" s="5" t="str">
        <x:f>IF(COUNTIF(B326:I326,"W")&gt;=4,"Y","N")</x:f>
        <x:v>N</x:v>
      </x:c>
      <x:c r="Y326" s="1"/>
      <x:c r="Z326" s="1"/>
      <x:c r="AA326" s="1"/>
      <x:c r="AB326" s="1"/>
      <x:c r="AC326" s="1"/>
      <x:c r="AD326" s="1"/>
      <x:c r="AE326" s="1"/>
    </x:row>
    <x:row r="327">
      <x:c r="A327" s="1">
        <x:v>326</x:v>
      </x:c>
      <x:c r="B327" t="str">
        <x:v>B</x:v>
      </x:c>
      <x:c r="C327" t="str">
        <x:v>W</x:v>
      </x:c>
      <x:c r="D327" t="str">
        <x:v>B</x:v>
      </x:c>
      <x:c r="E327" t="str">
        <x:v>W</x:v>
      </x:c>
      <x:c r="F327" t="str">
        <x:v>W</x:v>
      </x:c>
      <x:c r="G327" t="str">
        <x:v>B</x:v>
      </x:c>
      <x:c r="H327" t="str">
        <x:v>B</x:v>
      </x:c>
      <x:c r="I327" t="str">
        <x:v>W</x:v>
      </x:c>
      <x:c r="J327" t="str">
        <x:v>W</x:v>
      </x:c>
      <x:c r="K327" t="str">
        <x:v>B</x:v>
      </x:c>
      <x:c r="L327" t="str">
        <x:v>B</x:v>
      </x:c>
      <x:c r="M327" t="str">
        <x:v>W</x:v>
      </x:c>
      <x:c r="N327" t="str">
        <x:v>B</x:v>
      </x:c>
      <x:c r="O327" t="str">
        <x:v>B</x:v>
      </x:c>
      <x:c r="P327" t="str">
        <x:v>W</x:v>
      </x:c>
      <x:c r="Q327" t="str">
        <x:v>B</x:v>
      </x:c>
      <x:c r="R327" t="str">
        <x:v>W</x:v>
      </x:c>
      <x:c r="S327" t="str">
        <x:v>B</x:v>
      </x:c>
      <x:c r="T327" t="str">
        <x:v>W</x:v>
      </x:c>
      <x:c r="U327" t="str">
        <x:v>B</x:v>
      </x:c>
      <x:c r="V327" t="n">
        <x:f>COUNTIF(B327:U327,"W")</x:f>
        <x:v>9</x:v>
      </x:c>
      <x:c r="W327" s="5" t="str">
        <x:f>IF(COUNTIF(B327:D327,"W")&gt;0,"Y","N")</x:f>
        <x:v>Y</x:v>
      </x:c>
      <x:c r="X327" s="5" t="str">
        <x:f>IF(COUNTIF(B327:I327,"W")&gt;=4,"Y","N")</x:f>
        <x:v>Y</x:v>
      </x:c>
      <x:c r="Y327" s="1"/>
      <x:c r="Z327" s="1"/>
      <x:c r="AA327" s="1"/>
      <x:c r="AB327" s="1"/>
      <x:c r="AC327" s="1"/>
      <x:c r="AD327" s="1"/>
      <x:c r="AE327" s="1"/>
    </x:row>
    <x:row r="328">
      <x:c r="A328" s="1">
        <x:v>327</x:v>
      </x:c>
      <x:c r="B328" t="str">
        <x:v>B</x:v>
      </x:c>
      <x:c r="C328" t="str">
        <x:v>B</x:v>
      </x:c>
      <x:c r="D328" t="str">
        <x:v>B</x:v>
      </x:c>
      <x:c r="E328" t="str">
        <x:v>B</x:v>
      </x:c>
      <x:c r="F328" t="str">
        <x:v>B</x:v>
      </x:c>
      <x:c r="G328" t="str">
        <x:v>B</x:v>
      </x:c>
      <x:c r="H328" t="str">
        <x:v>B</x:v>
      </x:c>
      <x:c r="I328" t="str">
        <x:v>W</x:v>
      </x:c>
      <x:c r="J328" t="str">
        <x:v>B</x:v>
      </x:c>
      <x:c r="K328" t="str">
        <x:v>W</x:v>
      </x:c>
      <x:c r="L328" t="str">
        <x:v>B</x:v>
      </x:c>
      <x:c r="M328" t="str">
        <x:v>B</x:v>
      </x:c>
      <x:c r="N328" t="str">
        <x:v>B</x:v>
      </x:c>
      <x:c r="O328" t="str">
        <x:v>B</x:v>
      </x:c>
      <x:c r="P328" t="str">
        <x:v>B</x:v>
      </x:c>
      <x:c r="Q328" t="str">
        <x:v>W</x:v>
      </x:c>
      <x:c r="R328" t="str">
        <x:v>B</x:v>
      </x:c>
      <x:c r="S328" t="str">
        <x:v>W</x:v>
      </x:c>
      <x:c r="T328" t="str">
        <x:v>B</x:v>
      </x:c>
      <x:c r="U328" t="str">
        <x:v>B</x:v>
      </x:c>
      <x:c r="V328" t="n">
        <x:f>COUNTIF(B328:U328,"W")</x:f>
        <x:v>4</x:v>
      </x:c>
      <x:c r="W328" s="5" t="str">
        <x:f>IF(COUNTIF(B328:D328,"W")&gt;0,"Y","N")</x:f>
        <x:v>N</x:v>
      </x:c>
      <x:c r="X328" s="5" t="str">
        <x:f>IF(COUNTIF(B328:I328,"W")&gt;=4,"Y","N")</x:f>
        <x:v>N</x:v>
      </x:c>
      <x:c r="Y328" s="1"/>
      <x:c r="Z328" s="1"/>
      <x:c r="AA328" s="1"/>
      <x:c r="AB328" s="1"/>
      <x:c r="AC328" s="1"/>
      <x:c r="AD328" s="1"/>
      <x:c r="AE328" s="1"/>
    </x:row>
    <x:row r="329">
      <x:c r="A329" s="1">
        <x:v>328</x:v>
      </x:c>
      <x:c r="B329" t="str">
        <x:v>W</x:v>
      </x:c>
      <x:c r="C329" t="str">
        <x:v>W</x:v>
      </x:c>
      <x:c r="D329" t="str">
        <x:v>B</x:v>
      </x:c>
      <x:c r="E329" t="str">
        <x:v>W</x:v>
      </x:c>
      <x:c r="F329" t="str">
        <x:v>B</x:v>
      </x:c>
      <x:c r="G329" t="str">
        <x:v>B</x:v>
      </x:c>
      <x:c r="H329" t="str">
        <x:v>W</x:v>
      </x:c>
      <x:c r="I329" t="str">
        <x:v>B</x:v>
      </x:c>
      <x:c r="J329" t="str">
        <x:v>W</x:v>
      </x:c>
      <x:c r="K329" t="str">
        <x:v>B</x:v>
      </x:c>
      <x:c r="L329" t="str">
        <x:v>W</x:v>
      </x:c>
      <x:c r="M329" t="str">
        <x:v>B</x:v>
      </x:c>
      <x:c r="N329" t="str">
        <x:v>B</x:v>
      </x:c>
      <x:c r="O329" t="str">
        <x:v>B</x:v>
      </x:c>
      <x:c r="P329" t="str">
        <x:v>B</x:v>
      </x:c>
      <x:c r="Q329" t="str">
        <x:v>B</x:v>
      </x:c>
      <x:c r="R329" t="str">
        <x:v>B</x:v>
      </x:c>
      <x:c r="S329" t="str">
        <x:v>B</x:v>
      </x:c>
      <x:c r="T329" t="str">
        <x:v>B</x:v>
      </x:c>
      <x:c r="U329" t="str">
        <x:v>B</x:v>
      </x:c>
      <x:c r="V329" t="n">
        <x:f>COUNTIF(B329:U329,"W")</x:f>
        <x:v>6</x:v>
      </x:c>
      <x:c r="W329" s="5" t="str">
        <x:f>IF(COUNTIF(B329:D329,"W")&gt;0,"Y","N")</x:f>
        <x:v>Y</x:v>
      </x:c>
      <x:c r="X329" s="5" t="str">
        <x:f>IF(COUNTIF(B329:I329,"W")&gt;=4,"Y","N")</x:f>
        <x:v>Y</x:v>
      </x:c>
      <x:c r="Y329" s="1"/>
      <x:c r="Z329" s="1"/>
      <x:c r="AA329" s="1"/>
      <x:c r="AB329" s="1"/>
      <x:c r="AC329" s="1"/>
      <x:c r="AD329" s="1"/>
      <x:c r="AE329" s="1"/>
    </x:row>
    <x:row r="330">
      <x:c r="A330" s="1">
        <x:v>329</x:v>
      </x:c>
      <x:c r="B330" t="str">
        <x:v>B</x:v>
      </x:c>
      <x:c r="C330" t="str">
        <x:v>W</x:v>
      </x:c>
      <x:c r="D330" t="str">
        <x:v>B</x:v>
      </x:c>
      <x:c r="E330" t="str">
        <x:v>W</x:v>
      </x:c>
      <x:c r="F330" t="str">
        <x:v>B</x:v>
      </x:c>
      <x:c r="G330" t="str">
        <x:v>W</x:v>
      </x:c>
      <x:c r="H330" t="str">
        <x:v>B</x:v>
      </x:c>
      <x:c r="I330" t="str">
        <x:v>W</x:v>
      </x:c>
      <x:c r="J330" t="str">
        <x:v>W</x:v>
      </x:c>
      <x:c r="K330" t="str">
        <x:v>B</x:v>
      </x:c>
      <x:c r="L330" t="str">
        <x:v>B</x:v>
      </x:c>
      <x:c r="M330" t="str">
        <x:v>B</x:v>
      </x:c>
      <x:c r="N330" t="str">
        <x:v>B</x:v>
      </x:c>
      <x:c r="O330" t="str">
        <x:v>B</x:v>
      </x:c>
      <x:c r="P330" t="str">
        <x:v>W</x:v>
      </x:c>
      <x:c r="Q330" t="str">
        <x:v>B</x:v>
      </x:c>
      <x:c r="R330" t="str">
        <x:v>W</x:v>
      </x:c>
      <x:c r="S330" t="str">
        <x:v>W</x:v>
      </x:c>
      <x:c r="T330" t="str">
        <x:v>B</x:v>
      </x:c>
      <x:c r="U330" t="str">
        <x:v>W</x:v>
      </x:c>
      <x:c r="V330" t="n">
        <x:f>COUNTIF(B330:U330,"W")</x:f>
        <x:v>9</x:v>
      </x:c>
      <x:c r="W330" s="5" t="str">
        <x:f>IF(COUNTIF(B330:D330,"W")&gt;0,"Y","N")</x:f>
        <x:v>Y</x:v>
      </x:c>
      <x:c r="X330" s="5" t="str">
        <x:f>IF(COUNTIF(B330:I330,"W")&gt;=4,"Y","N")</x:f>
        <x:v>Y</x:v>
      </x:c>
      <x:c r="Y330" s="1"/>
      <x:c r="Z330" s="1"/>
      <x:c r="AA330" s="1"/>
      <x:c r="AB330" s="1"/>
      <x:c r="AC330" s="1"/>
      <x:c r="AD330" s="1"/>
      <x:c r="AE330" s="1"/>
    </x:row>
    <x:row r="331">
      <x:c r="A331" s="1">
        <x:v>330</x:v>
      </x:c>
      <x:c r="B331" t="str">
        <x:v>W</x:v>
      </x:c>
      <x:c r="C331" t="str">
        <x:v>B</x:v>
      </x:c>
      <x:c r="D331" t="str">
        <x:v>B</x:v>
      </x:c>
      <x:c r="E331" t="str">
        <x:v>W</x:v>
      </x:c>
      <x:c r="F331" t="str">
        <x:v>B</x:v>
      </x:c>
      <x:c r="G331" t="str">
        <x:v>B</x:v>
      </x:c>
      <x:c r="H331" t="str">
        <x:v>B</x:v>
      </x:c>
      <x:c r="I331" t="str">
        <x:v>W</x:v>
      </x:c>
      <x:c r="J331" t="str">
        <x:v>W</x:v>
      </x:c>
      <x:c r="K331" t="str">
        <x:v>B</x:v>
      </x:c>
      <x:c r="L331" t="str">
        <x:v>W</x:v>
      </x:c>
      <x:c r="M331" t="str">
        <x:v>B</x:v>
      </x:c>
      <x:c r="N331" t="str">
        <x:v>W</x:v>
      </x:c>
      <x:c r="O331" t="str">
        <x:v>W</x:v>
      </x:c>
      <x:c r="P331" t="str">
        <x:v>B</x:v>
      </x:c>
      <x:c r="Q331" t="str">
        <x:v>W</x:v>
      </x:c>
      <x:c r="R331" t="str">
        <x:v>B</x:v>
      </x:c>
      <x:c r="S331" t="str">
        <x:v>B</x:v>
      </x:c>
      <x:c r="T331" t="str">
        <x:v>B</x:v>
      </x:c>
      <x:c r="U331" t="str">
        <x:v>W</x:v>
      </x:c>
      <x:c r="V331" t="n">
        <x:f>COUNTIF(B331:U331,"W")</x:f>
        <x:v>9</x:v>
      </x:c>
      <x:c r="W331" s="5" t="str">
        <x:f>IF(COUNTIF(B331:D331,"W")&gt;0,"Y","N")</x:f>
        <x:v>Y</x:v>
      </x:c>
      <x:c r="X331" s="5" t="str">
        <x:f>IF(COUNTIF(B331:I331,"W")&gt;=4,"Y","N")</x:f>
        <x:v>N</x:v>
      </x:c>
      <x:c r="Y331" s="1"/>
      <x:c r="Z331" s="1"/>
      <x:c r="AA331" s="1"/>
      <x:c r="AB331" s="1"/>
      <x:c r="AC331" s="1"/>
      <x:c r="AD331" s="1"/>
      <x:c r="AE331" s="1"/>
    </x:row>
    <x:row r="332">
      <x:c r="A332" s="1">
        <x:v>331</x:v>
      </x:c>
      <x:c r="B332" t="str">
        <x:v>B</x:v>
      </x:c>
      <x:c r="C332" t="str">
        <x:v>B</x:v>
      </x:c>
      <x:c r="D332" t="str">
        <x:v>W</x:v>
      </x:c>
      <x:c r="E332" t="str">
        <x:v>B</x:v>
      </x:c>
      <x:c r="F332" t="str">
        <x:v>W</x:v>
      </x:c>
      <x:c r="G332" t="str">
        <x:v>W</x:v>
      </x:c>
      <x:c r="H332" t="str">
        <x:v>W</x:v>
      </x:c>
      <x:c r="I332" t="str">
        <x:v>B</x:v>
      </x:c>
      <x:c r="J332" t="str">
        <x:v>W</x:v>
      </x:c>
      <x:c r="K332" t="str">
        <x:v>B</x:v>
      </x:c>
      <x:c r="L332" t="str">
        <x:v>B</x:v>
      </x:c>
      <x:c r="M332" t="str">
        <x:v>W</x:v>
      </x:c>
      <x:c r="N332" t="str">
        <x:v>W</x:v>
      </x:c>
      <x:c r="O332" t="str">
        <x:v>B</x:v>
      </x:c>
      <x:c r="P332" t="str">
        <x:v>B</x:v>
      </x:c>
      <x:c r="Q332" t="str">
        <x:v>W</x:v>
      </x:c>
      <x:c r="R332" t="str">
        <x:v>W</x:v>
      </x:c>
      <x:c r="S332" t="str">
        <x:v>W</x:v>
      </x:c>
      <x:c r="T332" t="str">
        <x:v>W</x:v>
      </x:c>
      <x:c r="U332" t="str">
        <x:v>B</x:v>
      </x:c>
      <x:c r="V332" t="n">
        <x:f>COUNTIF(B332:U332,"W")</x:f>
        <x:v>11</x:v>
      </x:c>
      <x:c r="W332" s="5" t="str">
        <x:f>IF(COUNTIF(B332:D332,"W")&gt;0,"Y","N")</x:f>
        <x:v>Y</x:v>
      </x:c>
      <x:c r="X332" s="5" t="str">
        <x:f>IF(COUNTIF(B332:I332,"W")&gt;=4,"Y","N")</x:f>
        <x:v>Y</x:v>
      </x:c>
      <x:c r="Y332" s="1"/>
      <x:c r="Z332" s="1"/>
      <x:c r="AA332" s="1"/>
      <x:c r="AB332" s="1"/>
      <x:c r="AC332" s="1"/>
      <x:c r="AD332" s="1"/>
      <x:c r="AE332" s="1"/>
    </x:row>
    <x:row r="333">
      <x:c r="A333" s="1">
        <x:v>332</x:v>
      </x:c>
      <x:c r="B333" t="str">
        <x:v>B</x:v>
      </x:c>
      <x:c r="C333" t="str">
        <x:v>B</x:v>
      </x:c>
      <x:c r="D333" t="str">
        <x:v>B</x:v>
      </x:c>
      <x:c r="E333" t="str">
        <x:v>B</x:v>
      </x:c>
      <x:c r="F333" t="str">
        <x:v>B</x:v>
      </x:c>
      <x:c r="G333" t="str">
        <x:v>W</x:v>
      </x:c>
      <x:c r="H333" t="str">
        <x:v>W</x:v>
      </x:c>
      <x:c r="I333" t="str">
        <x:v>B</x:v>
      </x:c>
      <x:c r="J333" t="str">
        <x:v>B</x:v>
      </x:c>
      <x:c r="K333" t="str">
        <x:v>B</x:v>
      </x:c>
      <x:c r="L333" t="str">
        <x:v>W</x:v>
      </x:c>
      <x:c r="M333" t="str">
        <x:v>W</x:v>
      </x:c>
      <x:c r="N333" t="str">
        <x:v>B</x:v>
      </x:c>
      <x:c r="O333" t="str">
        <x:v>B</x:v>
      </x:c>
      <x:c r="P333" t="str">
        <x:v>B</x:v>
      </x:c>
      <x:c r="Q333" t="str">
        <x:v>B</x:v>
      </x:c>
      <x:c r="R333" t="str">
        <x:v>W</x:v>
      </x:c>
      <x:c r="S333" t="str">
        <x:v>W</x:v>
      </x:c>
      <x:c r="T333" t="str">
        <x:v>B</x:v>
      </x:c>
      <x:c r="U333" t="str">
        <x:v>B</x:v>
      </x:c>
      <x:c r="V333" t="n">
        <x:f>COUNTIF(B333:U333,"W")</x:f>
        <x:v>6</x:v>
      </x:c>
      <x:c r="W333" s="5" t="str">
        <x:f>IF(COUNTIF(B333:D333,"W")&gt;0,"Y","N")</x:f>
        <x:v>N</x:v>
      </x:c>
      <x:c r="X333" s="5" t="str">
        <x:f>IF(COUNTIF(B333:I333,"W")&gt;=4,"Y","N")</x:f>
        <x:v>N</x:v>
      </x:c>
      <x:c r="Y333" s="1"/>
      <x:c r="Z333" s="1"/>
      <x:c r="AA333" s="1"/>
      <x:c r="AB333" s="1"/>
      <x:c r="AC333" s="1"/>
      <x:c r="AD333" s="1"/>
      <x:c r="AE333" s="1"/>
    </x:row>
    <x:row r="334">
      <x:c r="A334" s="1">
        <x:v>333</x:v>
      </x:c>
      <x:c r="B334" t="str">
        <x:v>B</x:v>
      </x:c>
      <x:c r="C334" t="str">
        <x:v>B</x:v>
      </x:c>
      <x:c r="D334" t="str">
        <x:v>W</x:v>
      </x:c>
      <x:c r="E334" t="str">
        <x:v>B</x:v>
      </x:c>
      <x:c r="F334" t="str">
        <x:v>B</x:v>
      </x:c>
      <x:c r="G334" t="str">
        <x:v>B</x:v>
      </x:c>
      <x:c r="H334" t="str">
        <x:v>B</x:v>
      </x:c>
      <x:c r="I334" t="str">
        <x:v>B</x:v>
      </x:c>
      <x:c r="J334" t="str">
        <x:v>B</x:v>
      </x:c>
      <x:c r="K334" t="str">
        <x:v>B</x:v>
      </x:c>
      <x:c r="L334" t="str">
        <x:v>B</x:v>
      </x:c>
      <x:c r="M334" t="str">
        <x:v>B</x:v>
      </x:c>
      <x:c r="N334" t="str">
        <x:v>B</x:v>
      </x:c>
      <x:c r="O334" t="str">
        <x:v>W</x:v>
      </x:c>
      <x:c r="P334" t="str">
        <x:v>B</x:v>
      </x:c>
      <x:c r="Q334" t="str">
        <x:v>B</x:v>
      </x:c>
      <x:c r="R334" t="str">
        <x:v>B</x:v>
      </x:c>
      <x:c r="S334" t="str">
        <x:v>B</x:v>
      </x:c>
      <x:c r="T334" t="str">
        <x:v>W</x:v>
      </x:c>
      <x:c r="U334" t="str">
        <x:v>B</x:v>
      </x:c>
      <x:c r="V334" t="n">
        <x:f>COUNTIF(B334:U334,"W")</x:f>
        <x:v>3</x:v>
      </x:c>
      <x:c r="W334" s="5" t="str">
        <x:f>IF(COUNTIF(B334:D334,"W")&gt;0,"Y","N")</x:f>
        <x:v>Y</x:v>
      </x:c>
      <x:c r="X334" s="5" t="str">
        <x:f>IF(COUNTIF(B334:I334,"W")&gt;=4,"Y","N")</x:f>
        <x:v>N</x:v>
      </x:c>
      <x:c r="Y334" s="1"/>
      <x:c r="Z334" s="1"/>
      <x:c r="AA334" s="1"/>
      <x:c r="AB334" s="1"/>
      <x:c r="AC334" s="1"/>
      <x:c r="AD334" s="1"/>
      <x:c r="AE334" s="1"/>
    </x:row>
    <x:row r="335">
      <x:c r="A335" s="1">
        <x:v>334</x:v>
      </x:c>
      <x:c r="B335" t="str">
        <x:v>B</x:v>
      </x:c>
      <x:c r="C335" t="str">
        <x:v>W</x:v>
      </x:c>
      <x:c r="D335" t="str">
        <x:v>B</x:v>
      </x:c>
      <x:c r="E335" t="str">
        <x:v>B</x:v>
      </x:c>
      <x:c r="F335" t="str">
        <x:v>B</x:v>
      </x:c>
      <x:c r="G335" t="str">
        <x:v>B</x:v>
      </x:c>
      <x:c r="H335" t="str">
        <x:v>B</x:v>
      </x:c>
      <x:c r="I335" t="str">
        <x:v>W</x:v>
      </x:c>
      <x:c r="J335" t="str">
        <x:v>B</x:v>
      </x:c>
      <x:c r="K335" t="str">
        <x:v>B</x:v>
      </x:c>
      <x:c r="L335" t="str">
        <x:v>W</x:v>
      </x:c>
      <x:c r="M335" t="str">
        <x:v>B</x:v>
      </x:c>
      <x:c r="N335" t="str">
        <x:v>W</x:v>
      </x:c>
      <x:c r="O335" t="str">
        <x:v>B</x:v>
      </x:c>
      <x:c r="P335" t="str">
        <x:v>B</x:v>
      </x:c>
      <x:c r="Q335" t="str">
        <x:v>B</x:v>
      </x:c>
      <x:c r="R335" t="str">
        <x:v>B</x:v>
      </x:c>
      <x:c r="S335" t="str">
        <x:v>B</x:v>
      </x:c>
      <x:c r="T335" t="str">
        <x:v>W</x:v>
      </x:c>
      <x:c r="U335" t="str">
        <x:v>W</x:v>
      </x:c>
      <x:c r="V335" t="n">
        <x:f>COUNTIF(B335:U335,"W")</x:f>
        <x:v>6</x:v>
      </x:c>
      <x:c r="W335" s="5" t="str">
        <x:f>IF(COUNTIF(B335:D335,"W")&gt;0,"Y","N")</x:f>
        <x:v>Y</x:v>
      </x:c>
      <x:c r="X335" s="5" t="str">
        <x:f>IF(COUNTIF(B335:I335,"W")&gt;=4,"Y","N")</x:f>
        <x:v>N</x:v>
      </x:c>
      <x:c r="Y335" s="1"/>
      <x:c r="Z335" s="1"/>
      <x:c r="AA335" s="1"/>
      <x:c r="AB335" s="1"/>
      <x:c r="AC335" s="1"/>
      <x:c r="AD335" s="1"/>
      <x:c r="AE335" s="1"/>
    </x:row>
    <x:row r="336">
      <x:c r="A336" s="1">
        <x:v>335</x:v>
      </x:c>
      <x:c r="B336" t="str">
        <x:v>B</x:v>
      </x:c>
      <x:c r="C336" t="str">
        <x:v>W</x:v>
      </x:c>
      <x:c r="D336" t="str">
        <x:v>B</x:v>
      </x:c>
      <x:c r="E336" t="str">
        <x:v>B</x:v>
      </x:c>
      <x:c r="F336" t="str">
        <x:v>W</x:v>
      </x:c>
      <x:c r="G336" t="str">
        <x:v>B</x:v>
      </x:c>
      <x:c r="H336" t="str">
        <x:v>B</x:v>
      </x:c>
      <x:c r="I336" t="str">
        <x:v>B</x:v>
      </x:c>
      <x:c r="J336" t="str">
        <x:v>B</x:v>
      </x:c>
      <x:c r="K336" t="str">
        <x:v>W</x:v>
      </x:c>
      <x:c r="L336" t="str">
        <x:v>B</x:v>
      </x:c>
      <x:c r="M336" t="str">
        <x:v>B</x:v>
      </x:c>
      <x:c r="N336" t="str">
        <x:v>B</x:v>
      </x:c>
      <x:c r="O336" t="str">
        <x:v>W</x:v>
      </x:c>
      <x:c r="P336" t="str">
        <x:v>B</x:v>
      </x:c>
      <x:c r="Q336" t="str">
        <x:v>W</x:v>
      </x:c>
      <x:c r="R336" t="str">
        <x:v>B</x:v>
      </x:c>
      <x:c r="S336" t="str">
        <x:v>B</x:v>
      </x:c>
      <x:c r="T336" t="str">
        <x:v>B</x:v>
      </x:c>
      <x:c r="U336" t="str">
        <x:v>B</x:v>
      </x:c>
      <x:c r="V336" t="n">
        <x:f>COUNTIF(B336:U336,"W")</x:f>
        <x:v>5</x:v>
      </x:c>
      <x:c r="W336" s="5" t="str">
        <x:f>IF(COUNTIF(B336:D336,"W")&gt;0,"Y","N")</x:f>
        <x:v>Y</x:v>
      </x:c>
      <x:c r="X336" s="5" t="str">
        <x:f>IF(COUNTIF(B336:I336,"W")&gt;=4,"Y","N")</x:f>
        <x:v>N</x:v>
      </x:c>
      <x:c r="Y336" s="1"/>
      <x:c r="Z336" s="1"/>
      <x:c r="AA336" s="1"/>
      <x:c r="AB336" s="1"/>
      <x:c r="AC336" s="1"/>
      <x:c r="AD336" s="1"/>
      <x:c r="AE336" s="1"/>
    </x:row>
    <x:row r="337">
      <x:c r="A337" s="1">
        <x:v>336</x:v>
      </x:c>
      <x:c r="B337" t="str">
        <x:v>B</x:v>
      </x:c>
      <x:c r="C337" t="str">
        <x:v>W</x:v>
      </x:c>
      <x:c r="D337" t="str">
        <x:v>B</x:v>
      </x:c>
      <x:c r="E337" t="str">
        <x:v>W</x:v>
      </x:c>
      <x:c r="F337" t="str">
        <x:v>B</x:v>
      </x:c>
      <x:c r="G337" t="str">
        <x:v>B</x:v>
      </x:c>
      <x:c r="H337" t="str">
        <x:v>B</x:v>
      </x:c>
      <x:c r="I337" t="str">
        <x:v>W</x:v>
      </x:c>
      <x:c r="J337" t="str">
        <x:v>B</x:v>
      </x:c>
      <x:c r="K337" t="str">
        <x:v>B</x:v>
      </x:c>
      <x:c r="L337" t="str">
        <x:v>B</x:v>
      </x:c>
      <x:c r="M337" t="str">
        <x:v>B</x:v>
      </x:c>
      <x:c r="N337" t="str">
        <x:v>W</x:v>
      </x:c>
      <x:c r="O337" t="str">
        <x:v>W</x:v>
      </x:c>
      <x:c r="P337" t="str">
        <x:v>B</x:v>
      </x:c>
      <x:c r="Q337" t="str">
        <x:v>W</x:v>
      </x:c>
      <x:c r="R337" t="str">
        <x:v>W</x:v>
      </x:c>
      <x:c r="S337" t="str">
        <x:v>W</x:v>
      </x:c>
      <x:c r="T337" t="str">
        <x:v>B</x:v>
      </x:c>
      <x:c r="U337" t="str">
        <x:v>B</x:v>
      </x:c>
      <x:c r="V337" t="n">
        <x:f>COUNTIF(B337:U337,"W")</x:f>
        <x:v>8</x:v>
      </x:c>
      <x:c r="W337" s="5" t="str">
        <x:f>IF(COUNTIF(B337:D337,"W")&gt;0,"Y","N")</x:f>
        <x:v>Y</x:v>
      </x:c>
      <x:c r="X337" s="5" t="str">
        <x:f>IF(COUNTIF(B337:I337,"W")&gt;=4,"Y","N")</x:f>
        <x:v>N</x:v>
      </x:c>
      <x:c r="Y337" s="1"/>
      <x:c r="Z337" s="1"/>
      <x:c r="AA337" s="1"/>
      <x:c r="AB337" s="1"/>
      <x:c r="AC337" s="1"/>
      <x:c r="AD337" s="1"/>
      <x:c r="AE337" s="1"/>
    </x:row>
    <x:row r="338">
      <x:c r="A338" s="1">
        <x:v>337</x:v>
      </x:c>
      <x:c r="B338" t="str">
        <x:v>W</x:v>
      </x:c>
      <x:c r="C338" t="str">
        <x:v>W</x:v>
      </x:c>
      <x:c r="D338" t="str">
        <x:v>B</x:v>
      </x:c>
      <x:c r="E338" t="str">
        <x:v>W</x:v>
      </x:c>
      <x:c r="F338" t="str">
        <x:v>B</x:v>
      </x:c>
      <x:c r="G338" t="str">
        <x:v>W</x:v>
      </x:c>
      <x:c r="H338" t="str">
        <x:v>B</x:v>
      </x:c>
      <x:c r="I338" t="str">
        <x:v>B</x:v>
      </x:c>
      <x:c r="J338" t="str">
        <x:v>W</x:v>
      </x:c>
      <x:c r="K338" t="str">
        <x:v>B</x:v>
      </x:c>
      <x:c r="L338" t="str">
        <x:v>B</x:v>
      </x:c>
      <x:c r="M338" t="str">
        <x:v>B</x:v>
      </x:c>
      <x:c r="N338" t="str">
        <x:v>B</x:v>
      </x:c>
      <x:c r="O338" t="str">
        <x:v>W</x:v>
      </x:c>
      <x:c r="P338" t="str">
        <x:v>B</x:v>
      </x:c>
      <x:c r="Q338" t="str">
        <x:v>B</x:v>
      </x:c>
      <x:c r="R338" t="str">
        <x:v>W</x:v>
      </x:c>
      <x:c r="S338" t="str">
        <x:v>B</x:v>
      </x:c>
      <x:c r="T338" t="str">
        <x:v>B</x:v>
      </x:c>
      <x:c r="U338" t="str">
        <x:v>W</x:v>
      </x:c>
      <x:c r="V338" t="n">
        <x:f>COUNTIF(B338:U338,"W")</x:f>
        <x:v>8</x:v>
      </x:c>
      <x:c r="W338" s="5" t="str">
        <x:f>IF(COUNTIF(B338:D338,"W")&gt;0,"Y","N")</x:f>
        <x:v>Y</x:v>
      </x:c>
      <x:c r="X338" s="5" t="str">
        <x:f>IF(COUNTIF(B338:I338,"W")&gt;=4,"Y","N")</x:f>
        <x:v>Y</x:v>
      </x:c>
      <x:c r="Y338" s="1"/>
      <x:c r="Z338" s="1"/>
      <x:c r="AA338" s="1"/>
      <x:c r="AB338" s="1"/>
      <x:c r="AC338" s="1"/>
      <x:c r="AD338" s="1"/>
      <x:c r="AE338" s="1"/>
    </x:row>
    <x:row r="339">
      <x:c r="A339" s="1">
        <x:v>338</x:v>
      </x:c>
      <x:c r="B339" t="str">
        <x:v>W</x:v>
      </x:c>
      <x:c r="C339" t="str">
        <x:v>B</x:v>
      </x:c>
      <x:c r="D339" t="str">
        <x:v>B</x:v>
      </x:c>
      <x:c r="E339" t="str">
        <x:v>B</x:v>
      </x:c>
      <x:c r="F339" t="str">
        <x:v>W</x:v>
      </x:c>
      <x:c r="G339" t="str">
        <x:v>B</x:v>
      </x:c>
      <x:c r="H339" t="str">
        <x:v>W</x:v>
      </x:c>
      <x:c r="I339" t="str">
        <x:v>B</x:v>
      </x:c>
      <x:c r="J339" t="str">
        <x:v>B</x:v>
      </x:c>
      <x:c r="K339" t="str">
        <x:v>W</x:v>
      </x:c>
      <x:c r="L339" t="str">
        <x:v>B</x:v>
      </x:c>
      <x:c r="M339" t="str">
        <x:v>W</x:v>
      </x:c>
      <x:c r="N339" t="str">
        <x:v>B</x:v>
      </x:c>
      <x:c r="O339" t="str">
        <x:v>B</x:v>
      </x:c>
      <x:c r="P339" t="str">
        <x:v>B</x:v>
      </x:c>
      <x:c r="Q339" t="str">
        <x:v>W</x:v>
      </x:c>
      <x:c r="R339" t="str">
        <x:v>B</x:v>
      </x:c>
      <x:c r="S339" t="str">
        <x:v>W</x:v>
      </x:c>
      <x:c r="T339" t="str">
        <x:v>B</x:v>
      </x:c>
      <x:c r="U339" t="str">
        <x:v>B</x:v>
      </x:c>
      <x:c r="V339" t="n">
        <x:f>COUNTIF(B339:U339,"W")</x:f>
        <x:v>7</x:v>
      </x:c>
      <x:c r="W339" s="5" t="str">
        <x:f>IF(COUNTIF(B339:D339,"W")&gt;0,"Y","N")</x:f>
        <x:v>Y</x:v>
      </x:c>
      <x:c r="X339" s="5" t="str">
        <x:f>IF(COUNTIF(B339:I339,"W")&gt;=4,"Y","N")</x:f>
        <x:v>N</x:v>
      </x:c>
      <x:c r="Y339" s="1"/>
      <x:c r="Z339" s="1"/>
      <x:c r="AA339" s="1"/>
      <x:c r="AB339" s="1"/>
      <x:c r="AC339" s="1"/>
      <x:c r="AD339" s="1"/>
      <x:c r="AE339" s="1"/>
    </x:row>
    <x:row r="340">
      <x:c r="A340" s="1">
        <x:v>339</x:v>
      </x:c>
      <x:c r="B340" t="str">
        <x:v>W</x:v>
      </x:c>
      <x:c r="C340" t="str">
        <x:v>W</x:v>
      </x:c>
      <x:c r="D340" t="str">
        <x:v>B</x:v>
      </x:c>
      <x:c r="E340" t="str">
        <x:v>W</x:v>
      </x:c>
      <x:c r="F340" t="str">
        <x:v>B</x:v>
      </x:c>
      <x:c r="G340" t="str">
        <x:v>B</x:v>
      </x:c>
      <x:c r="H340" t="str">
        <x:v>B</x:v>
      </x:c>
      <x:c r="I340" t="str">
        <x:v>B</x:v>
      </x:c>
      <x:c r="J340" t="str">
        <x:v>B</x:v>
      </x:c>
      <x:c r="K340" t="str">
        <x:v>W</x:v>
      </x:c>
      <x:c r="L340" t="str">
        <x:v>W</x:v>
      </x:c>
      <x:c r="M340" t="str">
        <x:v>B</x:v>
      </x:c>
      <x:c r="N340" t="str">
        <x:v>B</x:v>
      </x:c>
      <x:c r="O340" t="str">
        <x:v>B</x:v>
      </x:c>
      <x:c r="P340" t="str">
        <x:v>B</x:v>
      </x:c>
      <x:c r="Q340" t="str">
        <x:v>W</x:v>
      </x:c>
      <x:c r="R340" t="str">
        <x:v>W</x:v>
      </x:c>
      <x:c r="S340" t="str">
        <x:v>B</x:v>
      </x:c>
      <x:c r="T340" t="str">
        <x:v>B</x:v>
      </x:c>
      <x:c r="U340" t="str">
        <x:v>W</x:v>
      </x:c>
      <x:c r="V340" t="n">
        <x:f>COUNTIF(B340:U340,"W")</x:f>
        <x:v>8</x:v>
      </x:c>
      <x:c r="W340" s="5" t="str">
        <x:f>IF(COUNTIF(B340:D340,"W")&gt;0,"Y","N")</x:f>
        <x:v>Y</x:v>
      </x:c>
      <x:c r="X340" s="5" t="str">
        <x:f>IF(COUNTIF(B340:I340,"W")&gt;=4,"Y","N")</x:f>
        <x:v>N</x:v>
      </x:c>
      <x:c r="Y340" s="1"/>
      <x:c r="Z340" s="1"/>
      <x:c r="AA340" s="1"/>
      <x:c r="AB340" s="1"/>
      <x:c r="AC340" s="1"/>
      <x:c r="AD340" s="1"/>
      <x:c r="AE340" s="1"/>
    </x:row>
    <x:row r="341">
      <x:c r="A341" s="1">
        <x:v>340</x:v>
      </x:c>
      <x:c r="B341" t="str">
        <x:v>B</x:v>
      </x:c>
      <x:c r="C341" t="str">
        <x:v>B</x:v>
      </x:c>
      <x:c r="D341" t="str">
        <x:v>B</x:v>
      </x:c>
      <x:c r="E341" t="str">
        <x:v>W</x:v>
      </x:c>
      <x:c r="F341" t="str">
        <x:v>W</x:v>
      </x:c>
      <x:c r="G341" t="str">
        <x:v>B</x:v>
      </x:c>
      <x:c r="H341" t="str">
        <x:v>B</x:v>
      </x:c>
      <x:c r="I341" t="str">
        <x:v>B</x:v>
      </x:c>
      <x:c r="J341" t="str">
        <x:v>W</x:v>
      </x:c>
      <x:c r="K341" t="str">
        <x:v>B</x:v>
      </x:c>
      <x:c r="L341" t="str">
        <x:v>B</x:v>
      </x:c>
      <x:c r="M341" t="str">
        <x:v>B</x:v>
      </x:c>
      <x:c r="N341" t="str">
        <x:v>B</x:v>
      </x:c>
      <x:c r="O341" t="str">
        <x:v>W</x:v>
      </x:c>
      <x:c r="P341" t="str">
        <x:v>W</x:v>
      </x:c>
      <x:c r="Q341" t="str">
        <x:v>B</x:v>
      </x:c>
      <x:c r="R341" t="str">
        <x:v>W</x:v>
      </x:c>
      <x:c r="S341" t="str">
        <x:v>B</x:v>
      </x:c>
      <x:c r="T341" t="str">
        <x:v>W</x:v>
      </x:c>
      <x:c r="U341" t="str">
        <x:v>B</x:v>
      </x:c>
      <x:c r="V341" t="n">
        <x:f>COUNTIF(B341:U341,"W")</x:f>
        <x:v>7</x:v>
      </x:c>
      <x:c r="W341" s="5" t="str">
        <x:f>IF(COUNTIF(B341:D341,"W")&gt;0,"Y","N")</x:f>
        <x:v>N</x:v>
      </x:c>
      <x:c r="X341" s="5" t="str">
        <x:f>IF(COUNTIF(B341:I341,"W")&gt;=4,"Y","N")</x:f>
        <x:v>N</x:v>
      </x:c>
      <x:c r="Y341" s="1"/>
      <x:c r="Z341" s="1"/>
      <x:c r="AA341" s="1"/>
      <x:c r="AB341" s="1"/>
      <x:c r="AC341" s="1"/>
      <x:c r="AD341" s="1"/>
      <x:c r="AE341" s="1"/>
    </x:row>
    <x:row r="342">
      <x:c r="A342" s="1">
        <x:v>341</x:v>
      </x:c>
      <x:c r="B342" t="str">
        <x:v>B</x:v>
      </x:c>
      <x:c r="C342" t="str">
        <x:v>W</x:v>
      </x:c>
      <x:c r="D342" t="str">
        <x:v>W</x:v>
      </x:c>
      <x:c r="E342" t="str">
        <x:v>W</x:v>
      </x:c>
      <x:c r="F342" t="str">
        <x:v>B</x:v>
      </x:c>
      <x:c r="G342" t="str">
        <x:v>B</x:v>
      </x:c>
      <x:c r="H342" t="str">
        <x:v>B</x:v>
      </x:c>
      <x:c r="I342" t="str">
        <x:v>B</x:v>
      </x:c>
      <x:c r="J342" t="str">
        <x:v>W</x:v>
      </x:c>
      <x:c r="K342" t="str">
        <x:v>W</x:v>
      </x:c>
      <x:c r="L342" t="str">
        <x:v>W</x:v>
      </x:c>
      <x:c r="M342" t="str">
        <x:v>W</x:v>
      </x:c>
      <x:c r="N342" t="str">
        <x:v>B</x:v>
      </x:c>
      <x:c r="O342" t="str">
        <x:v>B</x:v>
      </x:c>
      <x:c r="P342" t="str">
        <x:v>B</x:v>
      </x:c>
      <x:c r="Q342" t="str">
        <x:v>B</x:v>
      </x:c>
      <x:c r="R342" t="str">
        <x:v>W</x:v>
      </x:c>
      <x:c r="S342" t="str">
        <x:v>B</x:v>
      </x:c>
      <x:c r="T342" t="str">
        <x:v>B</x:v>
      </x:c>
      <x:c r="U342" t="str">
        <x:v>B</x:v>
      </x:c>
      <x:c r="V342" t="n">
        <x:f>COUNTIF(B342:U342,"W")</x:f>
        <x:v>8</x:v>
      </x:c>
      <x:c r="W342" s="5" t="str">
        <x:f>IF(COUNTIF(B342:D342,"W")&gt;0,"Y","N")</x:f>
        <x:v>Y</x:v>
      </x:c>
      <x:c r="X342" s="5" t="str">
        <x:f>IF(COUNTIF(B342:I342,"W")&gt;=4,"Y","N")</x:f>
        <x:v>N</x:v>
      </x:c>
      <x:c r="Y342" s="1"/>
      <x:c r="Z342" s="1"/>
      <x:c r="AA342" s="1"/>
      <x:c r="AB342" s="1"/>
      <x:c r="AC342" s="1"/>
      <x:c r="AD342" s="1"/>
      <x:c r="AE342" s="1"/>
    </x:row>
    <x:row r="343">
      <x:c r="A343" s="1">
        <x:v>342</x:v>
      </x:c>
      <x:c r="B343" t="str">
        <x:v>B</x:v>
      </x:c>
      <x:c r="C343" t="str">
        <x:v>W</x:v>
      </x:c>
      <x:c r="D343" t="str">
        <x:v>W</x:v>
      </x:c>
      <x:c r="E343" t="str">
        <x:v>B</x:v>
      </x:c>
      <x:c r="F343" t="str">
        <x:v>W</x:v>
      </x:c>
      <x:c r="G343" t="str">
        <x:v>B</x:v>
      </x:c>
      <x:c r="H343" t="str">
        <x:v>W</x:v>
      </x:c>
      <x:c r="I343" t="str">
        <x:v>B</x:v>
      </x:c>
      <x:c r="J343" t="str">
        <x:v>B</x:v>
      </x:c>
      <x:c r="K343" t="str">
        <x:v>B</x:v>
      </x:c>
      <x:c r="L343" t="str">
        <x:v>W</x:v>
      </x:c>
      <x:c r="M343" t="str">
        <x:v>W</x:v>
      </x:c>
      <x:c r="N343" t="str">
        <x:v>B</x:v>
      </x:c>
      <x:c r="O343" t="str">
        <x:v>B</x:v>
      </x:c>
      <x:c r="P343" t="str">
        <x:v>W</x:v>
      </x:c>
      <x:c r="Q343" t="str">
        <x:v>W</x:v>
      </x:c>
      <x:c r="R343" t="str">
        <x:v>W</x:v>
      </x:c>
      <x:c r="S343" t="str">
        <x:v>B</x:v>
      </x:c>
      <x:c r="T343" t="str">
        <x:v>W</x:v>
      </x:c>
      <x:c r="U343" t="str">
        <x:v>B</x:v>
      </x:c>
      <x:c r="V343" t="n">
        <x:f>COUNTIF(B343:U343,"W")</x:f>
        <x:v>10</x:v>
      </x:c>
      <x:c r="W343" s="5" t="str">
        <x:f>IF(COUNTIF(B343:D343,"W")&gt;0,"Y","N")</x:f>
        <x:v>Y</x:v>
      </x:c>
      <x:c r="X343" s="5" t="str">
        <x:f>IF(COUNTIF(B343:I343,"W")&gt;=4,"Y","N")</x:f>
        <x:v>Y</x:v>
      </x:c>
      <x:c r="Y343" s="1"/>
      <x:c r="Z343" s="1"/>
      <x:c r="AA343" s="1"/>
      <x:c r="AB343" s="1"/>
      <x:c r="AC343" s="1"/>
      <x:c r="AD343" s="1"/>
      <x:c r="AE343" s="1"/>
    </x:row>
    <x:row r="344">
      <x:c r="A344" s="1">
        <x:v>343</x:v>
      </x:c>
      <x:c r="B344" t="str">
        <x:v>W</x:v>
      </x:c>
      <x:c r="C344" t="str">
        <x:v>W</x:v>
      </x:c>
      <x:c r="D344" t="str">
        <x:v>W</x:v>
      </x:c>
      <x:c r="E344" t="str">
        <x:v>B</x:v>
      </x:c>
      <x:c r="F344" t="str">
        <x:v>W</x:v>
      </x:c>
      <x:c r="G344" t="str">
        <x:v>B</x:v>
      </x:c>
      <x:c r="H344" t="str">
        <x:v>B</x:v>
      </x:c>
      <x:c r="I344" t="str">
        <x:v>B</x:v>
      </x:c>
      <x:c r="J344" t="str">
        <x:v>B</x:v>
      </x:c>
      <x:c r="K344" t="str">
        <x:v>W</x:v>
      </x:c>
      <x:c r="L344" t="str">
        <x:v>W</x:v>
      </x:c>
      <x:c r="M344" t="str">
        <x:v>B</x:v>
      </x:c>
      <x:c r="N344" t="str">
        <x:v>B</x:v>
      </x:c>
      <x:c r="O344" t="str">
        <x:v>B</x:v>
      </x:c>
      <x:c r="P344" t="str">
        <x:v>W</x:v>
      </x:c>
      <x:c r="Q344" t="str">
        <x:v>B</x:v>
      </x:c>
      <x:c r="R344" t="str">
        <x:v>W</x:v>
      </x:c>
      <x:c r="S344" t="str">
        <x:v>B</x:v>
      </x:c>
      <x:c r="T344" t="str">
        <x:v>W</x:v>
      </x:c>
      <x:c r="U344" t="str">
        <x:v>B</x:v>
      </x:c>
      <x:c r="V344" t="n">
        <x:f>COUNTIF(B344:U344,"W")</x:f>
        <x:v>9</x:v>
      </x:c>
      <x:c r="W344" s="5" t="str">
        <x:f>IF(COUNTIF(B344:D344,"W")&gt;0,"Y","N")</x:f>
        <x:v>Y</x:v>
      </x:c>
      <x:c r="X344" s="5" t="str">
        <x:f>IF(COUNTIF(B344:I344,"W")&gt;=4,"Y","N")</x:f>
        <x:v>Y</x:v>
      </x:c>
      <x:c r="Y344" s="1"/>
      <x:c r="Z344" s="1"/>
      <x:c r="AA344" s="1"/>
      <x:c r="AB344" s="1"/>
      <x:c r="AC344" s="1"/>
      <x:c r="AD344" s="1"/>
      <x:c r="AE344" s="1"/>
    </x:row>
    <x:row r="345">
      <x:c r="A345" s="1">
        <x:v>344</x:v>
      </x:c>
      <x:c r="B345" t="str">
        <x:v>W</x:v>
      </x:c>
      <x:c r="C345" t="str">
        <x:v>W</x:v>
      </x:c>
      <x:c r="D345" t="str">
        <x:v>W</x:v>
      </x:c>
      <x:c r="E345" t="str">
        <x:v>B</x:v>
      </x:c>
      <x:c r="F345" t="str">
        <x:v>W</x:v>
      </x:c>
      <x:c r="G345" t="str">
        <x:v>W</x:v>
      </x:c>
      <x:c r="H345" t="str">
        <x:v>B</x:v>
      </x:c>
      <x:c r="I345" t="str">
        <x:v>B</x:v>
      </x:c>
      <x:c r="J345" t="str">
        <x:v>W</x:v>
      </x:c>
      <x:c r="K345" t="str">
        <x:v>B</x:v>
      </x:c>
      <x:c r="L345" t="str">
        <x:v>B</x:v>
      </x:c>
      <x:c r="M345" t="str">
        <x:v>W</x:v>
      </x:c>
      <x:c r="N345" t="str">
        <x:v>B</x:v>
      </x:c>
      <x:c r="O345" t="str">
        <x:v>B</x:v>
      </x:c>
      <x:c r="P345" t="str">
        <x:v>B</x:v>
      </x:c>
      <x:c r="Q345" t="str">
        <x:v>B</x:v>
      </x:c>
      <x:c r="R345" t="str">
        <x:v>B</x:v>
      </x:c>
      <x:c r="S345" t="str">
        <x:v>B</x:v>
      </x:c>
      <x:c r="T345" t="str">
        <x:v>B</x:v>
      </x:c>
      <x:c r="U345" t="str">
        <x:v>B</x:v>
      </x:c>
      <x:c r="V345" t="n">
        <x:f>COUNTIF(B345:U345,"W")</x:f>
        <x:v>7</x:v>
      </x:c>
      <x:c r="W345" s="5" t="str">
        <x:f>IF(COUNTIF(B345:D345,"W")&gt;0,"Y","N")</x:f>
        <x:v>Y</x:v>
      </x:c>
      <x:c r="X345" s="5" t="str">
        <x:f>IF(COUNTIF(B345:I345,"W")&gt;=4,"Y","N")</x:f>
        <x:v>Y</x:v>
      </x:c>
      <x:c r="Y345" s="1"/>
      <x:c r="Z345" s="1"/>
      <x:c r="AA345" s="1"/>
      <x:c r="AB345" s="1"/>
      <x:c r="AC345" s="1"/>
      <x:c r="AD345" s="1"/>
      <x:c r="AE345" s="1"/>
    </x:row>
    <x:row r="346">
      <x:c r="A346" s="1">
        <x:v>345</x:v>
      </x:c>
      <x:c r="B346" t="str">
        <x:v>W</x:v>
      </x:c>
      <x:c r="C346" t="str">
        <x:v>B</x:v>
      </x:c>
      <x:c r="D346" t="str">
        <x:v>B</x:v>
      </x:c>
      <x:c r="E346" t="str">
        <x:v>B</x:v>
      </x:c>
      <x:c r="F346" t="str">
        <x:v>B</x:v>
      </x:c>
      <x:c r="G346" t="str">
        <x:v>W</x:v>
      </x:c>
      <x:c r="H346" t="str">
        <x:v>W</x:v>
      </x:c>
      <x:c r="I346" t="str">
        <x:v>W</x:v>
      </x:c>
      <x:c r="J346" t="str">
        <x:v>B</x:v>
      </x:c>
      <x:c r="K346" t="str">
        <x:v>W</x:v>
      </x:c>
      <x:c r="L346" t="str">
        <x:v>B</x:v>
      </x:c>
      <x:c r="M346" t="str">
        <x:v>W</x:v>
      </x:c>
      <x:c r="N346" t="str">
        <x:v>B</x:v>
      </x:c>
      <x:c r="O346" t="str">
        <x:v>W</x:v>
      </x:c>
      <x:c r="P346" t="str">
        <x:v>B</x:v>
      </x:c>
      <x:c r="Q346" t="str">
        <x:v>B</x:v>
      </x:c>
      <x:c r="R346" t="str">
        <x:v>B</x:v>
      </x:c>
      <x:c r="S346" t="str">
        <x:v>B</x:v>
      </x:c>
      <x:c r="T346" t="str">
        <x:v>W</x:v>
      </x:c>
      <x:c r="U346" t="str">
        <x:v>B</x:v>
      </x:c>
      <x:c r="V346" t="n">
        <x:f>COUNTIF(B346:U346,"W")</x:f>
        <x:v>8</x:v>
      </x:c>
      <x:c r="W346" s="5" t="str">
        <x:f>IF(COUNTIF(B346:D346,"W")&gt;0,"Y","N")</x:f>
        <x:v>Y</x:v>
      </x:c>
      <x:c r="X346" s="5" t="str">
        <x:f>IF(COUNTIF(B346:I346,"W")&gt;=4,"Y","N")</x:f>
        <x:v>Y</x:v>
      </x:c>
      <x:c r="Y346" s="1"/>
      <x:c r="Z346" s="1"/>
      <x:c r="AA346" s="1"/>
      <x:c r="AB346" s="1"/>
      <x:c r="AC346" s="1"/>
      <x:c r="AD346" s="1"/>
      <x:c r="AE346" s="1"/>
    </x:row>
    <x:row r="347">
      <x:c r="A347" s="1">
        <x:v>346</x:v>
      </x:c>
      <x:c r="B347" t="str">
        <x:v>B</x:v>
      </x:c>
      <x:c r="C347" t="str">
        <x:v>B</x:v>
      </x:c>
      <x:c r="D347" t="str">
        <x:v>B</x:v>
      </x:c>
      <x:c r="E347" t="str">
        <x:v>B</x:v>
      </x:c>
      <x:c r="F347" t="str">
        <x:v>B</x:v>
      </x:c>
      <x:c r="G347" t="str">
        <x:v>B</x:v>
      </x:c>
      <x:c r="H347" t="str">
        <x:v>W</x:v>
      </x:c>
      <x:c r="I347" t="str">
        <x:v>B</x:v>
      </x:c>
      <x:c r="J347" t="str">
        <x:v>B</x:v>
      </x:c>
      <x:c r="K347" t="str">
        <x:v>W</x:v>
      </x:c>
      <x:c r="L347" t="str">
        <x:v>B</x:v>
      </x:c>
      <x:c r="M347" t="str">
        <x:v>W</x:v>
      </x:c>
      <x:c r="N347" t="str">
        <x:v>B</x:v>
      </x:c>
      <x:c r="O347" t="str">
        <x:v>W</x:v>
      </x:c>
      <x:c r="P347" t="str">
        <x:v>B</x:v>
      </x:c>
      <x:c r="Q347" t="str">
        <x:v>W</x:v>
      </x:c>
      <x:c r="R347" t="str">
        <x:v>B</x:v>
      </x:c>
      <x:c r="S347" t="str">
        <x:v>B</x:v>
      </x:c>
      <x:c r="T347" t="str">
        <x:v>B</x:v>
      </x:c>
      <x:c r="U347" t="str">
        <x:v>B</x:v>
      </x:c>
      <x:c r="V347" t="n">
        <x:f>COUNTIF(B347:U347,"W")</x:f>
        <x:v>5</x:v>
      </x:c>
      <x:c r="W347" s="5" t="str">
        <x:f>IF(COUNTIF(B347:D347,"W")&gt;0,"Y","N")</x:f>
        <x:v>N</x:v>
      </x:c>
      <x:c r="X347" s="5" t="str">
        <x:f>IF(COUNTIF(B347:I347,"W")&gt;=4,"Y","N")</x:f>
        <x:v>N</x:v>
      </x:c>
      <x:c r="Y347" s="1"/>
      <x:c r="Z347" s="1"/>
      <x:c r="AA347" s="1"/>
      <x:c r="AB347" s="1"/>
      <x:c r="AC347" s="1"/>
      <x:c r="AD347" s="1"/>
      <x:c r="AE347" s="1"/>
    </x:row>
    <x:row r="348">
      <x:c r="A348" s="1">
        <x:v>347</x:v>
      </x:c>
      <x:c r="B348" t="str">
        <x:v>B</x:v>
      </x:c>
      <x:c r="C348" t="str">
        <x:v>B</x:v>
      </x:c>
      <x:c r="D348" t="str">
        <x:v>W</x:v>
      </x:c>
      <x:c r="E348" t="str">
        <x:v>B</x:v>
      </x:c>
      <x:c r="F348" t="str">
        <x:v>B</x:v>
      </x:c>
      <x:c r="G348" t="str">
        <x:v>B</x:v>
      </x:c>
      <x:c r="H348" t="str">
        <x:v>B</x:v>
      </x:c>
      <x:c r="I348" t="str">
        <x:v>W</x:v>
      </x:c>
      <x:c r="J348" t="str">
        <x:v>B</x:v>
      </x:c>
      <x:c r="K348" t="str">
        <x:v>W</x:v>
      </x:c>
      <x:c r="L348" t="str">
        <x:v>B</x:v>
      </x:c>
      <x:c r="M348" t="str">
        <x:v>B</x:v>
      </x:c>
      <x:c r="N348" t="str">
        <x:v>B</x:v>
      </x:c>
      <x:c r="O348" t="str">
        <x:v>B</x:v>
      </x:c>
      <x:c r="P348" t="str">
        <x:v>B</x:v>
      </x:c>
      <x:c r="Q348" t="str">
        <x:v>B</x:v>
      </x:c>
      <x:c r="R348" t="str">
        <x:v>B</x:v>
      </x:c>
      <x:c r="S348" t="str">
        <x:v>W</x:v>
      </x:c>
      <x:c r="T348" t="str">
        <x:v>B</x:v>
      </x:c>
      <x:c r="U348" t="str">
        <x:v>W</x:v>
      </x:c>
      <x:c r="V348" t="n">
        <x:f>COUNTIF(B348:U348,"W")</x:f>
        <x:v>5</x:v>
      </x:c>
      <x:c r="W348" s="5" t="str">
        <x:f>IF(COUNTIF(B348:D348,"W")&gt;0,"Y","N")</x:f>
        <x:v>Y</x:v>
      </x:c>
      <x:c r="X348" s="5" t="str">
        <x:f>IF(COUNTIF(B348:I348,"W")&gt;=4,"Y","N")</x:f>
        <x:v>N</x:v>
      </x:c>
      <x:c r="Y348" s="1"/>
      <x:c r="Z348" s="1"/>
      <x:c r="AA348" s="1"/>
      <x:c r="AB348" s="1"/>
      <x:c r="AC348" s="1"/>
      <x:c r="AD348" s="1"/>
      <x:c r="AE348" s="1"/>
    </x:row>
    <x:row r="349">
      <x:c r="A349" s="1">
        <x:v>348</x:v>
      </x:c>
      <x:c r="B349" t="str">
        <x:v>B</x:v>
      </x:c>
      <x:c r="C349" t="str">
        <x:v>B</x:v>
      </x:c>
      <x:c r="D349" t="str">
        <x:v>B</x:v>
      </x:c>
      <x:c r="E349" t="str">
        <x:v>B</x:v>
      </x:c>
      <x:c r="F349" t="str">
        <x:v>B</x:v>
      </x:c>
      <x:c r="G349" t="str">
        <x:v>W</x:v>
      </x:c>
      <x:c r="H349" t="str">
        <x:v>W</x:v>
      </x:c>
      <x:c r="I349" t="str">
        <x:v>W</x:v>
      </x:c>
      <x:c r="J349" t="str">
        <x:v>B</x:v>
      </x:c>
      <x:c r="K349" t="str">
        <x:v>W</x:v>
      </x:c>
      <x:c r="L349" t="str">
        <x:v>B</x:v>
      </x:c>
      <x:c r="M349" t="str">
        <x:v>B</x:v>
      </x:c>
      <x:c r="N349" t="str">
        <x:v>B</x:v>
      </x:c>
      <x:c r="O349" t="str">
        <x:v>W</x:v>
      </x:c>
      <x:c r="P349" t="str">
        <x:v>B</x:v>
      </x:c>
      <x:c r="Q349" t="str">
        <x:v>B</x:v>
      </x:c>
      <x:c r="R349" t="str">
        <x:v>W</x:v>
      </x:c>
      <x:c r="S349" t="str">
        <x:v>B</x:v>
      </x:c>
      <x:c r="T349" t="str">
        <x:v>W</x:v>
      </x:c>
      <x:c r="U349" t="str">
        <x:v>B</x:v>
      </x:c>
      <x:c r="V349" t="n">
        <x:f>COUNTIF(B349:U349,"W")</x:f>
        <x:v>7</x:v>
      </x:c>
      <x:c r="W349" s="5" t="str">
        <x:f>IF(COUNTIF(B349:D349,"W")&gt;0,"Y","N")</x:f>
        <x:v>N</x:v>
      </x:c>
      <x:c r="X349" s="5" t="str">
        <x:f>IF(COUNTIF(B349:I349,"W")&gt;=4,"Y","N")</x:f>
        <x:v>N</x:v>
      </x:c>
      <x:c r="Y349" s="1"/>
      <x:c r="Z349" s="1"/>
      <x:c r="AA349" s="1"/>
      <x:c r="AB349" s="1"/>
      <x:c r="AC349" s="1"/>
      <x:c r="AD349" s="1"/>
      <x:c r="AE349" s="1"/>
    </x:row>
    <x:row r="350">
      <x:c r="A350" s="1">
        <x:v>349</x:v>
      </x:c>
      <x:c r="B350" t="str">
        <x:v>B</x:v>
      </x:c>
      <x:c r="C350" t="str">
        <x:v>W</x:v>
      </x:c>
      <x:c r="D350" t="str">
        <x:v>B</x:v>
      </x:c>
      <x:c r="E350" t="str">
        <x:v>W</x:v>
      </x:c>
      <x:c r="F350" t="str">
        <x:v>B</x:v>
      </x:c>
      <x:c r="G350" t="str">
        <x:v>W</x:v>
      </x:c>
      <x:c r="H350" t="str">
        <x:v>B</x:v>
      </x:c>
      <x:c r="I350" t="str">
        <x:v>B</x:v>
      </x:c>
      <x:c r="J350" t="str">
        <x:v>B</x:v>
      </x:c>
      <x:c r="K350" t="str">
        <x:v>W</x:v>
      </x:c>
      <x:c r="L350" t="str">
        <x:v>B</x:v>
      </x:c>
      <x:c r="M350" t="str">
        <x:v>W</x:v>
      </x:c>
      <x:c r="N350" t="str">
        <x:v>B</x:v>
      </x:c>
      <x:c r="O350" t="str">
        <x:v>B</x:v>
      </x:c>
      <x:c r="P350" t="str">
        <x:v>B</x:v>
      </x:c>
      <x:c r="Q350" t="str">
        <x:v>W</x:v>
      </x:c>
      <x:c r="R350" t="str">
        <x:v>B</x:v>
      </x:c>
      <x:c r="S350" t="str">
        <x:v>B</x:v>
      </x:c>
      <x:c r="T350" t="str">
        <x:v>B</x:v>
      </x:c>
      <x:c r="U350" t="str">
        <x:v>B</x:v>
      </x:c>
      <x:c r="V350" t="n">
        <x:f>COUNTIF(B350:U350,"W")</x:f>
        <x:v>6</x:v>
      </x:c>
      <x:c r="W350" s="5" t="str">
        <x:f>IF(COUNTIF(B350:D350,"W")&gt;0,"Y","N")</x:f>
        <x:v>Y</x:v>
      </x:c>
      <x:c r="X350" s="5" t="str">
        <x:f>IF(COUNTIF(B350:I350,"W")&gt;=4,"Y","N")</x:f>
        <x:v>N</x:v>
      </x:c>
      <x:c r="Y350" s="1"/>
      <x:c r="Z350" s="1"/>
      <x:c r="AA350" s="1"/>
      <x:c r="AB350" s="1"/>
      <x:c r="AC350" s="1"/>
      <x:c r="AD350" s="1"/>
      <x:c r="AE350" s="1"/>
    </x:row>
    <x:row r="351">
      <x:c r="A351" s="1">
        <x:v>350</x:v>
      </x:c>
      <x:c r="B351" t="str">
        <x:v>B</x:v>
      </x:c>
      <x:c r="C351" t="str">
        <x:v>B</x:v>
      </x:c>
      <x:c r="D351" t="str">
        <x:v>B</x:v>
      </x:c>
      <x:c r="E351" t="str">
        <x:v>B</x:v>
      </x:c>
      <x:c r="F351" t="str">
        <x:v>B</x:v>
      </x:c>
      <x:c r="G351" t="str">
        <x:v>W</x:v>
      </x:c>
      <x:c r="H351" t="str">
        <x:v>B</x:v>
      </x:c>
      <x:c r="I351" t="str">
        <x:v>W</x:v>
      </x:c>
      <x:c r="J351" t="str">
        <x:v>W</x:v>
      </x:c>
      <x:c r="K351" t="str">
        <x:v>B</x:v>
      </x:c>
      <x:c r="L351" t="str">
        <x:v>B</x:v>
      </x:c>
      <x:c r="M351" t="str">
        <x:v>B</x:v>
      </x:c>
      <x:c r="N351" t="str">
        <x:v>B</x:v>
      </x:c>
      <x:c r="O351" t="str">
        <x:v>W</x:v>
      </x:c>
      <x:c r="P351" t="str">
        <x:v>B</x:v>
      </x:c>
      <x:c r="Q351" t="str">
        <x:v>W</x:v>
      </x:c>
      <x:c r="R351" t="str">
        <x:v>B</x:v>
      </x:c>
      <x:c r="S351" t="str">
        <x:v>B</x:v>
      </x:c>
      <x:c r="T351" t="str">
        <x:v>W</x:v>
      </x:c>
      <x:c r="U351" t="str">
        <x:v>B</x:v>
      </x:c>
      <x:c r="V351" t="n">
        <x:f>COUNTIF(B351:U351,"W")</x:f>
        <x:v>6</x:v>
      </x:c>
      <x:c r="W351" s="5" t="str">
        <x:f>IF(COUNTIF(B351:D351,"W")&gt;0,"Y","N")</x:f>
        <x:v>N</x:v>
      </x:c>
      <x:c r="X351" s="5" t="str">
        <x:f>IF(COUNTIF(B351:I351,"W")&gt;=4,"Y","N")</x:f>
        <x:v>N</x:v>
      </x:c>
      <x:c r="Y351" s="1"/>
      <x:c r="Z351" s="1"/>
      <x:c r="AA351" s="1"/>
      <x:c r="AB351" s="1"/>
      <x:c r="AC351" s="1"/>
      <x:c r="AD351" s="1"/>
      <x:c r="AE351" s="1"/>
    </x:row>
    <x:row r="352">
      <x:c r="A352" s="1">
        <x:v>351</x:v>
      </x:c>
      <x:c r="B352" t="str">
        <x:v>W</x:v>
      </x:c>
      <x:c r="C352" t="str">
        <x:v>B</x:v>
      </x:c>
      <x:c r="D352" t="str">
        <x:v>B</x:v>
      </x:c>
      <x:c r="E352" t="str">
        <x:v>B</x:v>
      </x:c>
      <x:c r="F352" t="str">
        <x:v>W</x:v>
      </x:c>
      <x:c r="G352" t="str">
        <x:v>B</x:v>
      </x:c>
      <x:c r="H352" t="str">
        <x:v>B</x:v>
      </x:c>
      <x:c r="I352" t="str">
        <x:v>B</x:v>
      </x:c>
      <x:c r="J352" t="str">
        <x:v>W</x:v>
      </x:c>
      <x:c r="K352" t="str">
        <x:v>W</x:v>
      </x:c>
      <x:c r="L352" t="str">
        <x:v>B</x:v>
      </x:c>
      <x:c r="M352" t="str">
        <x:v>W</x:v>
      </x:c>
      <x:c r="N352" t="str">
        <x:v>B</x:v>
      </x:c>
      <x:c r="O352" t="str">
        <x:v>B</x:v>
      </x:c>
      <x:c r="P352" t="str">
        <x:v>B</x:v>
      </x:c>
      <x:c r="Q352" t="str">
        <x:v>B</x:v>
      </x:c>
      <x:c r="R352" t="str">
        <x:v>W</x:v>
      </x:c>
      <x:c r="S352" t="str">
        <x:v>B</x:v>
      </x:c>
      <x:c r="T352" t="str">
        <x:v>B</x:v>
      </x:c>
      <x:c r="U352" t="str">
        <x:v>W</x:v>
      </x:c>
      <x:c r="V352" t="n">
        <x:f>COUNTIF(B352:U352,"W")</x:f>
        <x:v>7</x:v>
      </x:c>
      <x:c r="W352" s="5" t="str">
        <x:f>IF(COUNTIF(B352:D352,"W")&gt;0,"Y","N")</x:f>
        <x:v>Y</x:v>
      </x:c>
      <x:c r="X352" s="5" t="str">
        <x:f>IF(COUNTIF(B352:I352,"W")&gt;=4,"Y","N")</x:f>
        <x:v>N</x:v>
      </x:c>
      <x:c r="Y352" s="1"/>
      <x:c r="Z352" s="1"/>
      <x:c r="AA352" s="1"/>
      <x:c r="AB352" s="1"/>
      <x:c r="AC352" s="1"/>
      <x:c r="AD352" s="1"/>
      <x:c r="AE352" s="1"/>
    </x:row>
    <x:row r="353">
      <x:c r="A353" s="1">
        <x:v>352</x:v>
      </x:c>
      <x:c r="B353" t="str">
        <x:v>B</x:v>
      </x:c>
      <x:c r="C353" t="str">
        <x:v>W</x:v>
      </x:c>
      <x:c r="D353" t="str">
        <x:v>W</x:v>
      </x:c>
      <x:c r="E353" t="str">
        <x:v>W</x:v>
      </x:c>
      <x:c r="F353" t="str">
        <x:v>W</x:v>
      </x:c>
      <x:c r="G353" t="str">
        <x:v>W</x:v>
      </x:c>
      <x:c r="H353" t="str">
        <x:v>W</x:v>
      </x:c>
      <x:c r="I353" t="str">
        <x:v>B</x:v>
      </x:c>
      <x:c r="J353" t="str">
        <x:v>B</x:v>
      </x:c>
      <x:c r="K353" t="str">
        <x:v>B</x:v>
      </x:c>
      <x:c r="L353" t="str">
        <x:v>W</x:v>
      </x:c>
      <x:c r="M353" t="str">
        <x:v>B</x:v>
      </x:c>
      <x:c r="N353" t="str">
        <x:v>W</x:v>
      </x:c>
      <x:c r="O353" t="str">
        <x:v>B</x:v>
      </x:c>
      <x:c r="P353" t="str">
        <x:v>W</x:v>
      </x:c>
      <x:c r="Q353" t="str">
        <x:v>B</x:v>
      </x:c>
      <x:c r="R353" t="str">
        <x:v>W</x:v>
      </x:c>
      <x:c r="S353" t="str">
        <x:v>B</x:v>
      </x:c>
      <x:c r="T353" t="str">
        <x:v>B</x:v>
      </x:c>
      <x:c r="U353" t="str">
        <x:v>B</x:v>
      </x:c>
      <x:c r="V353" t="n">
        <x:f>COUNTIF(B353:U353,"W")</x:f>
        <x:v>10</x:v>
      </x:c>
      <x:c r="W353" s="5" t="str">
        <x:f>IF(COUNTIF(B353:D353,"W")&gt;0,"Y","N")</x:f>
        <x:v>Y</x:v>
      </x:c>
      <x:c r="X353" s="5" t="str">
        <x:f>IF(COUNTIF(B353:I353,"W")&gt;=4,"Y","N")</x:f>
        <x:v>Y</x:v>
      </x:c>
      <x:c r="Y353" s="1"/>
      <x:c r="Z353" s="1"/>
      <x:c r="AA353" s="1"/>
      <x:c r="AB353" s="1"/>
      <x:c r="AC353" s="1"/>
      <x:c r="AD353" s="1"/>
      <x:c r="AE353" s="1"/>
    </x:row>
    <x:row r="354">
      <x:c r="A354" s="1">
        <x:v>353</x:v>
      </x:c>
      <x:c r="B354" t="str">
        <x:v>B</x:v>
      </x:c>
      <x:c r="C354" t="str">
        <x:v>B</x:v>
      </x:c>
      <x:c r="D354" t="str">
        <x:v>B</x:v>
      </x:c>
      <x:c r="E354" t="str">
        <x:v>B</x:v>
      </x:c>
      <x:c r="F354" t="str">
        <x:v>W</x:v>
      </x:c>
      <x:c r="G354" t="str">
        <x:v>B</x:v>
      </x:c>
      <x:c r="H354" t="str">
        <x:v>W</x:v>
      </x:c>
      <x:c r="I354" t="str">
        <x:v>B</x:v>
      </x:c>
      <x:c r="J354" t="str">
        <x:v>W</x:v>
      </x:c>
      <x:c r="K354" t="str">
        <x:v>W</x:v>
      </x:c>
      <x:c r="L354" t="str">
        <x:v>W</x:v>
      </x:c>
      <x:c r="M354" t="str">
        <x:v>B</x:v>
      </x:c>
      <x:c r="N354" t="str">
        <x:v>B</x:v>
      </x:c>
      <x:c r="O354" t="str">
        <x:v>B</x:v>
      </x:c>
      <x:c r="P354" t="str">
        <x:v>B</x:v>
      </x:c>
      <x:c r="Q354" t="str">
        <x:v>B</x:v>
      </x:c>
      <x:c r="R354" t="str">
        <x:v>B</x:v>
      </x:c>
      <x:c r="S354" t="str">
        <x:v>B</x:v>
      </x:c>
      <x:c r="T354" t="str">
        <x:v>W</x:v>
      </x:c>
      <x:c r="U354" t="str">
        <x:v>W</x:v>
      </x:c>
      <x:c r="V354" t="n">
        <x:f>COUNTIF(B354:U354,"W")</x:f>
        <x:v>7</x:v>
      </x:c>
      <x:c r="W354" s="5" t="str">
        <x:f>IF(COUNTIF(B354:D354,"W")&gt;0,"Y","N")</x:f>
        <x:v>N</x:v>
      </x:c>
      <x:c r="X354" s="5" t="str">
        <x:f>IF(COUNTIF(B354:I354,"W")&gt;=4,"Y","N")</x:f>
        <x:v>N</x:v>
      </x:c>
      <x:c r="Y354" s="1"/>
      <x:c r="Z354" s="1"/>
      <x:c r="AA354" s="1"/>
      <x:c r="AB354" s="1"/>
      <x:c r="AC354" s="1"/>
      <x:c r="AD354" s="1"/>
      <x:c r="AE354" s="1"/>
    </x:row>
    <x:row r="355">
      <x:c r="A355" s="1">
        <x:v>354</x:v>
      </x:c>
      <x:c r="B355" t="str">
        <x:v>B</x:v>
      </x:c>
      <x:c r="C355" t="str">
        <x:v>B</x:v>
      </x:c>
      <x:c r="D355" t="str">
        <x:v>W</x:v>
      </x:c>
      <x:c r="E355" t="str">
        <x:v>B</x:v>
      </x:c>
      <x:c r="F355" t="str">
        <x:v>W</x:v>
      </x:c>
      <x:c r="G355" t="str">
        <x:v>B</x:v>
      </x:c>
      <x:c r="H355" t="str">
        <x:v>W</x:v>
      </x:c>
      <x:c r="I355" t="str">
        <x:v>W</x:v>
      </x:c>
      <x:c r="J355" t="str">
        <x:v>B</x:v>
      </x:c>
      <x:c r="K355" t="str">
        <x:v>W</x:v>
      </x:c>
      <x:c r="L355" t="str">
        <x:v>W</x:v>
      </x:c>
      <x:c r="M355" t="str">
        <x:v>B</x:v>
      </x:c>
      <x:c r="N355" t="str">
        <x:v>B</x:v>
      </x:c>
      <x:c r="O355" t="str">
        <x:v>B</x:v>
      </x:c>
      <x:c r="P355" t="str">
        <x:v>B</x:v>
      </x:c>
      <x:c r="Q355" t="str">
        <x:v>B</x:v>
      </x:c>
      <x:c r="R355" t="str">
        <x:v>B</x:v>
      </x:c>
      <x:c r="S355" t="str">
        <x:v>B</x:v>
      </x:c>
      <x:c r="T355" t="str">
        <x:v>B</x:v>
      </x:c>
      <x:c r="U355" t="str">
        <x:v>B</x:v>
      </x:c>
      <x:c r="V355" t="n">
        <x:f>COUNTIF(B355:U355,"W")</x:f>
        <x:v>6</x:v>
      </x:c>
      <x:c r="W355" s="5" t="str">
        <x:f>IF(COUNTIF(B355:D355,"W")&gt;0,"Y","N")</x:f>
        <x:v>Y</x:v>
      </x:c>
      <x:c r="X355" s="5" t="str">
        <x:f>IF(COUNTIF(B355:I355,"W")&gt;=4,"Y","N")</x:f>
        <x:v>Y</x:v>
      </x:c>
      <x:c r="Y355" s="1"/>
      <x:c r="Z355" s="1"/>
      <x:c r="AA355" s="1"/>
      <x:c r="AB355" s="1"/>
      <x:c r="AC355" s="1"/>
      <x:c r="AD355" s="1"/>
      <x:c r="AE355" s="1"/>
    </x:row>
    <x:row r="356">
      <x:c r="A356" s="1">
        <x:v>355</x:v>
      </x:c>
      <x:c r="B356" t="str">
        <x:v>B</x:v>
      </x:c>
      <x:c r="C356" t="str">
        <x:v>B</x:v>
      </x:c>
      <x:c r="D356" t="str">
        <x:v>W</x:v>
      </x:c>
      <x:c r="E356" t="str">
        <x:v>B</x:v>
      </x:c>
      <x:c r="F356" t="str">
        <x:v>B</x:v>
      </x:c>
      <x:c r="G356" t="str">
        <x:v>W</x:v>
      </x:c>
      <x:c r="H356" t="str">
        <x:v>W</x:v>
      </x:c>
      <x:c r="I356" t="str">
        <x:v>W</x:v>
      </x:c>
      <x:c r="J356" t="str">
        <x:v>B</x:v>
      </x:c>
      <x:c r="K356" t="str">
        <x:v>B</x:v>
      </x:c>
      <x:c r="L356" t="str">
        <x:v>W</x:v>
      </x:c>
      <x:c r="M356" t="str">
        <x:v>W</x:v>
      </x:c>
      <x:c r="N356" t="str">
        <x:v>B</x:v>
      </x:c>
      <x:c r="O356" t="str">
        <x:v>W</x:v>
      </x:c>
      <x:c r="P356" t="str">
        <x:v>B</x:v>
      </x:c>
      <x:c r="Q356" t="str">
        <x:v>B</x:v>
      </x:c>
      <x:c r="R356" t="str">
        <x:v>B</x:v>
      </x:c>
      <x:c r="S356" t="str">
        <x:v>W</x:v>
      </x:c>
      <x:c r="T356" t="str">
        <x:v>W</x:v>
      </x:c>
      <x:c r="U356" t="str">
        <x:v>B</x:v>
      </x:c>
      <x:c r="V356" t="n">
        <x:f>COUNTIF(B356:U356,"W")</x:f>
        <x:v>9</x:v>
      </x:c>
      <x:c r="W356" s="5" t="str">
        <x:f>IF(COUNTIF(B356:D356,"W")&gt;0,"Y","N")</x:f>
        <x:v>Y</x:v>
      </x:c>
      <x:c r="X356" s="5" t="str">
        <x:f>IF(COUNTIF(B356:I356,"W")&gt;=4,"Y","N")</x:f>
        <x:v>Y</x:v>
      </x:c>
      <x:c r="Y356" s="1"/>
      <x:c r="Z356" s="1"/>
      <x:c r="AA356" s="1"/>
      <x:c r="AB356" s="1"/>
      <x:c r="AC356" s="1"/>
      <x:c r="AD356" s="1"/>
      <x:c r="AE356" s="1"/>
    </x:row>
    <x:row r="357">
      <x:c r="A357" s="1">
        <x:v>356</x:v>
      </x:c>
      <x:c r="B357" t="str">
        <x:v>W</x:v>
      </x:c>
      <x:c r="C357" t="str">
        <x:v>W</x:v>
      </x:c>
      <x:c r="D357" t="str">
        <x:v>B</x:v>
      </x:c>
      <x:c r="E357" t="str">
        <x:v>W</x:v>
      </x:c>
      <x:c r="F357" t="str">
        <x:v>B</x:v>
      </x:c>
      <x:c r="G357" t="str">
        <x:v>B</x:v>
      </x:c>
      <x:c r="H357" t="str">
        <x:v>W</x:v>
      </x:c>
      <x:c r="I357" t="str">
        <x:v>W</x:v>
      </x:c>
      <x:c r="J357" t="str">
        <x:v>B</x:v>
      </x:c>
      <x:c r="K357" t="str">
        <x:v>W</x:v>
      </x:c>
      <x:c r="L357" t="str">
        <x:v>B</x:v>
      </x:c>
      <x:c r="M357" t="str">
        <x:v>W</x:v>
      </x:c>
      <x:c r="N357" t="str">
        <x:v>B</x:v>
      </x:c>
      <x:c r="O357" t="str">
        <x:v>B</x:v>
      </x:c>
      <x:c r="P357" t="str">
        <x:v>W</x:v>
      </x:c>
      <x:c r="Q357" t="str">
        <x:v>W</x:v>
      </x:c>
      <x:c r="R357" t="str">
        <x:v>B</x:v>
      </x:c>
      <x:c r="S357" t="str">
        <x:v>W</x:v>
      </x:c>
      <x:c r="T357" t="str">
        <x:v>W</x:v>
      </x:c>
      <x:c r="U357" t="str">
        <x:v>B</x:v>
      </x:c>
      <x:c r="V357" t="n">
        <x:f>COUNTIF(B357:U357,"W")</x:f>
        <x:v>11</x:v>
      </x:c>
      <x:c r="W357" s="5" t="str">
        <x:f>IF(COUNTIF(B357:D357,"W")&gt;0,"Y","N")</x:f>
        <x:v>Y</x:v>
      </x:c>
      <x:c r="X357" s="5" t="str">
        <x:f>IF(COUNTIF(B357:I357,"W")&gt;=4,"Y","N")</x:f>
        <x:v>Y</x:v>
      </x:c>
      <x:c r="Y357" s="1"/>
      <x:c r="Z357" s="1"/>
      <x:c r="AA357" s="1"/>
      <x:c r="AB357" s="1"/>
      <x:c r="AC357" s="1"/>
      <x:c r="AD357" s="1"/>
      <x:c r="AE357" s="1"/>
    </x:row>
    <x:row r="358">
      <x:c r="A358" s="1">
        <x:v>357</x:v>
      </x:c>
      <x:c r="B358" t="str">
        <x:v>W</x:v>
      </x:c>
      <x:c r="C358" t="str">
        <x:v>W</x:v>
      </x:c>
      <x:c r="D358" t="str">
        <x:v>B</x:v>
      </x:c>
      <x:c r="E358" t="str">
        <x:v>B</x:v>
      </x:c>
      <x:c r="F358" t="str">
        <x:v>W</x:v>
      </x:c>
      <x:c r="G358" t="str">
        <x:v>W</x:v>
      </x:c>
      <x:c r="H358" t="str">
        <x:v>W</x:v>
      </x:c>
      <x:c r="I358" t="str">
        <x:v>B</x:v>
      </x:c>
      <x:c r="J358" t="str">
        <x:v>B</x:v>
      </x:c>
      <x:c r="K358" t="str">
        <x:v>B</x:v>
      </x:c>
      <x:c r="L358" t="str">
        <x:v>B</x:v>
      </x:c>
      <x:c r="M358" t="str">
        <x:v>B</x:v>
      </x:c>
      <x:c r="N358" t="str">
        <x:v>B</x:v>
      </x:c>
      <x:c r="O358" t="str">
        <x:v>W</x:v>
      </x:c>
      <x:c r="P358" t="str">
        <x:v>W</x:v>
      </x:c>
      <x:c r="Q358" t="str">
        <x:v>B</x:v>
      </x:c>
      <x:c r="R358" t="str">
        <x:v>B</x:v>
      </x:c>
      <x:c r="S358" t="str">
        <x:v>B</x:v>
      </x:c>
      <x:c r="T358" t="str">
        <x:v>B</x:v>
      </x:c>
      <x:c r="U358" t="str">
        <x:v>B</x:v>
      </x:c>
      <x:c r="V358" t="n">
        <x:f>COUNTIF(B358:U358,"W")</x:f>
        <x:v>7</x:v>
      </x:c>
      <x:c r="W358" s="5" t="str">
        <x:f>IF(COUNTIF(B358:D358,"W")&gt;0,"Y","N")</x:f>
        <x:v>Y</x:v>
      </x:c>
      <x:c r="X358" s="5" t="str">
        <x:f>IF(COUNTIF(B358:I358,"W")&gt;=4,"Y","N")</x:f>
        <x:v>Y</x:v>
      </x:c>
      <x:c r="Y358" s="1"/>
      <x:c r="Z358" s="1"/>
      <x:c r="AA358" s="1"/>
      <x:c r="AB358" s="1"/>
      <x:c r="AC358" s="1"/>
      <x:c r="AD358" s="1"/>
      <x:c r="AE358" s="1"/>
    </x:row>
    <x:row r="359">
      <x:c r="A359" s="1">
        <x:v>358</x:v>
      </x:c>
      <x:c r="B359" t="str">
        <x:v>B</x:v>
      </x:c>
      <x:c r="C359" t="str">
        <x:v>B</x:v>
      </x:c>
      <x:c r="D359" t="str">
        <x:v>W</x:v>
      </x:c>
      <x:c r="E359" t="str">
        <x:v>B</x:v>
      </x:c>
      <x:c r="F359" t="str">
        <x:v>B</x:v>
      </x:c>
      <x:c r="G359" t="str">
        <x:v>B</x:v>
      </x:c>
      <x:c r="H359" t="str">
        <x:v>W</x:v>
      </x:c>
      <x:c r="I359" t="str">
        <x:v>W</x:v>
      </x:c>
      <x:c r="J359" t="str">
        <x:v>B</x:v>
      </x:c>
      <x:c r="K359" t="str">
        <x:v>B</x:v>
      </x:c>
      <x:c r="L359" t="str">
        <x:v>W</x:v>
      </x:c>
      <x:c r="M359" t="str">
        <x:v>W</x:v>
      </x:c>
      <x:c r="N359" t="str">
        <x:v>B</x:v>
      </x:c>
      <x:c r="O359" t="str">
        <x:v>B</x:v>
      </x:c>
      <x:c r="P359" t="str">
        <x:v>B</x:v>
      </x:c>
      <x:c r="Q359" t="str">
        <x:v>B</x:v>
      </x:c>
      <x:c r="R359" t="str">
        <x:v>W</x:v>
      </x:c>
      <x:c r="S359" t="str">
        <x:v>W</x:v>
      </x:c>
      <x:c r="T359" t="str">
        <x:v>B</x:v>
      </x:c>
      <x:c r="U359" t="str">
        <x:v>B</x:v>
      </x:c>
      <x:c r="V359" t="n">
        <x:f>COUNTIF(B359:U359,"W")</x:f>
        <x:v>7</x:v>
      </x:c>
      <x:c r="W359" s="5" t="str">
        <x:f>IF(COUNTIF(B359:D359,"W")&gt;0,"Y","N")</x:f>
        <x:v>Y</x:v>
      </x:c>
      <x:c r="X359" s="5" t="str">
        <x:f>IF(COUNTIF(B359:I359,"W")&gt;=4,"Y","N")</x:f>
        <x:v>N</x:v>
      </x:c>
      <x:c r="Y359" s="1"/>
      <x:c r="Z359" s="1"/>
      <x:c r="AA359" s="1"/>
      <x:c r="AB359" s="1"/>
      <x:c r="AC359" s="1"/>
      <x:c r="AD359" s="1"/>
      <x:c r="AE359" s="1"/>
    </x:row>
    <x:row r="360">
      <x:c r="A360" s="1">
        <x:v>359</x:v>
      </x:c>
      <x:c r="B360" t="str">
        <x:v>B</x:v>
      </x:c>
      <x:c r="C360" t="str">
        <x:v>B</x:v>
      </x:c>
      <x:c r="D360" t="str">
        <x:v>B</x:v>
      </x:c>
      <x:c r="E360" t="str">
        <x:v>W</x:v>
      </x:c>
      <x:c r="F360" t="str">
        <x:v>B</x:v>
      </x:c>
      <x:c r="G360" t="str">
        <x:v>B</x:v>
      </x:c>
      <x:c r="H360" t="str">
        <x:v>W</x:v>
      </x:c>
      <x:c r="I360" t="str">
        <x:v>B</x:v>
      </x:c>
      <x:c r="J360" t="str">
        <x:v>W</x:v>
      </x:c>
      <x:c r="K360" t="str">
        <x:v>W</x:v>
      </x:c>
      <x:c r="L360" t="str">
        <x:v>W</x:v>
      </x:c>
      <x:c r="M360" t="str">
        <x:v>B</x:v>
      </x:c>
      <x:c r="N360" t="str">
        <x:v>W</x:v>
      </x:c>
      <x:c r="O360" t="str">
        <x:v>B</x:v>
      </x:c>
      <x:c r="P360" t="str">
        <x:v>B</x:v>
      </x:c>
      <x:c r="Q360" t="str">
        <x:v>W</x:v>
      </x:c>
      <x:c r="R360" t="str">
        <x:v>W</x:v>
      </x:c>
      <x:c r="S360" t="str">
        <x:v>B</x:v>
      </x:c>
      <x:c r="T360" t="str">
        <x:v>B</x:v>
      </x:c>
      <x:c r="U360" t="str">
        <x:v>W</x:v>
      </x:c>
      <x:c r="V360" t="n">
        <x:f>COUNTIF(B360:U360,"W")</x:f>
        <x:v>9</x:v>
      </x:c>
      <x:c r="W360" s="5" t="str">
        <x:f>IF(COUNTIF(B360:D360,"W")&gt;0,"Y","N")</x:f>
        <x:v>N</x:v>
      </x:c>
      <x:c r="X360" s="5" t="str">
        <x:f>IF(COUNTIF(B360:I360,"W")&gt;=4,"Y","N")</x:f>
        <x:v>N</x:v>
      </x:c>
      <x:c r="Y360" s="1"/>
      <x:c r="Z360" s="1"/>
      <x:c r="AA360" s="1"/>
      <x:c r="AB360" s="1"/>
      <x:c r="AC360" s="1"/>
      <x:c r="AD360" s="1"/>
      <x:c r="AE360" s="1"/>
    </x:row>
    <x:row r="361">
      <x:c r="A361" s="1">
        <x:v>360</x:v>
      </x:c>
      <x:c r="B361" t="str">
        <x:v>B</x:v>
      </x:c>
      <x:c r="C361" t="str">
        <x:v>W</x:v>
      </x:c>
      <x:c r="D361" t="str">
        <x:v>B</x:v>
      </x:c>
      <x:c r="E361" t="str">
        <x:v>W</x:v>
      </x:c>
      <x:c r="F361" t="str">
        <x:v>W</x:v>
      </x:c>
      <x:c r="G361" t="str">
        <x:v>B</x:v>
      </x:c>
      <x:c r="H361" t="str">
        <x:v>W</x:v>
      </x:c>
      <x:c r="I361" t="str">
        <x:v>W</x:v>
      </x:c>
      <x:c r="J361" t="str">
        <x:v>B</x:v>
      </x:c>
      <x:c r="K361" t="str">
        <x:v>B</x:v>
      </x:c>
      <x:c r="L361" t="str">
        <x:v>W</x:v>
      </x:c>
      <x:c r="M361" t="str">
        <x:v>W</x:v>
      </x:c>
      <x:c r="N361" t="str">
        <x:v>B</x:v>
      </x:c>
      <x:c r="O361" t="str">
        <x:v>B</x:v>
      </x:c>
      <x:c r="P361" t="str">
        <x:v>W</x:v>
      </x:c>
      <x:c r="Q361" t="str">
        <x:v>B</x:v>
      </x:c>
      <x:c r="R361" t="str">
        <x:v>B</x:v>
      </x:c>
      <x:c r="S361" t="str">
        <x:v>W</x:v>
      </x:c>
      <x:c r="T361" t="str">
        <x:v>W</x:v>
      </x:c>
      <x:c r="U361" t="str">
        <x:v>B</x:v>
      </x:c>
      <x:c r="V361" t="n">
        <x:f>COUNTIF(B361:U361,"W")</x:f>
        <x:v>10</x:v>
      </x:c>
      <x:c r="W361" s="5" t="str">
        <x:f>IF(COUNTIF(B361:D361,"W")&gt;0,"Y","N")</x:f>
        <x:v>Y</x:v>
      </x:c>
      <x:c r="X361" s="5" t="str">
        <x:f>IF(COUNTIF(B361:I361,"W")&gt;=4,"Y","N")</x:f>
        <x:v>Y</x:v>
      </x:c>
      <x:c r="Y361" s="1"/>
      <x:c r="Z361" s="1"/>
      <x:c r="AA361" s="1"/>
      <x:c r="AB361" s="1"/>
      <x:c r="AC361" s="1"/>
      <x:c r="AD361" s="1"/>
      <x:c r="AE361" s="1"/>
    </x:row>
    <x:row r="362">
      <x:c r="A362" s="1">
        <x:v>361</x:v>
      </x:c>
      <x:c r="B362" t="str">
        <x:v>W</x:v>
      </x:c>
      <x:c r="C362" t="str">
        <x:v>W</x:v>
      </x:c>
      <x:c r="D362" t="str">
        <x:v>W</x:v>
      </x:c>
      <x:c r="E362" t="str">
        <x:v>W</x:v>
      </x:c>
      <x:c r="F362" t="str">
        <x:v>W</x:v>
      </x:c>
      <x:c r="G362" t="str">
        <x:v>B</x:v>
      </x:c>
      <x:c r="H362" t="str">
        <x:v>B</x:v>
      </x:c>
      <x:c r="I362" t="str">
        <x:v>B</x:v>
      </x:c>
      <x:c r="J362" t="str">
        <x:v>W</x:v>
      </x:c>
      <x:c r="K362" t="str">
        <x:v>B</x:v>
      </x:c>
      <x:c r="L362" t="str">
        <x:v>W</x:v>
      </x:c>
      <x:c r="M362" t="str">
        <x:v>B</x:v>
      </x:c>
      <x:c r="N362" t="str">
        <x:v>W</x:v>
      </x:c>
      <x:c r="O362" t="str">
        <x:v>B</x:v>
      </x:c>
      <x:c r="P362" t="str">
        <x:v>B</x:v>
      </x:c>
      <x:c r="Q362" t="str">
        <x:v>B</x:v>
      </x:c>
      <x:c r="R362" t="str">
        <x:v>B</x:v>
      </x:c>
      <x:c r="S362" t="str">
        <x:v>W</x:v>
      </x:c>
      <x:c r="T362" t="str">
        <x:v>B</x:v>
      </x:c>
      <x:c r="U362" t="str">
        <x:v>W</x:v>
      </x:c>
      <x:c r="V362" t="n">
        <x:f>COUNTIF(B362:U362,"W")</x:f>
        <x:v>10</x:v>
      </x:c>
      <x:c r="W362" s="5" t="str">
        <x:f>IF(COUNTIF(B362:D362,"W")&gt;0,"Y","N")</x:f>
        <x:v>Y</x:v>
      </x:c>
      <x:c r="X362" s="5" t="str">
        <x:f>IF(COUNTIF(B362:I362,"W")&gt;=4,"Y","N")</x:f>
        <x:v>Y</x:v>
      </x:c>
      <x:c r="Y362" s="1"/>
      <x:c r="Z362" s="1"/>
      <x:c r="AA362" s="1"/>
      <x:c r="AB362" s="1"/>
      <x:c r="AC362" s="1"/>
      <x:c r="AD362" s="1"/>
      <x:c r="AE362" s="1"/>
    </x:row>
    <x:row r="363">
      <x:c r="A363" s="1">
        <x:v>362</x:v>
      </x:c>
      <x:c r="B363" t="str">
        <x:v>B</x:v>
      </x:c>
      <x:c r="C363" t="str">
        <x:v>B</x:v>
      </x:c>
      <x:c r="D363" t="str">
        <x:v>W</x:v>
      </x:c>
      <x:c r="E363" t="str">
        <x:v>B</x:v>
      </x:c>
      <x:c r="F363" t="str">
        <x:v>B</x:v>
      </x:c>
      <x:c r="G363" t="str">
        <x:v>W</x:v>
      </x:c>
      <x:c r="H363" t="str">
        <x:v>W</x:v>
      </x:c>
      <x:c r="I363" t="str">
        <x:v>B</x:v>
      </x:c>
      <x:c r="J363" t="str">
        <x:v>W</x:v>
      </x:c>
      <x:c r="K363" t="str">
        <x:v>B</x:v>
      </x:c>
      <x:c r="L363" t="str">
        <x:v>B</x:v>
      </x:c>
      <x:c r="M363" t="str">
        <x:v>W</x:v>
      </x:c>
      <x:c r="N363" t="str">
        <x:v>B</x:v>
      </x:c>
      <x:c r="O363" t="str">
        <x:v>W</x:v>
      </x:c>
      <x:c r="P363" t="str">
        <x:v>B</x:v>
      </x:c>
      <x:c r="Q363" t="str">
        <x:v>W</x:v>
      </x:c>
      <x:c r="R363" t="str">
        <x:v>W</x:v>
      </x:c>
      <x:c r="S363" t="str">
        <x:v>B</x:v>
      </x:c>
      <x:c r="T363" t="str">
        <x:v>B</x:v>
      </x:c>
      <x:c r="U363" t="str">
        <x:v>W</x:v>
      </x:c>
      <x:c r="V363" t="n">
        <x:f>COUNTIF(B363:U363,"W")</x:f>
        <x:v>9</x:v>
      </x:c>
      <x:c r="W363" s="5" t="str">
        <x:f>IF(COUNTIF(B363:D363,"W")&gt;0,"Y","N")</x:f>
        <x:v>Y</x:v>
      </x:c>
      <x:c r="X363" s="5" t="str">
        <x:f>IF(COUNTIF(B363:I363,"W")&gt;=4,"Y","N")</x:f>
        <x:v>N</x:v>
      </x:c>
      <x:c r="Y363" s="1"/>
      <x:c r="Z363" s="1"/>
      <x:c r="AA363" s="1"/>
      <x:c r="AB363" s="1"/>
      <x:c r="AC363" s="1"/>
      <x:c r="AD363" s="1"/>
      <x:c r="AE363" s="1"/>
    </x:row>
    <x:row r="364">
      <x:c r="A364" s="1">
        <x:v>363</x:v>
      </x:c>
      <x:c r="B364" t="str">
        <x:v>B</x:v>
      </x:c>
      <x:c r="C364" t="str">
        <x:v>B</x:v>
      </x:c>
      <x:c r="D364" t="str">
        <x:v>B</x:v>
      </x:c>
      <x:c r="E364" t="str">
        <x:v>W</x:v>
      </x:c>
      <x:c r="F364" t="str">
        <x:v>B</x:v>
      </x:c>
      <x:c r="G364" t="str">
        <x:v>W</x:v>
      </x:c>
      <x:c r="H364" t="str">
        <x:v>B</x:v>
      </x:c>
      <x:c r="I364" t="str">
        <x:v>B</x:v>
      </x:c>
      <x:c r="J364" t="str">
        <x:v>W</x:v>
      </x:c>
      <x:c r="K364" t="str">
        <x:v>W</x:v>
      </x:c>
      <x:c r="L364" t="str">
        <x:v>W</x:v>
      </x:c>
      <x:c r="M364" t="str">
        <x:v>B</x:v>
      </x:c>
      <x:c r="N364" t="str">
        <x:v>W</x:v>
      </x:c>
      <x:c r="O364" t="str">
        <x:v>B</x:v>
      </x:c>
      <x:c r="P364" t="str">
        <x:v>W</x:v>
      </x:c>
      <x:c r="Q364" t="str">
        <x:v>B</x:v>
      </x:c>
      <x:c r="R364" t="str">
        <x:v>W</x:v>
      </x:c>
      <x:c r="S364" t="str">
        <x:v>B</x:v>
      </x:c>
      <x:c r="T364" t="str">
        <x:v>B</x:v>
      </x:c>
      <x:c r="U364" t="str">
        <x:v>B</x:v>
      </x:c>
      <x:c r="V364" t="n">
        <x:f>COUNTIF(B364:U364,"W")</x:f>
        <x:v>8</x:v>
      </x:c>
      <x:c r="W364" s="5" t="str">
        <x:f>IF(COUNTIF(B364:D364,"W")&gt;0,"Y","N")</x:f>
        <x:v>N</x:v>
      </x:c>
      <x:c r="X364" s="5" t="str">
        <x:f>IF(COUNTIF(B364:I364,"W")&gt;=4,"Y","N")</x:f>
        <x:v>N</x:v>
      </x:c>
      <x:c r="Y364" s="1"/>
      <x:c r="Z364" s="1"/>
      <x:c r="AA364" s="1"/>
      <x:c r="AB364" s="1"/>
      <x:c r="AC364" s="1"/>
      <x:c r="AD364" s="1"/>
      <x:c r="AE364" s="1"/>
    </x:row>
    <x:row r="365">
      <x:c r="A365" s="1">
        <x:v>364</x:v>
      </x:c>
      <x:c r="B365" t="str">
        <x:v>B</x:v>
      </x:c>
      <x:c r="C365" t="str">
        <x:v>W</x:v>
      </x:c>
      <x:c r="D365" t="str">
        <x:v>B</x:v>
      </x:c>
      <x:c r="E365" t="str">
        <x:v>B</x:v>
      </x:c>
      <x:c r="F365" t="str">
        <x:v>B</x:v>
      </x:c>
      <x:c r="G365" t="str">
        <x:v>B</x:v>
      </x:c>
      <x:c r="H365" t="str">
        <x:v>B</x:v>
      </x:c>
      <x:c r="I365" t="str">
        <x:v>B</x:v>
      </x:c>
      <x:c r="J365" t="str">
        <x:v>W</x:v>
      </x:c>
      <x:c r="K365" t="str">
        <x:v>B</x:v>
      </x:c>
      <x:c r="L365" t="str">
        <x:v>B</x:v>
      </x:c>
      <x:c r="M365" t="str">
        <x:v>W</x:v>
      </x:c>
      <x:c r="N365" t="str">
        <x:v>W</x:v>
      </x:c>
      <x:c r="O365" t="str">
        <x:v>W</x:v>
      </x:c>
      <x:c r="P365" t="str">
        <x:v>B</x:v>
      </x:c>
      <x:c r="Q365" t="str">
        <x:v>B</x:v>
      </x:c>
      <x:c r="R365" t="str">
        <x:v>W</x:v>
      </x:c>
      <x:c r="S365" t="str">
        <x:v>B</x:v>
      </x:c>
      <x:c r="T365" t="str">
        <x:v>B</x:v>
      </x:c>
      <x:c r="U365" t="str">
        <x:v>B</x:v>
      </x:c>
      <x:c r="V365" t="n">
        <x:f>COUNTIF(B365:U365,"W")</x:f>
        <x:v>6</x:v>
      </x:c>
      <x:c r="W365" s="5" t="str">
        <x:f>IF(COUNTIF(B365:D365,"W")&gt;0,"Y","N")</x:f>
        <x:v>Y</x:v>
      </x:c>
      <x:c r="X365" s="5" t="str">
        <x:f>IF(COUNTIF(B365:I365,"W")&gt;=4,"Y","N")</x:f>
        <x:v>N</x:v>
      </x:c>
      <x:c r="Y365" s="1"/>
      <x:c r="Z365" s="1"/>
      <x:c r="AA365" s="1"/>
      <x:c r="AB365" s="1"/>
      <x:c r="AC365" s="1"/>
      <x:c r="AD365" s="1"/>
      <x:c r="AE365" s="1"/>
    </x:row>
    <x:row r="366">
      <x:c r="A366" s="1">
        <x:v>365</x:v>
      </x:c>
      <x:c r="B366" t="str">
        <x:v>B</x:v>
      </x:c>
      <x:c r="C366" t="str">
        <x:v>B</x:v>
      </x:c>
      <x:c r="D366" t="str">
        <x:v>B</x:v>
      </x:c>
      <x:c r="E366" t="str">
        <x:v>W</x:v>
      </x:c>
      <x:c r="F366" t="str">
        <x:v>B</x:v>
      </x:c>
      <x:c r="G366" t="str">
        <x:v>B</x:v>
      </x:c>
      <x:c r="H366" t="str">
        <x:v>B</x:v>
      </x:c>
      <x:c r="I366" t="str">
        <x:v>W</x:v>
      </x:c>
      <x:c r="J366" t="str">
        <x:v>B</x:v>
      </x:c>
      <x:c r="K366" t="str">
        <x:v>W</x:v>
      </x:c>
      <x:c r="L366" t="str">
        <x:v>B</x:v>
      </x:c>
      <x:c r="M366" t="str">
        <x:v>B</x:v>
      </x:c>
      <x:c r="N366" t="str">
        <x:v>B</x:v>
      </x:c>
      <x:c r="O366" t="str">
        <x:v>B</x:v>
      </x:c>
      <x:c r="P366" t="str">
        <x:v>B</x:v>
      </x:c>
      <x:c r="Q366" t="str">
        <x:v>B</x:v>
      </x:c>
      <x:c r="R366" t="str">
        <x:v>W</x:v>
      </x:c>
      <x:c r="S366" t="str">
        <x:v>W</x:v>
      </x:c>
      <x:c r="T366" t="str">
        <x:v>W</x:v>
      </x:c>
      <x:c r="U366" t="str">
        <x:v>B</x:v>
      </x:c>
      <x:c r="V366" t="n">
        <x:f>COUNTIF(B366:U366,"W")</x:f>
        <x:v>6</x:v>
      </x:c>
      <x:c r="W366" s="5" t="str">
        <x:f>IF(COUNTIF(B366:D366,"W")&gt;0,"Y","N")</x:f>
        <x:v>N</x:v>
      </x:c>
      <x:c r="X366" s="5" t="str">
        <x:f>IF(COUNTIF(B366:I366,"W")&gt;=4,"Y","N")</x:f>
        <x:v>N</x:v>
      </x:c>
      <x:c r="Y366" s="1"/>
      <x:c r="Z366" s="1"/>
      <x:c r="AA366" s="1"/>
      <x:c r="AB366" s="1"/>
      <x:c r="AC366" s="1"/>
      <x:c r="AD366" s="1"/>
      <x:c r="AE366" s="1"/>
    </x:row>
    <x:row r="367">
      <x:c r="A367" s="1">
        <x:v>366</x:v>
      </x:c>
      <x:c r="B367" t="str">
        <x:v>B</x:v>
      </x:c>
      <x:c r="C367" t="str">
        <x:v>W</x:v>
      </x:c>
      <x:c r="D367" t="str">
        <x:v>B</x:v>
      </x:c>
      <x:c r="E367" t="str">
        <x:v>B</x:v>
      </x:c>
      <x:c r="F367" t="str">
        <x:v>B</x:v>
      </x:c>
      <x:c r="G367" t="str">
        <x:v>W</x:v>
      </x:c>
      <x:c r="H367" t="str">
        <x:v>W</x:v>
      </x:c>
      <x:c r="I367" t="str">
        <x:v>W</x:v>
      </x:c>
      <x:c r="J367" t="str">
        <x:v>B</x:v>
      </x:c>
      <x:c r="K367" t="str">
        <x:v>W</x:v>
      </x:c>
      <x:c r="L367" t="str">
        <x:v>W</x:v>
      </x:c>
      <x:c r="M367" t="str">
        <x:v>B</x:v>
      </x:c>
      <x:c r="N367" t="str">
        <x:v>B</x:v>
      </x:c>
      <x:c r="O367" t="str">
        <x:v>B</x:v>
      </x:c>
      <x:c r="P367" t="str">
        <x:v>W</x:v>
      </x:c>
      <x:c r="Q367" t="str">
        <x:v>B</x:v>
      </x:c>
      <x:c r="R367" t="str">
        <x:v>W</x:v>
      </x:c>
      <x:c r="S367" t="str">
        <x:v>B</x:v>
      </x:c>
      <x:c r="T367" t="str">
        <x:v>B</x:v>
      </x:c>
      <x:c r="U367" t="str">
        <x:v>B</x:v>
      </x:c>
      <x:c r="V367" t="n">
        <x:f>COUNTIF(B367:U367,"W")</x:f>
        <x:v>8</x:v>
      </x:c>
      <x:c r="W367" s="5" t="str">
        <x:f>IF(COUNTIF(B367:D367,"W")&gt;0,"Y","N")</x:f>
        <x:v>Y</x:v>
      </x:c>
      <x:c r="X367" s="5" t="str">
        <x:f>IF(COUNTIF(B367:I367,"W")&gt;=4,"Y","N")</x:f>
        <x:v>Y</x:v>
      </x:c>
      <x:c r="Y367" s="1"/>
      <x:c r="Z367" s="1"/>
      <x:c r="AA367" s="1"/>
      <x:c r="AB367" s="1"/>
      <x:c r="AC367" s="1"/>
      <x:c r="AD367" s="1"/>
      <x:c r="AE367" s="1"/>
    </x:row>
    <x:row r="368">
      <x:c r="A368" s="1">
        <x:v>367</x:v>
      </x:c>
      <x:c r="B368" t="str">
        <x:v>B</x:v>
      </x:c>
      <x:c r="C368" t="str">
        <x:v>W</x:v>
      </x:c>
      <x:c r="D368" t="str">
        <x:v>B</x:v>
      </x:c>
      <x:c r="E368" t="str">
        <x:v>B</x:v>
      </x:c>
      <x:c r="F368" t="str">
        <x:v>B</x:v>
      </x:c>
      <x:c r="G368" t="str">
        <x:v>B</x:v>
      </x:c>
      <x:c r="H368" t="str">
        <x:v>B</x:v>
      </x:c>
      <x:c r="I368" t="str">
        <x:v>W</x:v>
      </x:c>
      <x:c r="J368" t="str">
        <x:v>W</x:v>
      </x:c>
      <x:c r="K368" t="str">
        <x:v>W</x:v>
      </x:c>
      <x:c r="L368" t="str">
        <x:v>B</x:v>
      </x:c>
      <x:c r="M368" t="str">
        <x:v>B</x:v>
      </x:c>
      <x:c r="N368" t="str">
        <x:v>B</x:v>
      </x:c>
      <x:c r="O368" t="str">
        <x:v>B</x:v>
      </x:c>
      <x:c r="P368" t="str">
        <x:v>B</x:v>
      </x:c>
      <x:c r="Q368" t="str">
        <x:v>W</x:v>
      </x:c>
      <x:c r="R368" t="str">
        <x:v>B</x:v>
      </x:c>
      <x:c r="S368" t="str">
        <x:v>W</x:v>
      </x:c>
      <x:c r="T368" t="str">
        <x:v>B</x:v>
      </x:c>
      <x:c r="U368" t="str">
        <x:v>W</x:v>
      </x:c>
      <x:c r="V368" t="n">
        <x:f>COUNTIF(B368:U368,"W")</x:f>
        <x:v>7</x:v>
      </x:c>
      <x:c r="W368" s="5" t="str">
        <x:f>IF(COUNTIF(B368:D368,"W")&gt;0,"Y","N")</x:f>
        <x:v>Y</x:v>
      </x:c>
      <x:c r="X368" s="5" t="str">
        <x:f>IF(COUNTIF(B368:I368,"W")&gt;=4,"Y","N")</x:f>
        <x:v>N</x:v>
      </x:c>
      <x:c r="Y368" s="1"/>
      <x:c r="Z368" s="1"/>
      <x:c r="AA368" s="1"/>
      <x:c r="AB368" s="1"/>
      <x:c r="AC368" s="1"/>
      <x:c r="AD368" s="1"/>
      <x:c r="AE368" s="1"/>
    </x:row>
    <x:row r="369">
      <x:c r="A369" s="1">
        <x:v>368</x:v>
      </x:c>
      <x:c r="B369" t="str">
        <x:v>W</x:v>
      </x:c>
      <x:c r="C369" t="str">
        <x:v>B</x:v>
      </x:c>
      <x:c r="D369" t="str">
        <x:v>B</x:v>
      </x:c>
      <x:c r="E369" t="str">
        <x:v>B</x:v>
      </x:c>
      <x:c r="F369" t="str">
        <x:v>W</x:v>
      </x:c>
      <x:c r="G369" t="str">
        <x:v>W</x:v>
      </x:c>
      <x:c r="H369" t="str">
        <x:v>B</x:v>
      </x:c>
      <x:c r="I369" t="str">
        <x:v>W</x:v>
      </x:c>
      <x:c r="J369" t="str">
        <x:v>B</x:v>
      </x:c>
      <x:c r="K369" t="str">
        <x:v>W</x:v>
      </x:c>
      <x:c r="L369" t="str">
        <x:v>W</x:v>
      </x:c>
      <x:c r="M369" t="str">
        <x:v>B</x:v>
      </x:c>
      <x:c r="N369" t="str">
        <x:v>B</x:v>
      </x:c>
      <x:c r="O369" t="str">
        <x:v>B</x:v>
      </x:c>
      <x:c r="P369" t="str">
        <x:v>W</x:v>
      </x:c>
      <x:c r="Q369" t="str">
        <x:v>B</x:v>
      </x:c>
      <x:c r="R369" t="str">
        <x:v>B</x:v>
      </x:c>
      <x:c r="S369" t="str">
        <x:v>W</x:v>
      </x:c>
      <x:c r="T369" t="str">
        <x:v>B</x:v>
      </x:c>
      <x:c r="U369" t="str">
        <x:v>B</x:v>
      </x:c>
      <x:c r="V369" t="n">
        <x:f>COUNTIF(B369:U369,"W")</x:f>
        <x:v>8</x:v>
      </x:c>
      <x:c r="W369" s="5" t="str">
        <x:f>IF(COUNTIF(B369:D369,"W")&gt;0,"Y","N")</x:f>
        <x:v>Y</x:v>
      </x:c>
      <x:c r="X369" s="5" t="str">
        <x:f>IF(COUNTIF(B369:I369,"W")&gt;=4,"Y","N")</x:f>
        <x:v>Y</x:v>
      </x:c>
      <x:c r="Y369" s="1"/>
      <x:c r="Z369" s="1"/>
      <x:c r="AA369" s="1"/>
      <x:c r="AB369" s="1"/>
      <x:c r="AC369" s="1"/>
      <x:c r="AD369" s="1"/>
      <x:c r="AE369" s="1"/>
    </x:row>
    <x:row r="370">
      <x:c r="A370" s="1">
        <x:v>369</x:v>
      </x:c>
      <x:c r="B370" t="str">
        <x:v>B</x:v>
      </x:c>
      <x:c r="C370" t="str">
        <x:v>W</x:v>
      </x:c>
      <x:c r="D370" t="str">
        <x:v>W</x:v>
      </x:c>
      <x:c r="E370" t="str">
        <x:v>B</x:v>
      </x:c>
      <x:c r="F370" t="str">
        <x:v>B</x:v>
      </x:c>
      <x:c r="G370" t="str">
        <x:v>W</x:v>
      </x:c>
      <x:c r="H370" t="str">
        <x:v>B</x:v>
      </x:c>
      <x:c r="I370" t="str">
        <x:v>W</x:v>
      </x:c>
      <x:c r="J370" t="str">
        <x:v>B</x:v>
      </x:c>
      <x:c r="K370" t="str">
        <x:v>W</x:v>
      </x:c>
      <x:c r="L370" t="str">
        <x:v>W</x:v>
      </x:c>
      <x:c r="M370" t="str">
        <x:v>B</x:v>
      </x:c>
      <x:c r="N370" t="str">
        <x:v>B</x:v>
      </x:c>
      <x:c r="O370" t="str">
        <x:v>B</x:v>
      </x:c>
      <x:c r="P370" t="str">
        <x:v>W</x:v>
      </x:c>
      <x:c r="Q370" t="str">
        <x:v>B</x:v>
      </x:c>
      <x:c r="R370" t="str">
        <x:v>W</x:v>
      </x:c>
      <x:c r="S370" t="str">
        <x:v>B</x:v>
      </x:c>
      <x:c r="T370" t="str">
        <x:v>B</x:v>
      </x:c>
      <x:c r="U370" t="str">
        <x:v>B</x:v>
      </x:c>
      <x:c r="V370" t="n">
        <x:f>COUNTIF(B370:U370,"W")</x:f>
        <x:v>8</x:v>
      </x:c>
      <x:c r="W370" s="5" t="str">
        <x:f>IF(COUNTIF(B370:D370,"W")&gt;0,"Y","N")</x:f>
        <x:v>Y</x:v>
      </x:c>
      <x:c r="X370" s="5" t="str">
        <x:f>IF(COUNTIF(B370:I370,"W")&gt;=4,"Y","N")</x:f>
        <x:v>Y</x:v>
      </x:c>
      <x:c r="Y370" s="1"/>
      <x:c r="Z370" s="1"/>
      <x:c r="AA370" s="1"/>
      <x:c r="AB370" s="1"/>
      <x:c r="AC370" s="1"/>
      <x:c r="AD370" s="1"/>
      <x:c r="AE370" s="1"/>
    </x:row>
    <x:row r="371">
      <x:c r="A371" s="1">
        <x:v>370</x:v>
      </x:c>
      <x:c r="B371" t="str">
        <x:v>B</x:v>
      </x:c>
      <x:c r="C371" t="str">
        <x:v>B</x:v>
      </x:c>
      <x:c r="D371" t="str">
        <x:v>W</x:v>
      </x:c>
      <x:c r="E371" t="str">
        <x:v>B</x:v>
      </x:c>
      <x:c r="F371" t="str">
        <x:v>B</x:v>
      </x:c>
      <x:c r="G371" t="str">
        <x:v>W</x:v>
      </x:c>
      <x:c r="H371" t="str">
        <x:v>B</x:v>
      </x:c>
      <x:c r="I371" t="str">
        <x:v>W</x:v>
      </x:c>
      <x:c r="J371" t="str">
        <x:v>W</x:v>
      </x:c>
      <x:c r="K371" t="str">
        <x:v>B</x:v>
      </x:c>
      <x:c r="L371" t="str">
        <x:v>B</x:v>
      </x:c>
      <x:c r="M371" t="str">
        <x:v>W</x:v>
      </x:c>
      <x:c r="N371" t="str">
        <x:v>B</x:v>
      </x:c>
      <x:c r="O371" t="str">
        <x:v>W</x:v>
      </x:c>
      <x:c r="P371" t="str">
        <x:v>W</x:v>
      </x:c>
      <x:c r="Q371" t="str">
        <x:v>W</x:v>
      </x:c>
      <x:c r="R371" t="str">
        <x:v>B</x:v>
      </x:c>
      <x:c r="S371" t="str">
        <x:v>B</x:v>
      </x:c>
      <x:c r="T371" t="str">
        <x:v>B</x:v>
      </x:c>
      <x:c r="U371" t="str">
        <x:v>B</x:v>
      </x:c>
      <x:c r="V371" t="n">
        <x:f>COUNTIF(B371:U371,"W")</x:f>
        <x:v>8</x:v>
      </x:c>
      <x:c r="W371" s="5" t="str">
        <x:f>IF(COUNTIF(B371:D371,"W")&gt;0,"Y","N")</x:f>
        <x:v>Y</x:v>
      </x:c>
      <x:c r="X371" s="5" t="str">
        <x:f>IF(COUNTIF(B371:I371,"W")&gt;=4,"Y","N")</x:f>
        <x:v>N</x:v>
      </x:c>
      <x:c r="Y371" s="1"/>
      <x:c r="Z371" s="1"/>
      <x:c r="AA371" s="1"/>
      <x:c r="AB371" s="1"/>
      <x:c r="AC371" s="1"/>
      <x:c r="AD371" s="1"/>
      <x:c r="AE371" s="1"/>
    </x:row>
    <x:row r="372">
      <x:c r="A372" s="1">
        <x:v>371</x:v>
      </x:c>
      <x:c r="B372" t="str">
        <x:v>B</x:v>
      </x:c>
      <x:c r="C372" t="str">
        <x:v>B</x:v>
      </x:c>
      <x:c r="D372" t="str">
        <x:v>W</x:v>
      </x:c>
      <x:c r="E372" t="str">
        <x:v>W</x:v>
      </x:c>
      <x:c r="F372" t="str">
        <x:v>B</x:v>
      </x:c>
      <x:c r="G372" t="str">
        <x:v>B</x:v>
      </x:c>
      <x:c r="H372" t="str">
        <x:v>W</x:v>
      </x:c>
      <x:c r="I372" t="str">
        <x:v>B</x:v>
      </x:c>
      <x:c r="J372" t="str">
        <x:v>W</x:v>
      </x:c>
      <x:c r="K372" t="str">
        <x:v>W</x:v>
      </x:c>
      <x:c r="L372" t="str">
        <x:v>W</x:v>
      </x:c>
      <x:c r="M372" t="str">
        <x:v>B</x:v>
      </x:c>
      <x:c r="N372" t="str">
        <x:v>B</x:v>
      </x:c>
      <x:c r="O372" t="str">
        <x:v>W</x:v>
      </x:c>
      <x:c r="P372" t="str">
        <x:v>B</x:v>
      </x:c>
      <x:c r="Q372" t="str">
        <x:v>W</x:v>
      </x:c>
      <x:c r="R372" t="str">
        <x:v>W</x:v>
      </x:c>
      <x:c r="S372" t="str">
        <x:v>W</x:v>
      </x:c>
      <x:c r="T372" t="str">
        <x:v>W</x:v>
      </x:c>
      <x:c r="U372" t="str">
        <x:v>B</x:v>
      </x:c>
      <x:c r="V372" t="n">
        <x:f>COUNTIF(B372:U372,"W")</x:f>
        <x:v>11</x:v>
      </x:c>
      <x:c r="W372" s="5" t="str">
        <x:f>IF(COUNTIF(B372:D372,"W")&gt;0,"Y","N")</x:f>
        <x:v>Y</x:v>
      </x:c>
      <x:c r="X372" s="5" t="str">
        <x:f>IF(COUNTIF(B372:I372,"W")&gt;=4,"Y","N")</x:f>
        <x:v>N</x:v>
      </x:c>
      <x:c r="Y372" s="1"/>
      <x:c r="Z372" s="1"/>
      <x:c r="AA372" s="1"/>
      <x:c r="AB372" s="1"/>
      <x:c r="AC372" s="1"/>
      <x:c r="AD372" s="1"/>
      <x:c r="AE372" s="1"/>
    </x:row>
    <x:row r="373">
      <x:c r="A373" s="1">
        <x:v>372</x:v>
      </x:c>
      <x:c r="B373" t="str">
        <x:v>B</x:v>
      </x:c>
      <x:c r="C373" t="str">
        <x:v>W</x:v>
      </x:c>
      <x:c r="D373" t="str">
        <x:v>B</x:v>
      </x:c>
      <x:c r="E373" t="str">
        <x:v>B</x:v>
      </x:c>
      <x:c r="F373" t="str">
        <x:v>B</x:v>
      </x:c>
      <x:c r="G373" t="str">
        <x:v>B</x:v>
      </x:c>
      <x:c r="H373" t="str">
        <x:v>B</x:v>
      </x:c>
      <x:c r="I373" t="str">
        <x:v>W</x:v>
      </x:c>
      <x:c r="J373" t="str">
        <x:v>B</x:v>
      </x:c>
      <x:c r="K373" t="str">
        <x:v>B</x:v>
      </x:c>
      <x:c r="L373" t="str">
        <x:v>B</x:v>
      </x:c>
      <x:c r="M373" t="str">
        <x:v>B</x:v>
      </x:c>
      <x:c r="N373" t="str">
        <x:v>W</x:v>
      </x:c>
      <x:c r="O373" t="str">
        <x:v>B</x:v>
      </x:c>
      <x:c r="P373" t="str">
        <x:v>B</x:v>
      </x:c>
      <x:c r="Q373" t="str">
        <x:v>B</x:v>
      </x:c>
      <x:c r="R373" t="str">
        <x:v>W</x:v>
      </x:c>
      <x:c r="S373" t="str">
        <x:v>W</x:v>
      </x:c>
      <x:c r="T373" t="str">
        <x:v>W</x:v>
      </x:c>
      <x:c r="U373" t="str">
        <x:v>W</x:v>
      </x:c>
      <x:c r="V373" t="n">
        <x:f>COUNTIF(B373:U373,"W")</x:f>
        <x:v>7</x:v>
      </x:c>
      <x:c r="W373" s="5" t="str">
        <x:f>IF(COUNTIF(B373:D373,"W")&gt;0,"Y","N")</x:f>
        <x:v>Y</x:v>
      </x:c>
      <x:c r="X373" s="5" t="str">
        <x:f>IF(COUNTIF(B373:I373,"W")&gt;=4,"Y","N")</x:f>
        <x:v>N</x:v>
      </x:c>
      <x:c r="Y373" s="1"/>
      <x:c r="Z373" s="1"/>
      <x:c r="AA373" s="1"/>
      <x:c r="AB373" s="1"/>
      <x:c r="AC373" s="1"/>
      <x:c r="AD373" s="1"/>
      <x:c r="AE373" s="1"/>
    </x:row>
    <x:row r="374">
      <x:c r="A374" s="1">
        <x:v>373</x:v>
      </x:c>
      <x:c r="B374" t="str">
        <x:v>B</x:v>
      </x:c>
      <x:c r="C374" t="str">
        <x:v>B</x:v>
      </x:c>
      <x:c r="D374" t="str">
        <x:v>B</x:v>
      </x:c>
      <x:c r="E374" t="str">
        <x:v>B</x:v>
      </x:c>
      <x:c r="F374" t="str">
        <x:v>W</x:v>
      </x:c>
      <x:c r="G374" t="str">
        <x:v>B</x:v>
      </x:c>
      <x:c r="H374" t="str">
        <x:v>B</x:v>
      </x:c>
      <x:c r="I374" t="str">
        <x:v>W</x:v>
      </x:c>
      <x:c r="J374" t="str">
        <x:v>B</x:v>
      </x:c>
      <x:c r="K374" t="str">
        <x:v>W</x:v>
      </x:c>
      <x:c r="L374" t="str">
        <x:v>B</x:v>
      </x:c>
      <x:c r="M374" t="str">
        <x:v>B</x:v>
      </x:c>
      <x:c r="N374" t="str">
        <x:v>B</x:v>
      </x:c>
      <x:c r="O374" t="str">
        <x:v>W</x:v>
      </x:c>
      <x:c r="P374" t="str">
        <x:v>B</x:v>
      </x:c>
      <x:c r="Q374" t="str">
        <x:v>W</x:v>
      </x:c>
      <x:c r="R374" t="str">
        <x:v>W</x:v>
      </x:c>
      <x:c r="S374" t="str">
        <x:v>B</x:v>
      </x:c>
      <x:c r="T374" t="str">
        <x:v>W</x:v>
      </x:c>
      <x:c r="U374" t="str">
        <x:v>W</x:v>
      </x:c>
      <x:c r="V374" t="n">
        <x:f>COUNTIF(B374:U374,"W")</x:f>
        <x:v>8</x:v>
      </x:c>
      <x:c r="W374" s="5" t="str">
        <x:f>IF(COUNTIF(B374:D374,"W")&gt;0,"Y","N")</x:f>
        <x:v>N</x:v>
      </x:c>
      <x:c r="X374" s="5" t="str">
        <x:f>IF(COUNTIF(B374:I374,"W")&gt;=4,"Y","N")</x:f>
        <x:v>N</x:v>
      </x:c>
      <x:c r="Y374" s="1"/>
      <x:c r="Z374" s="1"/>
      <x:c r="AA374" s="1"/>
      <x:c r="AB374" s="1"/>
      <x:c r="AC374" s="1"/>
      <x:c r="AD374" s="1"/>
      <x:c r="AE374" s="1"/>
    </x:row>
    <x:row r="375">
      <x:c r="A375" s="1">
        <x:v>374</x:v>
      </x:c>
      <x:c r="B375" t="str">
        <x:v>W</x:v>
      </x:c>
      <x:c r="C375" t="str">
        <x:v>W</x:v>
      </x:c>
      <x:c r="D375" t="str">
        <x:v>B</x:v>
      </x:c>
      <x:c r="E375" t="str">
        <x:v>B</x:v>
      </x:c>
      <x:c r="F375" t="str">
        <x:v>B</x:v>
      </x:c>
      <x:c r="G375" t="str">
        <x:v>B</x:v>
      </x:c>
      <x:c r="H375" t="str">
        <x:v>B</x:v>
      </x:c>
      <x:c r="I375" t="str">
        <x:v>W</x:v>
      </x:c>
      <x:c r="J375" t="str">
        <x:v>B</x:v>
      </x:c>
      <x:c r="K375" t="str">
        <x:v>B</x:v>
      </x:c>
      <x:c r="L375" t="str">
        <x:v>B</x:v>
      </x:c>
      <x:c r="M375" t="str">
        <x:v>W</x:v>
      </x:c>
      <x:c r="N375" t="str">
        <x:v>W</x:v>
      </x:c>
      <x:c r="O375" t="str">
        <x:v>W</x:v>
      </x:c>
      <x:c r="P375" t="str">
        <x:v>W</x:v>
      </x:c>
      <x:c r="Q375" t="str">
        <x:v>B</x:v>
      </x:c>
      <x:c r="R375" t="str">
        <x:v>B</x:v>
      </x:c>
      <x:c r="S375" t="str">
        <x:v>W</x:v>
      </x:c>
      <x:c r="T375" t="str">
        <x:v>B</x:v>
      </x:c>
      <x:c r="U375" t="str">
        <x:v>W</x:v>
      </x:c>
      <x:c r="V375" t="n">
        <x:f>COUNTIF(B375:U375,"W")</x:f>
        <x:v>9</x:v>
      </x:c>
      <x:c r="W375" s="5" t="str">
        <x:f>IF(COUNTIF(B375:D375,"W")&gt;0,"Y","N")</x:f>
        <x:v>Y</x:v>
      </x:c>
      <x:c r="X375" s="5" t="str">
        <x:f>IF(COUNTIF(B375:I375,"W")&gt;=4,"Y","N")</x:f>
        <x:v>N</x:v>
      </x:c>
      <x:c r="Y375" s="1"/>
      <x:c r="Z375" s="1"/>
      <x:c r="AA375" s="1"/>
      <x:c r="AB375" s="1"/>
      <x:c r="AC375" s="1"/>
      <x:c r="AD375" s="1"/>
      <x:c r="AE375" s="1"/>
    </x:row>
    <x:row r="376">
      <x:c r="A376" s="1">
        <x:v>375</x:v>
      </x:c>
      <x:c r="B376" t="str">
        <x:v>W</x:v>
      </x:c>
      <x:c r="C376" t="str">
        <x:v>W</x:v>
      </x:c>
      <x:c r="D376" t="str">
        <x:v>B</x:v>
      </x:c>
      <x:c r="E376" t="str">
        <x:v>B</x:v>
      </x:c>
      <x:c r="F376" t="str">
        <x:v>B</x:v>
      </x:c>
      <x:c r="G376" t="str">
        <x:v>B</x:v>
      </x:c>
      <x:c r="H376" t="str">
        <x:v>B</x:v>
      </x:c>
      <x:c r="I376" t="str">
        <x:v>W</x:v>
      </x:c>
      <x:c r="J376" t="str">
        <x:v>B</x:v>
      </x:c>
      <x:c r="K376" t="str">
        <x:v>B</x:v>
      </x:c>
      <x:c r="L376" t="str">
        <x:v>B</x:v>
      </x:c>
      <x:c r="M376" t="str">
        <x:v>W</x:v>
      </x:c>
      <x:c r="N376" t="str">
        <x:v>B</x:v>
      </x:c>
      <x:c r="O376" t="str">
        <x:v>B</x:v>
      </x:c>
      <x:c r="P376" t="str">
        <x:v>B</x:v>
      </x:c>
      <x:c r="Q376" t="str">
        <x:v>B</x:v>
      </x:c>
      <x:c r="R376" t="str">
        <x:v>W</x:v>
      </x:c>
      <x:c r="S376" t="str">
        <x:v>B</x:v>
      </x:c>
      <x:c r="T376" t="str">
        <x:v>W</x:v>
      </x:c>
      <x:c r="U376" t="str">
        <x:v>B</x:v>
      </x:c>
      <x:c r="V376" t="n">
        <x:f>COUNTIF(B376:U376,"W")</x:f>
        <x:v>6</x:v>
      </x:c>
      <x:c r="W376" s="5" t="str">
        <x:f>IF(COUNTIF(B376:D376,"W")&gt;0,"Y","N")</x:f>
        <x:v>Y</x:v>
      </x:c>
      <x:c r="X376" s="5" t="str">
        <x:f>IF(COUNTIF(B376:I376,"W")&gt;=4,"Y","N")</x:f>
        <x:v>N</x:v>
      </x:c>
      <x:c r="Y376" s="1"/>
      <x:c r="Z376" s="1"/>
      <x:c r="AA376" s="1"/>
      <x:c r="AB376" s="1"/>
      <x:c r="AC376" s="1"/>
      <x:c r="AD376" s="1"/>
      <x:c r="AE376" s="1"/>
    </x:row>
    <x:row r="377">
      <x:c r="A377" s="1">
        <x:v>376</x:v>
      </x:c>
      <x:c r="B377" t="str">
        <x:v>B</x:v>
      </x:c>
      <x:c r="C377" t="str">
        <x:v>B</x:v>
      </x:c>
      <x:c r="D377" t="str">
        <x:v>B</x:v>
      </x:c>
      <x:c r="E377" t="str">
        <x:v>W</x:v>
      </x:c>
      <x:c r="F377" t="str">
        <x:v>B</x:v>
      </x:c>
      <x:c r="G377" t="str">
        <x:v>B</x:v>
      </x:c>
      <x:c r="H377" t="str">
        <x:v>B</x:v>
      </x:c>
      <x:c r="I377" t="str">
        <x:v>B</x:v>
      </x:c>
      <x:c r="J377" t="str">
        <x:v>B</x:v>
      </x:c>
      <x:c r="K377" t="str">
        <x:v>W</x:v>
      </x:c>
      <x:c r="L377" t="str">
        <x:v>B</x:v>
      </x:c>
      <x:c r="M377" t="str">
        <x:v>B</x:v>
      </x:c>
      <x:c r="N377" t="str">
        <x:v>W</x:v>
      </x:c>
      <x:c r="O377" t="str">
        <x:v>B</x:v>
      </x:c>
      <x:c r="P377" t="str">
        <x:v>W</x:v>
      </x:c>
      <x:c r="Q377" t="str">
        <x:v>B</x:v>
      </x:c>
      <x:c r="R377" t="str">
        <x:v>B</x:v>
      </x:c>
      <x:c r="S377" t="str">
        <x:v>W</x:v>
      </x:c>
      <x:c r="T377" t="str">
        <x:v>B</x:v>
      </x:c>
      <x:c r="U377" t="str">
        <x:v>B</x:v>
      </x:c>
      <x:c r="V377" t="n">
        <x:f>COUNTIF(B377:U377,"W")</x:f>
        <x:v>5</x:v>
      </x:c>
      <x:c r="W377" s="5" t="str">
        <x:f>IF(COUNTIF(B377:D377,"W")&gt;0,"Y","N")</x:f>
        <x:v>N</x:v>
      </x:c>
      <x:c r="X377" s="5" t="str">
        <x:f>IF(COUNTIF(B377:I377,"W")&gt;=4,"Y","N")</x:f>
        <x:v>N</x:v>
      </x:c>
      <x:c r="Y377" s="1"/>
      <x:c r="Z377" s="1"/>
      <x:c r="AA377" s="1"/>
      <x:c r="AB377" s="1"/>
      <x:c r="AC377" s="1"/>
      <x:c r="AD377" s="1"/>
      <x:c r="AE377" s="1"/>
    </x:row>
    <x:row r="378">
      <x:c r="A378" s="1">
        <x:v>377</x:v>
      </x:c>
      <x:c r="B378" t="str">
        <x:v>W</x:v>
      </x:c>
      <x:c r="C378" t="str">
        <x:v>B</x:v>
      </x:c>
      <x:c r="D378" t="str">
        <x:v>B</x:v>
      </x:c>
      <x:c r="E378" t="str">
        <x:v>B</x:v>
      </x:c>
      <x:c r="F378" t="str">
        <x:v>W</x:v>
      </x:c>
      <x:c r="G378" t="str">
        <x:v>W</x:v>
      </x:c>
      <x:c r="H378" t="str">
        <x:v>B</x:v>
      </x:c>
      <x:c r="I378" t="str">
        <x:v>B</x:v>
      </x:c>
      <x:c r="J378" t="str">
        <x:v>B</x:v>
      </x:c>
      <x:c r="K378" t="str">
        <x:v>B</x:v>
      </x:c>
      <x:c r="L378" t="str">
        <x:v>W</x:v>
      </x:c>
      <x:c r="M378" t="str">
        <x:v>W</x:v>
      </x:c>
      <x:c r="N378" t="str">
        <x:v>B</x:v>
      </x:c>
      <x:c r="O378" t="str">
        <x:v>W</x:v>
      </x:c>
      <x:c r="P378" t="str">
        <x:v>B</x:v>
      </x:c>
      <x:c r="Q378" t="str">
        <x:v>B</x:v>
      </x:c>
      <x:c r="R378" t="str">
        <x:v>W</x:v>
      </x:c>
      <x:c r="S378" t="str">
        <x:v>B</x:v>
      </x:c>
      <x:c r="T378" t="str">
        <x:v>B</x:v>
      </x:c>
      <x:c r="U378" t="str">
        <x:v>W</x:v>
      </x:c>
      <x:c r="V378" t="n">
        <x:f>COUNTIF(B378:U378,"W")</x:f>
        <x:v>8</x:v>
      </x:c>
      <x:c r="W378" s="5" t="str">
        <x:f>IF(COUNTIF(B378:D378,"W")&gt;0,"Y","N")</x:f>
        <x:v>Y</x:v>
      </x:c>
      <x:c r="X378" s="5" t="str">
        <x:f>IF(COUNTIF(B378:I378,"W")&gt;=4,"Y","N")</x:f>
        <x:v>N</x:v>
      </x:c>
      <x:c r="Y378" s="1"/>
      <x:c r="Z378" s="1"/>
      <x:c r="AA378" s="1"/>
      <x:c r="AB378" s="1"/>
      <x:c r="AC378" s="1"/>
      <x:c r="AD378" s="1"/>
      <x:c r="AE378" s="1"/>
    </x:row>
    <x:row r="379">
      <x:c r="A379" s="1">
        <x:v>378</x:v>
      </x:c>
      <x:c r="B379" t="str">
        <x:v>W</x:v>
      </x:c>
      <x:c r="C379" t="str">
        <x:v>W</x:v>
      </x:c>
      <x:c r="D379" t="str">
        <x:v>B</x:v>
      </x:c>
      <x:c r="E379" t="str">
        <x:v>W</x:v>
      </x:c>
      <x:c r="F379" t="str">
        <x:v>W</x:v>
      </x:c>
      <x:c r="G379" t="str">
        <x:v>B</x:v>
      </x:c>
      <x:c r="H379" t="str">
        <x:v>B</x:v>
      </x:c>
      <x:c r="I379" t="str">
        <x:v>W</x:v>
      </x:c>
      <x:c r="J379" t="str">
        <x:v>B</x:v>
      </x:c>
      <x:c r="K379" t="str">
        <x:v>W</x:v>
      </x:c>
      <x:c r="L379" t="str">
        <x:v>B</x:v>
      </x:c>
      <x:c r="M379" t="str">
        <x:v>B</x:v>
      </x:c>
      <x:c r="N379" t="str">
        <x:v>B</x:v>
      </x:c>
      <x:c r="O379" t="str">
        <x:v>B</x:v>
      </x:c>
      <x:c r="P379" t="str">
        <x:v>B</x:v>
      </x:c>
      <x:c r="Q379" t="str">
        <x:v>B</x:v>
      </x:c>
      <x:c r="R379" t="str">
        <x:v>B</x:v>
      </x:c>
      <x:c r="S379" t="str">
        <x:v>B</x:v>
      </x:c>
      <x:c r="T379" t="str">
        <x:v>B</x:v>
      </x:c>
      <x:c r="U379" t="str">
        <x:v>W</x:v>
      </x:c>
      <x:c r="V379" t="n">
        <x:f>COUNTIF(B379:U379,"W")</x:f>
        <x:v>7</x:v>
      </x:c>
      <x:c r="W379" s="5" t="str">
        <x:f>IF(COUNTIF(B379:D379,"W")&gt;0,"Y","N")</x:f>
        <x:v>Y</x:v>
      </x:c>
      <x:c r="X379" s="5" t="str">
        <x:f>IF(COUNTIF(B379:I379,"W")&gt;=4,"Y","N")</x:f>
        <x:v>Y</x:v>
      </x:c>
      <x:c r="Y379" s="1"/>
      <x:c r="Z379" s="1"/>
      <x:c r="AA379" s="1"/>
      <x:c r="AB379" s="1"/>
      <x:c r="AC379" s="1"/>
      <x:c r="AD379" s="1"/>
      <x:c r="AE379" s="1"/>
    </x:row>
    <x:row r="380">
      <x:c r="A380" s="1">
        <x:v>379</x:v>
      </x:c>
      <x:c r="B380" t="str">
        <x:v>B</x:v>
      </x:c>
      <x:c r="C380" t="str">
        <x:v>B</x:v>
      </x:c>
      <x:c r="D380" t="str">
        <x:v>B</x:v>
      </x:c>
      <x:c r="E380" t="str">
        <x:v>B</x:v>
      </x:c>
      <x:c r="F380" t="str">
        <x:v>B</x:v>
      </x:c>
      <x:c r="G380" t="str">
        <x:v>B</x:v>
      </x:c>
      <x:c r="H380" t="str">
        <x:v>W</x:v>
      </x:c>
      <x:c r="I380" t="str">
        <x:v>W</x:v>
      </x:c>
      <x:c r="J380" t="str">
        <x:v>W</x:v>
      </x:c>
      <x:c r="K380" t="str">
        <x:v>B</x:v>
      </x:c>
      <x:c r="L380" t="str">
        <x:v>W</x:v>
      </x:c>
      <x:c r="M380" t="str">
        <x:v>B</x:v>
      </x:c>
      <x:c r="N380" t="str">
        <x:v>B</x:v>
      </x:c>
      <x:c r="O380" t="str">
        <x:v>W</x:v>
      </x:c>
      <x:c r="P380" t="str">
        <x:v>B</x:v>
      </x:c>
      <x:c r="Q380" t="str">
        <x:v>B</x:v>
      </x:c>
      <x:c r="R380" t="str">
        <x:v>B</x:v>
      </x:c>
      <x:c r="S380" t="str">
        <x:v>W</x:v>
      </x:c>
      <x:c r="T380" t="str">
        <x:v>B</x:v>
      </x:c>
      <x:c r="U380" t="str">
        <x:v>W</x:v>
      </x:c>
      <x:c r="V380" t="n">
        <x:f>COUNTIF(B380:U380,"W")</x:f>
        <x:v>7</x:v>
      </x:c>
      <x:c r="W380" s="5" t="str">
        <x:f>IF(COUNTIF(B380:D380,"W")&gt;0,"Y","N")</x:f>
        <x:v>N</x:v>
      </x:c>
      <x:c r="X380" s="5" t="str">
        <x:f>IF(COUNTIF(B380:I380,"W")&gt;=4,"Y","N")</x:f>
        <x:v>N</x:v>
      </x:c>
      <x:c r="Y380" s="1"/>
      <x:c r="Z380" s="1"/>
      <x:c r="AA380" s="1"/>
      <x:c r="AB380" s="1"/>
      <x:c r="AC380" s="1"/>
      <x:c r="AD380" s="1"/>
      <x:c r="AE380" s="1"/>
    </x:row>
    <x:row r="381">
      <x:c r="A381" s="1">
        <x:v>380</x:v>
      </x:c>
      <x:c r="B381" t="str">
        <x:v>B</x:v>
      </x:c>
      <x:c r="C381" t="str">
        <x:v>B</x:v>
      </x:c>
      <x:c r="D381" t="str">
        <x:v>W</x:v>
      </x:c>
      <x:c r="E381" t="str">
        <x:v>B</x:v>
      </x:c>
      <x:c r="F381" t="str">
        <x:v>W</x:v>
      </x:c>
      <x:c r="G381" t="str">
        <x:v>W</x:v>
      </x:c>
      <x:c r="H381" t="str">
        <x:v>W</x:v>
      </x:c>
      <x:c r="I381" t="str">
        <x:v>B</x:v>
      </x:c>
      <x:c r="J381" t="str">
        <x:v>B</x:v>
      </x:c>
      <x:c r="K381" t="str">
        <x:v>B</x:v>
      </x:c>
      <x:c r="L381" t="str">
        <x:v>B</x:v>
      </x:c>
      <x:c r="M381" t="str">
        <x:v>W</x:v>
      </x:c>
      <x:c r="N381" t="str">
        <x:v>B</x:v>
      </x:c>
      <x:c r="O381" t="str">
        <x:v>B</x:v>
      </x:c>
      <x:c r="P381" t="str">
        <x:v>B</x:v>
      </x:c>
      <x:c r="Q381" t="str">
        <x:v>W</x:v>
      </x:c>
      <x:c r="R381" t="str">
        <x:v>W</x:v>
      </x:c>
      <x:c r="S381" t="str">
        <x:v>B</x:v>
      </x:c>
      <x:c r="T381" t="str">
        <x:v>W</x:v>
      </x:c>
      <x:c r="U381" t="str">
        <x:v>B</x:v>
      </x:c>
      <x:c r="V381" t="n">
        <x:f>COUNTIF(B381:U381,"W")</x:f>
        <x:v>8</x:v>
      </x:c>
      <x:c r="W381" s="5" t="str">
        <x:f>IF(COUNTIF(B381:D381,"W")&gt;0,"Y","N")</x:f>
        <x:v>Y</x:v>
      </x:c>
      <x:c r="X381" s="5" t="str">
        <x:f>IF(COUNTIF(B381:I381,"W")&gt;=4,"Y","N")</x:f>
        <x:v>Y</x:v>
      </x:c>
      <x:c r="Y381" s="1"/>
      <x:c r="Z381" s="1"/>
      <x:c r="AA381" s="1"/>
      <x:c r="AB381" s="1"/>
      <x:c r="AC381" s="1"/>
      <x:c r="AD381" s="1"/>
      <x:c r="AE381" s="1"/>
    </x:row>
    <x:row r="382">
      <x:c r="A382" s="1">
        <x:v>381</x:v>
      </x:c>
      <x:c r="B382" t="str">
        <x:v>B</x:v>
      </x:c>
      <x:c r="C382" t="str">
        <x:v>B</x:v>
      </x:c>
      <x:c r="D382" t="str">
        <x:v>W</x:v>
      </x:c>
      <x:c r="E382" t="str">
        <x:v>B</x:v>
      </x:c>
      <x:c r="F382" t="str">
        <x:v>B</x:v>
      </x:c>
      <x:c r="G382" t="str">
        <x:v>W</x:v>
      </x:c>
      <x:c r="H382" t="str">
        <x:v>W</x:v>
      </x:c>
      <x:c r="I382" t="str">
        <x:v>B</x:v>
      </x:c>
      <x:c r="J382" t="str">
        <x:v>B</x:v>
      </x:c>
      <x:c r="K382" t="str">
        <x:v>B</x:v>
      </x:c>
      <x:c r="L382" t="str">
        <x:v>B</x:v>
      </x:c>
      <x:c r="M382" t="str">
        <x:v>B</x:v>
      </x:c>
      <x:c r="N382" t="str">
        <x:v>W</x:v>
      </x:c>
      <x:c r="O382" t="str">
        <x:v>B</x:v>
      </x:c>
      <x:c r="P382" t="str">
        <x:v>B</x:v>
      </x:c>
      <x:c r="Q382" t="str">
        <x:v>B</x:v>
      </x:c>
      <x:c r="R382" t="str">
        <x:v>W</x:v>
      </x:c>
      <x:c r="S382" t="str">
        <x:v>W</x:v>
      </x:c>
      <x:c r="T382" t="str">
        <x:v>B</x:v>
      </x:c>
      <x:c r="U382" t="str">
        <x:v>B</x:v>
      </x:c>
      <x:c r="V382" t="n">
        <x:f>COUNTIF(B382:U382,"W")</x:f>
        <x:v>6</x:v>
      </x:c>
      <x:c r="W382" s="5" t="str">
        <x:f>IF(COUNTIF(B382:D382,"W")&gt;0,"Y","N")</x:f>
        <x:v>Y</x:v>
      </x:c>
      <x:c r="X382" s="5" t="str">
        <x:f>IF(COUNTIF(B382:I382,"W")&gt;=4,"Y","N")</x:f>
        <x:v>N</x:v>
      </x:c>
      <x:c r="Y382" s="1"/>
      <x:c r="Z382" s="1"/>
      <x:c r="AA382" s="1"/>
      <x:c r="AB382" s="1"/>
      <x:c r="AC382" s="1"/>
      <x:c r="AD382" s="1"/>
      <x:c r="AE382" s="1"/>
    </x:row>
    <x:row r="383">
      <x:c r="A383" s="1">
        <x:v>382</x:v>
      </x:c>
      <x:c r="B383" t="str">
        <x:v>W</x:v>
      </x:c>
      <x:c r="C383" t="str">
        <x:v>B</x:v>
      </x:c>
      <x:c r="D383" t="str">
        <x:v>B</x:v>
      </x:c>
      <x:c r="E383" t="str">
        <x:v>W</x:v>
      </x:c>
      <x:c r="F383" t="str">
        <x:v>B</x:v>
      </x:c>
      <x:c r="G383" t="str">
        <x:v>W</x:v>
      </x:c>
      <x:c r="H383" t="str">
        <x:v>W</x:v>
      </x:c>
      <x:c r="I383" t="str">
        <x:v>B</x:v>
      </x:c>
      <x:c r="J383" t="str">
        <x:v>W</x:v>
      </x:c>
      <x:c r="K383" t="str">
        <x:v>B</x:v>
      </x:c>
      <x:c r="L383" t="str">
        <x:v>B</x:v>
      </x:c>
      <x:c r="M383" t="str">
        <x:v>B</x:v>
      </x:c>
      <x:c r="N383" t="str">
        <x:v>W</x:v>
      </x:c>
      <x:c r="O383" t="str">
        <x:v>B</x:v>
      </x:c>
      <x:c r="P383" t="str">
        <x:v>B</x:v>
      </x:c>
      <x:c r="Q383" t="str">
        <x:v>W</x:v>
      </x:c>
      <x:c r="R383" t="str">
        <x:v>B</x:v>
      </x:c>
      <x:c r="S383" t="str">
        <x:v>B</x:v>
      </x:c>
      <x:c r="T383" t="str">
        <x:v>W</x:v>
      </x:c>
      <x:c r="U383" t="str">
        <x:v>W</x:v>
      </x:c>
      <x:c r="V383" t="n">
        <x:f>COUNTIF(B383:U383,"W")</x:f>
        <x:v>9</x:v>
      </x:c>
      <x:c r="W383" s="5" t="str">
        <x:f>IF(COUNTIF(B383:D383,"W")&gt;0,"Y","N")</x:f>
        <x:v>Y</x:v>
      </x:c>
      <x:c r="X383" s="5" t="str">
        <x:f>IF(COUNTIF(B383:I383,"W")&gt;=4,"Y","N")</x:f>
        <x:v>Y</x:v>
      </x:c>
      <x:c r="Y383" s="1"/>
      <x:c r="Z383" s="1"/>
      <x:c r="AA383" s="1"/>
      <x:c r="AB383" s="1"/>
      <x:c r="AC383" s="1"/>
      <x:c r="AD383" s="1"/>
      <x:c r="AE383" s="1"/>
    </x:row>
    <x:row r="384">
      <x:c r="A384" s="1">
        <x:v>383</x:v>
      </x:c>
      <x:c r="B384" t="str">
        <x:v>W</x:v>
      </x:c>
      <x:c r="C384" t="str">
        <x:v>W</x:v>
      </x:c>
      <x:c r="D384" t="str">
        <x:v>W</x:v>
      </x:c>
      <x:c r="E384" t="str">
        <x:v>B</x:v>
      </x:c>
      <x:c r="F384" t="str">
        <x:v>B</x:v>
      </x:c>
      <x:c r="G384" t="str">
        <x:v>W</x:v>
      </x:c>
      <x:c r="H384" t="str">
        <x:v>B</x:v>
      </x:c>
      <x:c r="I384" t="str">
        <x:v>B</x:v>
      </x:c>
      <x:c r="J384" t="str">
        <x:v>W</x:v>
      </x:c>
      <x:c r="K384" t="str">
        <x:v>B</x:v>
      </x:c>
      <x:c r="L384" t="str">
        <x:v>B</x:v>
      </x:c>
      <x:c r="M384" t="str">
        <x:v>B</x:v>
      </x:c>
      <x:c r="N384" t="str">
        <x:v>B</x:v>
      </x:c>
      <x:c r="O384" t="str">
        <x:v>B</x:v>
      </x:c>
      <x:c r="P384" t="str">
        <x:v>B</x:v>
      </x:c>
      <x:c r="Q384" t="str">
        <x:v>B</x:v>
      </x:c>
      <x:c r="R384" t="str">
        <x:v>W</x:v>
      </x:c>
      <x:c r="S384" t="str">
        <x:v>W</x:v>
      </x:c>
      <x:c r="T384" t="str">
        <x:v>W</x:v>
      </x:c>
      <x:c r="U384" t="str">
        <x:v>W</x:v>
      </x:c>
      <x:c r="V384" t="n">
        <x:f>COUNTIF(B384:U384,"W")</x:f>
        <x:v>9</x:v>
      </x:c>
      <x:c r="W384" s="5" t="str">
        <x:f>IF(COUNTIF(B384:D384,"W")&gt;0,"Y","N")</x:f>
        <x:v>Y</x:v>
      </x:c>
      <x:c r="X384" s="5" t="str">
        <x:f>IF(COUNTIF(B384:I384,"W")&gt;=4,"Y","N")</x:f>
        <x:v>Y</x:v>
      </x:c>
      <x:c r="Y384" s="1"/>
      <x:c r="Z384" s="1"/>
      <x:c r="AA384" s="1"/>
      <x:c r="AB384" s="1"/>
      <x:c r="AC384" s="1"/>
      <x:c r="AD384" s="1"/>
      <x:c r="AE384" s="1"/>
    </x:row>
    <x:row r="385">
      <x:c r="A385" s="1">
        <x:v>384</x:v>
      </x:c>
      <x:c r="B385" t="str">
        <x:v>B</x:v>
      </x:c>
      <x:c r="C385" t="str">
        <x:v>B</x:v>
      </x:c>
      <x:c r="D385" t="str">
        <x:v>W</x:v>
      </x:c>
      <x:c r="E385" t="str">
        <x:v>B</x:v>
      </x:c>
      <x:c r="F385" t="str">
        <x:v>W</x:v>
      </x:c>
      <x:c r="G385" t="str">
        <x:v>B</x:v>
      </x:c>
      <x:c r="H385" t="str">
        <x:v>B</x:v>
      </x:c>
      <x:c r="I385" t="str">
        <x:v>W</x:v>
      </x:c>
      <x:c r="J385" t="str">
        <x:v>W</x:v>
      </x:c>
      <x:c r="K385" t="str">
        <x:v>W</x:v>
      </x:c>
      <x:c r="L385" t="str">
        <x:v>B</x:v>
      </x:c>
      <x:c r="M385" t="str">
        <x:v>W</x:v>
      </x:c>
      <x:c r="N385" t="str">
        <x:v>B</x:v>
      </x:c>
      <x:c r="O385" t="str">
        <x:v>B</x:v>
      </x:c>
      <x:c r="P385" t="str">
        <x:v>W</x:v>
      </x:c>
      <x:c r="Q385" t="str">
        <x:v>W</x:v>
      </x:c>
      <x:c r="R385" t="str">
        <x:v>B</x:v>
      </x:c>
      <x:c r="S385" t="str">
        <x:v>W</x:v>
      </x:c>
      <x:c r="T385" t="str">
        <x:v>B</x:v>
      </x:c>
      <x:c r="U385" t="str">
        <x:v>B</x:v>
      </x:c>
      <x:c r="V385" t="n">
        <x:f>COUNTIF(B385:U385,"W")</x:f>
        <x:v>9</x:v>
      </x:c>
      <x:c r="W385" s="5" t="str">
        <x:f>IF(COUNTIF(B385:D385,"W")&gt;0,"Y","N")</x:f>
        <x:v>Y</x:v>
      </x:c>
      <x:c r="X385" s="5" t="str">
        <x:f>IF(COUNTIF(B385:I385,"W")&gt;=4,"Y","N")</x:f>
        <x:v>N</x:v>
      </x:c>
      <x:c r="Y385" s="1"/>
      <x:c r="Z385" s="1"/>
      <x:c r="AA385" s="1"/>
      <x:c r="AB385" s="1"/>
      <x:c r="AC385" s="1"/>
      <x:c r="AD385" s="1"/>
      <x:c r="AE385" s="1"/>
    </x:row>
    <x:row r="386">
      <x:c r="A386" s="1">
        <x:v>385</x:v>
      </x:c>
      <x:c r="B386" t="str">
        <x:v>B</x:v>
      </x:c>
      <x:c r="C386" t="str">
        <x:v>B</x:v>
      </x:c>
      <x:c r="D386" t="str">
        <x:v>W</x:v>
      </x:c>
      <x:c r="E386" t="str">
        <x:v>B</x:v>
      </x:c>
      <x:c r="F386" t="str">
        <x:v>B</x:v>
      </x:c>
      <x:c r="G386" t="str">
        <x:v>B</x:v>
      </x:c>
      <x:c r="H386" t="str">
        <x:v>B</x:v>
      </x:c>
      <x:c r="I386" t="str">
        <x:v>W</x:v>
      </x:c>
      <x:c r="J386" t="str">
        <x:v>B</x:v>
      </x:c>
      <x:c r="K386" t="str">
        <x:v>B</x:v>
      </x:c>
      <x:c r="L386" t="str">
        <x:v>B</x:v>
      </x:c>
      <x:c r="M386" t="str">
        <x:v>W</x:v>
      </x:c>
      <x:c r="N386" t="str">
        <x:v>W</x:v>
      </x:c>
      <x:c r="O386" t="str">
        <x:v>W</x:v>
      </x:c>
      <x:c r="P386" t="str">
        <x:v>B</x:v>
      </x:c>
      <x:c r="Q386" t="str">
        <x:v>B</x:v>
      </x:c>
      <x:c r="R386" t="str">
        <x:v>W</x:v>
      </x:c>
      <x:c r="S386" t="str">
        <x:v>W</x:v>
      </x:c>
      <x:c r="T386" t="str">
        <x:v>B</x:v>
      </x:c>
      <x:c r="U386" t="str">
        <x:v>W</x:v>
      </x:c>
      <x:c r="V386" t="n">
        <x:f>COUNTIF(B386:U386,"W")</x:f>
        <x:v>8</x:v>
      </x:c>
      <x:c r="W386" s="5" t="str">
        <x:f>IF(COUNTIF(B386:D386,"W")&gt;0,"Y","N")</x:f>
        <x:v>Y</x:v>
      </x:c>
      <x:c r="X386" s="5" t="str">
        <x:f>IF(COUNTIF(B386:I386,"W")&gt;=4,"Y","N")</x:f>
        <x:v>N</x:v>
      </x:c>
      <x:c r="Y386" s="1"/>
      <x:c r="Z386" s="1"/>
      <x:c r="AA386" s="1"/>
      <x:c r="AB386" s="1"/>
      <x:c r="AC386" s="1"/>
      <x:c r="AD386" s="1"/>
      <x:c r="AE386" s="1"/>
    </x:row>
    <x:row r="387">
      <x:c r="A387" s="1">
        <x:v>386</x:v>
      </x:c>
      <x:c r="B387" t="str">
        <x:v>W</x:v>
      </x:c>
      <x:c r="C387" t="str">
        <x:v>W</x:v>
      </x:c>
      <x:c r="D387" t="str">
        <x:v>W</x:v>
      </x:c>
      <x:c r="E387" t="str">
        <x:v>B</x:v>
      </x:c>
      <x:c r="F387" t="str">
        <x:v>B</x:v>
      </x:c>
      <x:c r="G387" t="str">
        <x:v>W</x:v>
      </x:c>
      <x:c r="H387" t="str">
        <x:v>B</x:v>
      </x:c>
      <x:c r="I387" t="str">
        <x:v>B</x:v>
      </x:c>
      <x:c r="J387" t="str">
        <x:v>B</x:v>
      </x:c>
      <x:c r="K387" t="str">
        <x:v>B</x:v>
      </x:c>
      <x:c r="L387" t="str">
        <x:v>B</x:v>
      </x:c>
      <x:c r="M387" t="str">
        <x:v>B</x:v>
      </x:c>
      <x:c r="N387" t="str">
        <x:v>B</x:v>
      </x:c>
      <x:c r="O387" t="str">
        <x:v>B</x:v>
      </x:c>
      <x:c r="P387" t="str">
        <x:v>B</x:v>
      </x:c>
      <x:c r="Q387" t="str">
        <x:v>B</x:v>
      </x:c>
      <x:c r="R387" t="str">
        <x:v>B</x:v>
      </x:c>
      <x:c r="S387" t="str">
        <x:v>B</x:v>
      </x:c>
      <x:c r="T387" t="str">
        <x:v>W</x:v>
      </x:c>
      <x:c r="U387" t="str">
        <x:v>W</x:v>
      </x:c>
      <x:c r="V387" t="n">
        <x:f>COUNTIF(B387:U387,"W")</x:f>
        <x:v>6</x:v>
      </x:c>
      <x:c r="W387" s="5" t="str">
        <x:f>IF(COUNTIF(B387:D387,"W")&gt;0,"Y","N")</x:f>
        <x:v>Y</x:v>
      </x:c>
      <x:c r="X387" s="5" t="str">
        <x:f>IF(COUNTIF(B387:I387,"W")&gt;=4,"Y","N")</x:f>
        <x:v>Y</x:v>
      </x:c>
      <x:c r="Y387" s="1"/>
      <x:c r="Z387" s="1"/>
      <x:c r="AA387" s="1"/>
      <x:c r="AB387" s="1"/>
      <x:c r="AC387" s="1"/>
      <x:c r="AD387" s="1"/>
      <x:c r="AE387" s="1"/>
    </x:row>
    <x:row r="388">
      <x:c r="A388" s="1">
        <x:v>387</x:v>
      </x:c>
      <x:c r="B388" t="str">
        <x:v>B</x:v>
      </x:c>
      <x:c r="C388" t="str">
        <x:v>B</x:v>
      </x:c>
      <x:c r="D388" t="str">
        <x:v>W</x:v>
      </x:c>
      <x:c r="E388" t="str">
        <x:v>W</x:v>
      </x:c>
      <x:c r="F388" t="str">
        <x:v>B</x:v>
      </x:c>
      <x:c r="G388" t="str">
        <x:v>B</x:v>
      </x:c>
      <x:c r="H388" t="str">
        <x:v>B</x:v>
      </x:c>
      <x:c r="I388" t="str">
        <x:v>W</x:v>
      </x:c>
      <x:c r="J388" t="str">
        <x:v>B</x:v>
      </x:c>
      <x:c r="K388" t="str">
        <x:v>B</x:v>
      </x:c>
      <x:c r="L388" t="str">
        <x:v>B</x:v>
      </x:c>
      <x:c r="M388" t="str">
        <x:v>W</x:v>
      </x:c>
      <x:c r="N388" t="str">
        <x:v>B</x:v>
      </x:c>
      <x:c r="O388" t="str">
        <x:v>W</x:v>
      </x:c>
      <x:c r="P388" t="str">
        <x:v>B</x:v>
      </x:c>
      <x:c r="Q388" t="str">
        <x:v>W</x:v>
      </x:c>
      <x:c r="R388" t="str">
        <x:v>W</x:v>
      </x:c>
      <x:c r="S388" t="str">
        <x:v>B</x:v>
      </x:c>
      <x:c r="T388" t="str">
        <x:v>W</x:v>
      </x:c>
      <x:c r="U388" t="str">
        <x:v>W</x:v>
      </x:c>
      <x:c r="V388" t="n">
        <x:f>COUNTIF(B388:U388,"W")</x:f>
        <x:v>9</x:v>
      </x:c>
      <x:c r="W388" s="5" t="str">
        <x:f>IF(COUNTIF(B388:D388,"W")&gt;0,"Y","N")</x:f>
        <x:v>Y</x:v>
      </x:c>
      <x:c r="X388" s="5" t="str">
        <x:f>IF(COUNTIF(B388:I388,"W")&gt;=4,"Y","N")</x:f>
        <x:v>N</x:v>
      </x:c>
      <x:c r="Y388" s="1"/>
      <x:c r="Z388" s="1"/>
      <x:c r="AA388" s="1"/>
      <x:c r="AB388" s="1"/>
      <x:c r="AC388" s="1"/>
      <x:c r="AD388" s="1"/>
      <x:c r="AE388" s="1"/>
    </x:row>
    <x:row r="389">
      <x:c r="A389" s="1">
        <x:v>388</x:v>
      </x:c>
      <x:c r="B389" t="str">
        <x:v>W</x:v>
      </x:c>
      <x:c r="C389" t="str">
        <x:v>W</x:v>
      </x:c>
      <x:c r="D389" t="str">
        <x:v>B</x:v>
      </x:c>
      <x:c r="E389" t="str">
        <x:v>B</x:v>
      </x:c>
      <x:c r="F389" t="str">
        <x:v>B</x:v>
      </x:c>
      <x:c r="G389" t="str">
        <x:v>B</x:v>
      </x:c>
      <x:c r="H389" t="str">
        <x:v>W</x:v>
      </x:c>
      <x:c r="I389" t="str">
        <x:v>B</x:v>
      </x:c>
      <x:c r="J389" t="str">
        <x:v>B</x:v>
      </x:c>
      <x:c r="K389" t="str">
        <x:v>B</x:v>
      </x:c>
      <x:c r="L389" t="str">
        <x:v>B</x:v>
      </x:c>
      <x:c r="M389" t="str">
        <x:v>B</x:v>
      </x:c>
      <x:c r="N389" t="str">
        <x:v>W</x:v>
      </x:c>
      <x:c r="O389" t="str">
        <x:v>B</x:v>
      </x:c>
      <x:c r="P389" t="str">
        <x:v>B</x:v>
      </x:c>
      <x:c r="Q389" t="str">
        <x:v>B</x:v>
      </x:c>
      <x:c r="R389" t="str">
        <x:v>B</x:v>
      </x:c>
      <x:c r="S389" t="str">
        <x:v>B</x:v>
      </x:c>
      <x:c r="T389" t="str">
        <x:v>B</x:v>
      </x:c>
      <x:c r="U389" t="str">
        <x:v>W</x:v>
      </x:c>
      <x:c r="V389" t="n">
        <x:f>COUNTIF(B389:U389,"W")</x:f>
        <x:v>5</x:v>
      </x:c>
      <x:c r="W389" s="5" t="str">
        <x:f>IF(COUNTIF(B389:D389,"W")&gt;0,"Y","N")</x:f>
        <x:v>Y</x:v>
      </x:c>
      <x:c r="X389" s="5" t="str">
        <x:f>IF(COUNTIF(B389:I389,"W")&gt;=4,"Y","N")</x:f>
        <x:v>N</x:v>
      </x:c>
      <x:c r="Y389" s="1"/>
      <x:c r="Z389" s="1"/>
      <x:c r="AA389" s="1"/>
      <x:c r="AB389" s="1"/>
      <x:c r="AC389" s="1"/>
      <x:c r="AD389" s="1"/>
      <x:c r="AE389" s="1"/>
    </x:row>
    <x:row r="390">
      <x:c r="A390" s="1">
        <x:v>389</x:v>
      </x:c>
      <x:c r="B390" t="str">
        <x:v>W</x:v>
      </x:c>
      <x:c r="C390" t="str">
        <x:v>W</x:v>
      </x:c>
      <x:c r="D390" t="str">
        <x:v>B</x:v>
      </x:c>
      <x:c r="E390" t="str">
        <x:v>B</x:v>
      </x:c>
      <x:c r="F390" t="str">
        <x:v>B</x:v>
      </x:c>
      <x:c r="G390" t="str">
        <x:v>B</x:v>
      </x:c>
      <x:c r="H390" t="str">
        <x:v>W</x:v>
      </x:c>
      <x:c r="I390" t="str">
        <x:v>B</x:v>
      </x:c>
      <x:c r="J390" t="str">
        <x:v>B</x:v>
      </x:c>
      <x:c r="K390" t="str">
        <x:v>B</x:v>
      </x:c>
      <x:c r="L390" t="str">
        <x:v>B</x:v>
      </x:c>
      <x:c r="M390" t="str">
        <x:v>W</x:v>
      </x:c>
      <x:c r="N390" t="str">
        <x:v>B</x:v>
      </x:c>
      <x:c r="O390" t="str">
        <x:v>B</x:v>
      </x:c>
      <x:c r="P390" t="str">
        <x:v>B</x:v>
      </x:c>
      <x:c r="Q390" t="str">
        <x:v>W</x:v>
      </x:c>
      <x:c r="R390" t="str">
        <x:v>B</x:v>
      </x:c>
      <x:c r="S390" t="str">
        <x:v>B</x:v>
      </x:c>
      <x:c r="T390" t="str">
        <x:v>B</x:v>
      </x:c>
      <x:c r="U390" t="str">
        <x:v>B</x:v>
      </x:c>
      <x:c r="V390" t="n">
        <x:f>COUNTIF(B390:U390,"W")</x:f>
        <x:v>5</x:v>
      </x:c>
      <x:c r="W390" s="5" t="str">
        <x:f>IF(COUNTIF(B390:D390,"W")&gt;0,"Y","N")</x:f>
        <x:v>Y</x:v>
      </x:c>
      <x:c r="X390" s="5" t="str">
        <x:f>IF(COUNTIF(B390:I390,"W")&gt;=4,"Y","N")</x:f>
        <x:v>N</x:v>
      </x:c>
      <x:c r="Y390" s="1"/>
      <x:c r="Z390" s="1"/>
      <x:c r="AA390" s="1"/>
      <x:c r="AB390" s="1"/>
      <x:c r="AC390" s="1"/>
      <x:c r="AD390" s="1"/>
      <x:c r="AE390" s="1"/>
    </x:row>
    <x:row r="391">
      <x:c r="A391" s="1">
        <x:v>390</x:v>
      </x:c>
      <x:c r="B391" t="str">
        <x:v>B</x:v>
      </x:c>
      <x:c r="C391" t="str">
        <x:v>B</x:v>
      </x:c>
      <x:c r="D391" t="str">
        <x:v>W</x:v>
      </x:c>
      <x:c r="E391" t="str">
        <x:v>W</x:v>
      </x:c>
      <x:c r="F391" t="str">
        <x:v>B</x:v>
      </x:c>
      <x:c r="G391" t="str">
        <x:v>B</x:v>
      </x:c>
      <x:c r="H391" t="str">
        <x:v>W</x:v>
      </x:c>
      <x:c r="I391" t="str">
        <x:v>B</x:v>
      </x:c>
      <x:c r="J391" t="str">
        <x:v>B</x:v>
      </x:c>
      <x:c r="K391" t="str">
        <x:v>W</x:v>
      </x:c>
      <x:c r="L391" t="str">
        <x:v>B</x:v>
      </x:c>
      <x:c r="M391" t="str">
        <x:v>W</x:v>
      </x:c>
      <x:c r="N391" t="str">
        <x:v>B</x:v>
      </x:c>
      <x:c r="O391" t="str">
        <x:v>W</x:v>
      </x:c>
      <x:c r="P391" t="str">
        <x:v>B</x:v>
      </x:c>
      <x:c r="Q391" t="str">
        <x:v>B</x:v>
      </x:c>
      <x:c r="R391" t="str">
        <x:v>B</x:v>
      </x:c>
      <x:c r="S391" t="str">
        <x:v>W</x:v>
      </x:c>
      <x:c r="T391" t="str">
        <x:v>B</x:v>
      </x:c>
      <x:c r="U391" t="str">
        <x:v>B</x:v>
      </x:c>
      <x:c r="V391" t="n">
        <x:f>COUNTIF(B391:U391,"W")</x:f>
        <x:v>7</x:v>
      </x:c>
      <x:c r="W391" s="5" t="str">
        <x:f>IF(COUNTIF(B391:D391,"W")&gt;0,"Y","N")</x:f>
        <x:v>Y</x:v>
      </x:c>
      <x:c r="X391" s="5" t="str">
        <x:f>IF(COUNTIF(B391:I391,"W")&gt;=4,"Y","N")</x:f>
        <x:v>N</x:v>
      </x:c>
      <x:c r="Y391" s="1"/>
      <x:c r="Z391" s="1"/>
      <x:c r="AA391" s="1"/>
      <x:c r="AB391" s="1"/>
      <x:c r="AC391" s="1"/>
      <x:c r="AD391" s="1"/>
      <x:c r="AE391" s="1"/>
    </x:row>
    <x:row r="392">
      <x:c r="A392" s="1">
        <x:v>391</x:v>
      </x:c>
      <x:c r="B392" t="str">
        <x:v>W</x:v>
      </x:c>
      <x:c r="C392" t="str">
        <x:v>B</x:v>
      </x:c>
      <x:c r="D392" t="str">
        <x:v>B</x:v>
      </x:c>
      <x:c r="E392" t="str">
        <x:v>B</x:v>
      </x:c>
      <x:c r="F392" t="str">
        <x:v>B</x:v>
      </x:c>
      <x:c r="G392" t="str">
        <x:v>B</x:v>
      </x:c>
      <x:c r="H392" t="str">
        <x:v>B</x:v>
      </x:c>
      <x:c r="I392" t="str">
        <x:v>B</x:v>
      </x:c>
      <x:c r="J392" t="str">
        <x:v>B</x:v>
      </x:c>
      <x:c r="K392" t="str">
        <x:v>W</x:v>
      </x:c>
      <x:c r="L392" t="str">
        <x:v>W</x:v>
      </x:c>
      <x:c r="M392" t="str">
        <x:v>B</x:v>
      </x:c>
      <x:c r="N392" t="str">
        <x:v>B</x:v>
      </x:c>
      <x:c r="O392" t="str">
        <x:v>B</x:v>
      </x:c>
      <x:c r="P392" t="str">
        <x:v>B</x:v>
      </x:c>
      <x:c r="Q392" t="str">
        <x:v>W</x:v>
      </x:c>
      <x:c r="R392" t="str">
        <x:v>B</x:v>
      </x:c>
      <x:c r="S392" t="str">
        <x:v>B</x:v>
      </x:c>
      <x:c r="T392" t="str">
        <x:v>W</x:v>
      </x:c>
      <x:c r="U392" t="str">
        <x:v>B</x:v>
      </x:c>
      <x:c r="V392" t="n">
        <x:f>COUNTIF(B392:U392,"W")</x:f>
        <x:v>5</x:v>
      </x:c>
      <x:c r="W392" s="5" t="str">
        <x:f>IF(COUNTIF(B392:D392,"W")&gt;0,"Y","N")</x:f>
        <x:v>Y</x:v>
      </x:c>
      <x:c r="X392" s="5" t="str">
        <x:f>IF(COUNTIF(B392:I392,"W")&gt;=4,"Y","N")</x:f>
        <x:v>N</x:v>
      </x:c>
      <x:c r="Y392" s="1"/>
      <x:c r="Z392" s="1"/>
      <x:c r="AA392" s="1"/>
      <x:c r="AB392" s="1"/>
      <x:c r="AC392" s="1"/>
      <x:c r="AD392" s="1"/>
      <x:c r="AE392" s="1"/>
    </x:row>
    <x:row r="393">
      <x:c r="A393" s="1">
        <x:v>392</x:v>
      </x:c>
      <x:c r="B393" t="str">
        <x:v>B</x:v>
      </x:c>
      <x:c r="C393" t="str">
        <x:v>W</x:v>
      </x:c>
      <x:c r="D393" t="str">
        <x:v>B</x:v>
      </x:c>
      <x:c r="E393" t="str">
        <x:v>W</x:v>
      </x:c>
      <x:c r="F393" t="str">
        <x:v>B</x:v>
      </x:c>
      <x:c r="G393" t="str">
        <x:v>B</x:v>
      </x:c>
      <x:c r="H393" t="str">
        <x:v>W</x:v>
      </x:c>
      <x:c r="I393" t="str">
        <x:v>B</x:v>
      </x:c>
      <x:c r="J393" t="str">
        <x:v>B</x:v>
      </x:c>
      <x:c r="K393" t="str">
        <x:v>W</x:v>
      </x:c>
      <x:c r="L393" t="str">
        <x:v>W</x:v>
      </x:c>
      <x:c r="M393" t="str">
        <x:v>B</x:v>
      </x:c>
      <x:c r="N393" t="str">
        <x:v>B</x:v>
      </x:c>
      <x:c r="O393" t="str">
        <x:v>B</x:v>
      </x:c>
      <x:c r="P393" t="str">
        <x:v>W</x:v>
      </x:c>
      <x:c r="Q393" t="str">
        <x:v>W</x:v>
      </x:c>
      <x:c r="R393" t="str">
        <x:v>B</x:v>
      </x:c>
      <x:c r="S393" t="str">
        <x:v>B</x:v>
      </x:c>
      <x:c r="T393" t="str">
        <x:v>B</x:v>
      </x:c>
      <x:c r="U393" t="str">
        <x:v>B</x:v>
      </x:c>
      <x:c r="V393" t="n">
        <x:f>COUNTIF(B393:U393,"W")</x:f>
        <x:v>7</x:v>
      </x:c>
      <x:c r="W393" s="5" t="str">
        <x:f>IF(COUNTIF(B393:D393,"W")&gt;0,"Y","N")</x:f>
        <x:v>Y</x:v>
      </x:c>
      <x:c r="X393" s="5" t="str">
        <x:f>IF(COUNTIF(B393:I393,"W")&gt;=4,"Y","N")</x:f>
        <x:v>N</x:v>
      </x:c>
      <x:c r="Y393" s="1"/>
      <x:c r="Z393" s="1"/>
      <x:c r="AA393" s="1"/>
      <x:c r="AB393" s="1"/>
      <x:c r="AC393" s="1"/>
      <x:c r="AD393" s="1"/>
      <x:c r="AE393" s="1"/>
    </x:row>
    <x:row r="394">
      <x:c r="A394" s="1">
        <x:v>393</x:v>
      </x:c>
      <x:c r="B394" t="str">
        <x:v>B</x:v>
      </x:c>
      <x:c r="C394" t="str">
        <x:v>B</x:v>
      </x:c>
      <x:c r="D394" t="str">
        <x:v>W</x:v>
      </x:c>
      <x:c r="E394" t="str">
        <x:v>B</x:v>
      </x:c>
      <x:c r="F394" t="str">
        <x:v>W</x:v>
      </x:c>
      <x:c r="G394" t="str">
        <x:v>B</x:v>
      </x:c>
      <x:c r="H394" t="str">
        <x:v>W</x:v>
      </x:c>
      <x:c r="I394" t="str">
        <x:v>B</x:v>
      </x:c>
      <x:c r="J394" t="str">
        <x:v>B</x:v>
      </x:c>
      <x:c r="K394" t="str">
        <x:v>B</x:v>
      </x:c>
      <x:c r="L394" t="str">
        <x:v>B</x:v>
      </x:c>
      <x:c r="M394" t="str">
        <x:v>W</x:v>
      </x:c>
      <x:c r="N394" t="str">
        <x:v>B</x:v>
      </x:c>
      <x:c r="O394" t="str">
        <x:v>B</x:v>
      </x:c>
      <x:c r="P394" t="str">
        <x:v>B</x:v>
      </x:c>
      <x:c r="Q394" t="str">
        <x:v>W</x:v>
      </x:c>
      <x:c r="R394" t="str">
        <x:v>W</x:v>
      </x:c>
      <x:c r="S394" t="str">
        <x:v>W</x:v>
      </x:c>
      <x:c r="T394" t="str">
        <x:v>W</x:v>
      </x:c>
      <x:c r="U394" t="str">
        <x:v>B</x:v>
      </x:c>
      <x:c r="V394" t="n">
        <x:f>COUNTIF(B394:U394,"W")</x:f>
        <x:v>8</x:v>
      </x:c>
      <x:c r="W394" s="5" t="str">
        <x:f>IF(COUNTIF(B394:D394,"W")&gt;0,"Y","N")</x:f>
        <x:v>Y</x:v>
      </x:c>
      <x:c r="X394" s="5" t="str">
        <x:f>IF(COUNTIF(B394:I394,"W")&gt;=4,"Y","N")</x:f>
        <x:v>N</x:v>
      </x:c>
      <x:c r="Y394" s="1"/>
      <x:c r="Z394" s="1"/>
      <x:c r="AA394" s="1"/>
      <x:c r="AB394" s="1"/>
      <x:c r="AC394" s="1"/>
      <x:c r="AD394" s="1"/>
      <x:c r="AE394" s="1"/>
    </x:row>
    <x:row r="395">
      <x:c r="A395" s="1">
        <x:v>394</x:v>
      </x:c>
      <x:c r="B395" t="str">
        <x:v>W</x:v>
      </x:c>
      <x:c r="C395" t="str">
        <x:v>B</x:v>
      </x:c>
      <x:c r="D395" t="str">
        <x:v>B</x:v>
      </x:c>
      <x:c r="E395" t="str">
        <x:v>W</x:v>
      </x:c>
      <x:c r="F395" t="str">
        <x:v>B</x:v>
      </x:c>
      <x:c r="G395" t="str">
        <x:v>B</x:v>
      </x:c>
      <x:c r="H395" t="str">
        <x:v>B</x:v>
      </x:c>
      <x:c r="I395" t="str">
        <x:v>W</x:v>
      </x:c>
      <x:c r="J395" t="str">
        <x:v>B</x:v>
      </x:c>
      <x:c r="K395" t="str">
        <x:v>W</x:v>
      </x:c>
      <x:c r="L395" t="str">
        <x:v>W</x:v>
      </x:c>
      <x:c r="M395" t="str">
        <x:v>B</x:v>
      </x:c>
      <x:c r="N395" t="str">
        <x:v>B</x:v>
      </x:c>
      <x:c r="O395" t="str">
        <x:v>B</x:v>
      </x:c>
      <x:c r="P395" t="str">
        <x:v>B</x:v>
      </x:c>
      <x:c r="Q395" t="str">
        <x:v>W</x:v>
      </x:c>
      <x:c r="R395" t="str">
        <x:v>W</x:v>
      </x:c>
      <x:c r="S395" t="str">
        <x:v>B</x:v>
      </x:c>
      <x:c r="T395" t="str">
        <x:v>W</x:v>
      </x:c>
      <x:c r="U395" t="str">
        <x:v>W</x:v>
      </x:c>
      <x:c r="V395" t="n">
        <x:f>COUNTIF(B395:U395,"W")</x:f>
        <x:v>9</x:v>
      </x:c>
      <x:c r="W395" s="5" t="str">
        <x:f>IF(COUNTIF(B395:D395,"W")&gt;0,"Y","N")</x:f>
        <x:v>Y</x:v>
      </x:c>
      <x:c r="X395" s="5" t="str">
        <x:f>IF(COUNTIF(B395:I395,"W")&gt;=4,"Y","N")</x:f>
        <x:v>N</x:v>
      </x:c>
      <x:c r="Y395" s="1"/>
      <x:c r="Z395" s="1"/>
      <x:c r="AA395" s="1"/>
      <x:c r="AB395" s="1"/>
      <x:c r="AC395" s="1"/>
      <x:c r="AD395" s="1"/>
      <x:c r="AE395" s="1"/>
    </x:row>
    <x:row r="396">
      <x:c r="A396" s="1">
        <x:v>395</x:v>
      </x:c>
      <x:c r="B396" t="str">
        <x:v>B</x:v>
      </x:c>
      <x:c r="C396" t="str">
        <x:v>B</x:v>
      </x:c>
      <x:c r="D396" t="str">
        <x:v>B</x:v>
      </x:c>
      <x:c r="E396" t="str">
        <x:v>B</x:v>
      </x:c>
      <x:c r="F396" t="str">
        <x:v>B</x:v>
      </x:c>
      <x:c r="G396" t="str">
        <x:v>B</x:v>
      </x:c>
      <x:c r="H396" t="str">
        <x:v>B</x:v>
      </x:c>
      <x:c r="I396" t="str">
        <x:v>W</x:v>
      </x:c>
      <x:c r="J396" t="str">
        <x:v>B</x:v>
      </x:c>
      <x:c r="K396" t="str">
        <x:v>W</x:v>
      </x:c>
      <x:c r="L396" t="str">
        <x:v>B</x:v>
      </x:c>
      <x:c r="M396" t="str">
        <x:v>B</x:v>
      </x:c>
      <x:c r="N396" t="str">
        <x:v>W</x:v>
      </x:c>
      <x:c r="O396" t="str">
        <x:v>W</x:v>
      </x:c>
      <x:c r="P396" t="str">
        <x:v>B</x:v>
      </x:c>
      <x:c r="Q396" t="str">
        <x:v>W</x:v>
      </x:c>
      <x:c r="R396" t="str">
        <x:v>B</x:v>
      </x:c>
      <x:c r="S396" t="str">
        <x:v>W</x:v>
      </x:c>
      <x:c r="T396" t="str">
        <x:v>B</x:v>
      </x:c>
      <x:c r="U396" t="str">
        <x:v>B</x:v>
      </x:c>
      <x:c r="V396" t="n">
        <x:f>COUNTIF(B396:U396,"W")</x:f>
        <x:v>6</x:v>
      </x:c>
      <x:c r="W396" s="5" t="str">
        <x:f>IF(COUNTIF(B396:D396,"W")&gt;0,"Y","N")</x:f>
        <x:v>N</x:v>
      </x:c>
      <x:c r="X396" s="5" t="str">
        <x:f>IF(COUNTIF(B396:I396,"W")&gt;=4,"Y","N")</x:f>
        <x:v>N</x:v>
      </x:c>
      <x:c r="Y396" s="1"/>
      <x:c r="Z396" s="1"/>
      <x:c r="AA396" s="1"/>
      <x:c r="AB396" s="1"/>
      <x:c r="AC396" s="1"/>
      <x:c r="AD396" s="1"/>
      <x:c r="AE396" s="1"/>
    </x:row>
    <x:row r="397">
      <x:c r="A397" s="1">
        <x:v>396</x:v>
      </x:c>
      <x:c r="B397" t="str">
        <x:v>B</x:v>
      </x:c>
      <x:c r="C397" t="str">
        <x:v>B</x:v>
      </x:c>
      <x:c r="D397" t="str">
        <x:v>W</x:v>
      </x:c>
      <x:c r="E397" t="str">
        <x:v>W</x:v>
      </x:c>
      <x:c r="F397" t="str">
        <x:v>B</x:v>
      </x:c>
      <x:c r="G397" t="str">
        <x:v>B</x:v>
      </x:c>
      <x:c r="H397" t="str">
        <x:v>B</x:v>
      </x:c>
      <x:c r="I397" t="str">
        <x:v>B</x:v>
      </x:c>
      <x:c r="J397" t="str">
        <x:v>W</x:v>
      </x:c>
      <x:c r="K397" t="str">
        <x:v>W</x:v>
      </x:c>
      <x:c r="L397" t="str">
        <x:v>B</x:v>
      </x:c>
      <x:c r="M397" t="str">
        <x:v>B</x:v>
      </x:c>
      <x:c r="N397" t="str">
        <x:v>B</x:v>
      </x:c>
      <x:c r="O397" t="str">
        <x:v>B</x:v>
      </x:c>
      <x:c r="P397" t="str">
        <x:v>B</x:v>
      </x:c>
      <x:c r="Q397" t="str">
        <x:v>B</x:v>
      </x:c>
      <x:c r="R397" t="str">
        <x:v>W</x:v>
      </x:c>
      <x:c r="S397" t="str">
        <x:v>W</x:v>
      </x:c>
      <x:c r="T397" t="str">
        <x:v>W</x:v>
      </x:c>
      <x:c r="U397" t="str">
        <x:v>B</x:v>
      </x:c>
      <x:c r="V397" t="n">
        <x:f>COUNTIF(B397:U397,"W")</x:f>
        <x:v>7</x:v>
      </x:c>
      <x:c r="W397" s="5" t="str">
        <x:f>IF(COUNTIF(B397:D397,"W")&gt;0,"Y","N")</x:f>
        <x:v>Y</x:v>
      </x:c>
      <x:c r="X397" s="5" t="str">
        <x:f>IF(COUNTIF(B397:I397,"W")&gt;=4,"Y","N")</x:f>
        <x:v>N</x:v>
      </x:c>
      <x:c r="Y397" s="1"/>
      <x:c r="Z397" s="1"/>
      <x:c r="AA397" s="1"/>
      <x:c r="AB397" s="1"/>
      <x:c r="AC397" s="1"/>
      <x:c r="AD397" s="1"/>
      <x:c r="AE397" s="1"/>
    </x:row>
    <x:row r="398">
      <x:c r="A398" s="1">
        <x:v>397</x:v>
      </x:c>
      <x:c r="B398" t="str">
        <x:v>W</x:v>
      </x:c>
      <x:c r="C398" t="str">
        <x:v>B</x:v>
      </x:c>
      <x:c r="D398" t="str">
        <x:v>W</x:v>
      </x:c>
      <x:c r="E398" t="str">
        <x:v>B</x:v>
      </x:c>
      <x:c r="F398" t="str">
        <x:v>B</x:v>
      </x:c>
      <x:c r="G398" t="str">
        <x:v>W</x:v>
      </x:c>
      <x:c r="H398" t="str">
        <x:v>B</x:v>
      </x:c>
      <x:c r="I398" t="str">
        <x:v>B</x:v>
      </x:c>
      <x:c r="J398" t="str">
        <x:v>B</x:v>
      </x:c>
      <x:c r="K398" t="str">
        <x:v>W</x:v>
      </x:c>
      <x:c r="L398" t="str">
        <x:v>B</x:v>
      </x:c>
      <x:c r="M398" t="str">
        <x:v>W</x:v>
      </x:c>
      <x:c r="N398" t="str">
        <x:v>B</x:v>
      </x:c>
      <x:c r="O398" t="str">
        <x:v>B</x:v>
      </x:c>
      <x:c r="P398" t="str">
        <x:v>B</x:v>
      </x:c>
      <x:c r="Q398" t="str">
        <x:v>B</x:v>
      </x:c>
      <x:c r="R398" t="str">
        <x:v>B</x:v>
      </x:c>
      <x:c r="S398" t="str">
        <x:v>B</x:v>
      </x:c>
      <x:c r="T398" t="str">
        <x:v>W</x:v>
      </x:c>
      <x:c r="U398" t="str">
        <x:v>B</x:v>
      </x:c>
      <x:c r="V398" t="n">
        <x:f>COUNTIF(B398:U398,"W")</x:f>
        <x:v>6</x:v>
      </x:c>
      <x:c r="W398" s="5" t="str">
        <x:f>IF(COUNTIF(B398:D398,"W")&gt;0,"Y","N")</x:f>
        <x:v>Y</x:v>
      </x:c>
      <x:c r="X398" s="5" t="str">
        <x:f>IF(COUNTIF(B398:I398,"W")&gt;=4,"Y","N")</x:f>
        <x:v>N</x:v>
      </x:c>
      <x:c r="Y398" s="1"/>
      <x:c r="Z398" s="1"/>
      <x:c r="AA398" s="1"/>
      <x:c r="AB398" s="1"/>
      <x:c r="AC398" s="1"/>
      <x:c r="AD398" s="1"/>
      <x:c r="AE398" s="1"/>
    </x:row>
    <x:row r="399">
      <x:c r="A399" s="1">
        <x:v>398</x:v>
      </x:c>
      <x:c r="B399" t="str">
        <x:v>B</x:v>
      </x:c>
      <x:c r="C399" t="str">
        <x:v>B</x:v>
      </x:c>
      <x:c r="D399" t="str">
        <x:v>B</x:v>
      </x:c>
      <x:c r="E399" t="str">
        <x:v>W</x:v>
      </x:c>
      <x:c r="F399" t="str">
        <x:v>W</x:v>
      </x:c>
      <x:c r="G399" t="str">
        <x:v>B</x:v>
      </x:c>
      <x:c r="H399" t="str">
        <x:v>B</x:v>
      </x:c>
      <x:c r="I399" t="str">
        <x:v>B</x:v>
      </x:c>
      <x:c r="J399" t="str">
        <x:v>B</x:v>
      </x:c>
      <x:c r="K399" t="str">
        <x:v>W</x:v>
      </x:c>
      <x:c r="L399" t="str">
        <x:v>B</x:v>
      </x:c>
      <x:c r="M399" t="str">
        <x:v>B</x:v>
      </x:c>
      <x:c r="N399" t="str">
        <x:v>B</x:v>
      </x:c>
      <x:c r="O399" t="str">
        <x:v>B</x:v>
      </x:c>
      <x:c r="P399" t="str">
        <x:v>B</x:v>
      </x:c>
      <x:c r="Q399" t="str">
        <x:v>B</x:v>
      </x:c>
      <x:c r="R399" t="str">
        <x:v>B</x:v>
      </x:c>
      <x:c r="S399" t="str">
        <x:v>B</x:v>
      </x:c>
      <x:c r="T399" t="str">
        <x:v>B</x:v>
      </x:c>
      <x:c r="U399" t="str">
        <x:v>W</x:v>
      </x:c>
      <x:c r="V399" t="n">
        <x:f>COUNTIF(B399:U399,"W")</x:f>
        <x:v>4</x:v>
      </x:c>
      <x:c r="W399" s="5" t="str">
        <x:f>IF(COUNTIF(B399:D399,"W")&gt;0,"Y","N")</x:f>
        <x:v>N</x:v>
      </x:c>
      <x:c r="X399" s="5" t="str">
        <x:f>IF(COUNTIF(B399:I399,"W")&gt;=4,"Y","N")</x:f>
        <x:v>N</x:v>
      </x:c>
      <x:c r="Y399" s="1"/>
      <x:c r="Z399" s="1"/>
      <x:c r="AA399" s="1"/>
      <x:c r="AB399" s="1"/>
      <x:c r="AC399" s="1"/>
      <x:c r="AD399" s="1"/>
      <x:c r="AE399" s="1"/>
    </x:row>
    <x:row r="400">
      <x:c r="A400" s="1">
        <x:v>399</x:v>
      </x:c>
      <x:c r="B400" t="str">
        <x:v>W</x:v>
      </x:c>
      <x:c r="C400" t="str">
        <x:v>W</x:v>
      </x:c>
      <x:c r="D400" t="str">
        <x:v>B</x:v>
      </x:c>
      <x:c r="E400" t="str">
        <x:v>B</x:v>
      </x:c>
      <x:c r="F400" t="str">
        <x:v>B</x:v>
      </x:c>
      <x:c r="G400" t="str">
        <x:v>B</x:v>
      </x:c>
      <x:c r="H400" t="str">
        <x:v>W</x:v>
      </x:c>
      <x:c r="I400" t="str">
        <x:v>W</x:v>
      </x:c>
      <x:c r="J400" t="str">
        <x:v>B</x:v>
      </x:c>
      <x:c r="K400" t="str">
        <x:v>B</x:v>
      </x:c>
      <x:c r="L400" t="str">
        <x:v>W</x:v>
      </x:c>
      <x:c r="M400" t="str">
        <x:v>B</x:v>
      </x:c>
      <x:c r="N400" t="str">
        <x:v>B</x:v>
      </x:c>
      <x:c r="O400" t="str">
        <x:v>B</x:v>
      </x:c>
      <x:c r="P400" t="str">
        <x:v>B</x:v>
      </x:c>
      <x:c r="Q400" t="str">
        <x:v>B</x:v>
      </x:c>
      <x:c r="R400" t="str">
        <x:v>B</x:v>
      </x:c>
      <x:c r="S400" t="str">
        <x:v>B</x:v>
      </x:c>
      <x:c r="T400" t="str">
        <x:v>B</x:v>
      </x:c>
      <x:c r="U400" t="str">
        <x:v>W</x:v>
      </x:c>
      <x:c r="V400" t="n">
        <x:f>COUNTIF(B400:U400,"W")</x:f>
        <x:v>6</x:v>
      </x:c>
      <x:c r="W400" s="5" t="str">
        <x:f>IF(COUNTIF(B400:D400,"W")&gt;0,"Y","N")</x:f>
        <x:v>Y</x:v>
      </x:c>
      <x:c r="X400" s="5" t="str">
        <x:f>IF(COUNTIF(B400:I400,"W")&gt;=4,"Y","N")</x:f>
        <x:v>Y</x:v>
      </x:c>
      <x:c r="Y400" s="1"/>
      <x:c r="Z400" s="1"/>
      <x:c r="AA400" s="1"/>
      <x:c r="AB400" s="1"/>
      <x:c r="AC400" s="1"/>
      <x:c r="AD400" s="1"/>
      <x:c r="AE400" s="1"/>
    </x:row>
    <x:row r="401">
      <x:c r="A401" s="1">
        <x:v>400</x:v>
      </x:c>
      <x:c r="B401" t="str">
        <x:v>B</x:v>
      </x:c>
      <x:c r="C401" t="str">
        <x:v>B</x:v>
      </x:c>
      <x:c r="D401" t="str">
        <x:v>B</x:v>
      </x:c>
      <x:c r="E401" t="str">
        <x:v>W</x:v>
      </x:c>
      <x:c r="F401" t="str">
        <x:v>B</x:v>
      </x:c>
      <x:c r="G401" t="str">
        <x:v>B</x:v>
      </x:c>
      <x:c r="H401" t="str">
        <x:v>B</x:v>
      </x:c>
      <x:c r="I401" t="str">
        <x:v>B</x:v>
      </x:c>
      <x:c r="J401" t="str">
        <x:v>W</x:v>
      </x:c>
      <x:c r="K401" t="str">
        <x:v>B</x:v>
      </x:c>
      <x:c r="L401" t="str">
        <x:v>B</x:v>
      </x:c>
      <x:c r="M401" t="str">
        <x:v>B</x:v>
      </x:c>
      <x:c r="N401" t="str">
        <x:v>B</x:v>
      </x:c>
      <x:c r="O401" t="str">
        <x:v>B</x:v>
      </x:c>
      <x:c r="P401" t="str">
        <x:v>W</x:v>
      </x:c>
      <x:c r="Q401" t="str">
        <x:v>B</x:v>
      </x:c>
      <x:c r="R401" t="str">
        <x:v>B</x:v>
      </x:c>
      <x:c r="S401" t="str">
        <x:v>B</x:v>
      </x:c>
      <x:c r="T401" t="str">
        <x:v>B</x:v>
      </x:c>
      <x:c r="U401" t="str">
        <x:v>B</x:v>
      </x:c>
      <x:c r="V401" t="n">
        <x:f>COUNTIF(B401:U401,"W")</x:f>
        <x:v>3</x:v>
      </x:c>
      <x:c r="W401" s="5" t="str">
        <x:f>IF(COUNTIF(B401:D401,"W")&gt;0,"Y","N")</x:f>
        <x:v>N</x:v>
      </x:c>
      <x:c r="X401" s="5" t="str">
        <x:f>IF(COUNTIF(B401:I401,"W")&gt;=4,"Y","N")</x:f>
        <x:v>N</x:v>
      </x:c>
      <x:c r="Y401" s="1"/>
      <x:c r="Z401" s="1"/>
      <x:c r="AA401" s="1"/>
      <x:c r="AB401" s="1"/>
      <x:c r="AC401" s="1"/>
      <x:c r="AD401" s="1"/>
      <x:c r="AE401" s="1"/>
    </x:row>
    <x:row r="402">
      <x:c r="A402" s="1">
        <x:v>401</x:v>
      </x:c>
      <x:c r="B402" t="str">
        <x:v>B</x:v>
      </x:c>
      <x:c r="C402" t="str">
        <x:v>B</x:v>
      </x:c>
      <x:c r="D402" t="str">
        <x:v>B</x:v>
      </x:c>
      <x:c r="E402" t="str">
        <x:v>B</x:v>
      </x:c>
      <x:c r="F402" t="str">
        <x:v>B</x:v>
      </x:c>
      <x:c r="G402" t="str">
        <x:v>W</x:v>
      </x:c>
      <x:c r="H402" t="str">
        <x:v>B</x:v>
      </x:c>
      <x:c r="I402" t="str">
        <x:v>W</x:v>
      </x:c>
      <x:c r="J402" t="str">
        <x:v>W</x:v>
      </x:c>
      <x:c r="K402" t="str">
        <x:v>W</x:v>
      </x:c>
      <x:c r="L402" t="str">
        <x:v>B</x:v>
      </x:c>
      <x:c r="M402" t="str">
        <x:v>W</x:v>
      </x:c>
      <x:c r="N402" t="str">
        <x:v>B</x:v>
      </x:c>
      <x:c r="O402" t="str">
        <x:v>W</x:v>
      </x:c>
      <x:c r="P402" t="str">
        <x:v>B</x:v>
      </x:c>
      <x:c r="Q402" t="str">
        <x:v>B</x:v>
      </x:c>
      <x:c r="R402" t="str">
        <x:v>W</x:v>
      </x:c>
      <x:c r="S402" t="str">
        <x:v>W</x:v>
      </x:c>
      <x:c r="T402" t="str">
        <x:v>B</x:v>
      </x:c>
      <x:c r="U402" t="str">
        <x:v>W</x:v>
      </x:c>
      <x:c r="V402" t="n">
        <x:f>COUNTIF(B402:U402,"W")</x:f>
        <x:v>9</x:v>
      </x:c>
      <x:c r="W402" s="5" t="str">
        <x:f>IF(COUNTIF(B402:D402,"W")&gt;0,"Y","N")</x:f>
        <x:v>N</x:v>
      </x:c>
      <x:c r="X402" s="5" t="str">
        <x:f>IF(COUNTIF(B402:I402,"W")&gt;=4,"Y","N")</x:f>
        <x:v>N</x:v>
      </x:c>
      <x:c r="Y402" s="1"/>
      <x:c r="Z402" s="1"/>
      <x:c r="AA402" s="1"/>
      <x:c r="AB402" s="1"/>
      <x:c r="AC402" s="1"/>
      <x:c r="AD402" s="1"/>
      <x:c r="AE402" s="1"/>
    </x:row>
    <x:row r="403">
      <x:c r="A403" s="1">
        <x:v>402</x:v>
      </x:c>
      <x:c r="B403" t="str">
        <x:v>B</x:v>
      </x:c>
      <x:c r="C403" t="str">
        <x:v>B</x:v>
      </x:c>
      <x:c r="D403" t="str">
        <x:v>B</x:v>
      </x:c>
      <x:c r="E403" t="str">
        <x:v>B</x:v>
      </x:c>
      <x:c r="F403" t="str">
        <x:v>B</x:v>
      </x:c>
      <x:c r="G403" t="str">
        <x:v>B</x:v>
      </x:c>
      <x:c r="H403" t="str">
        <x:v>B</x:v>
      </x:c>
      <x:c r="I403" t="str">
        <x:v>B</x:v>
      </x:c>
      <x:c r="J403" t="str">
        <x:v>B</x:v>
      </x:c>
      <x:c r="K403" t="str">
        <x:v>B</x:v>
      </x:c>
      <x:c r="L403" t="str">
        <x:v>B</x:v>
      </x:c>
      <x:c r="M403" t="str">
        <x:v>B</x:v>
      </x:c>
      <x:c r="N403" t="str">
        <x:v>B</x:v>
      </x:c>
      <x:c r="O403" t="str">
        <x:v>B</x:v>
      </x:c>
      <x:c r="P403" t="str">
        <x:v>W</x:v>
      </x:c>
      <x:c r="Q403" t="str">
        <x:v>B</x:v>
      </x:c>
      <x:c r="R403" t="str">
        <x:v>B</x:v>
      </x:c>
      <x:c r="S403" t="str">
        <x:v>B</x:v>
      </x:c>
      <x:c r="T403" t="str">
        <x:v>B</x:v>
      </x:c>
      <x:c r="U403" t="str">
        <x:v>W</x:v>
      </x:c>
      <x:c r="V403" t="n">
        <x:f>COUNTIF(B403:U403,"W")</x:f>
        <x:v>2</x:v>
      </x:c>
      <x:c r="W403" s="5" t="str">
        <x:f>IF(COUNTIF(B403:D403,"W")&gt;0,"Y","N")</x:f>
        <x:v>N</x:v>
      </x:c>
      <x:c r="X403" s="5" t="str">
        <x:f>IF(COUNTIF(B403:I403,"W")&gt;=4,"Y","N")</x:f>
        <x:v>N</x:v>
      </x:c>
      <x:c r="Y403" s="1"/>
      <x:c r="Z403" s="1"/>
      <x:c r="AA403" s="1"/>
      <x:c r="AB403" s="1"/>
      <x:c r="AC403" s="1"/>
      <x:c r="AD403" s="1"/>
      <x:c r="AE403" s="1"/>
    </x:row>
    <x:row r="404">
      <x:c r="A404" s="1">
        <x:v>403</x:v>
      </x:c>
      <x:c r="B404" t="str">
        <x:v>W</x:v>
      </x:c>
      <x:c r="C404" t="str">
        <x:v>B</x:v>
      </x:c>
      <x:c r="D404" t="str">
        <x:v>W</x:v>
      </x:c>
      <x:c r="E404" t="str">
        <x:v>W</x:v>
      </x:c>
      <x:c r="F404" t="str">
        <x:v>B</x:v>
      </x:c>
      <x:c r="G404" t="str">
        <x:v>B</x:v>
      </x:c>
      <x:c r="H404" t="str">
        <x:v>W</x:v>
      </x:c>
      <x:c r="I404" t="str">
        <x:v>B</x:v>
      </x:c>
      <x:c r="J404" t="str">
        <x:v>B</x:v>
      </x:c>
      <x:c r="K404" t="str">
        <x:v>B</x:v>
      </x:c>
      <x:c r="L404" t="str">
        <x:v>B</x:v>
      </x:c>
      <x:c r="M404" t="str">
        <x:v>B</x:v>
      </x:c>
      <x:c r="N404" t="str">
        <x:v>W</x:v>
      </x:c>
      <x:c r="O404" t="str">
        <x:v>W</x:v>
      </x:c>
      <x:c r="P404" t="str">
        <x:v>B</x:v>
      </x:c>
      <x:c r="Q404" t="str">
        <x:v>W</x:v>
      </x:c>
      <x:c r="R404" t="str">
        <x:v>W</x:v>
      </x:c>
      <x:c r="S404" t="str">
        <x:v>W</x:v>
      </x:c>
      <x:c r="T404" t="str">
        <x:v>B</x:v>
      </x:c>
      <x:c r="U404" t="str">
        <x:v>B</x:v>
      </x:c>
      <x:c r="V404" t="n">
        <x:f>COUNTIF(B404:U404,"W")</x:f>
        <x:v>9</x:v>
      </x:c>
      <x:c r="W404" s="5" t="str">
        <x:f>IF(COUNTIF(B404:D404,"W")&gt;0,"Y","N")</x:f>
        <x:v>Y</x:v>
      </x:c>
      <x:c r="X404" s="5" t="str">
        <x:f>IF(COUNTIF(B404:I404,"W")&gt;=4,"Y","N")</x:f>
        <x:v>Y</x:v>
      </x:c>
      <x:c r="Y404" s="1"/>
      <x:c r="Z404" s="1"/>
      <x:c r="AA404" s="1"/>
      <x:c r="AB404" s="1"/>
      <x:c r="AC404" s="1"/>
      <x:c r="AD404" s="1"/>
      <x:c r="AE404" s="1"/>
    </x:row>
    <x:row r="405">
      <x:c r="A405" s="1">
        <x:v>404</x:v>
      </x:c>
      <x:c r="B405" t="str">
        <x:v>B</x:v>
      </x:c>
      <x:c r="C405" t="str">
        <x:v>B</x:v>
      </x:c>
      <x:c r="D405" t="str">
        <x:v>W</x:v>
      </x:c>
      <x:c r="E405" t="str">
        <x:v>B</x:v>
      </x:c>
      <x:c r="F405" t="str">
        <x:v>W</x:v>
      </x:c>
      <x:c r="G405" t="str">
        <x:v>B</x:v>
      </x:c>
      <x:c r="H405" t="str">
        <x:v>B</x:v>
      </x:c>
      <x:c r="I405" t="str">
        <x:v>W</x:v>
      </x:c>
      <x:c r="J405" t="str">
        <x:v>B</x:v>
      </x:c>
      <x:c r="K405" t="str">
        <x:v>B</x:v>
      </x:c>
      <x:c r="L405" t="str">
        <x:v>W</x:v>
      </x:c>
      <x:c r="M405" t="str">
        <x:v>W</x:v>
      </x:c>
      <x:c r="N405" t="str">
        <x:v>B</x:v>
      </x:c>
      <x:c r="O405" t="str">
        <x:v>B</x:v>
      </x:c>
      <x:c r="P405" t="str">
        <x:v>B</x:v>
      </x:c>
      <x:c r="Q405" t="str">
        <x:v>B</x:v>
      </x:c>
      <x:c r="R405" t="str">
        <x:v>W</x:v>
      </x:c>
      <x:c r="S405" t="str">
        <x:v>B</x:v>
      </x:c>
      <x:c r="T405" t="str">
        <x:v>W</x:v>
      </x:c>
      <x:c r="U405" t="str">
        <x:v>B</x:v>
      </x:c>
      <x:c r="V405" t="n">
        <x:f>COUNTIF(B405:U405,"W")</x:f>
        <x:v>7</x:v>
      </x:c>
      <x:c r="W405" s="5" t="str">
        <x:f>IF(COUNTIF(B405:D405,"W")&gt;0,"Y","N")</x:f>
        <x:v>Y</x:v>
      </x:c>
      <x:c r="X405" s="5" t="str">
        <x:f>IF(COUNTIF(B405:I405,"W")&gt;=4,"Y","N")</x:f>
        <x:v>N</x:v>
      </x:c>
      <x:c r="Y405" s="1"/>
      <x:c r="Z405" s="1"/>
      <x:c r="AA405" s="1"/>
      <x:c r="AB405" s="1"/>
      <x:c r="AC405" s="1"/>
      <x:c r="AD405" s="1"/>
      <x:c r="AE405" s="1"/>
    </x:row>
    <x:row r="406">
      <x:c r="A406" s="1">
        <x:v>405</x:v>
      </x:c>
      <x:c r="B406" t="str">
        <x:v>B</x:v>
      </x:c>
      <x:c r="C406" t="str">
        <x:v>B</x:v>
      </x:c>
      <x:c r="D406" t="str">
        <x:v>W</x:v>
      </x:c>
      <x:c r="E406" t="str">
        <x:v>B</x:v>
      </x:c>
      <x:c r="F406" t="str">
        <x:v>B</x:v>
      </x:c>
      <x:c r="G406" t="str">
        <x:v>W</x:v>
      </x:c>
      <x:c r="H406" t="str">
        <x:v>B</x:v>
      </x:c>
      <x:c r="I406" t="str">
        <x:v>B</x:v>
      </x:c>
      <x:c r="J406" t="str">
        <x:v>B</x:v>
      </x:c>
      <x:c r="K406" t="str">
        <x:v>B</x:v>
      </x:c>
      <x:c r="L406" t="str">
        <x:v>W</x:v>
      </x:c>
      <x:c r="M406" t="str">
        <x:v>B</x:v>
      </x:c>
      <x:c r="N406" t="str">
        <x:v>B</x:v>
      </x:c>
      <x:c r="O406" t="str">
        <x:v>B</x:v>
      </x:c>
      <x:c r="P406" t="str">
        <x:v>B</x:v>
      </x:c>
      <x:c r="Q406" t="str">
        <x:v>W</x:v>
      </x:c>
      <x:c r="R406" t="str">
        <x:v>W</x:v>
      </x:c>
      <x:c r="S406" t="str">
        <x:v>W</x:v>
      </x:c>
      <x:c r="T406" t="str">
        <x:v>B</x:v>
      </x:c>
      <x:c r="U406" t="str">
        <x:v>B</x:v>
      </x:c>
      <x:c r="V406" t="n">
        <x:f>COUNTIF(B406:U406,"W")</x:f>
        <x:v>6</x:v>
      </x:c>
      <x:c r="W406" s="5" t="str">
        <x:f>IF(COUNTIF(B406:D406,"W")&gt;0,"Y","N")</x:f>
        <x:v>Y</x:v>
      </x:c>
      <x:c r="X406" s="5" t="str">
        <x:f>IF(COUNTIF(B406:I406,"W")&gt;=4,"Y","N")</x:f>
        <x:v>N</x:v>
      </x:c>
      <x:c r="Y406" s="1"/>
      <x:c r="Z406" s="1"/>
      <x:c r="AA406" s="1"/>
      <x:c r="AB406" s="1"/>
      <x:c r="AC406" s="1"/>
      <x:c r="AD406" s="1"/>
      <x:c r="AE406" s="1"/>
    </x:row>
    <x:row r="407">
      <x:c r="A407" s="1">
        <x:v>406</x:v>
      </x:c>
      <x:c r="B407" t="str">
        <x:v>B</x:v>
      </x:c>
      <x:c r="C407" t="str">
        <x:v>B</x:v>
      </x:c>
      <x:c r="D407" t="str">
        <x:v>W</x:v>
      </x:c>
      <x:c r="E407" t="str">
        <x:v>B</x:v>
      </x:c>
      <x:c r="F407" t="str">
        <x:v>W</x:v>
      </x:c>
      <x:c r="G407" t="str">
        <x:v>B</x:v>
      </x:c>
      <x:c r="H407" t="str">
        <x:v>B</x:v>
      </x:c>
      <x:c r="I407" t="str">
        <x:v>W</x:v>
      </x:c>
      <x:c r="J407" t="str">
        <x:v>B</x:v>
      </x:c>
      <x:c r="K407" t="str">
        <x:v>B</x:v>
      </x:c>
      <x:c r="L407" t="str">
        <x:v>W</x:v>
      </x:c>
      <x:c r="M407" t="str">
        <x:v>B</x:v>
      </x:c>
      <x:c r="N407" t="str">
        <x:v>W</x:v>
      </x:c>
      <x:c r="O407" t="str">
        <x:v>B</x:v>
      </x:c>
      <x:c r="P407" t="str">
        <x:v>B</x:v>
      </x:c>
      <x:c r="Q407" t="str">
        <x:v>W</x:v>
      </x:c>
      <x:c r="R407" t="str">
        <x:v>W</x:v>
      </x:c>
      <x:c r="S407" t="str">
        <x:v>W</x:v>
      </x:c>
      <x:c r="T407" t="str">
        <x:v>B</x:v>
      </x:c>
      <x:c r="U407" t="str">
        <x:v>B</x:v>
      </x:c>
      <x:c r="V407" t="n">
        <x:f>COUNTIF(B407:U407,"W")</x:f>
        <x:v>8</x:v>
      </x:c>
      <x:c r="W407" s="5" t="str">
        <x:f>IF(COUNTIF(B407:D407,"W")&gt;0,"Y","N")</x:f>
        <x:v>Y</x:v>
      </x:c>
      <x:c r="X407" s="5" t="str">
        <x:f>IF(COUNTIF(B407:I407,"W")&gt;=4,"Y","N")</x:f>
        <x:v>N</x:v>
      </x:c>
      <x:c r="Y407" s="1"/>
      <x:c r="Z407" s="1"/>
      <x:c r="AA407" s="1"/>
      <x:c r="AB407" s="1"/>
      <x:c r="AC407" s="1"/>
      <x:c r="AD407" s="1"/>
      <x:c r="AE407" s="1"/>
    </x:row>
    <x:row r="408">
      <x:c r="A408" s="1">
        <x:v>407</x:v>
      </x:c>
      <x:c r="B408" t="str">
        <x:v>W</x:v>
      </x:c>
      <x:c r="C408" t="str">
        <x:v>W</x:v>
      </x:c>
      <x:c r="D408" t="str">
        <x:v>B</x:v>
      </x:c>
      <x:c r="E408" t="str">
        <x:v>W</x:v>
      </x:c>
      <x:c r="F408" t="str">
        <x:v>B</x:v>
      </x:c>
      <x:c r="G408" t="str">
        <x:v>W</x:v>
      </x:c>
      <x:c r="H408" t="str">
        <x:v>B</x:v>
      </x:c>
      <x:c r="I408" t="str">
        <x:v>B</x:v>
      </x:c>
      <x:c r="J408" t="str">
        <x:v>B</x:v>
      </x:c>
      <x:c r="K408" t="str">
        <x:v>W</x:v>
      </x:c>
      <x:c r="L408" t="str">
        <x:v>W</x:v>
      </x:c>
      <x:c r="M408" t="str">
        <x:v>B</x:v>
      </x:c>
      <x:c r="N408" t="str">
        <x:v>B</x:v>
      </x:c>
      <x:c r="O408" t="str">
        <x:v>B</x:v>
      </x:c>
      <x:c r="P408" t="str">
        <x:v>W</x:v>
      </x:c>
      <x:c r="Q408" t="str">
        <x:v>B</x:v>
      </x:c>
      <x:c r="R408" t="str">
        <x:v>B</x:v>
      </x:c>
      <x:c r="S408" t="str">
        <x:v>W</x:v>
      </x:c>
      <x:c r="T408" t="str">
        <x:v>W</x:v>
      </x:c>
      <x:c r="U408" t="str">
        <x:v>B</x:v>
      </x:c>
      <x:c r="V408" t="n">
        <x:f>COUNTIF(B408:U408,"W")</x:f>
        <x:v>9</x:v>
      </x:c>
      <x:c r="W408" s="5" t="str">
        <x:f>IF(COUNTIF(B408:D408,"W")&gt;0,"Y","N")</x:f>
        <x:v>Y</x:v>
      </x:c>
      <x:c r="X408" s="5" t="str">
        <x:f>IF(COUNTIF(B408:I408,"W")&gt;=4,"Y","N")</x:f>
        <x:v>Y</x:v>
      </x:c>
      <x:c r="Y408" s="1"/>
      <x:c r="Z408" s="1"/>
      <x:c r="AA408" s="1"/>
      <x:c r="AB408" s="1"/>
      <x:c r="AC408" s="1"/>
      <x:c r="AD408" s="1"/>
      <x:c r="AE408" s="1"/>
    </x:row>
    <x:row r="409">
      <x:c r="A409" s="1">
        <x:v>408</x:v>
      </x:c>
      <x:c r="B409" t="str">
        <x:v>B</x:v>
      </x:c>
      <x:c r="C409" t="str">
        <x:v>W</x:v>
      </x:c>
      <x:c r="D409" t="str">
        <x:v>B</x:v>
      </x:c>
      <x:c r="E409" t="str">
        <x:v>B</x:v>
      </x:c>
      <x:c r="F409" t="str">
        <x:v>B</x:v>
      </x:c>
      <x:c r="G409" t="str">
        <x:v>W</x:v>
      </x:c>
      <x:c r="H409" t="str">
        <x:v>B</x:v>
      </x:c>
      <x:c r="I409" t="str">
        <x:v>B</x:v>
      </x:c>
      <x:c r="J409" t="str">
        <x:v>W</x:v>
      </x:c>
      <x:c r="K409" t="str">
        <x:v>B</x:v>
      </x:c>
      <x:c r="L409" t="str">
        <x:v>B</x:v>
      </x:c>
      <x:c r="M409" t="str">
        <x:v>B</x:v>
      </x:c>
      <x:c r="N409" t="str">
        <x:v>B</x:v>
      </x:c>
      <x:c r="O409" t="str">
        <x:v>W</x:v>
      </x:c>
      <x:c r="P409" t="str">
        <x:v>B</x:v>
      </x:c>
      <x:c r="Q409" t="str">
        <x:v>B</x:v>
      </x:c>
      <x:c r="R409" t="str">
        <x:v>B</x:v>
      </x:c>
      <x:c r="S409" t="str">
        <x:v>B</x:v>
      </x:c>
      <x:c r="T409" t="str">
        <x:v>B</x:v>
      </x:c>
      <x:c r="U409" t="str">
        <x:v>W</x:v>
      </x:c>
      <x:c r="V409" t="n">
        <x:f>COUNTIF(B409:U409,"W")</x:f>
        <x:v>5</x:v>
      </x:c>
      <x:c r="W409" s="5" t="str">
        <x:f>IF(COUNTIF(B409:D409,"W")&gt;0,"Y","N")</x:f>
        <x:v>Y</x:v>
      </x:c>
      <x:c r="X409" s="5" t="str">
        <x:f>IF(COUNTIF(B409:I409,"W")&gt;=4,"Y","N")</x:f>
        <x:v>N</x:v>
      </x:c>
      <x:c r="Y409" s="1"/>
      <x:c r="Z409" s="1"/>
      <x:c r="AA409" s="1"/>
      <x:c r="AB409" s="1"/>
      <x:c r="AC409" s="1"/>
      <x:c r="AD409" s="1"/>
      <x:c r="AE409" s="1"/>
    </x:row>
    <x:row r="410">
      <x:c r="A410" s="1">
        <x:v>409</x:v>
      </x:c>
      <x:c r="B410" t="str">
        <x:v>B</x:v>
      </x:c>
      <x:c r="C410" t="str">
        <x:v>B</x:v>
      </x:c>
      <x:c r="D410" t="str">
        <x:v>W</x:v>
      </x:c>
      <x:c r="E410" t="str">
        <x:v>W</x:v>
      </x:c>
      <x:c r="F410" t="str">
        <x:v>B</x:v>
      </x:c>
      <x:c r="G410" t="str">
        <x:v>B</x:v>
      </x:c>
      <x:c r="H410" t="str">
        <x:v>W</x:v>
      </x:c>
      <x:c r="I410" t="str">
        <x:v>W</x:v>
      </x:c>
      <x:c r="J410" t="str">
        <x:v>B</x:v>
      </x:c>
      <x:c r="K410" t="str">
        <x:v>W</x:v>
      </x:c>
      <x:c r="L410" t="str">
        <x:v>B</x:v>
      </x:c>
      <x:c r="M410" t="str">
        <x:v>W</x:v>
      </x:c>
      <x:c r="N410" t="str">
        <x:v>B</x:v>
      </x:c>
      <x:c r="O410" t="str">
        <x:v>W</x:v>
      </x:c>
      <x:c r="P410" t="str">
        <x:v>B</x:v>
      </x:c>
      <x:c r="Q410" t="str">
        <x:v>B</x:v>
      </x:c>
      <x:c r="R410" t="str">
        <x:v>W</x:v>
      </x:c>
      <x:c r="S410" t="str">
        <x:v>W</x:v>
      </x:c>
      <x:c r="T410" t="str">
        <x:v>W</x:v>
      </x:c>
      <x:c r="U410" t="str">
        <x:v>W</x:v>
      </x:c>
      <x:c r="V410" t="n">
        <x:f>COUNTIF(B410:U410,"W")</x:f>
        <x:v>11</x:v>
      </x:c>
      <x:c r="W410" s="5" t="str">
        <x:f>IF(COUNTIF(B410:D410,"W")&gt;0,"Y","N")</x:f>
        <x:v>Y</x:v>
      </x:c>
      <x:c r="X410" s="5" t="str">
        <x:f>IF(COUNTIF(B410:I410,"W")&gt;=4,"Y","N")</x:f>
        <x:v>Y</x:v>
      </x:c>
      <x:c r="Y410" s="1"/>
      <x:c r="Z410" s="1"/>
      <x:c r="AA410" s="1"/>
      <x:c r="AB410" s="1"/>
      <x:c r="AC410" s="1"/>
      <x:c r="AD410" s="1"/>
      <x:c r="AE410" s="1"/>
    </x:row>
    <x:row r="411">
      <x:c r="A411" s="1">
        <x:v>410</x:v>
      </x:c>
      <x:c r="B411" t="str">
        <x:v>B</x:v>
      </x:c>
      <x:c r="C411" t="str">
        <x:v>W</x:v>
      </x:c>
      <x:c r="D411" t="str">
        <x:v>W</x:v>
      </x:c>
      <x:c r="E411" t="str">
        <x:v>W</x:v>
      </x:c>
      <x:c r="F411" t="str">
        <x:v>B</x:v>
      </x:c>
      <x:c r="G411" t="str">
        <x:v>W</x:v>
      </x:c>
      <x:c r="H411" t="str">
        <x:v>W</x:v>
      </x:c>
      <x:c r="I411" t="str">
        <x:v>B</x:v>
      </x:c>
      <x:c r="J411" t="str">
        <x:v>B</x:v>
      </x:c>
      <x:c r="K411" t="str">
        <x:v>B</x:v>
      </x:c>
      <x:c r="L411" t="str">
        <x:v>W</x:v>
      </x:c>
      <x:c r="M411" t="str">
        <x:v>B</x:v>
      </x:c>
      <x:c r="N411" t="str">
        <x:v>W</x:v>
      </x:c>
      <x:c r="O411" t="str">
        <x:v>B</x:v>
      </x:c>
      <x:c r="P411" t="str">
        <x:v>W</x:v>
      </x:c>
      <x:c r="Q411" t="str">
        <x:v>W</x:v>
      </x:c>
      <x:c r="R411" t="str">
        <x:v>W</x:v>
      </x:c>
      <x:c r="S411" t="str">
        <x:v>W</x:v>
      </x:c>
      <x:c r="T411" t="str">
        <x:v>B</x:v>
      </x:c>
      <x:c r="U411" t="str">
        <x:v>W</x:v>
      </x:c>
      <x:c r="V411" t="n">
        <x:f>COUNTIF(B411:U411,"W")</x:f>
        <x:v>12</x:v>
      </x:c>
      <x:c r="W411" s="5" t="str">
        <x:f>IF(COUNTIF(B411:D411,"W")&gt;0,"Y","N")</x:f>
        <x:v>Y</x:v>
      </x:c>
      <x:c r="X411" s="5" t="str">
        <x:f>IF(COUNTIF(B411:I411,"W")&gt;=4,"Y","N")</x:f>
        <x:v>Y</x:v>
      </x:c>
      <x:c r="Y411" s="1"/>
      <x:c r="Z411" s="1"/>
      <x:c r="AA411" s="1"/>
      <x:c r="AB411" s="1"/>
      <x:c r="AC411" s="1"/>
      <x:c r="AD411" s="1"/>
      <x:c r="AE411" s="1"/>
    </x:row>
    <x:row r="412">
      <x:c r="A412" s="1">
        <x:v>411</x:v>
      </x:c>
      <x:c r="B412" t="str">
        <x:v>B</x:v>
      </x:c>
      <x:c r="C412" t="str">
        <x:v>B</x:v>
      </x:c>
      <x:c r="D412" t="str">
        <x:v>W</x:v>
      </x:c>
      <x:c r="E412" t="str">
        <x:v>W</x:v>
      </x:c>
      <x:c r="F412" t="str">
        <x:v>B</x:v>
      </x:c>
      <x:c r="G412" t="str">
        <x:v>B</x:v>
      </x:c>
      <x:c r="H412" t="str">
        <x:v>B</x:v>
      </x:c>
      <x:c r="I412" t="str">
        <x:v>B</x:v>
      </x:c>
      <x:c r="J412" t="str">
        <x:v>B</x:v>
      </x:c>
      <x:c r="K412" t="str">
        <x:v>B</x:v>
      </x:c>
      <x:c r="L412" t="str">
        <x:v>W</x:v>
      </x:c>
      <x:c r="M412" t="str">
        <x:v>W</x:v>
      </x:c>
      <x:c r="N412" t="str">
        <x:v>B</x:v>
      </x:c>
      <x:c r="O412" t="str">
        <x:v>B</x:v>
      </x:c>
      <x:c r="P412" t="str">
        <x:v>B</x:v>
      </x:c>
      <x:c r="Q412" t="str">
        <x:v>W</x:v>
      </x:c>
      <x:c r="R412" t="str">
        <x:v>B</x:v>
      </x:c>
      <x:c r="S412" t="str">
        <x:v>B</x:v>
      </x:c>
      <x:c r="T412" t="str">
        <x:v>B</x:v>
      </x:c>
      <x:c r="U412" t="str">
        <x:v>B</x:v>
      </x:c>
      <x:c r="V412" t="n">
        <x:f>COUNTIF(B412:U412,"W")</x:f>
        <x:v>5</x:v>
      </x:c>
      <x:c r="W412" s="5" t="str">
        <x:f>IF(COUNTIF(B412:D412,"W")&gt;0,"Y","N")</x:f>
        <x:v>Y</x:v>
      </x:c>
      <x:c r="X412" s="5" t="str">
        <x:f>IF(COUNTIF(B412:I412,"W")&gt;=4,"Y","N")</x:f>
        <x:v>N</x:v>
      </x:c>
      <x:c r="Y412" s="1"/>
      <x:c r="Z412" s="1"/>
      <x:c r="AA412" s="1"/>
      <x:c r="AB412" s="1"/>
      <x:c r="AC412" s="1"/>
      <x:c r="AD412" s="1"/>
      <x:c r="AE412" s="1"/>
    </x:row>
    <x:row r="413">
      <x:c r="A413" s="1">
        <x:v>412</x:v>
      </x:c>
      <x:c r="B413" t="str">
        <x:v>W</x:v>
      </x:c>
      <x:c r="C413" t="str">
        <x:v>W</x:v>
      </x:c>
      <x:c r="D413" t="str">
        <x:v>B</x:v>
      </x:c>
      <x:c r="E413" t="str">
        <x:v>W</x:v>
      </x:c>
      <x:c r="F413" t="str">
        <x:v>B</x:v>
      </x:c>
      <x:c r="G413" t="str">
        <x:v>B</x:v>
      </x:c>
      <x:c r="H413" t="str">
        <x:v>B</x:v>
      </x:c>
      <x:c r="I413" t="str">
        <x:v>W</x:v>
      </x:c>
      <x:c r="J413" t="str">
        <x:v>B</x:v>
      </x:c>
      <x:c r="K413" t="str">
        <x:v>B</x:v>
      </x:c>
      <x:c r="L413" t="str">
        <x:v>B</x:v>
      </x:c>
      <x:c r="M413" t="str">
        <x:v>W</x:v>
      </x:c>
      <x:c r="N413" t="str">
        <x:v>B</x:v>
      </x:c>
      <x:c r="O413" t="str">
        <x:v>W</x:v>
      </x:c>
      <x:c r="P413" t="str">
        <x:v>B</x:v>
      </x:c>
      <x:c r="Q413" t="str">
        <x:v>B</x:v>
      </x:c>
      <x:c r="R413" t="str">
        <x:v>B</x:v>
      </x:c>
      <x:c r="S413" t="str">
        <x:v>B</x:v>
      </x:c>
      <x:c r="T413" t="str">
        <x:v>B</x:v>
      </x:c>
      <x:c r="U413" t="str">
        <x:v>B</x:v>
      </x:c>
      <x:c r="V413" t="n">
        <x:f>COUNTIF(B413:U413,"W")</x:f>
        <x:v>6</x:v>
      </x:c>
      <x:c r="W413" s="5" t="str">
        <x:f>IF(COUNTIF(B413:D413,"W")&gt;0,"Y","N")</x:f>
        <x:v>Y</x:v>
      </x:c>
      <x:c r="X413" s="5" t="str">
        <x:f>IF(COUNTIF(B413:I413,"W")&gt;=4,"Y","N")</x:f>
        <x:v>Y</x:v>
      </x:c>
      <x:c r="Y413" s="1"/>
      <x:c r="Z413" s="1"/>
      <x:c r="AA413" s="1"/>
      <x:c r="AB413" s="1"/>
      <x:c r="AC413" s="1"/>
      <x:c r="AD413" s="1"/>
      <x:c r="AE413" s="1"/>
    </x:row>
    <x:row r="414">
      <x:c r="A414" s="1">
        <x:v>413</x:v>
      </x:c>
      <x:c r="B414" t="str">
        <x:v>B</x:v>
      </x:c>
      <x:c r="C414" t="str">
        <x:v>W</x:v>
      </x:c>
      <x:c r="D414" t="str">
        <x:v>W</x:v>
      </x:c>
      <x:c r="E414" t="str">
        <x:v>W</x:v>
      </x:c>
      <x:c r="F414" t="str">
        <x:v>W</x:v>
      </x:c>
      <x:c r="G414" t="str">
        <x:v>B</x:v>
      </x:c>
      <x:c r="H414" t="str">
        <x:v>B</x:v>
      </x:c>
      <x:c r="I414" t="str">
        <x:v>W</x:v>
      </x:c>
      <x:c r="J414" t="str">
        <x:v>B</x:v>
      </x:c>
      <x:c r="K414" t="str">
        <x:v>B</x:v>
      </x:c>
      <x:c r="L414" t="str">
        <x:v>B</x:v>
      </x:c>
      <x:c r="M414" t="str">
        <x:v>B</x:v>
      </x:c>
      <x:c r="N414" t="str">
        <x:v>B</x:v>
      </x:c>
      <x:c r="O414" t="str">
        <x:v>B</x:v>
      </x:c>
      <x:c r="P414" t="str">
        <x:v>B</x:v>
      </x:c>
      <x:c r="Q414" t="str">
        <x:v>W</x:v>
      </x:c>
      <x:c r="R414" t="str">
        <x:v>W</x:v>
      </x:c>
      <x:c r="S414" t="str">
        <x:v>B</x:v>
      </x:c>
      <x:c r="T414" t="str">
        <x:v>W</x:v>
      </x:c>
      <x:c r="U414" t="str">
        <x:v>B</x:v>
      </x:c>
      <x:c r="V414" t="n">
        <x:f>COUNTIF(B414:U414,"W")</x:f>
        <x:v>8</x:v>
      </x:c>
      <x:c r="W414" s="5" t="str">
        <x:f>IF(COUNTIF(B414:D414,"W")&gt;0,"Y","N")</x:f>
        <x:v>Y</x:v>
      </x:c>
      <x:c r="X414" s="5" t="str">
        <x:f>IF(COUNTIF(B414:I414,"W")&gt;=4,"Y","N")</x:f>
        <x:v>Y</x:v>
      </x:c>
      <x:c r="Y414" s="1"/>
      <x:c r="Z414" s="1"/>
      <x:c r="AA414" s="1"/>
      <x:c r="AB414" s="1"/>
      <x:c r="AC414" s="1"/>
      <x:c r="AD414" s="1"/>
      <x:c r="AE414" s="1"/>
    </x:row>
    <x:row r="415">
      <x:c r="A415" s="1">
        <x:v>414</x:v>
      </x:c>
      <x:c r="B415" t="str">
        <x:v>B</x:v>
      </x:c>
      <x:c r="C415" t="str">
        <x:v>W</x:v>
      </x:c>
      <x:c r="D415" t="str">
        <x:v>W</x:v>
      </x:c>
      <x:c r="E415" t="str">
        <x:v>B</x:v>
      </x:c>
      <x:c r="F415" t="str">
        <x:v>B</x:v>
      </x:c>
      <x:c r="G415" t="str">
        <x:v>W</x:v>
      </x:c>
      <x:c r="H415" t="str">
        <x:v>W</x:v>
      </x:c>
      <x:c r="I415" t="str">
        <x:v>B</x:v>
      </x:c>
      <x:c r="J415" t="str">
        <x:v>B</x:v>
      </x:c>
      <x:c r="K415" t="str">
        <x:v>B</x:v>
      </x:c>
      <x:c r="L415" t="str">
        <x:v>B</x:v>
      </x:c>
      <x:c r="M415" t="str">
        <x:v>W</x:v>
      </x:c>
      <x:c r="N415" t="str">
        <x:v>W</x:v>
      </x:c>
      <x:c r="O415" t="str">
        <x:v>B</x:v>
      </x:c>
      <x:c r="P415" t="str">
        <x:v>B</x:v>
      </x:c>
      <x:c r="Q415" t="str">
        <x:v>B</x:v>
      </x:c>
      <x:c r="R415" t="str">
        <x:v>W</x:v>
      </x:c>
      <x:c r="S415" t="str">
        <x:v>W</x:v>
      </x:c>
      <x:c r="T415" t="str">
        <x:v>B</x:v>
      </x:c>
      <x:c r="U415" t="str">
        <x:v>B</x:v>
      </x:c>
      <x:c r="V415" t="n">
        <x:f>COUNTIF(B415:U415,"W")</x:f>
        <x:v>8</x:v>
      </x:c>
      <x:c r="W415" s="5" t="str">
        <x:f>IF(COUNTIF(B415:D415,"W")&gt;0,"Y","N")</x:f>
        <x:v>Y</x:v>
      </x:c>
      <x:c r="X415" s="5" t="str">
        <x:f>IF(COUNTIF(B415:I415,"W")&gt;=4,"Y","N")</x:f>
        <x:v>Y</x:v>
      </x:c>
      <x:c r="Y415" s="1"/>
      <x:c r="Z415" s="1"/>
      <x:c r="AA415" s="1"/>
      <x:c r="AB415" s="1"/>
      <x:c r="AC415" s="1"/>
      <x:c r="AD415" s="1"/>
      <x:c r="AE415" s="1"/>
    </x:row>
    <x:row r="416">
      <x:c r="A416" s="1">
        <x:v>415</x:v>
      </x:c>
      <x:c r="B416" t="str">
        <x:v>B</x:v>
      </x:c>
      <x:c r="C416" t="str">
        <x:v>W</x:v>
      </x:c>
      <x:c r="D416" t="str">
        <x:v>W</x:v>
      </x:c>
      <x:c r="E416" t="str">
        <x:v>B</x:v>
      </x:c>
      <x:c r="F416" t="str">
        <x:v>W</x:v>
      </x:c>
      <x:c r="G416" t="str">
        <x:v>B</x:v>
      </x:c>
      <x:c r="H416" t="str">
        <x:v>B</x:v>
      </x:c>
      <x:c r="I416" t="str">
        <x:v>B</x:v>
      </x:c>
      <x:c r="J416" t="str">
        <x:v>W</x:v>
      </x:c>
      <x:c r="K416" t="str">
        <x:v>B</x:v>
      </x:c>
      <x:c r="L416" t="str">
        <x:v>B</x:v>
      </x:c>
      <x:c r="M416" t="str">
        <x:v>B</x:v>
      </x:c>
      <x:c r="N416" t="str">
        <x:v>W</x:v>
      </x:c>
      <x:c r="O416" t="str">
        <x:v>W</x:v>
      </x:c>
      <x:c r="P416" t="str">
        <x:v>B</x:v>
      </x:c>
      <x:c r="Q416" t="str">
        <x:v>B</x:v>
      </x:c>
      <x:c r="R416" t="str">
        <x:v>W</x:v>
      </x:c>
      <x:c r="S416" t="str">
        <x:v>B</x:v>
      </x:c>
      <x:c r="T416" t="str">
        <x:v>B</x:v>
      </x:c>
      <x:c r="U416" t="str">
        <x:v>B</x:v>
      </x:c>
      <x:c r="V416" t="n">
        <x:f>COUNTIF(B416:U416,"W")</x:f>
        <x:v>7</x:v>
      </x:c>
      <x:c r="W416" s="5" t="str">
        <x:f>IF(COUNTIF(B416:D416,"W")&gt;0,"Y","N")</x:f>
        <x:v>Y</x:v>
      </x:c>
      <x:c r="X416" s="5" t="str">
        <x:f>IF(COUNTIF(B416:I416,"W")&gt;=4,"Y","N")</x:f>
        <x:v>N</x:v>
      </x:c>
      <x:c r="Y416" s="1"/>
      <x:c r="Z416" s="1"/>
      <x:c r="AA416" s="1"/>
      <x:c r="AB416" s="1"/>
      <x:c r="AC416" s="1"/>
      <x:c r="AD416" s="1"/>
      <x:c r="AE416" s="1"/>
    </x:row>
    <x:row r="417">
      <x:c r="A417" s="1">
        <x:v>416</x:v>
      </x:c>
      <x:c r="B417" t="str">
        <x:v>B</x:v>
      </x:c>
      <x:c r="C417" t="str">
        <x:v>B</x:v>
      </x:c>
      <x:c r="D417" t="str">
        <x:v>B</x:v>
      </x:c>
      <x:c r="E417" t="str">
        <x:v>W</x:v>
      </x:c>
      <x:c r="F417" t="str">
        <x:v>B</x:v>
      </x:c>
      <x:c r="G417" t="str">
        <x:v>W</x:v>
      </x:c>
      <x:c r="H417" t="str">
        <x:v>B</x:v>
      </x:c>
      <x:c r="I417" t="str">
        <x:v>W</x:v>
      </x:c>
      <x:c r="J417" t="str">
        <x:v>B</x:v>
      </x:c>
      <x:c r="K417" t="str">
        <x:v>W</x:v>
      </x:c>
      <x:c r="L417" t="str">
        <x:v>B</x:v>
      </x:c>
      <x:c r="M417" t="str">
        <x:v>B</x:v>
      </x:c>
      <x:c r="N417" t="str">
        <x:v>W</x:v>
      </x:c>
      <x:c r="O417" t="str">
        <x:v>B</x:v>
      </x:c>
      <x:c r="P417" t="str">
        <x:v>W</x:v>
      </x:c>
      <x:c r="Q417" t="str">
        <x:v>B</x:v>
      </x:c>
      <x:c r="R417" t="str">
        <x:v>B</x:v>
      </x:c>
      <x:c r="S417" t="str">
        <x:v>W</x:v>
      </x:c>
      <x:c r="T417" t="str">
        <x:v>B</x:v>
      </x:c>
      <x:c r="U417" t="str">
        <x:v>B</x:v>
      </x:c>
      <x:c r="V417" t="n">
        <x:f>COUNTIF(B417:U417,"W")</x:f>
        <x:v>7</x:v>
      </x:c>
      <x:c r="W417" s="5" t="str">
        <x:f>IF(COUNTIF(B417:D417,"W")&gt;0,"Y","N")</x:f>
        <x:v>N</x:v>
      </x:c>
      <x:c r="X417" s="5" t="str">
        <x:f>IF(COUNTIF(B417:I417,"W")&gt;=4,"Y","N")</x:f>
        <x:v>N</x:v>
      </x:c>
      <x:c r="Y417" s="1"/>
      <x:c r="Z417" s="1"/>
      <x:c r="AA417" s="1"/>
      <x:c r="AB417" s="1"/>
      <x:c r="AC417" s="1"/>
      <x:c r="AD417" s="1"/>
      <x:c r="AE417" s="1"/>
    </x:row>
    <x:row r="418">
      <x:c r="A418" s="1">
        <x:v>417</x:v>
      </x:c>
      <x:c r="B418" t="str">
        <x:v>W</x:v>
      </x:c>
      <x:c r="C418" t="str">
        <x:v>B</x:v>
      </x:c>
      <x:c r="D418" t="str">
        <x:v>B</x:v>
      </x:c>
      <x:c r="E418" t="str">
        <x:v>B</x:v>
      </x:c>
      <x:c r="F418" t="str">
        <x:v>B</x:v>
      </x:c>
      <x:c r="G418" t="str">
        <x:v>W</x:v>
      </x:c>
      <x:c r="H418" t="str">
        <x:v>B</x:v>
      </x:c>
      <x:c r="I418" t="str">
        <x:v>W</x:v>
      </x:c>
      <x:c r="J418" t="str">
        <x:v>W</x:v>
      </x:c>
      <x:c r="K418" t="str">
        <x:v>W</x:v>
      </x:c>
      <x:c r="L418" t="str">
        <x:v>W</x:v>
      </x:c>
      <x:c r="M418" t="str">
        <x:v>W</x:v>
      </x:c>
      <x:c r="N418" t="str">
        <x:v>W</x:v>
      </x:c>
      <x:c r="O418" t="str">
        <x:v>W</x:v>
      </x:c>
      <x:c r="P418" t="str">
        <x:v>W</x:v>
      </x:c>
      <x:c r="Q418" t="str">
        <x:v>W</x:v>
      </x:c>
      <x:c r="R418" t="str">
        <x:v>B</x:v>
      </x:c>
      <x:c r="S418" t="str">
        <x:v>W</x:v>
      </x:c>
      <x:c r="T418" t="str">
        <x:v>W</x:v>
      </x:c>
      <x:c r="U418" t="str">
        <x:v>B</x:v>
      </x:c>
      <x:c r="V418" t="n">
        <x:f>COUNTIF(B418:U418,"W")</x:f>
        <x:v>13</x:v>
      </x:c>
      <x:c r="W418" s="5" t="str">
        <x:f>IF(COUNTIF(B418:D418,"W")&gt;0,"Y","N")</x:f>
        <x:v>Y</x:v>
      </x:c>
      <x:c r="X418" s="5" t="str">
        <x:f>IF(COUNTIF(B418:I418,"W")&gt;=4,"Y","N")</x:f>
        <x:v>N</x:v>
      </x:c>
      <x:c r="Y418" s="1"/>
      <x:c r="Z418" s="1"/>
      <x:c r="AA418" s="1"/>
      <x:c r="AB418" s="1"/>
      <x:c r="AC418" s="1"/>
      <x:c r="AD418" s="1"/>
      <x:c r="AE418" s="1"/>
    </x:row>
    <x:row r="419">
      <x:c r="A419" s="1">
        <x:v>418</x:v>
      </x:c>
      <x:c r="B419" t="str">
        <x:v>B</x:v>
      </x:c>
      <x:c r="C419" t="str">
        <x:v>B</x:v>
      </x:c>
      <x:c r="D419" t="str">
        <x:v>B</x:v>
      </x:c>
      <x:c r="E419" t="str">
        <x:v>B</x:v>
      </x:c>
      <x:c r="F419" t="str">
        <x:v>W</x:v>
      </x:c>
      <x:c r="G419" t="str">
        <x:v>B</x:v>
      </x:c>
      <x:c r="H419" t="str">
        <x:v>B</x:v>
      </x:c>
      <x:c r="I419" t="str">
        <x:v>B</x:v>
      </x:c>
      <x:c r="J419" t="str">
        <x:v>B</x:v>
      </x:c>
      <x:c r="K419" t="str">
        <x:v>B</x:v>
      </x:c>
      <x:c r="L419" t="str">
        <x:v>B</x:v>
      </x:c>
      <x:c r="M419" t="str">
        <x:v>W</x:v>
      </x:c>
      <x:c r="N419" t="str">
        <x:v>W</x:v>
      </x:c>
      <x:c r="O419" t="str">
        <x:v>B</x:v>
      </x:c>
      <x:c r="P419" t="str">
        <x:v>B</x:v>
      </x:c>
      <x:c r="Q419" t="str">
        <x:v>W</x:v>
      </x:c>
      <x:c r="R419" t="str">
        <x:v>W</x:v>
      </x:c>
      <x:c r="S419" t="str">
        <x:v>B</x:v>
      </x:c>
      <x:c r="T419" t="str">
        <x:v>B</x:v>
      </x:c>
      <x:c r="U419" t="str">
        <x:v>B</x:v>
      </x:c>
      <x:c r="V419" t="n">
        <x:f>COUNTIF(B419:U419,"W")</x:f>
        <x:v>5</x:v>
      </x:c>
      <x:c r="W419" s="5" t="str">
        <x:f>IF(COUNTIF(B419:D419,"W")&gt;0,"Y","N")</x:f>
        <x:v>N</x:v>
      </x:c>
      <x:c r="X419" s="5" t="str">
        <x:f>IF(COUNTIF(B419:I419,"W")&gt;=4,"Y","N")</x:f>
        <x:v>N</x:v>
      </x:c>
      <x:c r="Y419" s="1"/>
      <x:c r="Z419" s="1"/>
      <x:c r="AA419" s="1"/>
      <x:c r="AB419" s="1"/>
      <x:c r="AC419" s="1"/>
      <x:c r="AD419" s="1"/>
      <x:c r="AE419" s="1"/>
    </x:row>
    <x:row r="420">
      <x:c r="A420" s="1">
        <x:v>419</x:v>
      </x:c>
      <x:c r="B420" t="str">
        <x:v>B</x:v>
      </x:c>
      <x:c r="C420" t="str">
        <x:v>B</x:v>
      </x:c>
      <x:c r="D420" t="str">
        <x:v>W</x:v>
      </x:c>
      <x:c r="E420" t="str">
        <x:v>B</x:v>
      </x:c>
      <x:c r="F420" t="str">
        <x:v>B</x:v>
      </x:c>
      <x:c r="G420" t="str">
        <x:v>B</x:v>
      </x:c>
      <x:c r="H420" t="str">
        <x:v>B</x:v>
      </x:c>
      <x:c r="I420" t="str">
        <x:v>W</x:v>
      </x:c>
      <x:c r="J420" t="str">
        <x:v>W</x:v>
      </x:c>
      <x:c r="K420" t="str">
        <x:v>B</x:v>
      </x:c>
      <x:c r="L420" t="str">
        <x:v>W</x:v>
      </x:c>
      <x:c r="M420" t="str">
        <x:v>B</x:v>
      </x:c>
      <x:c r="N420" t="str">
        <x:v>B</x:v>
      </x:c>
      <x:c r="O420" t="str">
        <x:v>W</x:v>
      </x:c>
      <x:c r="P420" t="str">
        <x:v>W</x:v>
      </x:c>
      <x:c r="Q420" t="str">
        <x:v>W</x:v>
      </x:c>
      <x:c r="R420" t="str">
        <x:v>B</x:v>
      </x:c>
      <x:c r="S420" t="str">
        <x:v>B</x:v>
      </x:c>
      <x:c r="T420" t="str">
        <x:v>B</x:v>
      </x:c>
      <x:c r="U420" t="str">
        <x:v>B</x:v>
      </x:c>
      <x:c r="V420" t="n">
        <x:f>COUNTIF(B420:U420,"W")</x:f>
        <x:v>7</x:v>
      </x:c>
      <x:c r="W420" s="5" t="str">
        <x:f>IF(COUNTIF(B420:D420,"W")&gt;0,"Y","N")</x:f>
        <x:v>Y</x:v>
      </x:c>
      <x:c r="X420" s="5" t="str">
        <x:f>IF(COUNTIF(B420:I420,"W")&gt;=4,"Y","N")</x:f>
        <x:v>N</x:v>
      </x:c>
      <x:c r="Y420" s="1"/>
      <x:c r="Z420" s="1"/>
      <x:c r="AA420" s="1"/>
      <x:c r="AB420" s="1"/>
      <x:c r="AC420" s="1"/>
      <x:c r="AD420" s="1"/>
      <x:c r="AE420" s="1"/>
    </x:row>
    <x:row r="421">
      <x:c r="A421" s="1">
        <x:v>420</x:v>
      </x:c>
      <x:c r="B421" t="str">
        <x:v>W</x:v>
      </x:c>
      <x:c r="C421" t="str">
        <x:v>B</x:v>
      </x:c>
      <x:c r="D421" t="str">
        <x:v>W</x:v>
      </x:c>
      <x:c r="E421" t="str">
        <x:v>W</x:v>
      </x:c>
      <x:c r="F421" t="str">
        <x:v>W</x:v>
      </x:c>
      <x:c r="G421" t="str">
        <x:v>B</x:v>
      </x:c>
      <x:c r="H421" t="str">
        <x:v>B</x:v>
      </x:c>
      <x:c r="I421" t="str">
        <x:v>W</x:v>
      </x:c>
      <x:c r="J421" t="str">
        <x:v>B</x:v>
      </x:c>
      <x:c r="K421" t="str">
        <x:v>W</x:v>
      </x:c>
      <x:c r="L421" t="str">
        <x:v>B</x:v>
      </x:c>
      <x:c r="M421" t="str">
        <x:v>B</x:v>
      </x:c>
      <x:c r="N421" t="str">
        <x:v>W</x:v>
      </x:c>
      <x:c r="O421" t="str">
        <x:v>B</x:v>
      </x:c>
      <x:c r="P421" t="str">
        <x:v>W</x:v>
      </x:c>
      <x:c r="Q421" t="str">
        <x:v>W</x:v>
      </x:c>
      <x:c r="R421" t="str">
        <x:v>B</x:v>
      </x:c>
      <x:c r="S421" t="str">
        <x:v>B</x:v>
      </x:c>
      <x:c r="T421" t="str">
        <x:v>W</x:v>
      </x:c>
      <x:c r="U421" t="str">
        <x:v>W</x:v>
      </x:c>
      <x:c r="V421" t="n">
        <x:f>COUNTIF(B421:U421,"W")</x:f>
        <x:v>11</x:v>
      </x:c>
      <x:c r="W421" s="5" t="str">
        <x:f>IF(COUNTIF(B421:D421,"W")&gt;0,"Y","N")</x:f>
        <x:v>Y</x:v>
      </x:c>
      <x:c r="X421" s="5" t="str">
        <x:f>IF(COUNTIF(B421:I421,"W")&gt;=4,"Y","N")</x:f>
        <x:v>Y</x:v>
      </x:c>
      <x:c r="Y421" s="1"/>
      <x:c r="Z421" s="1"/>
      <x:c r="AA421" s="1"/>
      <x:c r="AB421" s="1"/>
      <x:c r="AC421" s="1"/>
      <x:c r="AD421" s="1"/>
      <x:c r="AE421" s="1"/>
    </x:row>
    <x:row r="422">
      <x:c r="A422" s="1">
        <x:v>421</x:v>
      </x:c>
      <x:c r="B422" t="str">
        <x:v>B</x:v>
      </x:c>
      <x:c r="C422" t="str">
        <x:v>W</x:v>
      </x:c>
      <x:c r="D422" t="str">
        <x:v>B</x:v>
      </x:c>
      <x:c r="E422" t="str">
        <x:v>W</x:v>
      </x:c>
      <x:c r="F422" t="str">
        <x:v>W</x:v>
      </x:c>
      <x:c r="G422" t="str">
        <x:v>B</x:v>
      </x:c>
      <x:c r="H422" t="str">
        <x:v>B</x:v>
      </x:c>
      <x:c r="I422" t="str">
        <x:v>B</x:v>
      </x:c>
      <x:c r="J422" t="str">
        <x:v>W</x:v>
      </x:c>
      <x:c r="K422" t="str">
        <x:v>B</x:v>
      </x:c>
      <x:c r="L422" t="str">
        <x:v>W</x:v>
      </x:c>
      <x:c r="M422" t="str">
        <x:v>W</x:v>
      </x:c>
      <x:c r="N422" t="str">
        <x:v>B</x:v>
      </x:c>
      <x:c r="O422" t="str">
        <x:v>B</x:v>
      </x:c>
      <x:c r="P422" t="str">
        <x:v>B</x:v>
      </x:c>
      <x:c r="Q422" t="str">
        <x:v>B</x:v>
      </x:c>
      <x:c r="R422" t="str">
        <x:v>B</x:v>
      </x:c>
      <x:c r="S422" t="str">
        <x:v>B</x:v>
      </x:c>
      <x:c r="T422" t="str">
        <x:v>W</x:v>
      </x:c>
      <x:c r="U422" t="str">
        <x:v>B</x:v>
      </x:c>
      <x:c r="V422" t="n">
        <x:f>COUNTIF(B422:U422,"W")</x:f>
        <x:v>7</x:v>
      </x:c>
      <x:c r="W422" s="5" t="str">
        <x:f>IF(COUNTIF(B422:D422,"W")&gt;0,"Y","N")</x:f>
        <x:v>Y</x:v>
      </x:c>
      <x:c r="X422" s="5" t="str">
        <x:f>IF(COUNTIF(B422:I422,"W")&gt;=4,"Y","N")</x:f>
        <x:v>N</x:v>
      </x:c>
      <x:c r="Y422" s="1"/>
      <x:c r="Z422" s="1"/>
      <x:c r="AA422" s="1"/>
      <x:c r="AB422" s="1"/>
      <x:c r="AC422" s="1"/>
      <x:c r="AD422" s="1"/>
      <x:c r="AE422" s="1"/>
    </x:row>
    <x:row r="423">
      <x:c r="A423" s="1">
        <x:v>422</x:v>
      </x:c>
      <x:c r="B423" t="str">
        <x:v>B</x:v>
      </x:c>
      <x:c r="C423" t="str">
        <x:v>B</x:v>
      </x:c>
      <x:c r="D423" t="str">
        <x:v>B</x:v>
      </x:c>
      <x:c r="E423" t="str">
        <x:v>B</x:v>
      </x:c>
      <x:c r="F423" t="str">
        <x:v>B</x:v>
      </x:c>
      <x:c r="G423" t="str">
        <x:v>B</x:v>
      </x:c>
      <x:c r="H423" t="str">
        <x:v>B</x:v>
      </x:c>
      <x:c r="I423" t="str">
        <x:v>B</x:v>
      </x:c>
      <x:c r="J423" t="str">
        <x:v>W</x:v>
      </x:c>
      <x:c r="K423" t="str">
        <x:v>B</x:v>
      </x:c>
      <x:c r="L423" t="str">
        <x:v>B</x:v>
      </x:c>
      <x:c r="M423" t="str">
        <x:v>W</x:v>
      </x:c>
      <x:c r="N423" t="str">
        <x:v>W</x:v>
      </x:c>
      <x:c r="O423" t="str">
        <x:v>B</x:v>
      </x:c>
      <x:c r="P423" t="str">
        <x:v>W</x:v>
      </x:c>
      <x:c r="Q423" t="str">
        <x:v>W</x:v>
      </x:c>
      <x:c r="R423" t="str">
        <x:v>W</x:v>
      </x:c>
      <x:c r="S423" t="str">
        <x:v>W</x:v>
      </x:c>
      <x:c r="T423" t="str">
        <x:v>W</x:v>
      </x:c>
      <x:c r="U423" t="str">
        <x:v>B</x:v>
      </x:c>
      <x:c r="V423" t="n">
        <x:f>COUNTIF(B423:U423,"W")</x:f>
        <x:v>8</x:v>
      </x:c>
      <x:c r="W423" s="5" t="str">
        <x:f>IF(COUNTIF(B423:D423,"W")&gt;0,"Y","N")</x:f>
        <x:v>N</x:v>
      </x:c>
      <x:c r="X423" s="5" t="str">
        <x:f>IF(COUNTIF(B423:I423,"W")&gt;=4,"Y","N")</x:f>
        <x:v>N</x:v>
      </x:c>
      <x:c r="Y423" s="1"/>
      <x:c r="Z423" s="1"/>
      <x:c r="AA423" s="1"/>
      <x:c r="AB423" s="1"/>
      <x:c r="AC423" s="1"/>
      <x:c r="AD423" s="1"/>
      <x:c r="AE423" s="1"/>
    </x:row>
    <x:row r="424">
      <x:c r="A424" s="1">
        <x:v>423</x:v>
      </x:c>
      <x:c r="B424" t="str">
        <x:v>W</x:v>
      </x:c>
      <x:c r="C424" t="str">
        <x:v>B</x:v>
      </x:c>
      <x:c r="D424" t="str">
        <x:v>B</x:v>
      </x:c>
      <x:c r="E424" t="str">
        <x:v>W</x:v>
      </x:c>
      <x:c r="F424" t="str">
        <x:v>W</x:v>
      </x:c>
      <x:c r="G424" t="str">
        <x:v>B</x:v>
      </x:c>
      <x:c r="H424" t="str">
        <x:v>B</x:v>
      </x:c>
      <x:c r="I424" t="str">
        <x:v>B</x:v>
      </x:c>
      <x:c r="J424" t="str">
        <x:v>B</x:v>
      </x:c>
      <x:c r="K424" t="str">
        <x:v>W</x:v>
      </x:c>
      <x:c r="L424" t="str">
        <x:v>W</x:v>
      </x:c>
      <x:c r="M424" t="str">
        <x:v>B</x:v>
      </x:c>
      <x:c r="N424" t="str">
        <x:v>W</x:v>
      </x:c>
      <x:c r="O424" t="str">
        <x:v>W</x:v>
      </x:c>
      <x:c r="P424" t="str">
        <x:v>W</x:v>
      </x:c>
      <x:c r="Q424" t="str">
        <x:v>B</x:v>
      </x:c>
      <x:c r="R424" t="str">
        <x:v>W</x:v>
      </x:c>
      <x:c r="S424" t="str">
        <x:v>W</x:v>
      </x:c>
      <x:c r="T424" t="str">
        <x:v>W</x:v>
      </x:c>
      <x:c r="U424" t="str">
        <x:v>B</x:v>
      </x:c>
      <x:c r="V424" t="n">
        <x:f>COUNTIF(B424:U424,"W")</x:f>
        <x:v>11</x:v>
      </x:c>
      <x:c r="W424" s="5" t="str">
        <x:f>IF(COUNTIF(B424:D424,"W")&gt;0,"Y","N")</x:f>
        <x:v>Y</x:v>
      </x:c>
      <x:c r="X424" s="5" t="str">
        <x:f>IF(COUNTIF(B424:I424,"W")&gt;=4,"Y","N")</x:f>
        <x:v>N</x:v>
      </x:c>
      <x:c r="Y424" s="1"/>
      <x:c r="Z424" s="1"/>
      <x:c r="AA424" s="1"/>
      <x:c r="AB424" s="1"/>
      <x:c r="AC424" s="1"/>
      <x:c r="AD424" s="1"/>
      <x:c r="AE424" s="1"/>
    </x:row>
    <x:row r="425">
      <x:c r="A425" s="1">
        <x:v>424</x:v>
      </x:c>
      <x:c r="B425" t="str">
        <x:v>B</x:v>
      </x:c>
      <x:c r="C425" t="str">
        <x:v>B</x:v>
      </x:c>
      <x:c r="D425" t="str">
        <x:v>W</x:v>
      </x:c>
      <x:c r="E425" t="str">
        <x:v>B</x:v>
      </x:c>
      <x:c r="F425" t="str">
        <x:v>W</x:v>
      </x:c>
      <x:c r="G425" t="str">
        <x:v>B</x:v>
      </x:c>
      <x:c r="H425" t="str">
        <x:v>W</x:v>
      </x:c>
      <x:c r="I425" t="str">
        <x:v>B</x:v>
      </x:c>
      <x:c r="J425" t="str">
        <x:v>B</x:v>
      </x:c>
      <x:c r="K425" t="str">
        <x:v>B</x:v>
      </x:c>
      <x:c r="L425" t="str">
        <x:v>B</x:v>
      </x:c>
      <x:c r="M425" t="str">
        <x:v>B</x:v>
      </x:c>
      <x:c r="N425" t="str">
        <x:v>W</x:v>
      </x:c>
      <x:c r="O425" t="str">
        <x:v>B</x:v>
      </x:c>
      <x:c r="P425" t="str">
        <x:v>B</x:v>
      </x:c>
      <x:c r="Q425" t="str">
        <x:v>W</x:v>
      </x:c>
      <x:c r="R425" t="str">
        <x:v>W</x:v>
      </x:c>
      <x:c r="S425" t="str">
        <x:v>B</x:v>
      </x:c>
      <x:c r="T425" t="str">
        <x:v>B</x:v>
      </x:c>
      <x:c r="U425" t="str">
        <x:v>W</x:v>
      </x:c>
      <x:c r="V425" t="n">
        <x:f>COUNTIF(B425:U425,"W")</x:f>
        <x:v>7</x:v>
      </x:c>
      <x:c r="W425" s="5" t="str">
        <x:f>IF(COUNTIF(B425:D425,"W")&gt;0,"Y","N")</x:f>
        <x:v>Y</x:v>
      </x:c>
      <x:c r="X425" s="5" t="str">
        <x:f>IF(COUNTIF(B425:I425,"W")&gt;=4,"Y","N")</x:f>
        <x:v>N</x:v>
      </x:c>
      <x:c r="Y425" s="1"/>
      <x:c r="Z425" s="1"/>
      <x:c r="AA425" s="1"/>
      <x:c r="AB425" s="1"/>
      <x:c r="AC425" s="1"/>
      <x:c r="AD425" s="1"/>
      <x:c r="AE425" s="1"/>
    </x:row>
    <x:row r="426">
      <x:c r="A426" s="1">
        <x:v>425</x:v>
      </x:c>
      <x:c r="B426" t="str">
        <x:v>B</x:v>
      </x:c>
      <x:c r="C426" t="str">
        <x:v>B</x:v>
      </x:c>
      <x:c r="D426" t="str">
        <x:v>W</x:v>
      </x:c>
      <x:c r="E426" t="str">
        <x:v>B</x:v>
      </x:c>
      <x:c r="F426" t="str">
        <x:v>W</x:v>
      </x:c>
      <x:c r="G426" t="str">
        <x:v>B</x:v>
      </x:c>
      <x:c r="H426" t="str">
        <x:v>W</x:v>
      </x:c>
      <x:c r="I426" t="str">
        <x:v>B</x:v>
      </x:c>
      <x:c r="J426" t="str">
        <x:v>B</x:v>
      </x:c>
      <x:c r="K426" t="str">
        <x:v>B</x:v>
      </x:c>
      <x:c r="L426" t="str">
        <x:v>W</x:v>
      </x:c>
      <x:c r="M426" t="str">
        <x:v>B</x:v>
      </x:c>
      <x:c r="N426" t="str">
        <x:v>B</x:v>
      </x:c>
      <x:c r="O426" t="str">
        <x:v>B</x:v>
      </x:c>
      <x:c r="P426" t="str">
        <x:v>B</x:v>
      </x:c>
      <x:c r="Q426" t="str">
        <x:v>B</x:v>
      </x:c>
      <x:c r="R426" t="str">
        <x:v>B</x:v>
      </x:c>
      <x:c r="S426" t="str">
        <x:v>W</x:v>
      </x:c>
      <x:c r="T426" t="str">
        <x:v>W</x:v>
      </x:c>
      <x:c r="U426" t="str">
        <x:v>B</x:v>
      </x:c>
      <x:c r="V426" t="n">
        <x:f>COUNTIF(B426:U426,"W")</x:f>
        <x:v>6</x:v>
      </x:c>
      <x:c r="W426" s="5" t="str">
        <x:f>IF(COUNTIF(B426:D426,"W")&gt;0,"Y","N")</x:f>
        <x:v>Y</x:v>
      </x:c>
      <x:c r="X426" s="5" t="str">
        <x:f>IF(COUNTIF(B426:I426,"W")&gt;=4,"Y","N")</x:f>
        <x:v>N</x:v>
      </x:c>
      <x:c r="Y426" s="1"/>
      <x:c r="Z426" s="1"/>
      <x:c r="AA426" s="1"/>
      <x:c r="AB426" s="1"/>
      <x:c r="AC426" s="1"/>
      <x:c r="AD426" s="1"/>
      <x:c r="AE426" s="1"/>
    </x:row>
    <x:row r="427">
      <x:c r="A427" s="1">
        <x:v>426</x:v>
      </x:c>
      <x:c r="B427" t="str">
        <x:v>B</x:v>
      </x:c>
      <x:c r="C427" t="str">
        <x:v>B</x:v>
      </x:c>
      <x:c r="D427" t="str">
        <x:v>W</x:v>
      </x:c>
      <x:c r="E427" t="str">
        <x:v>B</x:v>
      </x:c>
      <x:c r="F427" t="str">
        <x:v>W</x:v>
      </x:c>
      <x:c r="G427" t="str">
        <x:v>W</x:v>
      </x:c>
      <x:c r="H427" t="str">
        <x:v>W</x:v>
      </x:c>
      <x:c r="I427" t="str">
        <x:v>B</x:v>
      </x:c>
      <x:c r="J427" t="str">
        <x:v>B</x:v>
      </x:c>
      <x:c r="K427" t="str">
        <x:v>W</x:v>
      </x:c>
      <x:c r="L427" t="str">
        <x:v>W</x:v>
      </x:c>
      <x:c r="M427" t="str">
        <x:v>B</x:v>
      </x:c>
      <x:c r="N427" t="str">
        <x:v>B</x:v>
      </x:c>
      <x:c r="O427" t="str">
        <x:v>B</x:v>
      </x:c>
      <x:c r="P427" t="str">
        <x:v>B</x:v>
      </x:c>
      <x:c r="Q427" t="str">
        <x:v>B</x:v>
      </x:c>
      <x:c r="R427" t="str">
        <x:v>B</x:v>
      </x:c>
      <x:c r="S427" t="str">
        <x:v>B</x:v>
      </x:c>
      <x:c r="T427" t="str">
        <x:v>B</x:v>
      </x:c>
      <x:c r="U427" t="str">
        <x:v>B</x:v>
      </x:c>
      <x:c r="V427" t="n">
        <x:f>COUNTIF(B427:U427,"W")</x:f>
        <x:v>6</x:v>
      </x:c>
      <x:c r="W427" s="5" t="str">
        <x:f>IF(COUNTIF(B427:D427,"W")&gt;0,"Y","N")</x:f>
        <x:v>Y</x:v>
      </x:c>
      <x:c r="X427" s="5" t="str">
        <x:f>IF(COUNTIF(B427:I427,"W")&gt;=4,"Y","N")</x:f>
        <x:v>Y</x:v>
      </x:c>
      <x:c r="Y427" s="1"/>
      <x:c r="Z427" s="1"/>
      <x:c r="AA427" s="1"/>
      <x:c r="AB427" s="1"/>
      <x:c r="AC427" s="1"/>
      <x:c r="AD427" s="1"/>
      <x:c r="AE427" s="1"/>
    </x:row>
    <x:row r="428">
      <x:c r="A428" s="1">
        <x:v>427</x:v>
      </x:c>
      <x:c r="B428" t="str">
        <x:v>B</x:v>
      </x:c>
      <x:c r="C428" t="str">
        <x:v>B</x:v>
      </x:c>
      <x:c r="D428" t="str">
        <x:v>W</x:v>
      </x:c>
      <x:c r="E428" t="str">
        <x:v>W</x:v>
      </x:c>
      <x:c r="F428" t="str">
        <x:v>B</x:v>
      </x:c>
      <x:c r="G428" t="str">
        <x:v>B</x:v>
      </x:c>
      <x:c r="H428" t="str">
        <x:v>B</x:v>
      </x:c>
      <x:c r="I428" t="str">
        <x:v>B</x:v>
      </x:c>
      <x:c r="J428" t="str">
        <x:v>W</x:v>
      </x:c>
      <x:c r="K428" t="str">
        <x:v>W</x:v>
      </x:c>
      <x:c r="L428" t="str">
        <x:v>B</x:v>
      </x:c>
      <x:c r="M428" t="str">
        <x:v>B</x:v>
      </x:c>
      <x:c r="N428" t="str">
        <x:v>W</x:v>
      </x:c>
      <x:c r="O428" t="str">
        <x:v>B</x:v>
      </x:c>
      <x:c r="P428" t="str">
        <x:v>B</x:v>
      </x:c>
      <x:c r="Q428" t="str">
        <x:v>B</x:v>
      </x:c>
      <x:c r="R428" t="str">
        <x:v>B</x:v>
      </x:c>
      <x:c r="S428" t="str">
        <x:v>W</x:v>
      </x:c>
      <x:c r="T428" t="str">
        <x:v>B</x:v>
      </x:c>
      <x:c r="U428" t="str">
        <x:v>B</x:v>
      </x:c>
      <x:c r="V428" t="n">
        <x:f>COUNTIF(B428:U428,"W")</x:f>
        <x:v>6</x:v>
      </x:c>
      <x:c r="W428" s="5" t="str">
        <x:f>IF(COUNTIF(B428:D428,"W")&gt;0,"Y","N")</x:f>
        <x:v>Y</x:v>
      </x:c>
      <x:c r="X428" s="5" t="str">
        <x:f>IF(COUNTIF(B428:I428,"W")&gt;=4,"Y","N")</x:f>
        <x:v>N</x:v>
      </x:c>
      <x:c r="Y428" s="1"/>
      <x:c r="Z428" s="1"/>
      <x:c r="AA428" s="1"/>
      <x:c r="AB428" s="1"/>
      <x:c r="AC428" s="1"/>
      <x:c r="AD428" s="1"/>
      <x:c r="AE428" s="1"/>
    </x:row>
    <x:row r="429">
      <x:c r="A429" s="1">
        <x:v>428</x:v>
      </x:c>
      <x:c r="B429" t="str">
        <x:v>B</x:v>
      </x:c>
      <x:c r="C429" t="str">
        <x:v>B</x:v>
      </x:c>
      <x:c r="D429" t="str">
        <x:v>B</x:v>
      </x:c>
      <x:c r="E429" t="str">
        <x:v>W</x:v>
      </x:c>
      <x:c r="F429" t="str">
        <x:v>B</x:v>
      </x:c>
      <x:c r="G429" t="str">
        <x:v>B</x:v>
      </x:c>
      <x:c r="H429" t="str">
        <x:v>B</x:v>
      </x:c>
      <x:c r="I429" t="str">
        <x:v>B</x:v>
      </x:c>
      <x:c r="J429" t="str">
        <x:v>B</x:v>
      </x:c>
      <x:c r="K429" t="str">
        <x:v>B</x:v>
      </x:c>
      <x:c r="L429" t="str">
        <x:v>B</x:v>
      </x:c>
      <x:c r="M429" t="str">
        <x:v>B</x:v>
      </x:c>
      <x:c r="N429" t="str">
        <x:v>W</x:v>
      </x:c>
      <x:c r="O429" t="str">
        <x:v>W</x:v>
      </x:c>
      <x:c r="P429" t="str">
        <x:v>B</x:v>
      </x:c>
      <x:c r="Q429" t="str">
        <x:v>B</x:v>
      </x:c>
      <x:c r="R429" t="str">
        <x:v>W</x:v>
      </x:c>
      <x:c r="S429" t="str">
        <x:v>B</x:v>
      </x:c>
      <x:c r="T429" t="str">
        <x:v>W</x:v>
      </x:c>
      <x:c r="U429" t="str">
        <x:v>B</x:v>
      </x:c>
      <x:c r="V429" t="n">
        <x:f>COUNTIF(B429:U429,"W")</x:f>
        <x:v>5</x:v>
      </x:c>
      <x:c r="W429" s="5" t="str">
        <x:f>IF(COUNTIF(B429:D429,"W")&gt;0,"Y","N")</x:f>
        <x:v>N</x:v>
      </x:c>
      <x:c r="X429" s="5" t="str">
        <x:f>IF(COUNTIF(B429:I429,"W")&gt;=4,"Y","N")</x:f>
        <x:v>N</x:v>
      </x:c>
      <x:c r="Y429" s="1"/>
      <x:c r="Z429" s="1"/>
      <x:c r="AA429" s="1"/>
      <x:c r="AB429" s="1"/>
      <x:c r="AC429" s="1"/>
      <x:c r="AD429" s="1"/>
      <x:c r="AE429" s="1"/>
    </x:row>
    <x:row r="430">
      <x:c r="A430" s="1">
        <x:v>429</x:v>
      </x:c>
      <x:c r="B430" t="str">
        <x:v>B</x:v>
      </x:c>
      <x:c r="C430" t="str">
        <x:v>B</x:v>
      </x:c>
      <x:c r="D430" t="str">
        <x:v>W</x:v>
      </x:c>
      <x:c r="E430" t="str">
        <x:v>B</x:v>
      </x:c>
      <x:c r="F430" t="str">
        <x:v>B</x:v>
      </x:c>
      <x:c r="G430" t="str">
        <x:v>B</x:v>
      </x:c>
      <x:c r="H430" t="str">
        <x:v>B</x:v>
      </x:c>
      <x:c r="I430" t="str">
        <x:v>W</x:v>
      </x:c>
      <x:c r="J430" t="str">
        <x:v>B</x:v>
      </x:c>
      <x:c r="K430" t="str">
        <x:v>B</x:v>
      </x:c>
      <x:c r="L430" t="str">
        <x:v>B</x:v>
      </x:c>
      <x:c r="M430" t="str">
        <x:v>B</x:v>
      </x:c>
      <x:c r="N430" t="str">
        <x:v>B</x:v>
      </x:c>
      <x:c r="O430" t="str">
        <x:v>W</x:v>
      </x:c>
      <x:c r="P430" t="str">
        <x:v>W</x:v>
      </x:c>
      <x:c r="Q430" t="str">
        <x:v>B</x:v>
      </x:c>
      <x:c r="R430" t="str">
        <x:v>B</x:v>
      </x:c>
      <x:c r="S430" t="str">
        <x:v>B</x:v>
      </x:c>
      <x:c r="T430" t="str">
        <x:v>B</x:v>
      </x:c>
      <x:c r="U430" t="str">
        <x:v>W</x:v>
      </x:c>
      <x:c r="V430" t="n">
        <x:f>COUNTIF(B430:U430,"W")</x:f>
        <x:v>5</x:v>
      </x:c>
      <x:c r="W430" s="5" t="str">
        <x:f>IF(COUNTIF(B430:D430,"W")&gt;0,"Y","N")</x:f>
        <x:v>Y</x:v>
      </x:c>
      <x:c r="X430" s="5" t="str">
        <x:f>IF(COUNTIF(B430:I430,"W")&gt;=4,"Y","N")</x:f>
        <x:v>N</x:v>
      </x:c>
      <x:c r="Y430" s="1"/>
      <x:c r="Z430" s="1"/>
      <x:c r="AA430" s="1"/>
      <x:c r="AB430" s="1"/>
      <x:c r="AC430" s="1"/>
      <x:c r="AD430" s="1"/>
      <x:c r="AE430" s="1"/>
    </x:row>
    <x:row r="431">
      <x:c r="A431" s="1">
        <x:v>430</x:v>
      </x:c>
      <x:c r="B431" t="str">
        <x:v>B</x:v>
      </x:c>
      <x:c r="C431" t="str">
        <x:v>B</x:v>
      </x:c>
      <x:c r="D431" t="str">
        <x:v>B</x:v>
      </x:c>
      <x:c r="E431" t="str">
        <x:v>B</x:v>
      </x:c>
      <x:c r="F431" t="str">
        <x:v>B</x:v>
      </x:c>
      <x:c r="G431" t="str">
        <x:v>W</x:v>
      </x:c>
      <x:c r="H431" t="str">
        <x:v>W</x:v>
      </x:c>
      <x:c r="I431" t="str">
        <x:v>B</x:v>
      </x:c>
      <x:c r="J431" t="str">
        <x:v>B</x:v>
      </x:c>
      <x:c r="K431" t="str">
        <x:v>B</x:v>
      </x:c>
      <x:c r="L431" t="str">
        <x:v>B</x:v>
      </x:c>
      <x:c r="M431" t="str">
        <x:v>W</x:v>
      </x:c>
      <x:c r="N431" t="str">
        <x:v>W</x:v>
      </x:c>
      <x:c r="O431" t="str">
        <x:v>B</x:v>
      </x:c>
      <x:c r="P431" t="str">
        <x:v>B</x:v>
      </x:c>
      <x:c r="Q431" t="str">
        <x:v>B</x:v>
      </x:c>
      <x:c r="R431" t="str">
        <x:v>B</x:v>
      </x:c>
      <x:c r="S431" t="str">
        <x:v>B</x:v>
      </x:c>
      <x:c r="T431" t="str">
        <x:v>B</x:v>
      </x:c>
      <x:c r="U431" t="str">
        <x:v>W</x:v>
      </x:c>
      <x:c r="V431" t="n">
        <x:f>COUNTIF(B431:U431,"W")</x:f>
        <x:v>5</x:v>
      </x:c>
      <x:c r="W431" s="5" t="str">
        <x:f>IF(COUNTIF(B431:D431,"W")&gt;0,"Y","N")</x:f>
        <x:v>N</x:v>
      </x:c>
      <x:c r="X431" s="5" t="str">
        <x:f>IF(COUNTIF(B431:I431,"W")&gt;=4,"Y","N")</x:f>
        <x:v>N</x:v>
      </x:c>
      <x:c r="Y431" s="1"/>
      <x:c r="Z431" s="1"/>
      <x:c r="AA431" s="1"/>
      <x:c r="AB431" s="1"/>
      <x:c r="AC431" s="1"/>
      <x:c r="AD431" s="1"/>
      <x:c r="AE431" s="1"/>
    </x:row>
    <x:row r="432">
      <x:c r="A432" s="1">
        <x:v>431</x:v>
      </x:c>
      <x:c r="B432" t="str">
        <x:v>W</x:v>
      </x:c>
      <x:c r="C432" t="str">
        <x:v>W</x:v>
      </x:c>
      <x:c r="D432" t="str">
        <x:v>W</x:v>
      </x:c>
      <x:c r="E432" t="str">
        <x:v>B</x:v>
      </x:c>
      <x:c r="F432" t="str">
        <x:v>W</x:v>
      </x:c>
      <x:c r="G432" t="str">
        <x:v>W</x:v>
      </x:c>
      <x:c r="H432" t="str">
        <x:v>W</x:v>
      </x:c>
      <x:c r="I432" t="str">
        <x:v>W</x:v>
      </x:c>
      <x:c r="J432" t="str">
        <x:v>B</x:v>
      </x:c>
      <x:c r="K432" t="str">
        <x:v>B</x:v>
      </x:c>
      <x:c r="L432" t="str">
        <x:v>B</x:v>
      </x:c>
      <x:c r="M432" t="str">
        <x:v>W</x:v>
      </x:c>
      <x:c r="N432" t="str">
        <x:v>B</x:v>
      </x:c>
      <x:c r="O432" t="str">
        <x:v>B</x:v>
      </x:c>
      <x:c r="P432" t="str">
        <x:v>B</x:v>
      </x:c>
      <x:c r="Q432" t="str">
        <x:v>B</x:v>
      </x:c>
      <x:c r="R432" t="str">
        <x:v>B</x:v>
      </x:c>
      <x:c r="S432" t="str">
        <x:v>B</x:v>
      </x:c>
      <x:c r="T432" t="str">
        <x:v>B</x:v>
      </x:c>
      <x:c r="U432" t="str">
        <x:v>W</x:v>
      </x:c>
      <x:c r="V432" t="n">
        <x:f>COUNTIF(B432:U432,"W")</x:f>
        <x:v>9</x:v>
      </x:c>
      <x:c r="W432" s="5" t="str">
        <x:f>IF(COUNTIF(B432:D432,"W")&gt;0,"Y","N")</x:f>
        <x:v>Y</x:v>
      </x:c>
      <x:c r="X432" s="5" t="str">
        <x:f>IF(COUNTIF(B432:I432,"W")&gt;=4,"Y","N")</x:f>
        <x:v>Y</x:v>
      </x:c>
      <x:c r="Y432" s="1"/>
      <x:c r="Z432" s="1"/>
      <x:c r="AA432" s="1"/>
      <x:c r="AB432" s="1"/>
      <x:c r="AC432" s="1"/>
      <x:c r="AD432" s="1"/>
      <x:c r="AE432" s="1"/>
    </x:row>
    <x:row r="433">
      <x:c r="A433" s="1">
        <x:v>432</x:v>
      </x:c>
      <x:c r="B433" t="str">
        <x:v>B</x:v>
      </x:c>
      <x:c r="C433" t="str">
        <x:v>B</x:v>
      </x:c>
      <x:c r="D433" t="str">
        <x:v>W</x:v>
      </x:c>
      <x:c r="E433" t="str">
        <x:v>W</x:v>
      </x:c>
      <x:c r="F433" t="str">
        <x:v>B</x:v>
      </x:c>
      <x:c r="G433" t="str">
        <x:v>B</x:v>
      </x:c>
      <x:c r="H433" t="str">
        <x:v>W</x:v>
      </x:c>
      <x:c r="I433" t="str">
        <x:v>B</x:v>
      </x:c>
      <x:c r="J433" t="str">
        <x:v>W</x:v>
      </x:c>
      <x:c r="K433" t="str">
        <x:v>W</x:v>
      </x:c>
      <x:c r="L433" t="str">
        <x:v>W</x:v>
      </x:c>
      <x:c r="M433" t="str">
        <x:v>W</x:v>
      </x:c>
      <x:c r="N433" t="str">
        <x:v>W</x:v>
      </x:c>
      <x:c r="O433" t="str">
        <x:v>B</x:v>
      </x:c>
      <x:c r="P433" t="str">
        <x:v>W</x:v>
      </x:c>
      <x:c r="Q433" t="str">
        <x:v>B</x:v>
      </x:c>
      <x:c r="R433" t="str">
        <x:v>B</x:v>
      </x:c>
      <x:c r="S433" t="str">
        <x:v>W</x:v>
      </x:c>
      <x:c r="T433" t="str">
        <x:v>B</x:v>
      </x:c>
      <x:c r="U433" t="str">
        <x:v>W</x:v>
      </x:c>
      <x:c r="V433" t="n">
        <x:f>COUNTIF(B433:U433,"W")</x:f>
        <x:v>11</x:v>
      </x:c>
      <x:c r="W433" s="5" t="str">
        <x:f>IF(COUNTIF(B433:D433,"W")&gt;0,"Y","N")</x:f>
        <x:v>Y</x:v>
      </x:c>
      <x:c r="X433" s="5" t="str">
        <x:f>IF(COUNTIF(B433:I433,"W")&gt;=4,"Y","N")</x:f>
        <x:v>N</x:v>
      </x:c>
      <x:c r="Y433" s="1"/>
      <x:c r="Z433" s="1"/>
      <x:c r="AA433" s="1"/>
      <x:c r="AB433" s="1"/>
      <x:c r="AC433" s="1"/>
      <x:c r="AD433" s="1"/>
      <x:c r="AE433" s="1"/>
    </x:row>
    <x:row r="434">
      <x:c r="A434" s="1">
        <x:v>433</x:v>
      </x:c>
      <x:c r="B434" t="str">
        <x:v>B</x:v>
      </x:c>
      <x:c r="C434" t="str">
        <x:v>B</x:v>
      </x:c>
      <x:c r="D434" t="str">
        <x:v>W</x:v>
      </x:c>
      <x:c r="E434" t="str">
        <x:v>W</x:v>
      </x:c>
      <x:c r="F434" t="str">
        <x:v>B</x:v>
      </x:c>
      <x:c r="G434" t="str">
        <x:v>W</x:v>
      </x:c>
      <x:c r="H434" t="str">
        <x:v>B</x:v>
      </x:c>
      <x:c r="I434" t="str">
        <x:v>B</x:v>
      </x:c>
      <x:c r="J434" t="str">
        <x:v>B</x:v>
      </x:c>
      <x:c r="K434" t="str">
        <x:v>W</x:v>
      </x:c>
      <x:c r="L434" t="str">
        <x:v>B</x:v>
      </x:c>
      <x:c r="M434" t="str">
        <x:v>W</x:v>
      </x:c>
      <x:c r="N434" t="str">
        <x:v>W</x:v>
      </x:c>
      <x:c r="O434" t="str">
        <x:v>B</x:v>
      </x:c>
      <x:c r="P434" t="str">
        <x:v>B</x:v>
      </x:c>
      <x:c r="Q434" t="str">
        <x:v>B</x:v>
      </x:c>
      <x:c r="R434" t="str">
        <x:v>B</x:v>
      </x:c>
      <x:c r="S434" t="str">
        <x:v>B</x:v>
      </x:c>
      <x:c r="T434" t="str">
        <x:v>B</x:v>
      </x:c>
      <x:c r="U434" t="str">
        <x:v>B</x:v>
      </x:c>
      <x:c r="V434" t="n">
        <x:f>COUNTIF(B434:U434,"W")</x:f>
        <x:v>6</x:v>
      </x:c>
      <x:c r="W434" s="5" t="str">
        <x:f>IF(COUNTIF(B434:D434,"W")&gt;0,"Y","N")</x:f>
        <x:v>Y</x:v>
      </x:c>
      <x:c r="X434" s="5" t="str">
        <x:f>IF(COUNTIF(B434:I434,"W")&gt;=4,"Y","N")</x:f>
        <x:v>N</x:v>
      </x:c>
      <x:c r="Y434" s="1"/>
      <x:c r="Z434" s="1"/>
      <x:c r="AA434" s="1"/>
      <x:c r="AB434" s="1"/>
      <x:c r="AC434" s="1"/>
      <x:c r="AD434" s="1"/>
      <x:c r="AE434" s="1"/>
    </x:row>
    <x:row r="435">
      <x:c r="A435" s="1">
        <x:v>434</x:v>
      </x:c>
      <x:c r="B435" t="str">
        <x:v>W</x:v>
      </x:c>
      <x:c r="C435" t="str">
        <x:v>W</x:v>
      </x:c>
      <x:c r="D435" t="str">
        <x:v>B</x:v>
      </x:c>
      <x:c r="E435" t="str">
        <x:v>W</x:v>
      </x:c>
      <x:c r="F435" t="str">
        <x:v>W</x:v>
      </x:c>
      <x:c r="G435" t="str">
        <x:v>W</x:v>
      </x:c>
      <x:c r="H435" t="str">
        <x:v>B</x:v>
      </x:c>
      <x:c r="I435" t="str">
        <x:v>B</x:v>
      </x:c>
      <x:c r="J435" t="str">
        <x:v>B</x:v>
      </x:c>
      <x:c r="K435" t="str">
        <x:v>B</x:v>
      </x:c>
      <x:c r="L435" t="str">
        <x:v>B</x:v>
      </x:c>
      <x:c r="M435" t="str">
        <x:v>B</x:v>
      </x:c>
      <x:c r="N435" t="str">
        <x:v>W</x:v>
      </x:c>
      <x:c r="O435" t="str">
        <x:v>B</x:v>
      </x:c>
      <x:c r="P435" t="str">
        <x:v>W</x:v>
      </x:c>
      <x:c r="Q435" t="str">
        <x:v>B</x:v>
      </x:c>
      <x:c r="R435" t="str">
        <x:v>B</x:v>
      </x:c>
      <x:c r="S435" t="str">
        <x:v>W</x:v>
      </x:c>
      <x:c r="T435" t="str">
        <x:v>B</x:v>
      </x:c>
      <x:c r="U435" t="str">
        <x:v>B</x:v>
      </x:c>
      <x:c r="V435" t="n">
        <x:f>COUNTIF(B435:U435,"W")</x:f>
        <x:v>8</x:v>
      </x:c>
      <x:c r="W435" s="5" t="str">
        <x:f>IF(COUNTIF(B435:D435,"W")&gt;0,"Y","N")</x:f>
        <x:v>Y</x:v>
      </x:c>
      <x:c r="X435" s="5" t="str">
        <x:f>IF(COUNTIF(B435:I435,"W")&gt;=4,"Y","N")</x:f>
        <x:v>Y</x:v>
      </x:c>
      <x:c r="Y435" s="1"/>
      <x:c r="Z435" s="1"/>
      <x:c r="AA435" s="1"/>
      <x:c r="AB435" s="1"/>
      <x:c r="AC435" s="1"/>
      <x:c r="AD435" s="1"/>
      <x:c r="AE435" s="1"/>
    </x:row>
    <x:row r="436">
      <x:c r="A436" s="1">
        <x:v>435</x:v>
      </x:c>
      <x:c r="B436" t="str">
        <x:v>B</x:v>
      </x:c>
      <x:c r="C436" t="str">
        <x:v>B</x:v>
      </x:c>
      <x:c r="D436" t="str">
        <x:v>B</x:v>
      </x:c>
      <x:c r="E436" t="str">
        <x:v>W</x:v>
      </x:c>
      <x:c r="F436" t="str">
        <x:v>B</x:v>
      </x:c>
      <x:c r="G436" t="str">
        <x:v>W</x:v>
      </x:c>
      <x:c r="H436" t="str">
        <x:v>B</x:v>
      </x:c>
      <x:c r="I436" t="str">
        <x:v>W</x:v>
      </x:c>
      <x:c r="J436" t="str">
        <x:v>W</x:v>
      </x:c>
      <x:c r="K436" t="str">
        <x:v>B</x:v>
      </x:c>
      <x:c r="L436" t="str">
        <x:v>W</x:v>
      </x:c>
      <x:c r="M436" t="str">
        <x:v>B</x:v>
      </x:c>
      <x:c r="N436" t="str">
        <x:v>B</x:v>
      </x:c>
      <x:c r="O436" t="str">
        <x:v>B</x:v>
      </x:c>
      <x:c r="P436" t="str">
        <x:v>B</x:v>
      </x:c>
      <x:c r="Q436" t="str">
        <x:v>B</x:v>
      </x:c>
      <x:c r="R436" t="str">
        <x:v>B</x:v>
      </x:c>
      <x:c r="S436" t="str">
        <x:v>B</x:v>
      </x:c>
      <x:c r="T436" t="str">
        <x:v>B</x:v>
      </x:c>
      <x:c r="U436" t="str">
        <x:v>W</x:v>
      </x:c>
      <x:c r="V436" t="n">
        <x:f>COUNTIF(B436:U436,"W")</x:f>
        <x:v>6</x:v>
      </x:c>
      <x:c r="W436" s="5" t="str">
        <x:f>IF(COUNTIF(B436:D436,"W")&gt;0,"Y","N")</x:f>
        <x:v>N</x:v>
      </x:c>
      <x:c r="X436" s="5" t="str">
        <x:f>IF(COUNTIF(B436:I436,"W")&gt;=4,"Y","N")</x:f>
        <x:v>N</x:v>
      </x:c>
      <x:c r="Y436" s="1"/>
      <x:c r="Z436" s="1"/>
      <x:c r="AA436" s="1"/>
      <x:c r="AB436" s="1"/>
      <x:c r="AC436" s="1"/>
      <x:c r="AD436" s="1"/>
      <x:c r="AE436" s="1"/>
    </x:row>
    <x:row r="437">
      <x:c r="A437" s="1">
        <x:v>436</x:v>
      </x:c>
      <x:c r="B437" t="str">
        <x:v>B</x:v>
      </x:c>
      <x:c r="C437" t="str">
        <x:v>B</x:v>
      </x:c>
      <x:c r="D437" t="str">
        <x:v>B</x:v>
      </x:c>
      <x:c r="E437" t="str">
        <x:v>B</x:v>
      </x:c>
      <x:c r="F437" t="str">
        <x:v>B</x:v>
      </x:c>
      <x:c r="G437" t="str">
        <x:v>B</x:v>
      </x:c>
      <x:c r="H437" t="str">
        <x:v>B</x:v>
      </x:c>
      <x:c r="I437" t="str">
        <x:v>B</x:v>
      </x:c>
      <x:c r="J437" t="str">
        <x:v>B</x:v>
      </x:c>
      <x:c r="K437" t="str">
        <x:v>B</x:v>
      </x:c>
      <x:c r="L437" t="str">
        <x:v>W</x:v>
      </x:c>
      <x:c r="M437" t="str">
        <x:v>W</x:v>
      </x:c>
      <x:c r="N437" t="str">
        <x:v>B</x:v>
      </x:c>
      <x:c r="O437" t="str">
        <x:v>W</x:v>
      </x:c>
      <x:c r="P437" t="str">
        <x:v>W</x:v>
      </x:c>
      <x:c r="Q437" t="str">
        <x:v>W</x:v>
      </x:c>
      <x:c r="R437" t="str">
        <x:v>W</x:v>
      </x:c>
      <x:c r="S437" t="str">
        <x:v>W</x:v>
      </x:c>
      <x:c r="T437" t="str">
        <x:v>B</x:v>
      </x:c>
      <x:c r="U437" t="str">
        <x:v>W</x:v>
      </x:c>
      <x:c r="V437" t="n">
        <x:f>COUNTIF(B437:U437,"W")</x:f>
        <x:v>8</x:v>
      </x:c>
      <x:c r="W437" s="5" t="str">
        <x:f>IF(COUNTIF(B437:D437,"W")&gt;0,"Y","N")</x:f>
        <x:v>N</x:v>
      </x:c>
      <x:c r="X437" s="5" t="str">
        <x:f>IF(COUNTIF(B437:I437,"W")&gt;=4,"Y","N")</x:f>
        <x:v>N</x:v>
      </x:c>
      <x:c r="Y437" s="1"/>
      <x:c r="Z437" s="1"/>
      <x:c r="AA437" s="1"/>
      <x:c r="AB437" s="1"/>
      <x:c r="AC437" s="1"/>
      <x:c r="AD437" s="1"/>
      <x:c r="AE437" s="1"/>
    </x:row>
    <x:row r="438">
      <x:c r="A438" s="1">
        <x:v>437</x:v>
      </x:c>
      <x:c r="B438" t="str">
        <x:v>B</x:v>
      </x:c>
      <x:c r="C438" t="str">
        <x:v>W</x:v>
      </x:c>
      <x:c r="D438" t="str">
        <x:v>B</x:v>
      </x:c>
      <x:c r="E438" t="str">
        <x:v>W</x:v>
      </x:c>
      <x:c r="F438" t="str">
        <x:v>W</x:v>
      </x:c>
      <x:c r="G438" t="str">
        <x:v>B</x:v>
      </x:c>
      <x:c r="H438" t="str">
        <x:v>B</x:v>
      </x:c>
      <x:c r="I438" t="str">
        <x:v>W</x:v>
      </x:c>
      <x:c r="J438" t="str">
        <x:v>W</x:v>
      </x:c>
      <x:c r="K438" t="str">
        <x:v>B</x:v>
      </x:c>
      <x:c r="L438" t="str">
        <x:v>B</x:v>
      </x:c>
      <x:c r="M438" t="str">
        <x:v>W</x:v>
      </x:c>
      <x:c r="N438" t="str">
        <x:v>W</x:v>
      </x:c>
      <x:c r="O438" t="str">
        <x:v>B</x:v>
      </x:c>
      <x:c r="P438" t="str">
        <x:v>B</x:v>
      </x:c>
      <x:c r="Q438" t="str">
        <x:v>B</x:v>
      </x:c>
      <x:c r="R438" t="str">
        <x:v>B</x:v>
      </x:c>
      <x:c r="S438" t="str">
        <x:v>B</x:v>
      </x:c>
      <x:c r="T438" t="str">
        <x:v>W</x:v>
      </x:c>
      <x:c r="U438" t="str">
        <x:v>B</x:v>
      </x:c>
      <x:c r="V438" t="n">
        <x:f>COUNTIF(B438:U438,"W")</x:f>
        <x:v>8</x:v>
      </x:c>
      <x:c r="W438" s="5" t="str">
        <x:f>IF(COUNTIF(B438:D438,"W")&gt;0,"Y","N")</x:f>
        <x:v>Y</x:v>
      </x:c>
      <x:c r="X438" s="5" t="str">
        <x:f>IF(COUNTIF(B438:I438,"W")&gt;=4,"Y","N")</x:f>
        <x:v>Y</x:v>
      </x:c>
      <x:c r="Y438" s="1"/>
      <x:c r="Z438" s="1"/>
      <x:c r="AA438" s="1"/>
      <x:c r="AB438" s="1"/>
      <x:c r="AC438" s="1"/>
      <x:c r="AD438" s="1"/>
      <x:c r="AE438" s="1"/>
    </x:row>
    <x:row r="439">
      <x:c r="A439" s="1">
        <x:v>438</x:v>
      </x:c>
      <x:c r="B439" t="str">
        <x:v>B</x:v>
      </x:c>
      <x:c r="C439" t="str">
        <x:v>B</x:v>
      </x:c>
      <x:c r="D439" t="str">
        <x:v>B</x:v>
      </x:c>
      <x:c r="E439" t="str">
        <x:v>B</x:v>
      </x:c>
      <x:c r="F439" t="str">
        <x:v>W</x:v>
      </x:c>
      <x:c r="G439" t="str">
        <x:v>B</x:v>
      </x:c>
      <x:c r="H439" t="str">
        <x:v>W</x:v>
      </x:c>
      <x:c r="I439" t="str">
        <x:v>B</x:v>
      </x:c>
      <x:c r="J439" t="str">
        <x:v>W</x:v>
      </x:c>
      <x:c r="K439" t="str">
        <x:v>B</x:v>
      </x:c>
      <x:c r="L439" t="str">
        <x:v>B</x:v>
      </x:c>
      <x:c r="M439" t="str">
        <x:v>B</x:v>
      </x:c>
      <x:c r="N439" t="str">
        <x:v>B</x:v>
      </x:c>
      <x:c r="O439" t="str">
        <x:v>B</x:v>
      </x:c>
      <x:c r="P439" t="str">
        <x:v>W</x:v>
      </x:c>
      <x:c r="Q439" t="str">
        <x:v>W</x:v>
      </x:c>
      <x:c r="R439" t="str">
        <x:v>B</x:v>
      </x:c>
      <x:c r="S439" t="str">
        <x:v>B</x:v>
      </x:c>
      <x:c r="T439" t="str">
        <x:v>B</x:v>
      </x:c>
      <x:c r="U439" t="str">
        <x:v>W</x:v>
      </x:c>
      <x:c r="V439" t="n">
        <x:f>COUNTIF(B439:U439,"W")</x:f>
        <x:v>6</x:v>
      </x:c>
      <x:c r="W439" s="5" t="str">
        <x:f>IF(COUNTIF(B439:D439,"W")&gt;0,"Y","N")</x:f>
        <x:v>N</x:v>
      </x:c>
      <x:c r="X439" s="5" t="str">
        <x:f>IF(COUNTIF(B439:I439,"W")&gt;=4,"Y","N")</x:f>
        <x:v>N</x:v>
      </x:c>
      <x:c r="Y439" s="1"/>
      <x:c r="Z439" s="1"/>
      <x:c r="AA439" s="1"/>
      <x:c r="AB439" s="1"/>
      <x:c r="AC439" s="1"/>
      <x:c r="AD439" s="1"/>
      <x:c r="AE439" s="1"/>
    </x:row>
    <x:row r="440">
      <x:c r="A440" s="1">
        <x:v>439</x:v>
      </x:c>
      <x:c r="B440" t="str">
        <x:v>B</x:v>
      </x:c>
      <x:c r="C440" t="str">
        <x:v>B</x:v>
      </x:c>
      <x:c r="D440" t="str">
        <x:v>B</x:v>
      </x:c>
      <x:c r="E440" t="str">
        <x:v>B</x:v>
      </x:c>
      <x:c r="F440" t="str">
        <x:v>W</x:v>
      </x:c>
      <x:c r="G440" t="str">
        <x:v>B</x:v>
      </x:c>
      <x:c r="H440" t="str">
        <x:v>B</x:v>
      </x:c>
      <x:c r="I440" t="str">
        <x:v>B</x:v>
      </x:c>
      <x:c r="J440" t="str">
        <x:v>W</x:v>
      </x:c>
      <x:c r="K440" t="str">
        <x:v>W</x:v>
      </x:c>
      <x:c r="L440" t="str">
        <x:v>B</x:v>
      </x:c>
      <x:c r="M440" t="str">
        <x:v>B</x:v>
      </x:c>
      <x:c r="N440" t="str">
        <x:v>B</x:v>
      </x:c>
      <x:c r="O440" t="str">
        <x:v>B</x:v>
      </x:c>
      <x:c r="P440" t="str">
        <x:v>B</x:v>
      </x:c>
      <x:c r="Q440" t="str">
        <x:v>B</x:v>
      </x:c>
      <x:c r="R440" t="str">
        <x:v>B</x:v>
      </x:c>
      <x:c r="S440" t="str">
        <x:v>W</x:v>
      </x:c>
      <x:c r="T440" t="str">
        <x:v>B</x:v>
      </x:c>
      <x:c r="U440" t="str">
        <x:v>B</x:v>
      </x:c>
      <x:c r="V440" t="n">
        <x:f>COUNTIF(B440:U440,"W")</x:f>
        <x:v>4</x:v>
      </x:c>
      <x:c r="W440" s="5" t="str">
        <x:f>IF(COUNTIF(B440:D440,"W")&gt;0,"Y","N")</x:f>
        <x:v>N</x:v>
      </x:c>
      <x:c r="X440" s="5" t="str">
        <x:f>IF(COUNTIF(B440:I440,"W")&gt;=4,"Y","N")</x:f>
        <x:v>N</x:v>
      </x:c>
      <x:c r="Y440" s="1"/>
      <x:c r="Z440" s="1"/>
      <x:c r="AA440" s="1"/>
      <x:c r="AB440" s="1"/>
      <x:c r="AC440" s="1"/>
      <x:c r="AD440" s="1"/>
      <x:c r="AE440" s="1"/>
    </x:row>
    <x:row r="441">
      <x:c r="A441" s="1">
        <x:v>440</x:v>
      </x:c>
      <x:c r="B441" t="str">
        <x:v>B</x:v>
      </x:c>
      <x:c r="C441" t="str">
        <x:v>B</x:v>
      </x:c>
      <x:c r="D441" t="str">
        <x:v>B</x:v>
      </x:c>
      <x:c r="E441" t="str">
        <x:v>W</x:v>
      </x:c>
      <x:c r="F441" t="str">
        <x:v>W</x:v>
      </x:c>
      <x:c r="G441" t="str">
        <x:v>W</x:v>
      </x:c>
      <x:c r="H441" t="str">
        <x:v>W</x:v>
      </x:c>
      <x:c r="I441" t="str">
        <x:v>W</x:v>
      </x:c>
      <x:c r="J441" t="str">
        <x:v>B</x:v>
      </x:c>
      <x:c r="K441" t="str">
        <x:v>W</x:v>
      </x:c>
      <x:c r="L441" t="str">
        <x:v>B</x:v>
      </x:c>
      <x:c r="M441" t="str">
        <x:v>W</x:v>
      </x:c>
      <x:c r="N441" t="str">
        <x:v>B</x:v>
      </x:c>
      <x:c r="O441" t="str">
        <x:v>W</x:v>
      </x:c>
      <x:c r="P441" t="str">
        <x:v>B</x:v>
      </x:c>
      <x:c r="Q441" t="str">
        <x:v>W</x:v>
      </x:c>
      <x:c r="R441" t="str">
        <x:v>B</x:v>
      </x:c>
      <x:c r="S441" t="str">
        <x:v>W</x:v>
      </x:c>
      <x:c r="T441" t="str">
        <x:v>B</x:v>
      </x:c>
      <x:c r="U441" t="str">
        <x:v>B</x:v>
      </x:c>
      <x:c r="V441" t="n">
        <x:f>COUNTIF(B441:U441,"W")</x:f>
        <x:v>10</x:v>
      </x:c>
      <x:c r="W441" s="5" t="str">
        <x:f>IF(COUNTIF(B441:D441,"W")&gt;0,"Y","N")</x:f>
        <x:v>N</x:v>
      </x:c>
      <x:c r="X441" s="5" t="str">
        <x:f>IF(COUNTIF(B441:I441,"W")&gt;=4,"Y","N")</x:f>
        <x:v>Y</x:v>
      </x:c>
      <x:c r="Y441" s="1"/>
      <x:c r="Z441" s="1"/>
      <x:c r="AA441" s="1"/>
      <x:c r="AB441" s="1"/>
      <x:c r="AC441" s="1"/>
      <x:c r="AD441" s="1"/>
      <x:c r="AE441" s="1"/>
    </x:row>
    <x:row r="442">
      <x:c r="A442" s="1">
        <x:v>441</x:v>
      </x:c>
      <x:c r="B442" t="str">
        <x:v>B</x:v>
      </x:c>
      <x:c r="C442" t="str">
        <x:v>B</x:v>
      </x:c>
      <x:c r="D442" t="str">
        <x:v>W</x:v>
      </x:c>
      <x:c r="E442" t="str">
        <x:v>B</x:v>
      </x:c>
      <x:c r="F442" t="str">
        <x:v>W</x:v>
      </x:c>
      <x:c r="G442" t="str">
        <x:v>B</x:v>
      </x:c>
      <x:c r="H442" t="str">
        <x:v>W</x:v>
      </x:c>
      <x:c r="I442" t="str">
        <x:v>B</x:v>
      </x:c>
      <x:c r="J442" t="str">
        <x:v>B</x:v>
      </x:c>
      <x:c r="K442" t="str">
        <x:v>B</x:v>
      </x:c>
      <x:c r="L442" t="str">
        <x:v>W</x:v>
      </x:c>
      <x:c r="M442" t="str">
        <x:v>W</x:v>
      </x:c>
      <x:c r="N442" t="str">
        <x:v>B</x:v>
      </x:c>
      <x:c r="O442" t="str">
        <x:v>B</x:v>
      </x:c>
      <x:c r="P442" t="str">
        <x:v>W</x:v>
      </x:c>
      <x:c r="Q442" t="str">
        <x:v>W</x:v>
      </x:c>
      <x:c r="R442" t="str">
        <x:v>B</x:v>
      </x:c>
      <x:c r="S442" t="str">
        <x:v>W</x:v>
      </x:c>
      <x:c r="T442" t="str">
        <x:v>B</x:v>
      </x:c>
      <x:c r="U442" t="str">
        <x:v>W</x:v>
      </x:c>
      <x:c r="V442" t="n">
        <x:f>COUNTIF(B442:U442,"W")</x:f>
        <x:v>9</x:v>
      </x:c>
      <x:c r="W442" s="5" t="str">
        <x:f>IF(COUNTIF(B442:D442,"W")&gt;0,"Y","N")</x:f>
        <x:v>Y</x:v>
      </x:c>
      <x:c r="X442" s="5" t="str">
        <x:f>IF(COUNTIF(B442:I442,"W")&gt;=4,"Y","N")</x:f>
        <x:v>N</x:v>
      </x:c>
      <x:c r="Y442" s="1"/>
      <x:c r="Z442" s="1"/>
      <x:c r="AA442" s="1"/>
      <x:c r="AB442" s="1"/>
      <x:c r="AC442" s="1"/>
      <x:c r="AD442" s="1"/>
      <x:c r="AE442" s="1"/>
    </x:row>
    <x:row r="443">
      <x:c r="A443" s="1">
        <x:v>442</x:v>
      </x:c>
      <x:c r="B443" t="str">
        <x:v>W</x:v>
      </x:c>
      <x:c r="C443" t="str">
        <x:v>W</x:v>
      </x:c>
      <x:c r="D443" t="str">
        <x:v>B</x:v>
      </x:c>
      <x:c r="E443" t="str">
        <x:v>W</x:v>
      </x:c>
      <x:c r="F443" t="str">
        <x:v>W</x:v>
      </x:c>
      <x:c r="G443" t="str">
        <x:v>B</x:v>
      </x:c>
      <x:c r="H443" t="str">
        <x:v>B</x:v>
      </x:c>
      <x:c r="I443" t="str">
        <x:v>B</x:v>
      </x:c>
      <x:c r="J443" t="str">
        <x:v>B</x:v>
      </x:c>
      <x:c r="K443" t="str">
        <x:v>B</x:v>
      </x:c>
      <x:c r="L443" t="str">
        <x:v>W</x:v>
      </x:c>
      <x:c r="M443" t="str">
        <x:v>B</x:v>
      </x:c>
      <x:c r="N443" t="str">
        <x:v>B</x:v>
      </x:c>
      <x:c r="O443" t="str">
        <x:v>W</x:v>
      </x:c>
      <x:c r="P443" t="str">
        <x:v>W</x:v>
      </x:c>
      <x:c r="Q443" t="str">
        <x:v>B</x:v>
      </x:c>
      <x:c r="R443" t="str">
        <x:v>B</x:v>
      </x:c>
      <x:c r="S443" t="str">
        <x:v>B</x:v>
      </x:c>
      <x:c r="T443" t="str">
        <x:v>B</x:v>
      </x:c>
      <x:c r="U443" t="str">
        <x:v>B</x:v>
      </x:c>
      <x:c r="V443" t="n">
        <x:f>COUNTIF(B443:U443,"W")</x:f>
        <x:v>7</x:v>
      </x:c>
      <x:c r="W443" s="5" t="str">
        <x:f>IF(COUNTIF(B443:D443,"W")&gt;0,"Y","N")</x:f>
        <x:v>Y</x:v>
      </x:c>
      <x:c r="X443" s="5" t="str">
        <x:f>IF(COUNTIF(B443:I443,"W")&gt;=4,"Y","N")</x:f>
        <x:v>Y</x:v>
      </x:c>
      <x:c r="Y443" s="1"/>
      <x:c r="Z443" s="1"/>
      <x:c r="AA443" s="1"/>
      <x:c r="AB443" s="1"/>
      <x:c r="AC443" s="1"/>
      <x:c r="AD443" s="1"/>
      <x:c r="AE443" s="1"/>
    </x:row>
    <x:row r="444">
      <x:c r="A444" s="1">
        <x:v>443</x:v>
      </x:c>
      <x:c r="B444" t="str">
        <x:v>W</x:v>
      </x:c>
      <x:c r="C444" t="str">
        <x:v>B</x:v>
      </x:c>
      <x:c r="D444" t="str">
        <x:v>B</x:v>
      </x:c>
      <x:c r="E444" t="str">
        <x:v>W</x:v>
      </x:c>
      <x:c r="F444" t="str">
        <x:v>W</x:v>
      </x:c>
      <x:c r="G444" t="str">
        <x:v>W</x:v>
      </x:c>
      <x:c r="H444" t="str">
        <x:v>B</x:v>
      </x:c>
      <x:c r="I444" t="str">
        <x:v>B</x:v>
      </x:c>
      <x:c r="J444" t="str">
        <x:v>B</x:v>
      </x:c>
      <x:c r="K444" t="str">
        <x:v>B</x:v>
      </x:c>
      <x:c r="L444" t="str">
        <x:v>B</x:v>
      </x:c>
      <x:c r="M444" t="str">
        <x:v>B</x:v>
      </x:c>
      <x:c r="N444" t="str">
        <x:v>W</x:v>
      </x:c>
      <x:c r="O444" t="str">
        <x:v>B</x:v>
      </x:c>
      <x:c r="P444" t="str">
        <x:v>B</x:v>
      </x:c>
      <x:c r="Q444" t="str">
        <x:v>W</x:v>
      </x:c>
      <x:c r="R444" t="str">
        <x:v>B</x:v>
      </x:c>
      <x:c r="S444" t="str">
        <x:v>W</x:v>
      </x:c>
      <x:c r="T444" t="str">
        <x:v>W</x:v>
      </x:c>
      <x:c r="U444" t="str">
        <x:v>W</x:v>
      </x:c>
      <x:c r="V444" t="n">
        <x:f>COUNTIF(B444:U444,"W")</x:f>
        <x:v>9</x:v>
      </x:c>
      <x:c r="W444" s="5" t="str">
        <x:f>IF(COUNTIF(B444:D444,"W")&gt;0,"Y","N")</x:f>
        <x:v>Y</x:v>
      </x:c>
      <x:c r="X444" s="5" t="str">
        <x:f>IF(COUNTIF(B444:I444,"W")&gt;=4,"Y","N")</x:f>
        <x:v>Y</x:v>
      </x:c>
      <x:c r="Y444" s="1"/>
      <x:c r="Z444" s="1"/>
      <x:c r="AA444" s="1"/>
      <x:c r="AB444" s="1"/>
      <x:c r="AC444" s="1"/>
      <x:c r="AD444" s="1"/>
      <x:c r="AE444" s="1"/>
    </x:row>
    <x:row r="445">
      <x:c r="A445" s="1">
        <x:v>444</x:v>
      </x:c>
      <x:c r="B445" t="str">
        <x:v>W</x:v>
      </x:c>
      <x:c r="C445" t="str">
        <x:v>W</x:v>
      </x:c>
      <x:c r="D445" t="str">
        <x:v>W</x:v>
      </x:c>
      <x:c r="E445" t="str">
        <x:v>B</x:v>
      </x:c>
      <x:c r="F445" t="str">
        <x:v>B</x:v>
      </x:c>
      <x:c r="G445" t="str">
        <x:v>B</x:v>
      </x:c>
      <x:c r="H445" t="str">
        <x:v>B</x:v>
      </x:c>
      <x:c r="I445" t="str">
        <x:v>W</x:v>
      </x:c>
      <x:c r="J445" t="str">
        <x:v>B</x:v>
      </x:c>
      <x:c r="K445" t="str">
        <x:v>B</x:v>
      </x:c>
      <x:c r="L445" t="str">
        <x:v>B</x:v>
      </x:c>
      <x:c r="M445" t="str">
        <x:v>B</x:v>
      </x:c>
      <x:c r="N445" t="str">
        <x:v>B</x:v>
      </x:c>
      <x:c r="O445" t="str">
        <x:v>W</x:v>
      </x:c>
      <x:c r="P445" t="str">
        <x:v>W</x:v>
      </x:c>
      <x:c r="Q445" t="str">
        <x:v>W</x:v>
      </x:c>
      <x:c r="R445" t="str">
        <x:v>B</x:v>
      </x:c>
      <x:c r="S445" t="str">
        <x:v>W</x:v>
      </x:c>
      <x:c r="T445" t="str">
        <x:v>B</x:v>
      </x:c>
      <x:c r="U445" t="str">
        <x:v>W</x:v>
      </x:c>
      <x:c r="V445" t="n">
        <x:f>COUNTIF(B445:U445,"W")</x:f>
        <x:v>9</x:v>
      </x:c>
      <x:c r="W445" s="5" t="str">
        <x:f>IF(COUNTIF(B445:D445,"W")&gt;0,"Y","N")</x:f>
        <x:v>Y</x:v>
      </x:c>
      <x:c r="X445" s="5" t="str">
        <x:f>IF(COUNTIF(B445:I445,"W")&gt;=4,"Y","N")</x:f>
        <x:v>Y</x:v>
      </x:c>
      <x:c r="Y445" s="1"/>
      <x:c r="Z445" s="1"/>
      <x:c r="AA445" s="1"/>
      <x:c r="AB445" s="1"/>
      <x:c r="AC445" s="1"/>
      <x:c r="AD445" s="1"/>
      <x:c r="AE445" s="1"/>
    </x:row>
    <x:row r="446">
      <x:c r="A446" s="1">
        <x:v>445</x:v>
      </x:c>
      <x:c r="B446" t="str">
        <x:v>B</x:v>
      </x:c>
      <x:c r="C446" t="str">
        <x:v>B</x:v>
      </x:c>
      <x:c r="D446" t="str">
        <x:v>W</x:v>
      </x:c>
      <x:c r="E446" t="str">
        <x:v>B</x:v>
      </x:c>
      <x:c r="F446" t="str">
        <x:v>B</x:v>
      </x:c>
      <x:c r="G446" t="str">
        <x:v>B</x:v>
      </x:c>
      <x:c r="H446" t="str">
        <x:v>B</x:v>
      </x:c>
      <x:c r="I446" t="str">
        <x:v>W</x:v>
      </x:c>
      <x:c r="J446" t="str">
        <x:v>B</x:v>
      </x:c>
      <x:c r="K446" t="str">
        <x:v>B</x:v>
      </x:c>
      <x:c r="L446" t="str">
        <x:v>B</x:v>
      </x:c>
      <x:c r="M446" t="str">
        <x:v>B</x:v>
      </x:c>
      <x:c r="N446" t="str">
        <x:v>B</x:v>
      </x:c>
      <x:c r="O446" t="str">
        <x:v>W</x:v>
      </x:c>
      <x:c r="P446" t="str">
        <x:v>W</x:v>
      </x:c>
      <x:c r="Q446" t="str">
        <x:v>W</x:v>
      </x:c>
      <x:c r="R446" t="str">
        <x:v>B</x:v>
      </x:c>
      <x:c r="S446" t="str">
        <x:v>B</x:v>
      </x:c>
      <x:c r="T446" t="str">
        <x:v>B</x:v>
      </x:c>
      <x:c r="U446" t="str">
        <x:v>W</x:v>
      </x:c>
      <x:c r="V446" t="n">
        <x:f>COUNTIF(B446:U446,"W")</x:f>
        <x:v>6</x:v>
      </x:c>
      <x:c r="W446" s="5" t="str">
        <x:f>IF(COUNTIF(B446:D446,"W")&gt;0,"Y","N")</x:f>
        <x:v>Y</x:v>
      </x:c>
      <x:c r="X446" s="5" t="str">
        <x:f>IF(COUNTIF(B446:I446,"W")&gt;=4,"Y","N")</x:f>
        <x:v>N</x:v>
      </x:c>
      <x:c r="Y446" s="1"/>
      <x:c r="Z446" s="1"/>
      <x:c r="AA446" s="1"/>
      <x:c r="AB446" s="1"/>
      <x:c r="AC446" s="1"/>
      <x:c r="AD446" s="1"/>
      <x:c r="AE446" s="1"/>
    </x:row>
    <x:row r="447">
      <x:c r="A447" s="1">
        <x:v>446</x:v>
      </x:c>
      <x:c r="B447" t="str">
        <x:v>W</x:v>
      </x:c>
      <x:c r="C447" t="str">
        <x:v>W</x:v>
      </x:c>
      <x:c r="D447" t="str">
        <x:v>W</x:v>
      </x:c>
      <x:c r="E447" t="str">
        <x:v>W</x:v>
      </x:c>
      <x:c r="F447" t="str">
        <x:v>B</x:v>
      </x:c>
      <x:c r="G447" t="str">
        <x:v>B</x:v>
      </x:c>
      <x:c r="H447" t="str">
        <x:v>B</x:v>
      </x:c>
      <x:c r="I447" t="str">
        <x:v>B</x:v>
      </x:c>
      <x:c r="J447" t="str">
        <x:v>W</x:v>
      </x:c>
      <x:c r="K447" t="str">
        <x:v>B</x:v>
      </x:c>
      <x:c r="L447" t="str">
        <x:v>B</x:v>
      </x:c>
      <x:c r="M447" t="str">
        <x:v>B</x:v>
      </x:c>
      <x:c r="N447" t="str">
        <x:v>W</x:v>
      </x:c>
      <x:c r="O447" t="str">
        <x:v>W</x:v>
      </x:c>
      <x:c r="P447" t="str">
        <x:v>W</x:v>
      </x:c>
      <x:c r="Q447" t="str">
        <x:v>W</x:v>
      </x:c>
      <x:c r="R447" t="str">
        <x:v>W</x:v>
      </x:c>
      <x:c r="S447" t="str">
        <x:v>W</x:v>
      </x:c>
      <x:c r="T447" t="str">
        <x:v>W</x:v>
      </x:c>
      <x:c r="U447" t="str">
        <x:v>W</x:v>
      </x:c>
      <x:c r="V447" t="n">
        <x:f>COUNTIF(B447:U447,"W")</x:f>
        <x:v>13</x:v>
      </x:c>
      <x:c r="W447" s="5" t="str">
        <x:f>IF(COUNTIF(B447:D447,"W")&gt;0,"Y","N")</x:f>
        <x:v>Y</x:v>
      </x:c>
      <x:c r="X447" s="5" t="str">
        <x:f>IF(COUNTIF(B447:I447,"W")&gt;=4,"Y","N")</x:f>
        <x:v>Y</x:v>
      </x:c>
      <x:c r="Y447" s="1"/>
      <x:c r="Z447" s="1"/>
      <x:c r="AA447" s="1"/>
      <x:c r="AB447" s="1"/>
      <x:c r="AC447" s="1"/>
      <x:c r="AD447" s="1"/>
      <x:c r="AE447" s="1"/>
    </x:row>
    <x:row r="448">
      <x:c r="A448" s="1">
        <x:v>447</x:v>
      </x:c>
      <x:c r="B448" t="str">
        <x:v>B</x:v>
      </x:c>
      <x:c r="C448" t="str">
        <x:v>W</x:v>
      </x:c>
      <x:c r="D448" t="str">
        <x:v>B</x:v>
      </x:c>
      <x:c r="E448" t="str">
        <x:v>B</x:v>
      </x:c>
      <x:c r="F448" t="str">
        <x:v>W</x:v>
      </x:c>
      <x:c r="G448" t="str">
        <x:v>W</x:v>
      </x:c>
      <x:c r="H448" t="str">
        <x:v>B</x:v>
      </x:c>
      <x:c r="I448" t="str">
        <x:v>B</x:v>
      </x:c>
      <x:c r="J448" t="str">
        <x:v>B</x:v>
      </x:c>
      <x:c r="K448" t="str">
        <x:v>B</x:v>
      </x:c>
      <x:c r="L448" t="str">
        <x:v>W</x:v>
      </x:c>
      <x:c r="M448" t="str">
        <x:v>B</x:v>
      </x:c>
      <x:c r="N448" t="str">
        <x:v>B</x:v>
      </x:c>
      <x:c r="O448" t="str">
        <x:v>B</x:v>
      </x:c>
      <x:c r="P448" t="str">
        <x:v>W</x:v>
      </x:c>
      <x:c r="Q448" t="str">
        <x:v>W</x:v>
      </x:c>
      <x:c r="R448" t="str">
        <x:v>W</x:v>
      </x:c>
      <x:c r="S448" t="str">
        <x:v>W</x:v>
      </x:c>
      <x:c r="T448" t="str">
        <x:v>W</x:v>
      </x:c>
      <x:c r="U448" t="str">
        <x:v>B</x:v>
      </x:c>
      <x:c r="V448" t="n">
        <x:f>COUNTIF(B448:U448,"W")</x:f>
        <x:v>9</x:v>
      </x:c>
      <x:c r="W448" s="5" t="str">
        <x:f>IF(COUNTIF(B448:D448,"W")&gt;0,"Y","N")</x:f>
        <x:v>Y</x:v>
      </x:c>
      <x:c r="X448" s="5" t="str">
        <x:f>IF(COUNTIF(B448:I448,"W")&gt;=4,"Y","N")</x:f>
        <x:v>N</x:v>
      </x:c>
      <x:c r="Y448" s="1"/>
      <x:c r="Z448" s="1"/>
      <x:c r="AA448" s="1"/>
      <x:c r="AB448" s="1"/>
      <x:c r="AC448" s="1"/>
      <x:c r="AD448" s="1"/>
      <x:c r="AE448" s="1"/>
    </x:row>
    <x:row r="449">
      <x:c r="A449" s="1">
        <x:v>448</x:v>
      </x:c>
      <x:c r="B449" t="str">
        <x:v>B</x:v>
      </x:c>
      <x:c r="C449" t="str">
        <x:v>B</x:v>
      </x:c>
      <x:c r="D449" t="str">
        <x:v>B</x:v>
      </x:c>
      <x:c r="E449" t="str">
        <x:v>B</x:v>
      </x:c>
      <x:c r="F449" t="str">
        <x:v>B</x:v>
      </x:c>
      <x:c r="G449" t="str">
        <x:v>B</x:v>
      </x:c>
      <x:c r="H449" t="str">
        <x:v>W</x:v>
      </x:c>
      <x:c r="I449" t="str">
        <x:v>B</x:v>
      </x:c>
      <x:c r="J449" t="str">
        <x:v>W</x:v>
      </x:c>
      <x:c r="K449" t="str">
        <x:v>W</x:v>
      </x:c>
      <x:c r="L449" t="str">
        <x:v>B</x:v>
      </x:c>
      <x:c r="M449" t="str">
        <x:v>B</x:v>
      </x:c>
      <x:c r="N449" t="str">
        <x:v>B</x:v>
      </x:c>
      <x:c r="O449" t="str">
        <x:v>B</x:v>
      </x:c>
      <x:c r="P449" t="str">
        <x:v>B</x:v>
      </x:c>
      <x:c r="Q449" t="str">
        <x:v>W</x:v>
      </x:c>
      <x:c r="R449" t="str">
        <x:v>B</x:v>
      </x:c>
      <x:c r="S449" t="str">
        <x:v>B</x:v>
      </x:c>
      <x:c r="T449" t="str">
        <x:v>B</x:v>
      </x:c>
      <x:c r="U449" t="str">
        <x:v>W</x:v>
      </x:c>
      <x:c r="V449" t="n">
        <x:f>COUNTIF(B449:U449,"W")</x:f>
        <x:v>5</x:v>
      </x:c>
      <x:c r="W449" s="5" t="str">
        <x:f>IF(COUNTIF(B449:D449,"W")&gt;0,"Y","N")</x:f>
        <x:v>N</x:v>
      </x:c>
      <x:c r="X449" s="5" t="str">
        <x:f>IF(COUNTIF(B449:I449,"W")&gt;=4,"Y","N")</x:f>
        <x:v>N</x:v>
      </x:c>
      <x:c r="Y449" s="1"/>
      <x:c r="Z449" s="1"/>
      <x:c r="AA449" s="1"/>
      <x:c r="AB449" s="1"/>
      <x:c r="AC449" s="1"/>
      <x:c r="AD449" s="1"/>
      <x:c r="AE449" s="1"/>
    </x:row>
    <x:row r="450">
      <x:c r="A450" s="1">
        <x:v>449</x:v>
      </x:c>
      <x:c r="B450" t="str">
        <x:v>B</x:v>
      </x:c>
      <x:c r="C450" t="str">
        <x:v>W</x:v>
      </x:c>
      <x:c r="D450" t="str">
        <x:v>W</x:v>
      </x:c>
      <x:c r="E450" t="str">
        <x:v>W</x:v>
      </x:c>
      <x:c r="F450" t="str">
        <x:v>W</x:v>
      </x:c>
      <x:c r="G450" t="str">
        <x:v>B</x:v>
      </x:c>
      <x:c r="H450" t="str">
        <x:v>W</x:v>
      </x:c>
      <x:c r="I450" t="str">
        <x:v>W</x:v>
      </x:c>
      <x:c r="J450" t="str">
        <x:v>B</x:v>
      </x:c>
      <x:c r="K450" t="str">
        <x:v>W</x:v>
      </x:c>
      <x:c r="L450" t="str">
        <x:v>W</x:v>
      </x:c>
      <x:c r="M450" t="str">
        <x:v>W</x:v>
      </x:c>
      <x:c r="N450" t="str">
        <x:v>W</x:v>
      </x:c>
      <x:c r="O450" t="str">
        <x:v>B</x:v>
      </x:c>
      <x:c r="P450" t="str">
        <x:v>W</x:v>
      </x:c>
      <x:c r="Q450" t="str">
        <x:v>B</x:v>
      </x:c>
      <x:c r="R450" t="str">
        <x:v>B</x:v>
      </x:c>
      <x:c r="S450" t="str">
        <x:v>B</x:v>
      </x:c>
      <x:c r="T450" t="str">
        <x:v>W</x:v>
      </x:c>
      <x:c r="U450" t="str">
        <x:v>W</x:v>
      </x:c>
      <x:c r="V450" t="n">
        <x:f>COUNTIF(B450:U450,"W")</x:f>
        <x:v>13</x:v>
      </x:c>
      <x:c r="W450" s="5" t="str">
        <x:f>IF(COUNTIF(B450:D450,"W")&gt;0,"Y","N")</x:f>
        <x:v>Y</x:v>
      </x:c>
      <x:c r="X450" s="5" t="str">
        <x:f>IF(COUNTIF(B450:I450,"W")&gt;=4,"Y","N")</x:f>
        <x:v>Y</x:v>
      </x:c>
      <x:c r="Y450" s="1"/>
      <x:c r="Z450" s="1"/>
      <x:c r="AA450" s="1"/>
      <x:c r="AB450" s="1"/>
      <x:c r="AC450" s="1"/>
      <x:c r="AD450" s="1"/>
      <x:c r="AE450" s="1"/>
    </x:row>
    <x:row r="451">
      <x:c r="A451" s="1">
        <x:v>450</x:v>
      </x:c>
      <x:c r="B451" t="str">
        <x:v>W</x:v>
      </x:c>
      <x:c r="C451" t="str">
        <x:v>W</x:v>
      </x:c>
      <x:c r="D451" t="str">
        <x:v>B</x:v>
      </x:c>
      <x:c r="E451" t="str">
        <x:v>W</x:v>
      </x:c>
      <x:c r="F451" t="str">
        <x:v>B</x:v>
      </x:c>
      <x:c r="G451" t="str">
        <x:v>B</x:v>
      </x:c>
      <x:c r="H451" t="str">
        <x:v>B</x:v>
      </x:c>
      <x:c r="I451" t="str">
        <x:v>W</x:v>
      </x:c>
      <x:c r="J451" t="str">
        <x:v>B</x:v>
      </x:c>
      <x:c r="K451" t="str">
        <x:v>B</x:v>
      </x:c>
      <x:c r="L451" t="str">
        <x:v>B</x:v>
      </x:c>
      <x:c r="M451" t="str">
        <x:v>B</x:v>
      </x:c>
      <x:c r="N451" t="str">
        <x:v>B</x:v>
      </x:c>
      <x:c r="O451" t="str">
        <x:v>W</x:v>
      </x:c>
      <x:c r="P451" t="str">
        <x:v>B</x:v>
      </x:c>
      <x:c r="Q451" t="str">
        <x:v>W</x:v>
      </x:c>
      <x:c r="R451" t="str">
        <x:v>B</x:v>
      </x:c>
      <x:c r="S451" t="str">
        <x:v>B</x:v>
      </x:c>
      <x:c r="T451" t="str">
        <x:v>B</x:v>
      </x:c>
      <x:c r="U451" t="str">
        <x:v>B</x:v>
      </x:c>
      <x:c r="V451" t="n">
        <x:f>COUNTIF(B451:U451,"W")</x:f>
        <x:v>6</x:v>
      </x:c>
      <x:c r="W451" s="5" t="str">
        <x:f>IF(COUNTIF(B451:D451,"W")&gt;0,"Y","N")</x:f>
        <x:v>Y</x:v>
      </x:c>
      <x:c r="X451" s="5" t="str">
        <x:f>IF(COUNTIF(B451:I451,"W")&gt;=4,"Y","N")</x:f>
        <x:v>Y</x:v>
      </x:c>
      <x:c r="Y451" s="1"/>
      <x:c r="Z451" s="1"/>
      <x:c r="AA451" s="1"/>
      <x:c r="AB451" s="1"/>
      <x:c r="AC451" s="1"/>
      <x:c r="AD451" s="1"/>
      <x:c r="AE451" s="1"/>
    </x:row>
    <x:row r="452">
      <x:c r="A452" s="1">
        <x:v>451</x:v>
      </x:c>
      <x:c r="B452" t="str">
        <x:v>W</x:v>
      </x:c>
      <x:c r="C452" t="str">
        <x:v>B</x:v>
      </x:c>
      <x:c r="D452" t="str">
        <x:v>B</x:v>
      </x:c>
      <x:c r="E452" t="str">
        <x:v>B</x:v>
      </x:c>
      <x:c r="F452" t="str">
        <x:v>B</x:v>
      </x:c>
      <x:c r="G452" t="str">
        <x:v>B</x:v>
      </x:c>
      <x:c r="H452" t="str">
        <x:v>B</x:v>
      </x:c>
      <x:c r="I452" t="str">
        <x:v>W</x:v>
      </x:c>
      <x:c r="J452" t="str">
        <x:v>B</x:v>
      </x:c>
      <x:c r="K452" t="str">
        <x:v>W</x:v>
      </x:c>
      <x:c r="L452" t="str">
        <x:v>W</x:v>
      </x:c>
      <x:c r="M452" t="str">
        <x:v>B</x:v>
      </x:c>
      <x:c r="N452" t="str">
        <x:v>W</x:v>
      </x:c>
      <x:c r="O452" t="str">
        <x:v>B</x:v>
      </x:c>
      <x:c r="P452" t="str">
        <x:v>B</x:v>
      </x:c>
      <x:c r="Q452" t="str">
        <x:v>B</x:v>
      </x:c>
      <x:c r="R452" t="str">
        <x:v>W</x:v>
      </x:c>
      <x:c r="S452" t="str">
        <x:v>B</x:v>
      </x:c>
      <x:c r="T452" t="str">
        <x:v>B</x:v>
      </x:c>
      <x:c r="U452" t="str">
        <x:v>B</x:v>
      </x:c>
      <x:c r="V452" t="n">
        <x:f>COUNTIF(B452:U452,"W")</x:f>
        <x:v>6</x:v>
      </x:c>
      <x:c r="W452" s="5" t="str">
        <x:f>IF(COUNTIF(B452:D452,"W")&gt;0,"Y","N")</x:f>
        <x:v>Y</x:v>
      </x:c>
      <x:c r="X452" s="5" t="str">
        <x:f>IF(COUNTIF(B452:I452,"W")&gt;=4,"Y","N")</x:f>
        <x:v>N</x:v>
      </x:c>
      <x:c r="Y452" s="1"/>
      <x:c r="Z452" s="1"/>
      <x:c r="AA452" s="1"/>
      <x:c r="AB452" s="1"/>
      <x:c r="AC452" s="1"/>
      <x:c r="AD452" s="1"/>
      <x:c r="AE452" s="1"/>
    </x:row>
    <x:row r="453">
      <x:c r="A453" s="1">
        <x:v>452</x:v>
      </x:c>
      <x:c r="B453" t="str">
        <x:v>B</x:v>
      </x:c>
      <x:c r="C453" t="str">
        <x:v>B</x:v>
      </x:c>
      <x:c r="D453" t="str">
        <x:v>W</x:v>
      </x:c>
      <x:c r="E453" t="str">
        <x:v>B</x:v>
      </x:c>
      <x:c r="F453" t="str">
        <x:v>B</x:v>
      </x:c>
      <x:c r="G453" t="str">
        <x:v>B</x:v>
      </x:c>
      <x:c r="H453" t="str">
        <x:v>W</x:v>
      </x:c>
      <x:c r="I453" t="str">
        <x:v>B</x:v>
      </x:c>
      <x:c r="J453" t="str">
        <x:v>W</x:v>
      </x:c>
      <x:c r="K453" t="str">
        <x:v>W</x:v>
      </x:c>
      <x:c r="L453" t="str">
        <x:v>W</x:v>
      </x:c>
      <x:c r="M453" t="str">
        <x:v>B</x:v>
      </x:c>
      <x:c r="N453" t="str">
        <x:v>W</x:v>
      </x:c>
      <x:c r="O453" t="str">
        <x:v>B</x:v>
      </x:c>
      <x:c r="P453" t="str">
        <x:v>W</x:v>
      </x:c>
      <x:c r="Q453" t="str">
        <x:v>W</x:v>
      </x:c>
      <x:c r="R453" t="str">
        <x:v>W</x:v>
      </x:c>
      <x:c r="S453" t="str">
        <x:v>W</x:v>
      </x:c>
      <x:c r="T453" t="str">
        <x:v>B</x:v>
      </x:c>
      <x:c r="U453" t="str">
        <x:v>B</x:v>
      </x:c>
      <x:c r="V453" t="n">
        <x:f>COUNTIF(B453:U453,"W")</x:f>
        <x:v>10</x:v>
      </x:c>
      <x:c r="W453" s="5" t="str">
        <x:f>IF(COUNTIF(B453:D453,"W")&gt;0,"Y","N")</x:f>
        <x:v>Y</x:v>
      </x:c>
      <x:c r="X453" s="5" t="str">
        <x:f>IF(COUNTIF(B453:I453,"W")&gt;=4,"Y","N")</x:f>
        <x:v>N</x:v>
      </x:c>
      <x:c r="Y453" s="1"/>
      <x:c r="Z453" s="1"/>
      <x:c r="AA453" s="1"/>
      <x:c r="AB453" s="1"/>
      <x:c r="AC453" s="1"/>
      <x:c r="AD453" s="1"/>
      <x:c r="AE453" s="1"/>
    </x:row>
    <x:row r="454">
      <x:c r="A454" s="1">
        <x:v>453</x:v>
      </x:c>
      <x:c r="B454" t="str">
        <x:v>B</x:v>
      </x:c>
      <x:c r="C454" t="str">
        <x:v>B</x:v>
      </x:c>
      <x:c r="D454" t="str">
        <x:v>W</x:v>
      </x:c>
      <x:c r="E454" t="str">
        <x:v>B</x:v>
      </x:c>
      <x:c r="F454" t="str">
        <x:v>B</x:v>
      </x:c>
      <x:c r="G454" t="str">
        <x:v>W</x:v>
      </x:c>
      <x:c r="H454" t="str">
        <x:v>W</x:v>
      </x:c>
      <x:c r="I454" t="str">
        <x:v>B</x:v>
      </x:c>
      <x:c r="J454" t="str">
        <x:v>W</x:v>
      </x:c>
      <x:c r="K454" t="str">
        <x:v>B</x:v>
      </x:c>
      <x:c r="L454" t="str">
        <x:v>B</x:v>
      </x:c>
      <x:c r="M454" t="str">
        <x:v>W</x:v>
      </x:c>
      <x:c r="N454" t="str">
        <x:v>B</x:v>
      </x:c>
      <x:c r="O454" t="str">
        <x:v>B</x:v>
      </x:c>
      <x:c r="P454" t="str">
        <x:v>W</x:v>
      </x:c>
      <x:c r="Q454" t="str">
        <x:v>B</x:v>
      </x:c>
      <x:c r="R454" t="str">
        <x:v>W</x:v>
      </x:c>
      <x:c r="S454" t="str">
        <x:v>W</x:v>
      </x:c>
      <x:c r="T454" t="str">
        <x:v>B</x:v>
      </x:c>
      <x:c r="U454" t="str">
        <x:v>B</x:v>
      </x:c>
      <x:c r="V454" t="n">
        <x:f>COUNTIF(B454:U454,"W")</x:f>
        <x:v>8</x:v>
      </x:c>
      <x:c r="W454" s="5" t="str">
        <x:f>IF(COUNTIF(B454:D454,"W")&gt;0,"Y","N")</x:f>
        <x:v>Y</x:v>
      </x:c>
      <x:c r="X454" s="5" t="str">
        <x:f>IF(COUNTIF(B454:I454,"W")&gt;=4,"Y","N")</x:f>
        <x:v>N</x:v>
      </x:c>
      <x:c r="Y454" s="1"/>
      <x:c r="Z454" s="1"/>
      <x:c r="AA454" s="1"/>
      <x:c r="AB454" s="1"/>
      <x:c r="AC454" s="1"/>
      <x:c r="AD454" s="1"/>
      <x:c r="AE454" s="1"/>
    </x:row>
    <x:row r="455">
      <x:c r="A455" s="1">
        <x:v>454</x:v>
      </x:c>
      <x:c r="B455" t="str">
        <x:v>B</x:v>
      </x:c>
      <x:c r="C455" t="str">
        <x:v>B</x:v>
      </x:c>
      <x:c r="D455" t="str">
        <x:v>W</x:v>
      </x:c>
      <x:c r="E455" t="str">
        <x:v>W</x:v>
      </x:c>
      <x:c r="F455" t="str">
        <x:v>W</x:v>
      </x:c>
      <x:c r="G455" t="str">
        <x:v>B</x:v>
      </x:c>
      <x:c r="H455" t="str">
        <x:v>B</x:v>
      </x:c>
      <x:c r="I455" t="str">
        <x:v>W</x:v>
      </x:c>
      <x:c r="J455" t="str">
        <x:v>B</x:v>
      </x:c>
      <x:c r="K455" t="str">
        <x:v>B</x:v>
      </x:c>
      <x:c r="L455" t="str">
        <x:v>B</x:v>
      </x:c>
      <x:c r="M455" t="str">
        <x:v>W</x:v>
      </x:c>
      <x:c r="N455" t="str">
        <x:v>B</x:v>
      </x:c>
      <x:c r="O455" t="str">
        <x:v>W</x:v>
      </x:c>
      <x:c r="P455" t="str">
        <x:v>B</x:v>
      </x:c>
      <x:c r="Q455" t="str">
        <x:v>B</x:v>
      </x:c>
      <x:c r="R455" t="str">
        <x:v>W</x:v>
      </x:c>
      <x:c r="S455" t="str">
        <x:v>W</x:v>
      </x:c>
      <x:c r="T455" t="str">
        <x:v>B</x:v>
      </x:c>
      <x:c r="U455" t="str">
        <x:v>B</x:v>
      </x:c>
      <x:c r="V455" t="n">
        <x:f>COUNTIF(B455:U455,"W")</x:f>
        <x:v>8</x:v>
      </x:c>
      <x:c r="W455" s="5" t="str">
        <x:f>IF(COUNTIF(B455:D455,"W")&gt;0,"Y","N")</x:f>
        <x:v>Y</x:v>
      </x:c>
      <x:c r="X455" s="5" t="str">
        <x:f>IF(COUNTIF(B455:I455,"W")&gt;=4,"Y","N")</x:f>
        <x:v>Y</x:v>
      </x:c>
      <x:c r="Y455" s="1"/>
      <x:c r="Z455" s="1"/>
      <x:c r="AA455" s="1"/>
      <x:c r="AB455" s="1"/>
      <x:c r="AC455" s="1"/>
      <x:c r="AD455" s="1"/>
      <x:c r="AE455" s="1"/>
    </x:row>
    <x:row r="456">
      <x:c r="A456" s="1">
        <x:v>455</x:v>
      </x:c>
      <x:c r="B456" t="str">
        <x:v>W</x:v>
      </x:c>
      <x:c r="C456" t="str">
        <x:v>W</x:v>
      </x:c>
      <x:c r="D456" t="str">
        <x:v>B</x:v>
      </x:c>
      <x:c r="E456" t="str">
        <x:v>B</x:v>
      </x:c>
      <x:c r="F456" t="str">
        <x:v>B</x:v>
      </x:c>
      <x:c r="G456" t="str">
        <x:v>W</x:v>
      </x:c>
      <x:c r="H456" t="str">
        <x:v>B</x:v>
      </x:c>
      <x:c r="I456" t="str">
        <x:v>B</x:v>
      </x:c>
      <x:c r="J456" t="str">
        <x:v>B</x:v>
      </x:c>
      <x:c r="K456" t="str">
        <x:v>B</x:v>
      </x:c>
      <x:c r="L456" t="str">
        <x:v>B</x:v>
      </x:c>
      <x:c r="M456" t="str">
        <x:v>B</x:v>
      </x:c>
      <x:c r="N456" t="str">
        <x:v>B</x:v>
      </x:c>
      <x:c r="O456" t="str">
        <x:v>W</x:v>
      </x:c>
      <x:c r="P456" t="str">
        <x:v>B</x:v>
      </x:c>
      <x:c r="Q456" t="str">
        <x:v>B</x:v>
      </x:c>
      <x:c r="R456" t="str">
        <x:v>W</x:v>
      </x:c>
      <x:c r="S456" t="str">
        <x:v>W</x:v>
      </x:c>
      <x:c r="T456" t="str">
        <x:v>B</x:v>
      </x:c>
      <x:c r="U456" t="str">
        <x:v>B</x:v>
      </x:c>
      <x:c r="V456" t="n">
        <x:f>COUNTIF(B456:U456,"W")</x:f>
        <x:v>6</x:v>
      </x:c>
      <x:c r="W456" s="5" t="str">
        <x:f>IF(COUNTIF(B456:D456,"W")&gt;0,"Y","N")</x:f>
        <x:v>Y</x:v>
      </x:c>
      <x:c r="X456" s="5" t="str">
        <x:f>IF(COUNTIF(B456:I456,"W")&gt;=4,"Y","N")</x:f>
        <x:v>N</x:v>
      </x:c>
      <x:c r="Y456" s="1"/>
      <x:c r="Z456" s="1"/>
      <x:c r="AA456" s="1"/>
      <x:c r="AB456" s="1"/>
      <x:c r="AC456" s="1"/>
      <x:c r="AD456" s="1"/>
      <x:c r="AE456" s="1"/>
    </x:row>
    <x:row r="457">
      <x:c r="A457" s="1">
        <x:v>456</x:v>
      </x:c>
      <x:c r="B457" t="str">
        <x:v>W</x:v>
      </x:c>
      <x:c r="C457" t="str">
        <x:v>B</x:v>
      </x:c>
      <x:c r="D457" t="str">
        <x:v>B</x:v>
      </x:c>
      <x:c r="E457" t="str">
        <x:v>B</x:v>
      </x:c>
      <x:c r="F457" t="str">
        <x:v>W</x:v>
      </x:c>
      <x:c r="G457" t="str">
        <x:v>B</x:v>
      </x:c>
      <x:c r="H457" t="str">
        <x:v>B</x:v>
      </x:c>
      <x:c r="I457" t="str">
        <x:v>B</x:v>
      </x:c>
      <x:c r="J457" t="str">
        <x:v>B</x:v>
      </x:c>
      <x:c r="K457" t="str">
        <x:v>B</x:v>
      </x:c>
      <x:c r="L457" t="str">
        <x:v>B</x:v>
      </x:c>
      <x:c r="M457" t="str">
        <x:v>W</x:v>
      </x:c>
      <x:c r="N457" t="str">
        <x:v>B</x:v>
      </x:c>
      <x:c r="O457" t="str">
        <x:v>B</x:v>
      </x:c>
      <x:c r="P457" t="str">
        <x:v>W</x:v>
      </x:c>
      <x:c r="Q457" t="str">
        <x:v>W</x:v>
      </x:c>
      <x:c r="R457" t="str">
        <x:v>B</x:v>
      </x:c>
      <x:c r="S457" t="str">
        <x:v>B</x:v>
      </x:c>
      <x:c r="T457" t="str">
        <x:v>W</x:v>
      </x:c>
      <x:c r="U457" t="str">
        <x:v>W</x:v>
      </x:c>
      <x:c r="V457" t="n">
        <x:f>COUNTIF(B457:U457,"W")</x:f>
        <x:v>7</x:v>
      </x:c>
      <x:c r="W457" s="5" t="str">
        <x:f>IF(COUNTIF(B457:D457,"W")&gt;0,"Y","N")</x:f>
        <x:v>Y</x:v>
      </x:c>
      <x:c r="X457" s="5" t="str">
        <x:f>IF(COUNTIF(B457:I457,"W")&gt;=4,"Y","N")</x:f>
        <x:v>N</x:v>
      </x:c>
      <x:c r="Y457" s="1"/>
      <x:c r="Z457" s="1"/>
      <x:c r="AA457" s="1"/>
      <x:c r="AB457" s="1"/>
      <x:c r="AC457" s="1"/>
      <x:c r="AD457" s="1"/>
      <x:c r="AE457" s="1"/>
    </x:row>
    <x:row r="458">
      <x:c r="A458" s="1">
        <x:v>457</x:v>
      </x:c>
      <x:c r="B458" t="str">
        <x:v>B</x:v>
      </x:c>
      <x:c r="C458" t="str">
        <x:v>B</x:v>
      </x:c>
      <x:c r="D458" t="str">
        <x:v>W</x:v>
      </x:c>
      <x:c r="E458" t="str">
        <x:v>B</x:v>
      </x:c>
      <x:c r="F458" t="str">
        <x:v>B</x:v>
      </x:c>
      <x:c r="G458" t="str">
        <x:v>W</x:v>
      </x:c>
      <x:c r="H458" t="str">
        <x:v>B</x:v>
      </x:c>
      <x:c r="I458" t="str">
        <x:v>W</x:v>
      </x:c>
      <x:c r="J458" t="str">
        <x:v>W</x:v>
      </x:c>
      <x:c r="K458" t="str">
        <x:v>B</x:v>
      </x:c>
      <x:c r="L458" t="str">
        <x:v>B</x:v>
      </x:c>
      <x:c r="M458" t="str">
        <x:v>W</x:v>
      </x:c>
      <x:c r="N458" t="str">
        <x:v>B</x:v>
      </x:c>
      <x:c r="O458" t="str">
        <x:v>W</x:v>
      </x:c>
      <x:c r="P458" t="str">
        <x:v>W</x:v>
      </x:c>
      <x:c r="Q458" t="str">
        <x:v>B</x:v>
      </x:c>
      <x:c r="R458" t="str">
        <x:v>W</x:v>
      </x:c>
      <x:c r="S458" t="str">
        <x:v>B</x:v>
      </x:c>
      <x:c r="T458" t="str">
        <x:v>B</x:v>
      </x:c>
      <x:c r="U458" t="str">
        <x:v>B</x:v>
      </x:c>
      <x:c r="V458" t="n">
        <x:f>COUNTIF(B458:U458,"W")</x:f>
        <x:v>8</x:v>
      </x:c>
      <x:c r="W458" s="5" t="str">
        <x:f>IF(COUNTIF(B458:D458,"W")&gt;0,"Y","N")</x:f>
        <x:v>Y</x:v>
      </x:c>
      <x:c r="X458" s="5" t="str">
        <x:f>IF(COUNTIF(B458:I458,"W")&gt;=4,"Y","N")</x:f>
        <x:v>N</x:v>
      </x:c>
      <x:c r="Y458" s="1"/>
      <x:c r="Z458" s="1"/>
      <x:c r="AA458" s="1"/>
      <x:c r="AB458" s="1"/>
      <x:c r="AC458" s="1"/>
      <x:c r="AD458" s="1"/>
      <x:c r="AE458" s="1"/>
    </x:row>
    <x:row r="459">
      <x:c r="A459" s="1">
        <x:v>458</x:v>
      </x:c>
      <x:c r="B459" t="str">
        <x:v>W</x:v>
      </x:c>
      <x:c r="C459" t="str">
        <x:v>B</x:v>
      </x:c>
      <x:c r="D459" t="str">
        <x:v>B</x:v>
      </x:c>
      <x:c r="E459" t="str">
        <x:v>B</x:v>
      </x:c>
      <x:c r="F459" t="str">
        <x:v>W</x:v>
      </x:c>
      <x:c r="G459" t="str">
        <x:v>B</x:v>
      </x:c>
      <x:c r="H459" t="str">
        <x:v>B</x:v>
      </x:c>
      <x:c r="I459" t="str">
        <x:v>B</x:v>
      </x:c>
      <x:c r="J459" t="str">
        <x:v>B</x:v>
      </x:c>
      <x:c r="K459" t="str">
        <x:v>B</x:v>
      </x:c>
      <x:c r="L459" t="str">
        <x:v>B</x:v>
      </x:c>
      <x:c r="M459" t="str">
        <x:v>B</x:v>
      </x:c>
      <x:c r="N459" t="str">
        <x:v>B</x:v>
      </x:c>
      <x:c r="O459" t="str">
        <x:v>B</x:v>
      </x:c>
      <x:c r="P459" t="str">
        <x:v>B</x:v>
      </x:c>
      <x:c r="Q459" t="str">
        <x:v>W</x:v>
      </x:c>
      <x:c r="R459" t="str">
        <x:v>B</x:v>
      </x:c>
      <x:c r="S459" t="str">
        <x:v>B</x:v>
      </x:c>
      <x:c r="T459" t="str">
        <x:v>W</x:v>
      </x:c>
      <x:c r="U459" t="str">
        <x:v>B</x:v>
      </x:c>
      <x:c r="V459" t="n">
        <x:f>COUNTIF(B459:U459,"W")</x:f>
        <x:v>4</x:v>
      </x:c>
      <x:c r="W459" s="5" t="str">
        <x:f>IF(COUNTIF(B459:D459,"W")&gt;0,"Y","N")</x:f>
        <x:v>Y</x:v>
      </x:c>
      <x:c r="X459" s="5" t="str">
        <x:f>IF(COUNTIF(B459:I459,"W")&gt;=4,"Y","N")</x:f>
        <x:v>N</x:v>
      </x:c>
      <x:c r="Y459" s="1"/>
      <x:c r="Z459" s="1"/>
      <x:c r="AA459" s="1"/>
      <x:c r="AB459" s="1"/>
      <x:c r="AC459" s="1"/>
      <x:c r="AD459" s="1"/>
      <x:c r="AE459" s="1"/>
    </x:row>
    <x:row r="460">
      <x:c r="A460" s="1">
        <x:v>459</x:v>
      </x:c>
      <x:c r="B460" t="str">
        <x:v>B</x:v>
      </x:c>
      <x:c r="C460" t="str">
        <x:v>W</x:v>
      </x:c>
      <x:c r="D460" t="str">
        <x:v>B</x:v>
      </x:c>
      <x:c r="E460" t="str">
        <x:v>B</x:v>
      </x:c>
      <x:c r="F460" t="str">
        <x:v>W</x:v>
      </x:c>
      <x:c r="G460" t="str">
        <x:v>W</x:v>
      </x:c>
      <x:c r="H460" t="str">
        <x:v>B</x:v>
      </x:c>
      <x:c r="I460" t="str">
        <x:v>B</x:v>
      </x:c>
      <x:c r="J460" t="str">
        <x:v>B</x:v>
      </x:c>
      <x:c r="K460" t="str">
        <x:v>W</x:v>
      </x:c>
      <x:c r="L460" t="str">
        <x:v>B</x:v>
      </x:c>
      <x:c r="M460" t="str">
        <x:v>B</x:v>
      </x:c>
      <x:c r="N460" t="str">
        <x:v>W</x:v>
      </x:c>
      <x:c r="O460" t="str">
        <x:v>W</x:v>
      </x:c>
      <x:c r="P460" t="str">
        <x:v>B</x:v>
      </x:c>
      <x:c r="Q460" t="str">
        <x:v>W</x:v>
      </x:c>
      <x:c r="R460" t="str">
        <x:v>W</x:v>
      </x:c>
      <x:c r="S460" t="str">
        <x:v>B</x:v>
      </x:c>
      <x:c r="T460" t="str">
        <x:v>B</x:v>
      </x:c>
      <x:c r="U460" t="str">
        <x:v>W</x:v>
      </x:c>
      <x:c r="V460" t="n">
        <x:f>COUNTIF(B460:U460,"W")</x:f>
        <x:v>9</x:v>
      </x:c>
      <x:c r="W460" s="5" t="str">
        <x:f>IF(COUNTIF(B460:D460,"W")&gt;0,"Y","N")</x:f>
        <x:v>Y</x:v>
      </x:c>
      <x:c r="X460" s="5" t="str">
        <x:f>IF(COUNTIF(B460:I460,"W")&gt;=4,"Y","N")</x:f>
        <x:v>N</x:v>
      </x:c>
      <x:c r="Y460" s="1"/>
      <x:c r="Z460" s="1"/>
      <x:c r="AA460" s="1"/>
      <x:c r="AB460" s="1"/>
      <x:c r="AC460" s="1"/>
      <x:c r="AD460" s="1"/>
      <x:c r="AE460" s="1"/>
    </x:row>
    <x:row r="461">
      <x:c r="A461" s="1">
        <x:v>460</x:v>
      </x:c>
      <x:c r="B461" t="str">
        <x:v>B</x:v>
      </x:c>
      <x:c r="C461" t="str">
        <x:v>W</x:v>
      </x:c>
      <x:c r="D461" t="str">
        <x:v>B</x:v>
      </x:c>
      <x:c r="E461" t="str">
        <x:v>B</x:v>
      </x:c>
      <x:c r="F461" t="str">
        <x:v>W</x:v>
      </x:c>
      <x:c r="G461" t="str">
        <x:v>B</x:v>
      </x:c>
      <x:c r="H461" t="str">
        <x:v>W</x:v>
      </x:c>
      <x:c r="I461" t="str">
        <x:v>B</x:v>
      </x:c>
      <x:c r="J461" t="str">
        <x:v>W</x:v>
      </x:c>
      <x:c r="K461" t="str">
        <x:v>B</x:v>
      </x:c>
      <x:c r="L461" t="str">
        <x:v>W</x:v>
      </x:c>
      <x:c r="M461" t="str">
        <x:v>W</x:v>
      </x:c>
      <x:c r="N461" t="str">
        <x:v>W</x:v>
      </x:c>
      <x:c r="O461" t="str">
        <x:v>W</x:v>
      </x:c>
      <x:c r="P461" t="str">
        <x:v>B</x:v>
      </x:c>
      <x:c r="Q461" t="str">
        <x:v>W</x:v>
      </x:c>
      <x:c r="R461" t="str">
        <x:v>B</x:v>
      </x:c>
      <x:c r="S461" t="str">
        <x:v>W</x:v>
      </x:c>
      <x:c r="T461" t="str">
        <x:v>B</x:v>
      </x:c>
      <x:c r="U461" t="str">
        <x:v>W</x:v>
      </x:c>
      <x:c r="V461" t="n">
        <x:f>COUNTIF(B461:U461,"W")</x:f>
        <x:v>11</x:v>
      </x:c>
      <x:c r="W461" s="5" t="str">
        <x:f>IF(COUNTIF(B461:D461,"W")&gt;0,"Y","N")</x:f>
        <x:v>Y</x:v>
      </x:c>
      <x:c r="X461" s="5" t="str">
        <x:f>IF(COUNTIF(B461:I461,"W")&gt;=4,"Y","N")</x:f>
        <x:v>N</x:v>
      </x:c>
      <x:c r="Y461" s="1"/>
      <x:c r="Z461" s="1"/>
      <x:c r="AA461" s="1"/>
      <x:c r="AB461" s="1"/>
      <x:c r="AC461" s="1"/>
      <x:c r="AD461" s="1"/>
      <x:c r="AE461" s="1"/>
    </x:row>
    <x:row r="462">
      <x:c r="A462" s="1">
        <x:v>461</x:v>
      </x:c>
      <x:c r="B462" t="str">
        <x:v>B</x:v>
      </x:c>
      <x:c r="C462" t="str">
        <x:v>B</x:v>
      </x:c>
      <x:c r="D462" t="str">
        <x:v>B</x:v>
      </x:c>
      <x:c r="E462" t="str">
        <x:v>B</x:v>
      </x:c>
      <x:c r="F462" t="str">
        <x:v>W</x:v>
      </x:c>
      <x:c r="G462" t="str">
        <x:v>B</x:v>
      </x:c>
      <x:c r="H462" t="str">
        <x:v>W</x:v>
      </x:c>
      <x:c r="I462" t="str">
        <x:v>W</x:v>
      </x:c>
      <x:c r="J462" t="str">
        <x:v>W</x:v>
      </x:c>
      <x:c r="K462" t="str">
        <x:v>W</x:v>
      </x:c>
      <x:c r="L462" t="str">
        <x:v>W</x:v>
      </x:c>
      <x:c r="M462" t="str">
        <x:v>B</x:v>
      </x:c>
      <x:c r="N462" t="str">
        <x:v>B</x:v>
      </x:c>
      <x:c r="O462" t="str">
        <x:v>W</x:v>
      </x:c>
      <x:c r="P462" t="str">
        <x:v>B</x:v>
      </x:c>
      <x:c r="Q462" t="str">
        <x:v>B</x:v>
      </x:c>
      <x:c r="R462" t="str">
        <x:v>B</x:v>
      </x:c>
      <x:c r="S462" t="str">
        <x:v>W</x:v>
      </x:c>
      <x:c r="T462" t="str">
        <x:v>W</x:v>
      </x:c>
      <x:c r="U462" t="str">
        <x:v>B</x:v>
      </x:c>
      <x:c r="V462" t="n">
        <x:f>COUNTIF(B462:U462,"W")</x:f>
        <x:v>9</x:v>
      </x:c>
      <x:c r="W462" s="5" t="str">
        <x:f>IF(COUNTIF(B462:D462,"W")&gt;0,"Y","N")</x:f>
        <x:v>N</x:v>
      </x:c>
      <x:c r="X462" s="5" t="str">
        <x:f>IF(COUNTIF(B462:I462,"W")&gt;=4,"Y","N")</x:f>
        <x:v>N</x:v>
      </x:c>
      <x:c r="Y462" s="1"/>
      <x:c r="Z462" s="1"/>
      <x:c r="AA462" s="1"/>
      <x:c r="AB462" s="1"/>
      <x:c r="AC462" s="1"/>
      <x:c r="AD462" s="1"/>
      <x:c r="AE462" s="1"/>
    </x:row>
    <x:row r="463">
      <x:c r="A463" s="1">
        <x:v>462</x:v>
      </x:c>
      <x:c r="B463" t="str">
        <x:v>B</x:v>
      </x:c>
      <x:c r="C463" t="str">
        <x:v>W</x:v>
      </x:c>
      <x:c r="D463" t="str">
        <x:v>W</x:v>
      </x:c>
      <x:c r="E463" t="str">
        <x:v>W</x:v>
      </x:c>
      <x:c r="F463" t="str">
        <x:v>B</x:v>
      </x:c>
      <x:c r="G463" t="str">
        <x:v>W</x:v>
      </x:c>
      <x:c r="H463" t="str">
        <x:v>B</x:v>
      </x:c>
      <x:c r="I463" t="str">
        <x:v>W</x:v>
      </x:c>
      <x:c r="J463" t="str">
        <x:v>W</x:v>
      </x:c>
      <x:c r="K463" t="str">
        <x:v>B</x:v>
      </x:c>
      <x:c r="L463" t="str">
        <x:v>W</x:v>
      </x:c>
      <x:c r="M463" t="str">
        <x:v>B</x:v>
      </x:c>
      <x:c r="N463" t="str">
        <x:v>B</x:v>
      </x:c>
      <x:c r="O463" t="str">
        <x:v>W</x:v>
      </x:c>
      <x:c r="P463" t="str">
        <x:v>W</x:v>
      </x:c>
      <x:c r="Q463" t="str">
        <x:v>B</x:v>
      </x:c>
      <x:c r="R463" t="str">
        <x:v>B</x:v>
      </x:c>
      <x:c r="S463" t="str">
        <x:v>B</x:v>
      </x:c>
      <x:c r="T463" t="str">
        <x:v>B</x:v>
      </x:c>
      <x:c r="U463" t="str">
        <x:v>W</x:v>
      </x:c>
      <x:c r="V463" t="n">
        <x:f>COUNTIF(B463:U463,"W")</x:f>
        <x:v>10</x:v>
      </x:c>
      <x:c r="W463" s="5" t="str">
        <x:f>IF(COUNTIF(B463:D463,"W")&gt;0,"Y","N")</x:f>
        <x:v>Y</x:v>
      </x:c>
      <x:c r="X463" s="5" t="str">
        <x:f>IF(COUNTIF(B463:I463,"W")&gt;=4,"Y","N")</x:f>
        <x:v>Y</x:v>
      </x:c>
      <x:c r="Y463" s="1"/>
      <x:c r="Z463" s="1"/>
      <x:c r="AA463" s="1"/>
      <x:c r="AB463" s="1"/>
      <x:c r="AC463" s="1"/>
      <x:c r="AD463" s="1"/>
      <x:c r="AE463" s="1"/>
    </x:row>
    <x:row r="464">
      <x:c r="A464" s="1">
        <x:v>463</x:v>
      </x:c>
      <x:c r="B464" t="str">
        <x:v>B</x:v>
      </x:c>
      <x:c r="C464" t="str">
        <x:v>W</x:v>
      </x:c>
      <x:c r="D464" t="str">
        <x:v>B</x:v>
      </x:c>
      <x:c r="E464" t="str">
        <x:v>B</x:v>
      </x:c>
      <x:c r="F464" t="str">
        <x:v>B</x:v>
      </x:c>
      <x:c r="G464" t="str">
        <x:v>B</x:v>
      </x:c>
      <x:c r="H464" t="str">
        <x:v>B</x:v>
      </x:c>
      <x:c r="I464" t="str">
        <x:v>B</x:v>
      </x:c>
      <x:c r="J464" t="str">
        <x:v>B</x:v>
      </x:c>
      <x:c r="K464" t="str">
        <x:v>W</x:v>
      </x:c>
      <x:c r="L464" t="str">
        <x:v>B</x:v>
      </x:c>
      <x:c r="M464" t="str">
        <x:v>W</x:v>
      </x:c>
      <x:c r="N464" t="str">
        <x:v>B</x:v>
      </x:c>
      <x:c r="O464" t="str">
        <x:v>B</x:v>
      </x:c>
      <x:c r="P464" t="str">
        <x:v>W</x:v>
      </x:c>
      <x:c r="Q464" t="str">
        <x:v>W</x:v>
      </x:c>
      <x:c r="R464" t="str">
        <x:v>B</x:v>
      </x:c>
      <x:c r="S464" t="str">
        <x:v>B</x:v>
      </x:c>
      <x:c r="T464" t="str">
        <x:v>W</x:v>
      </x:c>
      <x:c r="U464" t="str">
        <x:v>B</x:v>
      </x:c>
      <x:c r="V464" t="n">
        <x:f>COUNTIF(B464:U464,"W")</x:f>
        <x:v>6</x:v>
      </x:c>
      <x:c r="W464" s="5" t="str">
        <x:f>IF(COUNTIF(B464:D464,"W")&gt;0,"Y","N")</x:f>
        <x:v>Y</x:v>
      </x:c>
      <x:c r="X464" s="5" t="str">
        <x:f>IF(COUNTIF(B464:I464,"W")&gt;=4,"Y","N")</x:f>
        <x:v>N</x:v>
      </x:c>
      <x:c r="Y464" s="1"/>
      <x:c r="Z464" s="1"/>
      <x:c r="AA464" s="1"/>
      <x:c r="AB464" s="1"/>
      <x:c r="AC464" s="1"/>
      <x:c r="AD464" s="1"/>
      <x:c r="AE464" s="1"/>
    </x:row>
    <x:row r="465">
      <x:c r="A465" s="1">
        <x:v>464</x:v>
      </x:c>
      <x:c r="B465" t="str">
        <x:v>W</x:v>
      </x:c>
      <x:c r="C465" t="str">
        <x:v>W</x:v>
      </x:c>
      <x:c r="D465" t="str">
        <x:v>B</x:v>
      </x:c>
      <x:c r="E465" t="str">
        <x:v>W</x:v>
      </x:c>
      <x:c r="F465" t="str">
        <x:v>W</x:v>
      </x:c>
      <x:c r="G465" t="str">
        <x:v>B</x:v>
      </x:c>
      <x:c r="H465" t="str">
        <x:v>B</x:v>
      </x:c>
      <x:c r="I465" t="str">
        <x:v>B</x:v>
      </x:c>
      <x:c r="J465" t="str">
        <x:v>B</x:v>
      </x:c>
      <x:c r="K465" t="str">
        <x:v>B</x:v>
      </x:c>
      <x:c r="L465" t="str">
        <x:v>W</x:v>
      </x:c>
      <x:c r="M465" t="str">
        <x:v>B</x:v>
      </x:c>
      <x:c r="N465" t="str">
        <x:v>W</x:v>
      </x:c>
      <x:c r="O465" t="str">
        <x:v>B</x:v>
      </x:c>
      <x:c r="P465" t="str">
        <x:v>B</x:v>
      </x:c>
      <x:c r="Q465" t="str">
        <x:v>B</x:v>
      </x:c>
      <x:c r="R465" t="str">
        <x:v>W</x:v>
      </x:c>
      <x:c r="S465" t="str">
        <x:v>B</x:v>
      </x:c>
      <x:c r="T465" t="str">
        <x:v>W</x:v>
      </x:c>
      <x:c r="U465" t="str">
        <x:v>B</x:v>
      </x:c>
      <x:c r="V465" t="n">
        <x:f>COUNTIF(B465:U465,"W")</x:f>
        <x:v>8</x:v>
      </x:c>
      <x:c r="W465" s="5" t="str">
        <x:f>IF(COUNTIF(B465:D465,"W")&gt;0,"Y","N")</x:f>
        <x:v>Y</x:v>
      </x:c>
      <x:c r="X465" s="5" t="str">
        <x:f>IF(COUNTIF(B465:I465,"W")&gt;=4,"Y","N")</x:f>
        <x:v>Y</x:v>
      </x:c>
      <x:c r="Y465" s="1"/>
      <x:c r="Z465" s="1"/>
      <x:c r="AA465" s="1"/>
      <x:c r="AB465" s="1"/>
      <x:c r="AC465" s="1"/>
      <x:c r="AD465" s="1"/>
      <x:c r="AE465" s="1"/>
    </x:row>
    <x:row r="466">
      <x:c r="A466" s="1">
        <x:v>465</x:v>
      </x:c>
      <x:c r="B466" t="str">
        <x:v>W</x:v>
      </x:c>
      <x:c r="C466" t="str">
        <x:v>B</x:v>
      </x:c>
      <x:c r="D466" t="str">
        <x:v>W</x:v>
      </x:c>
      <x:c r="E466" t="str">
        <x:v>B</x:v>
      </x:c>
      <x:c r="F466" t="str">
        <x:v>W</x:v>
      </x:c>
      <x:c r="G466" t="str">
        <x:v>B</x:v>
      </x:c>
      <x:c r="H466" t="str">
        <x:v>W</x:v>
      </x:c>
      <x:c r="I466" t="str">
        <x:v>B</x:v>
      </x:c>
      <x:c r="J466" t="str">
        <x:v>B</x:v>
      </x:c>
      <x:c r="K466" t="str">
        <x:v>W</x:v>
      </x:c>
      <x:c r="L466" t="str">
        <x:v>B</x:v>
      </x:c>
      <x:c r="M466" t="str">
        <x:v>B</x:v>
      </x:c>
      <x:c r="N466" t="str">
        <x:v>W</x:v>
      </x:c>
      <x:c r="O466" t="str">
        <x:v>B</x:v>
      </x:c>
      <x:c r="P466" t="str">
        <x:v>W</x:v>
      </x:c>
      <x:c r="Q466" t="str">
        <x:v>B</x:v>
      </x:c>
      <x:c r="R466" t="str">
        <x:v>W</x:v>
      </x:c>
      <x:c r="S466" t="str">
        <x:v>B</x:v>
      </x:c>
      <x:c r="T466" t="str">
        <x:v>B</x:v>
      </x:c>
      <x:c r="U466" t="str">
        <x:v>W</x:v>
      </x:c>
      <x:c r="V466" t="n">
        <x:f>COUNTIF(B466:U466,"W")</x:f>
        <x:v>9</x:v>
      </x:c>
      <x:c r="W466" s="5" t="str">
        <x:f>IF(COUNTIF(B466:D466,"W")&gt;0,"Y","N")</x:f>
        <x:v>Y</x:v>
      </x:c>
      <x:c r="X466" s="5" t="str">
        <x:f>IF(COUNTIF(B466:I466,"W")&gt;=4,"Y","N")</x:f>
        <x:v>Y</x:v>
      </x:c>
      <x:c r="Y466" s="1"/>
      <x:c r="Z466" s="1"/>
      <x:c r="AA466" s="1"/>
      <x:c r="AB466" s="1"/>
      <x:c r="AC466" s="1"/>
      <x:c r="AD466" s="1"/>
      <x:c r="AE466" s="1"/>
    </x:row>
    <x:row r="467">
      <x:c r="A467" s="1">
        <x:v>466</x:v>
      </x:c>
      <x:c r="B467" t="str">
        <x:v>B</x:v>
      </x:c>
      <x:c r="C467" t="str">
        <x:v>B</x:v>
      </x:c>
      <x:c r="D467" t="str">
        <x:v>B</x:v>
      </x:c>
      <x:c r="E467" t="str">
        <x:v>B</x:v>
      </x:c>
      <x:c r="F467" t="str">
        <x:v>B</x:v>
      </x:c>
      <x:c r="G467" t="str">
        <x:v>B</x:v>
      </x:c>
      <x:c r="H467" t="str">
        <x:v>W</x:v>
      </x:c>
      <x:c r="I467" t="str">
        <x:v>B</x:v>
      </x:c>
      <x:c r="J467" t="str">
        <x:v>W</x:v>
      </x:c>
      <x:c r="K467" t="str">
        <x:v>W</x:v>
      </x:c>
      <x:c r="L467" t="str">
        <x:v>B</x:v>
      </x:c>
      <x:c r="M467" t="str">
        <x:v>W</x:v>
      </x:c>
      <x:c r="N467" t="str">
        <x:v>W</x:v>
      </x:c>
      <x:c r="O467" t="str">
        <x:v>W</x:v>
      </x:c>
      <x:c r="P467" t="str">
        <x:v>W</x:v>
      </x:c>
      <x:c r="Q467" t="str">
        <x:v>B</x:v>
      </x:c>
      <x:c r="R467" t="str">
        <x:v>W</x:v>
      </x:c>
      <x:c r="S467" t="str">
        <x:v>W</x:v>
      </x:c>
      <x:c r="T467" t="str">
        <x:v>B</x:v>
      </x:c>
      <x:c r="U467" t="str">
        <x:v>W</x:v>
      </x:c>
      <x:c r="V467" t="n">
        <x:f>COUNTIF(B467:U467,"W")</x:f>
        <x:v>10</x:v>
      </x:c>
      <x:c r="W467" s="5" t="str">
        <x:f>IF(COUNTIF(B467:D467,"W")&gt;0,"Y","N")</x:f>
        <x:v>N</x:v>
      </x:c>
      <x:c r="X467" s="5" t="str">
        <x:f>IF(COUNTIF(B467:I467,"W")&gt;=4,"Y","N")</x:f>
        <x:v>N</x:v>
      </x:c>
      <x:c r="Y467" s="1"/>
      <x:c r="Z467" s="1"/>
      <x:c r="AA467" s="1"/>
      <x:c r="AB467" s="1"/>
      <x:c r="AC467" s="1"/>
      <x:c r="AD467" s="1"/>
      <x:c r="AE467" s="1"/>
    </x:row>
    <x:row r="468">
      <x:c r="A468" s="1">
        <x:v>467</x:v>
      </x:c>
      <x:c r="B468" t="str">
        <x:v>B</x:v>
      </x:c>
      <x:c r="C468" t="str">
        <x:v>W</x:v>
      </x:c>
      <x:c r="D468" t="str">
        <x:v>B</x:v>
      </x:c>
      <x:c r="E468" t="str">
        <x:v>B</x:v>
      </x:c>
      <x:c r="F468" t="str">
        <x:v>B</x:v>
      </x:c>
      <x:c r="G468" t="str">
        <x:v>B</x:v>
      </x:c>
      <x:c r="H468" t="str">
        <x:v>B</x:v>
      </x:c>
      <x:c r="I468" t="str">
        <x:v>B</x:v>
      </x:c>
      <x:c r="J468" t="str">
        <x:v>B</x:v>
      </x:c>
      <x:c r="K468" t="str">
        <x:v>B</x:v>
      </x:c>
      <x:c r="L468" t="str">
        <x:v>W</x:v>
      </x:c>
      <x:c r="M468" t="str">
        <x:v>W</x:v>
      </x:c>
      <x:c r="N468" t="str">
        <x:v>B</x:v>
      </x:c>
      <x:c r="O468" t="str">
        <x:v>B</x:v>
      </x:c>
      <x:c r="P468" t="str">
        <x:v>B</x:v>
      </x:c>
      <x:c r="Q468" t="str">
        <x:v>W</x:v>
      </x:c>
      <x:c r="R468" t="str">
        <x:v>B</x:v>
      </x:c>
      <x:c r="S468" t="str">
        <x:v>B</x:v>
      </x:c>
      <x:c r="T468" t="str">
        <x:v>B</x:v>
      </x:c>
      <x:c r="U468" t="str">
        <x:v>B</x:v>
      </x:c>
      <x:c r="V468" t="n">
        <x:f>COUNTIF(B468:U468,"W")</x:f>
        <x:v>4</x:v>
      </x:c>
      <x:c r="W468" s="5" t="str">
        <x:f>IF(COUNTIF(B468:D468,"W")&gt;0,"Y","N")</x:f>
        <x:v>Y</x:v>
      </x:c>
      <x:c r="X468" s="5" t="str">
        <x:f>IF(COUNTIF(B468:I468,"W")&gt;=4,"Y","N")</x:f>
        <x:v>N</x:v>
      </x:c>
      <x:c r="Y468" s="1"/>
      <x:c r="Z468" s="1"/>
      <x:c r="AA468" s="1"/>
      <x:c r="AB468" s="1"/>
      <x:c r="AC468" s="1"/>
      <x:c r="AD468" s="1"/>
      <x:c r="AE468" s="1"/>
    </x:row>
    <x:row r="469">
      <x:c r="A469" s="1">
        <x:v>468</x:v>
      </x:c>
      <x:c r="B469" t="str">
        <x:v>B</x:v>
      </x:c>
      <x:c r="C469" t="str">
        <x:v>W</x:v>
      </x:c>
      <x:c r="D469" t="str">
        <x:v>W</x:v>
      </x:c>
      <x:c r="E469" t="str">
        <x:v>B</x:v>
      </x:c>
      <x:c r="F469" t="str">
        <x:v>B</x:v>
      </x:c>
      <x:c r="G469" t="str">
        <x:v>W</x:v>
      </x:c>
      <x:c r="H469" t="str">
        <x:v>B</x:v>
      </x:c>
      <x:c r="I469" t="str">
        <x:v>W</x:v>
      </x:c>
      <x:c r="J469" t="str">
        <x:v>B</x:v>
      </x:c>
      <x:c r="K469" t="str">
        <x:v>B</x:v>
      </x:c>
      <x:c r="L469" t="str">
        <x:v>W</x:v>
      </x:c>
      <x:c r="M469" t="str">
        <x:v>B</x:v>
      </x:c>
      <x:c r="N469" t="str">
        <x:v>B</x:v>
      </x:c>
      <x:c r="O469" t="str">
        <x:v>B</x:v>
      </x:c>
      <x:c r="P469" t="str">
        <x:v>B</x:v>
      </x:c>
      <x:c r="Q469" t="str">
        <x:v>W</x:v>
      </x:c>
      <x:c r="R469" t="str">
        <x:v>W</x:v>
      </x:c>
      <x:c r="S469" t="str">
        <x:v>B</x:v>
      </x:c>
      <x:c r="T469" t="str">
        <x:v>B</x:v>
      </x:c>
      <x:c r="U469" t="str">
        <x:v>B</x:v>
      </x:c>
      <x:c r="V469" t="n">
        <x:f>COUNTIF(B469:U469,"W")</x:f>
        <x:v>7</x:v>
      </x:c>
      <x:c r="W469" s="5" t="str">
        <x:f>IF(COUNTIF(B469:D469,"W")&gt;0,"Y","N")</x:f>
        <x:v>Y</x:v>
      </x:c>
      <x:c r="X469" s="5" t="str">
        <x:f>IF(COUNTIF(B469:I469,"W")&gt;=4,"Y","N")</x:f>
        <x:v>Y</x:v>
      </x:c>
      <x:c r="Y469" s="1"/>
      <x:c r="Z469" s="1"/>
      <x:c r="AA469" s="1"/>
      <x:c r="AB469" s="1"/>
      <x:c r="AC469" s="1"/>
      <x:c r="AD469" s="1"/>
      <x:c r="AE469" s="1"/>
    </x:row>
    <x:row r="470">
      <x:c r="A470" s="1">
        <x:v>469</x:v>
      </x:c>
      <x:c r="B470" t="str">
        <x:v>B</x:v>
      </x:c>
      <x:c r="C470" t="str">
        <x:v>W</x:v>
      </x:c>
      <x:c r="D470" t="str">
        <x:v>B</x:v>
      </x:c>
      <x:c r="E470" t="str">
        <x:v>W</x:v>
      </x:c>
      <x:c r="F470" t="str">
        <x:v>B</x:v>
      </x:c>
      <x:c r="G470" t="str">
        <x:v>B</x:v>
      </x:c>
      <x:c r="H470" t="str">
        <x:v>B</x:v>
      </x:c>
      <x:c r="I470" t="str">
        <x:v>B</x:v>
      </x:c>
      <x:c r="J470" t="str">
        <x:v>B</x:v>
      </x:c>
      <x:c r="K470" t="str">
        <x:v>B</x:v>
      </x:c>
      <x:c r="L470" t="str">
        <x:v>B</x:v>
      </x:c>
      <x:c r="M470" t="str">
        <x:v>B</x:v>
      </x:c>
      <x:c r="N470" t="str">
        <x:v>W</x:v>
      </x:c>
      <x:c r="O470" t="str">
        <x:v>B</x:v>
      </x:c>
      <x:c r="P470" t="str">
        <x:v>B</x:v>
      </x:c>
      <x:c r="Q470" t="str">
        <x:v>W</x:v>
      </x:c>
      <x:c r="R470" t="str">
        <x:v>B</x:v>
      </x:c>
      <x:c r="S470" t="str">
        <x:v>B</x:v>
      </x:c>
      <x:c r="T470" t="str">
        <x:v>B</x:v>
      </x:c>
      <x:c r="U470" t="str">
        <x:v>W</x:v>
      </x:c>
      <x:c r="V470" t="n">
        <x:f>COUNTIF(B470:U470,"W")</x:f>
        <x:v>5</x:v>
      </x:c>
      <x:c r="W470" s="5" t="str">
        <x:f>IF(COUNTIF(B470:D470,"W")&gt;0,"Y","N")</x:f>
        <x:v>Y</x:v>
      </x:c>
      <x:c r="X470" s="5" t="str">
        <x:f>IF(COUNTIF(B470:I470,"W")&gt;=4,"Y","N")</x:f>
        <x:v>N</x:v>
      </x:c>
      <x:c r="Y470" s="1"/>
      <x:c r="Z470" s="1"/>
      <x:c r="AA470" s="1"/>
      <x:c r="AB470" s="1"/>
      <x:c r="AC470" s="1"/>
      <x:c r="AD470" s="1"/>
      <x:c r="AE470" s="1"/>
    </x:row>
    <x:row r="471">
      <x:c r="A471" s="1">
        <x:v>470</x:v>
      </x:c>
      <x:c r="B471" t="str">
        <x:v>B</x:v>
      </x:c>
      <x:c r="C471" t="str">
        <x:v>B</x:v>
      </x:c>
      <x:c r="D471" t="str">
        <x:v>B</x:v>
      </x:c>
      <x:c r="E471" t="str">
        <x:v>B</x:v>
      </x:c>
      <x:c r="F471" t="str">
        <x:v>B</x:v>
      </x:c>
      <x:c r="G471" t="str">
        <x:v>W</x:v>
      </x:c>
      <x:c r="H471" t="str">
        <x:v>W</x:v>
      </x:c>
      <x:c r="I471" t="str">
        <x:v>B</x:v>
      </x:c>
      <x:c r="J471" t="str">
        <x:v>B</x:v>
      </x:c>
      <x:c r="K471" t="str">
        <x:v>B</x:v>
      </x:c>
      <x:c r="L471" t="str">
        <x:v>W</x:v>
      </x:c>
      <x:c r="M471" t="str">
        <x:v>B</x:v>
      </x:c>
      <x:c r="N471" t="str">
        <x:v>B</x:v>
      </x:c>
      <x:c r="O471" t="str">
        <x:v>B</x:v>
      </x:c>
      <x:c r="P471" t="str">
        <x:v>W</x:v>
      </x:c>
      <x:c r="Q471" t="str">
        <x:v>W</x:v>
      </x:c>
      <x:c r="R471" t="str">
        <x:v>B</x:v>
      </x:c>
      <x:c r="S471" t="str">
        <x:v>B</x:v>
      </x:c>
      <x:c r="T471" t="str">
        <x:v>B</x:v>
      </x:c>
      <x:c r="U471" t="str">
        <x:v>B</x:v>
      </x:c>
      <x:c r="V471" t="n">
        <x:f>COUNTIF(B471:U471,"W")</x:f>
        <x:v>5</x:v>
      </x:c>
      <x:c r="W471" s="5" t="str">
        <x:f>IF(COUNTIF(B471:D471,"W")&gt;0,"Y","N")</x:f>
        <x:v>N</x:v>
      </x:c>
      <x:c r="X471" s="5" t="str">
        <x:f>IF(COUNTIF(B471:I471,"W")&gt;=4,"Y","N")</x:f>
        <x:v>N</x:v>
      </x:c>
      <x:c r="Y471" s="1"/>
      <x:c r="Z471" s="1"/>
      <x:c r="AA471" s="1"/>
      <x:c r="AB471" s="1"/>
      <x:c r="AC471" s="1"/>
      <x:c r="AD471" s="1"/>
      <x:c r="AE471" s="1"/>
    </x:row>
    <x:row r="472">
      <x:c r="A472" s="1">
        <x:v>471</x:v>
      </x:c>
      <x:c r="B472" t="str">
        <x:v>W</x:v>
      </x:c>
      <x:c r="C472" t="str">
        <x:v>W</x:v>
      </x:c>
      <x:c r="D472" t="str">
        <x:v>B</x:v>
      </x:c>
      <x:c r="E472" t="str">
        <x:v>B</x:v>
      </x:c>
      <x:c r="F472" t="str">
        <x:v>W</x:v>
      </x:c>
      <x:c r="G472" t="str">
        <x:v>B</x:v>
      </x:c>
      <x:c r="H472" t="str">
        <x:v>W</x:v>
      </x:c>
      <x:c r="I472" t="str">
        <x:v>B</x:v>
      </x:c>
      <x:c r="J472" t="str">
        <x:v>B</x:v>
      </x:c>
      <x:c r="K472" t="str">
        <x:v>B</x:v>
      </x:c>
      <x:c r="L472" t="str">
        <x:v>B</x:v>
      </x:c>
      <x:c r="M472" t="str">
        <x:v>W</x:v>
      </x:c>
      <x:c r="N472" t="str">
        <x:v>W</x:v>
      </x:c>
      <x:c r="O472" t="str">
        <x:v>W</x:v>
      </x:c>
      <x:c r="P472" t="str">
        <x:v>B</x:v>
      </x:c>
      <x:c r="Q472" t="str">
        <x:v>W</x:v>
      </x:c>
      <x:c r="R472" t="str">
        <x:v>W</x:v>
      </x:c>
      <x:c r="S472" t="str">
        <x:v>W</x:v>
      </x:c>
      <x:c r="T472" t="str">
        <x:v>W</x:v>
      </x:c>
      <x:c r="U472" t="str">
        <x:v>W</x:v>
      </x:c>
      <x:c r="V472" t="n">
        <x:f>COUNTIF(B472:U472,"W")</x:f>
        <x:v>12</x:v>
      </x:c>
      <x:c r="W472" s="5" t="str">
        <x:f>IF(COUNTIF(B472:D472,"W")&gt;0,"Y","N")</x:f>
        <x:v>Y</x:v>
      </x:c>
      <x:c r="X472" s="5" t="str">
        <x:f>IF(COUNTIF(B472:I472,"W")&gt;=4,"Y","N")</x:f>
        <x:v>Y</x:v>
      </x:c>
      <x:c r="Y472" s="1"/>
      <x:c r="Z472" s="1"/>
      <x:c r="AA472" s="1"/>
      <x:c r="AB472" s="1"/>
      <x:c r="AC472" s="1"/>
      <x:c r="AD472" s="1"/>
      <x:c r="AE472" s="1"/>
    </x:row>
    <x:row r="473">
      <x:c r="A473" s="1">
        <x:v>472</x:v>
      </x:c>
      <x:c r="B473" t="str">
        <x:v>B</x:v>
      </x:c>
      <x:c r="C473" t="str">
        <x:v>B</x:v>
      </x:c>
      <x:c r="D473" t="str">
        <x:v>B</x:v>
      </x:c>
      <x:c r="E473" t="str">
        <x:v>B</x:v>
      </x:c>
      <x:c r="F473" t="str">
        <x:v>B</x:v>
      </x:c>
      <x:c r="G473" t="str">
        <x:v>B</x:v>
      </x:c>
      <x:c r="H473" t="str">
        <x:v>B</x:v>
      </x:c>
      <x:c r="I473" t="str">
        <x:v>W</x:v>
      </x:c>
      <x:c r="J473" t="str">
        <x:v>B</x:v>
      </x:c>
      <x:c r="K473" t="str">
        <x:v>B</x:v>
      </x:c>
      <x:c r="L473" t="str">
        <x:v>B</x:v>
      </x:c>
      <x:c r="M473" t="str">
        <x:v>B</x:v>
      </x:c>
      <x:c r="N473" t="str">
        <x:v>B</x:v>
      </x:c>
      <x:c r="O473" t="str">
        <x:v>W</x:v>
      </x:c>
      <x:c r="P473" t="str">
        <x:v>B</x:v>
      </x:c>
      <x:c r="Q473" t="str">
        <x:v>B</x:v>
      </x:c>
      <x:c r="R473" t="str">
        <x:v>B</x:v>
      </x:c>
      <x:c r="S473" t="str">
        <x:v>W</x:v>
      </x:c>
      <x:c r="T473" t="str">
        <x:v>B</x:v>
      </x:c>
      <x:c r="U473" t="str">
        <x:v>B</x:v>
      </x:c>
      <x:c r="V473" t="n">
        <x:f>COUNTIF(B473:U473,"W")</x:f>
        <x:v>3</x:v>
      </x:c>
      <x:c r="W473" s="5" t="str">
        <x:f>IF(COUNTIF(B473:D473,"W")&gt;0,"Y","N")</x:f>
        <x:v>N</x:v>
      </x:c>
      <x:c r="X473" s="5" t="str">
        <x:f>IF(COUNTIF(B473:I473,"W")&gt;=4,"Y","N")</x:f>
        <x:v>N</x:v>
      </x:c>
      <x:c r="Y473" s="1"/>
      <x:c r="Z473" s="1"/>
      <x:c r="AA473" s="1"/>
      <x:c r="AB473" s="1"/>
      <x:c r="AC473" s="1"/>
      <x:c r="AD473" s="1"/>
      <x:c r="AE473" s="1"/>
    </x:row>
    <x:row r="474">
      <x:c r="A474" s="1">
        <x:v>473</x:v>
      </x:c>
      <x:c r="B474" t="str">
        <x:v>B</x:v>
      </x:c>
      <x:c r="C474" t="str">
        <x:v>B</x:v>
      </x:c>
      <x:c r="D474" t="str">
        <x:v>W</x:v>
      </x:c>
      <x:c r="E474" t="str">
        <x:v>B</x:v>
      </x:c>
      <x:c r="F474" t="str">
        <x:v>B</x:v>
      </x:c>
      <x:c r="G474" t="str">
        <x:v>B</x:v>
      </x:c>
      <x:c r="H474" t="str">
        <x:v>B</x:v>
      </x:c>
      <x:c r="I474" t="str">
        <x:v>B</x:v>
      </x:c>
      <x:c r="J474" t="str">
        <x:v>B</x:v>
      </x:c>
      <x:c r="K474" t="str">
        <x:v>B</x:v>
      </x:c>
      <x:c r="L474" t="str">
        <x:v>B</x:v>
      </x:c>
      <x:c r="M474" t="str">
        <x:v>W</x:v>
      </x:c>
      <x:c r="N474" t="str">
        <x:v>B</x:v>
      </x:c>
      <x:c r="O474" t="str">
        <x:v>B</x:v>
      </x:c>
      <x:c r="P474" t="str">
        <x:v>W</x:v>
      </x:c>
      <x:c r="Q474" t="str">
        <x:v>B</x:v>
      </x:c>
      <x:c r="R474" t="str">
        <x:v>B</x:v>
      </x:c>
      <x:c r="S474" t="str">
        <x:v>B</x:v>
      </x:c>
      <x:c r="T474" t="str">
        <x:v>B</x:v>
      </x:c>
      <x:c r="U474" t="str">
        <x:v>B</x:v>
      </x:c>
      <x:c r="V474" t="n">
        <x:f>COUNTIF(B474:U474,"W")</x:f>
        <x:v>3</x:v>
      </x:c>
      <x:c r="W474" s="5" t="str">
        <x:f>IF(COUNTIF(B474:D474,"W")&gt;0,"Y","N")</x:f>
        <x:v>Y</x:v>
      </x:c>
      <x:c r="X474" s="5" t="str">
        <x:f>IF(COUNTIF(B474:I474,"W")&gt;=4,"Y","N")</x:f>
        <x:v>N</x:v>
      </x:c>
      <x:c r="Y474" s="1"/>
      <x:c r="Z474" s="1"/>
      <x:c r="AA474" s="1"/>
      <x:c r="AB474" s="1"/>
      <x:c r="AC474" s="1"/>
      <x:c r="AD474" s="1"/>
      <x:c r="AE474" s="1"/>
    </x:row>
    <x:row r="475">
      <x:c r="A475" s="1">
        <x:v>474</x:v>
      </x:c>
      <x:c r="B475" t="str">
        <x:v>W</x:v>
      </x:c>
      <x:c r="C475" t="str">
        <x:v>W</x:v>
      </x:c>
      <x:c r="D475" t="str">
        <x:v>B</x:v>
      </x:c>
      <x:c r="E475" t="str">
        <x:v>B</x:v>
      </x:c>
      <x:c r="F475" t="str">
        <x:v>B</x:v>
      </x:c>
      <x:c r="G475" t="str">
        <x:v>W</x:v>
      </x:c>
      <x:c r="H475" t="str">
        <x:v>B</x:v>
      </x:c>
      <x:c r="I475" t="str">
        <x:v>W</x:v>
      </x:c>
      <x:c r="J475" t="str">
        <x:v>B</x:v>
      </x:c>
      <x:c r="K475" t="str">
        <x:v>B</x:v>
      </x:c>
      <x:c r="L475" t="str">
        <x:v>B</x:v>
      </x:c>
      <x:c r="M475" t="str">
        <x:v>B</x:v>
      </x:c>
      <x:c r="N475" t="str">
        <x:v>B</x:v>
      </x:c>
      <x:c r="O475" t="str">
        <x:v>B</x:v>
      </x:c>
      <x:c r="P475" t="str">
        <x:v>B</x:v>
      </x:c>
      <x:c r="Q475" t="str">
        <x:v>B</x:v>
      </x:c>
      <x:c r="R475" t="str">
        <x:v>B</x:v>
      </x:c>
      <x:c r="S475" t="str">
        <x:v>W</x:v>
      </x:c>
      <x:c r="T475" t="str">
        <x:v>W</x:v>
      </x:c>
      <x:c r="U475" t="str">
        <x:v>B</x:v>
      </x:c>
      <x:c r="V475" t="n">
        <x:f>COUNTIF(B475:U475,"W")</x:f>
        <x:v>6</x:v>
      </x:c>
      <x:c r="W475" s="5" t="str">
        <x:f>IF(COUNTIF(B475:D475,"W")&gt;0,"Y","N")</x:f>
        <x:v>Y</x:v>
      </x:c>
      <x:c r="X475" s="5" t="str">
        <x:f>IF(COUNTIF(B475:I475,"W")&gt;=4,"Y","N")</x:f>
        <x:v>Y</x:v>
      </x:c>
      <x:c r="Y475" s="1"/>
      <x:c r="Z475" s="1"/>
      <x:c r="AA475" s="1"/>
      <x:c r="AB475" s="1"/>
      <x:c r="AC475" s="1"/>
      <x:c r="AD475" s="1"/>
      <x:c r="AE475" s="1"/>
    </x:row>
    <x:row r="476">
      <x:c r="A476" s="1">
        <x:v>475</x:v>
      </x:c>
      <x:c r="B476" t="str">
        <x:v>W</x:v>
      </x:c>
      <x:c r="C476" t="str">
        <x:v>B</x:v>
      </x:c>
      <x:c r="D476" t="str">
        <x:v>W</x:v>
      </x:c>
      <x:c r="E476" t="str">
        <x:v>B</x:v>
      </x:c>
      <x:c r="F476" t="str">
        <x:v>B</x:v>
      </x:c>
      <x:c r="G476" t="str">
        <x:v>B</x:v>
      </x:c>
      <x:c r="H476" t="str">
        <x:v>B</x:v>
      </x:c>
      <x:c r="I476" t="str">
        <x:v>W</x:v>
      </x:c>
      <x:c r="J476" t="str">
        <x:v>B</x:v>
      </x:c>
      <x:c r="K476" t="str">
        <x:v>B</x:v>
      </x:c>
      <x:c r="L476" t="str">
        <x:v>B</x:v>
      </x:c>
      <x:c r="M476" t="str">
        <x:v>B</x:v>
      </x:c>
      <x:c r="N476" t="str">
        <x:v>W</x:v>
      </x:c>
      <x:c r="O476" t="str">
        <x:v>W</x:v>
      </x:c>
      <x:c r="P476" t="str">
        <x:v>B</x:v>
      </x:c>
      <x:c r="Q476" t="str">
        <x:v>B</x:v>
      </x:c>
      <x:c r="R476" t="str">
        <x:v>W</x:v>
      </x:c>
      <x:c r="S476" t="str">
        <x:v>W</x:v>
      </x:c>
      <x:c r="T476" t="str">
        <x:v>B</x:v>
      </x:c>
      <x:c r="U476" t="str">
        <x:v>B</x:v>
      </x:c>
      <x:c r="V476" t="n">
        <x:f>COUNTIF(B476:U476,"W")</x:f>
        <x:v>7</x:v>
      </x:c>
      <x:c r="W476" s="5" t="str">
        <x:f>IF(COUNTIF(B476:D476,"W")&gt;0,"Y","N")</x:f>
        <x:v>Y</x:v>
      </x:c>
      <x:c r="X476" s="5" t="str">
        <x:f>IF(COUNTIF(B476:I476,"W")&gt;=4,"Y","N")</x:f>
        <x:v>N</x:v>
      </x:c>
      <x:c r="Y476" s="1"/>
      <x:c r="Z476" s="1"/>
      <x:c r="AA476" s="1"/>
      <x:c r="AB476" s="1"/>
      <x:c r="AC476" s="1"/>
      <x:c r="AD476" s="1"/>
      <x:c r="AE476" s="1"/>
    </x:row>
    <x:row r="477">
      <x:c r="A477" s="1">
        <x:v>476</x:v>
      </x:c>
      <x:c r="B477" t="str">
        <x:v>B</x:v>
      </x:c>
      <x:c r="C477" t="str">
        <x:v>B</x:v>
      </x:c>
      <x:c r="D477" t="str">
        <x:v>B</x:v>
      </x:c>
      <x:c r="E477" t="str">
        <x:v>B</x:v>
      </x:c>
      <x:c r="F477" t="str">
        <x:v>W</x:v>
      </x:c>
      <x:c r="G477" t="str">
        <x:v>W</x:v>
      </x:c>
      <x:c r="H477" t="str">
        <x:v>B</x:v>
      </x:c>
      <x:c r="I477" t="str">
        <x:v>B</x:v>
      </x:c>
      <x:c r="J477" t="str">
        <x:v>B</x:v>
      </x:c>
      <x:c r="K477" t="str">
        <x:v>B</x:v>
      </x:c>
      <x:c r="L477" t="str">
        <x:v>B</x:v>
      </x:c>
      <x:c r="M477" t="str">
        <x:v>B</x:v>
      </x:c>
      <x:c r="N477" t="str">
        <x:v>W</x:v>
      </x:c>
      <x:c r="O477" t="str">
        <x:v>B</x:v>
      </x:c>
      <x:c r="P477" t="str">
        <x:v>B</x:v>
      </x:c>
      <x:c r="Q477" t="str">
        <x:v>W</x:v>
      </x:c>
      <x:c r="R477" t="str">
        <x:v>W</x:v>
      </x:c>
      <x:c r="S477" t="str">
        <x:v>B</x:v>
      </x:c>
      <x:c r="T477" t="str">
        <x:v>B</x:v>
      </x:c>
      <x:c r="U477" t="str">
        <x:v>W</x:v>
      </x:c>
      <x:c r="V477" t="n">
        <x:f>COUNTIF(B477:U477,"W")</x:f>
        <x:v>6</x:v>
      </x:c>
      <x:c r="W477" s="5" t="str">
        <x:f>IF(COUNTIF(B477:D477,"W")&gt;0,"Y","N")</x:f>
        <x:v>N</x:v>
      </x:c>
      <x:c r="X477" s="5" t="str">
        <x:f>IF(COUNTIF(B477:I477,"W")&gt;=4,"Y","N")</x:f>
        <x:v>N</x:v>
      </x:c>
      <x:c r="Y477" s="1"/>
      <x:c r="Z477" s="1"/>
      <x:c r="AA477" s="1"/>
      <x:c r="AB477" s="1"/>
      <x:c r="AC477" s="1"/>
      <x:c r="AD477" s="1"/>
      <x:c r="AE477" s="1"/>
    </x:row>
    <x:row r="478">
      <x:c r="A478" s="1">
        <x:v>477</x:v>
      </x:c>
      <x:c r="B478" t="str">
        <x:v>B</x:v>
      </x:c>
      <x:c r="C478" t="str">
        <x:v>B</x:v>
      </x:c>
      <x:c r="D478" t="str">
        <x:v>W</x:v>
      </x:c>
      <x:c r="E478" t="str">
        <x:v>B</x:v>
      </x:c>
      <x:c r="F478" t="str">
        <x:v>B</x:v>
      </x:c>
      <x:c r="G478" t="str">
        <x:v>B</x:v>
      </x:c>
      <x:c r="H478" t="str">
        <x:v>B</x:v>
      </x:c>
      <x:c r="I478" t="str">
        <x:v>B</x:v>
      </x:c>
      <x:c r="J478" t="str">
        <x:v>B</x:v>
      </x:c>
      <x:c r="K478" t="str">
        <x:v>W</x:v>
      </x:c>
      <x:c r="L478" t="str">
        <x:v>B</x:v>
      </x:c>
      <x:c r="M478" t="str">
        <x:v>W</x:v>
      </x:c>
      <x:c r="N478" t="str">
        <x:v>B</x:v>
      </x:c>
      <x:c r="O478" t="str">
        <x:v>B</x:v>
      </x:c>
      <x:c r="P478" t="str">
        <x:v>B</x:v>
      </x:c>
      <x:c r="Q478" t="str">
        <x:v>W</x:v>
      </x:c>
      <x:c r="R478" t="str">
        <x:v>B</x:v>
      </x:c>
      <x:c r="S478" t="str">
        <x:v>W</x:v>
      </x:c>
      <x:c r="T478" t="str">
        <x:v>W</x:v>
      </x:c>
      <x:c r="U478" t="str">
        <x:v>W</x:v>
      </x:c>
      <x:c r="V478" t="n">
        <x:f>COUNTIF(B478:U478,"W")</x:f>
        <x:v>7</x:v>
      </x:c>
      <x:c r="W478" s="5" t="str">
        <x:f>IF(COUNTIF(B478:D478,"W")&gt;0,"Y","N")</x:f>
        <x:v>Y</x:v>
      </x:c>
      <x:c r="X478" s="5" t="str">
        <x:f>IF(COUNTIF(B478:I478,"W")&gt;=4,"Y","N")</x:f>
        <x:v>N</x:v>
      </x:c>
      <x:c r="Y478" s="1"/>
      <x:c r="Z478" s="1"/>
      <x:c r="AA478" s="1"/>
      <x:c r="AB478" s="1"/>
      <x:c r="AC478" s="1"/>
      <x:c r="AD478" s="1"/>
      <x:c r="AE478" s="1"/>
    </x:row>
    <x:row r="479">
      <x:c r="A479" s="1">
        <x:v>478</x:v>
      </x:c>
      <x:c r="B479" t="str">
        <x:v>B</x:v>
      </x:c>
      <x:c r="C479" t="str">
        <x:v>B</x:v>
      </x:c>
      <x:c r="D479" t="str">
        <x:v>B</x:v>
      </x:c>
      <x:c r="E479" t="str">
        <x:v>W</x:v>
      </x:c>
      <x:c r="F479" t="str">
        <x:v>B</x:v>
      </x:c>
      <x:c r="G479" t="str">
        <x:v>B</x:v>
      </x:c>
      <x:c r="H479" t="str">
        <x:v>W</x:v>
      </x:c>
      <x:c r="I479" t="str">
        <x:v>B</x:v>
      </x:c>
      <x:c r="J479" t="str">
        <x:v>B</x:v>
      </x:c>
      <x:c r="K479" t="str">
        <x:v>W</x:v>
      </x:c>
      <x:c r="L479" t="str">
        <x:v>W</x:v>
      </x:c>
      <x:c r="M479" t="str">
        <x:v>W</x:v>
      </x:c>
      <x:c r="N479" t="str">
        <x:v>B</x:v>
      </x:c>
      <x:c r="O479" t="str">
        <x:v>W</x:v>
      </x:c>
      <x:c r="P479" t="str">
        <x:v>B</x:v>
      </x:c>
      <x:c r="Q479" t="str">
        <x:v>B</x:v>
      </x:c>
      <x:c r="R479" t="str">
        <x:v>W</x:v>
      </x:c>
      <x:c r="S479" t="str">
        <x:v>W</x:v>
      </x:c>
      <x:c r="T479" t="str">
        <x:v>B</x:v>
      </x:c>
      <x:c r="U479" t="str">
        <x:v>W</x:v>
      </x:c>
      <x:c r="V479" t="n">
        <x:f>COUNTIF(B479:U479,"W")</x:f>
        <x:v>9</x:v>
      </x:c>
      <x:c r="W479" s="5" t="str">
        <x:f>IF(COUNTIF(B479:D479,"W")&gt;0,"Y","N")</x:f>
        <x:v>N</x:v>
      </x:c>
      <x:c r="X479" s="5" t="str">
        <x:f>IF(COUNTIF(B479:I479,"W")&gt;=4,"Y","N")</x:f>
        <x:v>N</x:v>
      </x:c>
      <x:c r="Y479" s="1"/>
      <x:c r="Z479" s="1"/>
      <x:c r="AA479" s="1"/>
      <x:c r="AB479" s="1"/>
      <x:c r="AC479" s="1"/>
      <x:c r="AD479" s="1"/>
      <x:c r="AE479" s="1"/>
    </x:row>
    <x:row r="480">
      <x:c r="A480" s="1">
        <x:v>479</x:v>
      </x:c>
      <x:c r="B480" t="str">
        <x:v>W</x:v>
      </x:c>
      <x:c r="C480" t="str">
        <x:v>B</x:v>
      </x:c>
      <x:c r="D480" t="str">
        <x:v>W</x:v>
      </x:c>
      <x:c r="E480" t="str">
        <x:v>W</x:v>
      </x:c>
      <x:c r="F480" t="str">
        <x:v>B</x:v>
      </x:c>
      <x:c r="G480" t="str">
        <x:v>B</x:v>
      </x:c>
      <x:c r="H480" t="str">
        <x:v>B</x:v>
      </x:c>
      <x:c r="I480" t="str">
        <x:v>W</x:v>
      </x:c>
      <x:c r="J480" t="str">
        <x:v>W</x:v>
      </x:c>
      <x:c r="K480" t="str">
        <x:v>W</x:v>
      </x:c>
      <x:c r="L480" t="str">
        <x:v>B</x:v>
      </x:c>
      <x:c r="M480" t="str">
        <x:v>W</x:v>
      </x:c>
      <x:c r="N480" t="str">
        <x:v>B</x:v>
      </x:c>
      <x:c r="O480" t="str">
        <x:v>W</x:v>
      </x:c>
      <x:c r="P480" t="str">
        <x:v>B</x:v>
      </x:c>
      <x:c r="Q480" t="str">
        <x:v>B</x:v>
      </x:c>
      <x:c r="R480" t="str">
        <x:v>W</x:v>
      </x:c>
      <x:c r="S480" t="str">
        <x:v>W</x:v>
      </x:c>
      <x:c r="T480" t="str">
        <x:v>W</x:v>
      </x:c>
      <x:c r="U480" t="str">
        <x:v>B</x:v>
      </x:c>
      <x:c r="V480" t="n">
        <x:f>COUNTIF(B480:U480,"W")</x:f>
        <x:v>11</x:v>
      </x:c>
      <x:c r="W480" s="5" t="str">
        <x:f>IF(COUNTIF(B480:D480,"W")&gt;0,"Y","N")</x:f>
        <x:v>Y</x:v>
      </x:c>
      <x:c r="X480" s="5" t="str">
        <x:f>IF(COUNTIF(B480:I480,"W")&gt;=4,"Y","N")</x:f>
        <x:v>Y</x:v>
      </x:c>
      <x:c r="Y480" s="1"/>
      <x:c r="Z480" s="1"/>
      <x:c r="AA480" s="1"/>
      <x:c r="AB480" s="1"/>
      <x:c r="AC480" s="1"/>
      <x:c r="AD480" s="1"/>
      <x:c r="AE480" s="1"/>
    </x:row>
    <x:row r="481">
      <x:c r="A481" s="1">
        <x:v>480</x:v>
      </x:c>
      <x:c r="B481" t="str">
        <x:v>W</x:v>
      </x:c>
      <x:c r="C481" t="str">
        <x:v>B</x:v>
      </x:c>
      <x:c r="D481" t="str">
        <x:v>W</x:v>
      </x:c>
      <x:c r="E481" t="str">
        <x:v>B</x:v>
      </x:c>
      <x:c r="F481" t="str">
        <x:v>B</x:v>
      </x:c>
      <x:c r="G481" t="str">
        <x:v>W</x:v>
      </x:c>
      <x:c r="H481" t="str">
        <x:v>W</x:v>
      </x:c>
      <x:c r="I481" t="str">
        <x:v>B</x:v>
      </x:c>
      <x:c r="J481" t="str">
        <x:v>W</x:v>
      </x:c>
      <x:c r="K481" t="str">
        <x:v>W</x:v>
      </x:c>
      <x:c r="L481" t="str">
        <x:v>B</x:v>
      </x:c>
      <x:c r="M481" t="str">
        <x:v>W</x:v>
      </x:c>
      <x:c r="N481" t="str">
        <x:v>B</x:v>
      </x:c>
      <x:c r="O481" t="str">
        <x:v>W</x:v>
      </x:c>
      <x:c r="P481" t="str">
        <x:v>W</x:v>
      </x:c>
      <x:c r="Q481" t="str">
        <x:v>B</x:v>
      </x:c>
      <x:c r="R481" t="str">
        <x:v>B</x:v>
      </x:c>
      <x:c r="S481" t="str">
        <x:v>W</x:v>
      </x:c>
      <x:c r="T481" t="str">
        <x:v>W</x:v>
      </x:c>
      <x:c r="U481" t="str">
        <x:v>W</x:v>
      </x:c>
      <x:c r="V481" t="n">
        <x:f>COUNTIF(B481:U481,"W")</x:f>
        <x:v>12</x:v>
      </x:c>
      <x:c r="W481" s="5" t="str">
        <x:f>IF(COUNTIF(B481:D481,"W")&gt;0,"Y","N")</x:f>
        <x:v>Y</x:v>
      </x:c>
      <x:c r="X481" s="5" t="str">
        <x:f>IF(COUNTIF(B481:I481,"W")&gt;=4,"Y","N")</x:f>
        <x:v>Y</x:v>
      </x:c>
      <x:c r="Y481" s="1"/>
      <x:c r="Z481" s="1"/>
      <x:c r="AA481" s="1"/>
      <x:c r="AB481" s="1"/>
      <x:c r="AC481" s="1"/>
      <x:c r="AD481" s="1"/>
      <x:c r="AE481" s="1"/>
    </x:row>
    <x:row r="482">
      <x:c r="A482" s="1">
        <x:v>481</x:v>
      </x:c>
      <x:c r="B482" t="str">
        <x:v>W</x:v>
      </x:c>
      <x:c r="C482" t="str">
        <x:v>W</x:v>
      </x:c>
      <x:c r="D482" t="str">
        <x:v>B</x:v>
      </x:c>
      <x:c r="E482" t="str">
        <x:v>W</x:v>
      </x:c>
      <x:c r="F482" t="str">
        <x:v>B</x:v>
      </x:c>
      <x:c r="G482" t="str">
        <x:v>W</x:v>
      </x:c>
      <x:c r="H482" t="str">
        <x:v>W</x:v>
      </x:c>
      <x:c r="I482" t="str">
        <x:v>W</x:v>
      </x:c>
      <x:c r="J482" t="str">
        <x:v>B</x:v>
      </x:c>
      <x:c r="K482" t="str">
        <x:v>B</x:v>
      </x:c>
      <x:c r="L482" t="str">
        <x:v>W</x:v>
      </x:c>
      <x:c r="M482" t="str">
        <x:v>B</x:v>
      </x:c>
      <x:c r="N482" t="str">
        <x:v>B</x:v>
      </x:c>
      <x:c r="O482" t="str">
        <x:v>W</x:v>
      </x:c>
      <x:c r="P482" t="str">
        <x:v>W</x:v>
      </x:c>
      <x:c r="Q482" t="str">
        <x:v>B</x:v>
      </x:c>
      <x:c r="R482" t="str">
        <x:v>W</x:v>
      </x:c>
      <x:c r="S482" t="str">
        <x:v>W</x:v>
      </x:c>
      <x:c r="T482" t="str">
        <x:v>B</x:v>
      </x:c>
      <x:c r="U482" t="str">
        <x:v>W</x:v>
      </x:c>
      <x:c r="V482" t="n">
        <x:f>COUNTIF(B482:U482,"W")</x:f>
        <x:v>12</x:v>
      </x:c>
      <x:c r="W482" s="5" t="str">
        <x:f>IF(COUNTIF(B482:D482,"W")&gt;0,"Y","N")</x:f>
        <x:v>Y</x:v>
      </x:c>
      <x:c r="X482" s="5" t="str">
        <x:f>IF(COUNTIF(B482:I482,"W")&gt;=4,"Y","N")</x:f>
        <x:v>Y</x:v>
      </x:c>
      <x:c r="Y482" s="1"/>
      <x:c r="Z482" s="1"/>
      <x:c r="AA482" s="1"/>
      <x:c r="AB482" s="1"/>
      <x:c r="AC482" s="1"/>
      <x:c r="AD482" s="1"/>
      <x:c r="AE482" s="1"/>
    </x:row>
    <x:row r="483">
      <x:c r="A483" s="1">
        <x:v>482</x:v>
      </x:c>
      <x:c r="B483" t="str">
        <x:v>B</x:v>
      </x:c>
      <x:c r="C483" t="str">
        <x:v>W</x:v>
      </x:c>
      <x:c r="D483" t="str">
        <x:v>W</x:v>
      </x:c>
      <x:c r="E483" t="str">
        <x:v>W</x:v>
      </x:c>
      <x:c r="F483" t="str">
        <x:v>W</x:v>
      </x:c>
      <x:c r="G483" t="str">
        <x:v>B</x:v>
      </x:c>
      <x:c r="H483" t="str">
        <x:v>W</x:v>
      </x:c>
      <x:c r="I483" t="str">
        <x:v>W</x:v>
      </x:c>
      <x:c r="J483" t="str">
        <x:v>W</x:v>
      </x:c>
      <x:c r="K483" t="str">
        <x:v>W</x:v>
      </x:c>
      <x:c r="L483" t="str">
        <x:v>B</x:v>
      </x:c>
      <x:c r="M483" t="str">
        <x:v>B</x:v>
      </x:c>
      <x:c r="N483" t="str">
        <x:v>B</x:v>
      </x:c>
      <x:c r="O483" t="str">
        <x:v>B</x:v>
      </x:c>
      <x:c r="P483" t="str">
        <x:v>B</x:v>
      </x:c>
      <x:c r="Q483" t="str">
        <x:v>B</x:v>
      </x:c>
      <x:c r="R483" t="str">
        <x:v>B</x:v>
      </x:c>
      <x:c r="S483" t="str">
        <x:v>W</x:v>
      </x:c>
      <x:c r="T483" t="str">
        <x:v>W</x:v>
      </x:c>
      <x:c r="U483" t="str">
        <x:v>W</x:v>
      </x:c>
      <x:c r="V483" t="n">
        <x:f>COUNTIF(B483:U483,"W")</x:f>
        <x:v>11</x:v>
      </x:c>
      <x:c r="W483" s="5" t="str">
        <x:f>IF(COUNTIF(B483:D483,"W")&gt;0,"Y","N")</x:f>
        <x:v>Y</x:v>
      </x:c>
      <x:c r="X483" s="5" t="str">
        <x:f>IF(COUNTIF(B483:I483,"W")&gt;=4,"Y","N")</x:f>
        <x:v>Y</x:v>
      </x:c>
      <x:c r="Y483" s="1"/>
      <x:c r="Z483" s="1"/>
      <x:c r="AA483" s="1"/>
      <x:c r="AB483" s="1"/>
      <x:c r="AC483" s="1"/>
      <x:c r="AD483" s="1"/>
      <x:c r="AE483" s="1"/>
    </x:row>
    <x:row r="484">
      <x:c r="A484" s="1">
        <x:v>483</x:v>
      </x:c>
      <x:c r="B484" t="str">
        <x:v>W</x:v>
      </x:c>
      <x:c r="C484" t="str">
        <x:v>B</x:v>
      </x:c>
      <x:c r="D484" t="str">
        <x:v>W</x:v>
      </x:c>
      <x:c r="E484" t="str">
        <x:v>B</x:v>
      </x:c>
      <x:c r="F484" t="str">
        <x:v>W</x:v>
      </x:c>
      <x:c r="G484" t="str">
        <x:v>W</x:v>
      </x:c>
      <x:c r="H484" t="str">
        <x:v>B</x:v>
      </x:c>
      <x:c r="I484" t="str">
        <x:v>B</x:v>
      </x:c>
      <x:c r="J484" t="str">
        <x:v>B</x:v>
      </x:c>
      <x:c r="K484" t="str">
        <x:v>W</x:v>
      </x:c>
      <x:c r="L484" t="str">
        <x:v>W</x:v>
      </x:c>
      <x:c r="M484" t="str">
        <x:v>B</x:v>
      </x:c>
      <x:c r="N484" t="str">
        <x:v>B</x:v>
      </x:c>
      <x:c r="O484" t="str">
        <x:v>B</x:v>
      </x:c>
      <x:c r="P484" t="str">
        <x:v>W</x:v>
      </x:c>
      <x:c r="Q484" t="str">
        <x:v>B</x:v>
      </x:c>
      <x:c r="R484" t="str">
        <x:v>W</x:v>
      </x:c>
      <x:c r="S484" t="str">
        <x:v>B</x:v>
      </x:c>
      <x:c r="T484" t="str">
        <x:v>B</x:v>
      </x:c>
      <x:c r="U484" t="str">
        <x:v>W</x:v>
      </x:c>
      <x:c r="V484" t="n">
        <x:f>COUNTIF(B484:U484,"W")</x:f>
        <x:v>9</x:v>
      </x:c>
      <x:c r="W484" s="5" t="str">
        <x:f>IF(COUNTIF(B484:D484,"W")&gt;0,"Y","N")</x:f>
        <x:v>Y</x:v>
      </x:c>
      <x:c r="X484" s="5" t="str">
        <x:f>IF(COUNTIF(B484:I484,"W")&gt;=4,"Y","N")</x:f>
        <x:v>Y</x:v>
      </x:c>
      <x:c r="Y484" s="1"/>
      <x:c r="Z484" s="1"/>
      <x:c r="AA484" s="1"/>
      <x:c r="AB484" s="1"/>
      <x:c r="AC484" s="1"/>
      <x:c r="AD484" s="1"/>
      <x:c r="AE484" s="1"/>
    </x:row>
    <x:row r="485">
      <x:c r="A485" s="1">
        <x:v>484</x:v>
      </x:c>
      <x:c r="B485" t="str">
        <x:v>W</x:v>
      </x:c>
      <x:c r="C485" t="str">
        <x:v>B</x:v>
      </x:c>
      <x:c r="D485" t="str">
        <x:v>W</x:v>
      </x:c>
      <x:c r="E485" t="str">
        <x:v>W</x:v>
      </x:c>
      <x:c r="F485" t="str">
        <x:v>B</x:v>
      </x:c>
      <x:c r="G485" t="str">
        <x:v>W</x:v>
      </x:c>
      <x:c r="H485" t="str">
        <x:v>B</x:v>
      </x:c>
      <x:c r="I485" t="str">
        <x:v>B</x:v>
      </x:c>
      <x:c r="J485" t="str">
        <x:v>B</x:v>
      </x:c>
      <x:c r="K485" t="str">
        <x:v>B</x:v>
      </x:c>
      <x:c r="L485" t="str">
        <x:v>W</x:v>
      </x:c>
      <x:c r="M485" t="str">
        <x:v>B</x:v>
      </x:c>
      <x:c r="N485" t="str">
        <x:v>B</x:v>
      </x:c>
      <x:c r="O485" t="str">
        <x:v>W</x:v>
      </x:c>
      <x:c r="P485" t="str">
        <x:v>B</x:v>
      </x:c>
      <x:c r="Q485" t="str">
        <x:v>B</x:v>
      </x:c>
      <x:c r="R485" t="str">
        <x:v>W</x:v>
      </x:c>
      <x:c r="S485" t="str">
        <x:v>B</x:v>
      </x:c>
      <x:c r="T485" t="str">
        <x:v>W</x:v>
      </x:c>
      <x:c r="U485" t="str">
        <x:v>B</x:v>
      </x:c>
      <x:c r="V485" t="n">
        <x:f>COUNTIF(B485:U485,"W")</x:f>
        <x:v>8</x:v>
      </x:c>
      <x:c r="W485" s="5" t="str">
        <x:f>IF(COUNTIF(B485:D485,"W")&gt;0,"Y","N")</x:f>
        <x:v>Y</x:v>
      </x:c>
      <x:c r="X485" s="5" t="str">
        <x:f>IF(COUNTIF(B485:I485,"W")&gt;=4,"Y","N")</x:f>
        <x:v>Y</x:v>
      </x:c>
      <x:c r="Y485" s="1"/>
      <x:c r="Z485" s="1"/>
      <x:c r="AA485" s="1"/>
      <x:c r="AB485" s="1"/>
      <x:c r="AC485" s="1"/>
      <x:c r="AD485" s="1"/>
      <x:c r="AE485" s="1"/>
    </x:row>
    <x:row r="486">
      <x:c r="A486" s="1">
        <x:v>485</x:v>
      </x:c>
      <x:c r="B486" t="str">
        <x:v>W</x:v>
      </x:c>
      <x:c r="C486" t="str">
        <x:v>B</x:v>
      </x:c>
      <x:c r="D486" t="str">
        <x:v>B</x:v>
      </x:c>
      <x:c r="E486" t="str">
        <x:v>W</x:v>
      </x:c>
      <x:c r="F486" t="str">
        <x:v>W</x:v>
      </x:c>
      <x:c r="G486" t="str">
        <x:v>W</x:v>
      </x:c>
      <x:c r="H486" t="str">
        <x:v>W</x:v>
      </x:c>
      <x:c r="I486" t="str">
        <x:v>B</x:v>
      </x:c>
      <x:c r="J486" t="str">
        <x:v>B</x:v>
      </x:c>
      <x:c r="K486" t="str">
        <x:v>B</x:v>
      </x:c>
      <x:c r="L486" t="str">
        <x:v>B</x:v>
      </x:c>
      <x:c r="M486" t="str">
        <x:v>B</x:v>
      </x:c>
      <x:c r="N486" t="str">
        <x:v>B</x:v>
      </x:c>
      <x:c r="O486" t="str">
        <x:v>W</x:v>
      </x:c>
      <x:c r="P486" t="str">
        <x:v>B</x:v>
      </x:c>
      <x:c r="Q486" t="str">
        <x:v>W</x:v>
      </x:c>
      <x:c r="R486" t="str">
        <x:v>B</x:v>
      </x:c>
      <x:c r="S486" t="str">
        <x:v>B</x:v>
      </x:c>
      <x:c r="T486" t="str">
        <x:v>W</x:v>
      </x:c>
      <x:c r="U486" t="str">
        <x:v>B</x:v>
      </x:c>
      <x:c r="V486" t="n">
        <x:f>COUNTIF(B486:U486,"W")</x:f>
        <x:v>8</x:v>
      </x:c>
      <x:c r="W486" s="5" t="str">
        <x:f>IF(COUNTIF(B486:D486,"W")&gt;0,"Y","N")</x:f>
        <x:v>Y</x:v>
      </x:c>
      <x:c r="X486" s="5" t="str">
        <x:f>IF(COUNTIF(B486:I486,"W")&gt;=4,"Y","N")</x:f>
        <x:v>Y</x:v>
      </x:c>
      <x:c r="Y486" s="1"/>
      <x:c r="Z486" s="1"/>
      <x:c r="AA486" s="1"/>
      <x:c r="AB486" s="1"/>
      <x:c r="AC486" s="1"/>
      <x:c r="AD486" s="1"/>
      <x:c r="AE486" s="1"/>
    </x:row>
    <x:row r="487">
      <x:c r="A487" s="1">
        <x:v>486</x:v>
      </x:c>
      <x:c r="B487" t="str">
        <x:v>B</x:v>
      </x:c>
      <x:c r="C487" t="str">
        <x:v>W</x:v>
      </x:c>
      <x:c r="D487" t="str">
        <x:v>W</x:v>
      </x:c>
      <x:c r="E487" t="str">
        <x:v>B</x:v>
      </x:c>
      <x:c r="F487" t="str">
        <x:v>B</x:v>
      </x:c>
      <x:c r="G487" t="str">
        <x:v>W</x:v>
      </x:c>
      <x:c r="H487" t="str">
        <x:v>B</x:v>
      </x:c>
      <x:c r="I487" t="str">
        <x:v>W</x:v>
      </x:c>
      <x:c r="J487" t="str">
        <x:v>B</x:v>
      </x:c>
      <x:c r="K487" t="str">
        <x:v>W</x:v>
      </x:c>
      <x:c r="L487" t="str">
        <x:v>B</x:v>
      </x:c>
      <x:c r="M487" t="str">
        <x:v>W</x:v>
      </x:c>
      <x:c r="N487" t="str">
        <x:v>B</x:v>
      </x:c>
      <x:c r="O487" t="str">
        <x:v>W</x:v>
      </x:c>
      <x:c r="P487" t="str">
        <x:v>B</x:v>
      </x:c>
      <x:c r="Q487" t="str">
        <x:v>B</x:v>
      </x:c>
      <x:c r="R487" t="str">
        <x:v>B</x:v>
      </x:c>
      <x:c r="S487" t="str">
        <x:v>B</x:v>
      </x:c>
      <x:c r="T487" t="str">
        <x:v>B</x:v>
      </x:c>
      <x:c r="U487" t="str">
        <x:v>W</x:v>
      </x:c>
      <x:c r="V487" t="n">
        <x:f>COUNTIF(B487:U487,"W")</x:f>
        <x:v>8</x:v>
      </x:c>
      <x:c r="W487" s="5" t="str">
        <x:f>IF(COUNTIF(B487:D487,"W")&gt;0,"Y","N")</x:f>
        <x:v>Y</x:v>
      </x:c>
      <x:c r="X487" s="5" t="str">
        <x:f>IF(COUNTIF(B487:I487,"W")&gt;=4,"Y","N")</x:f>
        <x:v>Y</x:v>
      </x:c>
      <x:c r="Y487" s="1"/>
      <x:c r="Z487" s="1"/>
      <x:c r="AA487" s="1"/>
      <x:c r="AB487" s="1"/>
      <x:c r="AC487" s="1"/>
      <x:c r="AD487" s="1"/>
      <x:c r="AE487" s="1"/>
    </x:row>
    <x:row r="488">
      <x:c r="A488" s="1">
        <x:v>487</x:v>
      </x:c>
      <x:c r="B488" t="str">
        <x:v>B</x:v>
      </x:c>
      <x:c r="C488" t="str">
        <x:v>B</x:v>
      </x:c>
      <x:c r="D488" t="str">
        <x:v>W</x:v>
      </x:c>
      <x:c r="E488" t="str">
        <x:v>W</x:v>
      </x:c>
      <x:c r="F488" t="str">
        <x:v>B</x:v>
      </x:c>
      <x:c r="G488" t="str">
        <x:v>B</x:v>
      </x:c>
      <x:c r="H488" t="str">
        <x:v>B</x:v>
      </x:c>
      <x:c r="I488" t="str">
        <x:v>W</x:v>
      </x:c>
      <x:c r="J488" t="str">
        <x:v>B</x:v>
      </x:c>
      <x:c r="K488" t="str">
        <x:v>W</x:v>
      </x:c>
      <x:c r="L488" t="str">
        <x:v>B</x:v>
      </x:c>
      <x:c r="M488" t="str">
        <x:v>B</x:v>
      </x:c>
      <x:c r="N488" t="str">
        <x:v>W</x:v>
      </x:c>
      <x:c r="O488" t="str">
        <x:v>W</x:v>
      </x:c>
      <x:c r="P488" t="str">
        <x:v>B</x:v>
      </x:c>
      <x:c r="Q488" t="str">
        <x:v>W</x:v>
      </x:c>
      <x:c r="R488" t="str">
        <x:v>B</x:v>
      </x:c>
      <x:c r="S488" t="str">
        <x:v>B</x:v>
      </x:c>
      <x:c r="T488" t="str">
        <x:v>B</x:v>
      </x:c>
      <x:c r="U488" t="str">
        <x:v>B</x:v>
      </x:c>
      <x:c r="V488" t="n">
        <x:f>COUNTIF(B488:U488,"W")</x:f>
        <x:v>7</x:v>
      </x:c>
      <x:c r="W488" s="5" t="str">
        <x:f>IF(COUNTIF(B488:D488,"W")&gt;0,"Y","N")</x:f>
        <x:v>Y</x:v>
      </x:c>
      <x:c r="X488" s="5" t="str">
        <x:f>IF(COUNTIF(B488:I488,"W")&gt;=4,"Y","N")</x:f>
        <x:v>N</x:v>
      </x:c>
      <x:c r="Y488" s="1"/>
      <x:c r="Z488" s="1"/>
      <x:c r="AA488" s="1"/>
      <x:c r="AB488" s="1"/>
      <x:c r="AC488" s="1"/>
      <x:c r="AD488" s="1"/>
      <x:c r="AE488" s="1"/>
    </x:row>
    <x:row r="489">
      <x:c r="A489" s="1">
        <x:v>488</x:v>
      </x:c>
      <x:c r="B489" t="str">
        <x:v>B</x:v>
      </x:c>
      <x:c r="C489" t="str">
        <x:v>B</x:v>
      </x:c>
      <x:c r="D489" t="str">
        <x:v>W</x:v>
      </x:c>
      <x:c r="E489" t="str">
        <x:v>W</x:v>
      </x:c>
      <x:c r="F489" t="str">
        <x:v>W</x:v>
      </x:c>
      <x:c r="G489" t="str">
        <x:v>B</x:v>
      </x:c>
      <x:c r="H489" t="str">
        <x:v>B</x:v>
      </x:c>
      <x:c r="I489" t="str">
        <x:v>B</x:v>
      </x:c>
      <x:c r="J489" t="str">
        <x:v>B</x:v>
      </x:c>
      <x:c r="K489" t="str">
        <x:v>B</x:v>
      </x:c>
      <x:c r="L489" t="str">
        <x:v>B</x:v>
      </x:c>
      <x:c r="M489" t="str">
        <x:v>B</x:v>
      </x:c>
      <x:c r="N489" t="str">
        <x:v>B</x:v>
      </x:c>
      <x:c r="O489" t="str">
        <x:v>B</x:v>
      </x:c>
      <x:c r="P489" t="str">
        <x:v>B</x:v>
      </x:c>
      <x:c r="Q489" t="str">
        <x:v>B</x:v>
      </x:c>
      <x:c r="R489" t="str">
        <x:v>B</x:v>
      </x:c>
      <x:c r="S489" t="str">
        <x:v>B</x:v>
      </x:c>
      <x:c r="T489" t="str">
        <x:v>B</x:v>
      </x:c>
      <x:c r="U489" t="str">
        <x:v>W</x:v>
      </x:c>
      <x:c r="V489" t="n">
        <x:f>COUNTIF(B489:U489,"W")</x:f>
        <x:v>4</x:v>
      </x:c>
      <x:c r="W489" s="5" t="str">
        <x:f>IF(COUNTIF(B489:D489,"W")&gt;0,"Y","N")</x:f>
        <x:v>Y</x:v>
      </x:c>
      <x:c r="X489" s="5" t="str">
        <x:f>IF(COUNTIF(B489:I489,"W")&gt;=4,"Y","N")</x:f>
        <x:v>N</x:v>
      </x:c>
      <x:c r="Y489" s="1"/>
      <x:c r="Z489" s="1"/>
      <x:c r="AA489" s="1"/>
      <x:c r="AB489" s="1"/>
      <x:c r="AC489" s="1"/>
      <x:c r="AD489" s="1"/>
      <x:c r="AE489" s="1"/>
    </x:row>
    <x:row r="490">
      <x:c r="A490" s="1">
        <x:v>489</x:v>
      </x:c>
      <x:c r="B490" t="str">
        <x:v>W</x:v>
      </x:c>
      <x:c r="C490" t="str">
        <x:v>B</x:v>
      </x:c>
      <x:c r="D490" t="str">
        <x:v>W</x:v>
      </x:c>
      <x:c r="E490" t="str">
        <x:v>B</x:v>
      </x:c>
      <x:c r="F490" t="str">
        <x:v>W</x:v>
      </x:c>
      <x:c r="G490" t="str">
        <x:v>B</x:v>
      </x:c>
      <x:c r="H490" t="str">
        <x:v>B</x:v>
      </x:c>
      <x:c r="I490" t="str">
        <x:v>B</x:v>
      </x:c>
      <x:c r="J490" t="str">
        <x:v>B</x:v>
      </x:c>
      <x:c r="K490" t="str">
        <x:v>W</x:v>
      </x:c>
      <x:c r="L490" t="str">
        <x:v>W</x:v>
      </x:c>
      <x:c r="M490" t="str">
        <x:v>B</x:v>
      </x:c>
      <x:c r="N490" t="str">
        <x:v>W</x:v>
      </x:c>
      <x:c r="O490" t="str">
        <x:v>B</x:v>
      </x:c>
      <x:c r="P490" t="str">
        <x:v>W</x:v>
      </x:c>
      <x:c r="Q490" t="str">
        <x:v>W</x:v>
      </x:c>
      <x:c r="R490" t="str">
        <x:v>W</x:v>
      </x:c>
      <x:c r="S490" t="str">
        <x:v>W</x:v>
      </x:c>
      <x:c r="T490" t="str">
        <x:v>W</x:v>
      </x:c>
      <x:c r="U490" t="str">
        <x:v>B</x:v>
      </x:c>
      <x:c r="V490" t="n">
        <x:f>COUNTIF(B490:U490,"W")</x:f>
        <x:v>11</x:v>
      </x:c>
      <x:c r="W490" s="5" t="str">
        <x:f>IF(COUNTIF(B490:D490,"W")&gt;0,"Y","N")</x:f>
        <x:v>Y</x:v>
      </x:c>
      <x:c r="X490" s="5" t="str">
        <x:f>IF(COUNTIF(B490:I490,"W")&gt;=4,"Y","N")</x:f>
        <x:v>N</x:v>
      </x:c>
      <x:c r="Y490" s="1"/>
      <x:c r="Z490" s="1"/>
      <x:c r="AA490" s="1"/>
      <x:c r="AB490" s="1"/>
      <x:c r="AC490" s="1"/>
      <x:c r="AD490" s="1"/>
      <x:c r="AE490" s="1"/>
    </x:row>
    <x:row r="491">
      <x:c r="A491" s="1">
        <x:v>490</x:v>
      </x:c>
      <x:c r="B491" t="str">
        <x:v>B</x:v>
      </x:c>
      <x:c r="C491" t="str">
        <x:v>W</x:v>
      </x:c>
      <x:c r="D491" t="str">
        <x:v>W</x:v>
      </x:c>
      <x:c r="E491" t="str">
        <x:v>B</x:v>
      </x:c>
      <x:c r="F491" t="str">
        <x:v>W</x:v>
      </x:c>
      <x:c r="G491" t="str">
        <x:v>B</x:v>
      </x:c>
      <x:c r="H491" t="str">
        <x:v>W</x:v>
      </x:c>
      <x:c r="I491" t="str">
        <x:v>W</x:v>
      </x:c>
      <x:c r="J491" t="str">
        <x:v>W</x:v>
      </x:c>
      <x:c r="K491" t="str">
        <x:v>B</x:v>
      </x:c>
      <x:c r="L491" t="str">
        <x:v>B</x:v>
      </x:c>
      <x:c r="M491" t="str">
        <x:v>B</x:v>
      </x:c>
      <x:c r="N491" t="str">
        <x:v>B</x:v>
      </x:c>
      <x:c r="O491" t="str">
        <x:v>B</x:v>
      </x:c>
      <x:c r="P491" t="str">
        <x:v>W</x:v>
      </x:c>
      <x:c r="Q491" t="str">
        <x:v>W</x:v>
      </x:c>
      <x:c r="R491" t="str">
        <x:v>W</x:v>
      </x:c>
      <x:c r="S491" t="str">
        <x:v>W</x:v>
      </x:c>
      <x:c r="T491" t="str">
        <x:v>B</x:v>
      </x:c>
      <x:c r="U491" t="str">
        <x:v>B</x:v>
      </x:c>
      <x:c r="V491" t="n">
        <x:f>COUNTIF(B491:U491,"W")</x:f>
        <x:v>10</x:v>
      </x:c>
      <x:c r="W491" s="5" t="str">
        <x:f>IF(COUNTIF(B491:D491,"W")&gt;0,"Y","N")</x:f>
        <x:v>Y</x:v>
      </x:c>
      <x:c r="X491" s="5" t="str">
        <x:f>IF(COUNTIF(B491:I491,"W")&gt;=4,"Y","N")</x:f>
        <x:v>Y</x:v>
      </x:c>
      <x:c r="Y491" s="1"/>
      <x:c r="Z491" s="1"/>
      <x:c r="AA491" s="1"/>
      <x:c r="AB491" s="1"/>
      <x:c r="AC491" s="1"/>
      <x:c r="AD491" s="1"/>
      <x:c r="AE491" s="1"/>
    </x:row>
    <x:row r="492">
      <x:c r="A492" s="1">
        <x:v>491</x:v>
      </x:c>
      <x:c r="B492" t="str">
        <x:v>W</x:v>
      </x:c>
      <x:c r="C492" t="str">
        <x:v>B</x:v>
      </x:c>
      <x:c r="D492" t="str">
        <x:v>W</x:v>
      </x:c>
      <x:c r="E492" t="str">
        <x:v>B</x:v>
      </x:c>
      <x:c r="F492" t="str">
        <x:v>B</x:v>
      </x:c>
      <x:c r="G492" t="str">
        <x:v>B</x:v>
      </x:c>
      <x:c r="H492" t="str">
        <x:v>B</x:v>
      </x:c>
      <x:c r="I492" t="str">
        <x:v>B</x:v>
      </x:c>
      <x:c r="J492" t="str">
        <x:v>B</x:v>
      </x:c>
      <x:c r="K492" t="str">
        <x:v>W</x:v>
      </x:c>
      <x:c r="L492" t="str">
        <x:v>B</x:v>
      </x:c>
      <x:c r="M492" t="str">
        <x:v>B</x:v>
      </x:c>
      <x:c r="N492" t="str">
        <x:v>B</x:v>
      </x:c>
      <x:c r="O492" t="str">
        <x:v>B</x:v>
      </x:c>
      <x:c r="P492" t="str">
        <x:v>B</x:v>
      </x:c>
      <x:c r="Q492" t="str">
        <x:v>B</x:v>
      </x:c>
      <x:c r="R492" t="str">
        <x:v>W</x:v>
      </x:c>
      <x:c r="S492" t="str">
        <x:v>W</x:v>
      </x:c>
      <x:c r="T492" t="str">
        <x:v>B</x:v>
      </x:c>
      <x:c r="U492" t="str">
        <x:v>W</x:v>
      </x:c>
      <x:c r="V492" t="n">
        <x:f>COUNTIF(B492:U492,"W")</x:f>
        <x:v>6</x:v>
      </x:c>
      <x:c r="W492" s="5" t="str">
        <x:f>IF(COUNTIF(B492:D492,"W")&gt;0,"Y","N")</x:f>
        <x:v>Y</x:v>
      </x:c>
      <x:c r="X492" s="5" t="str">
        <x:f>IF(COUNTIF(B492:I492,"W")&gt;=4,"Y","N")</x:f>
        <x:v>N</x:v>
      </x:c>
      <x:c r="Y492" s="1"/>
      <x:c r="Z492" s="1"/>
      <x:c r="AA492" s="1"/>
      <x:c r="AB492" s="1"/>
      <x:c r="AC492" s="1"/>
      <x:c r="AD492" s="1"/>
      <x:c r="AE492" s="1"/>
    </x:row>
    <x:row r="493">
      <x:c r="A493" s="1">
        <x:v>492</x:v>
      </x:c>
      <x:c r="B493" t="str">
        <x:v>W</x:v>
      </x:c>
      <x:c r="C493" t="str">
        <x:v>B</x:v>
      </x:c>
      <x:c r="D493" t="str">
        <x:v>B</x:v>
      </x:c>
      <x:c r="E493" t="str">
        <x:v>B</x:v>
      </x:c>
      <x:c r="F493" t="str">
        <x:v>W</x:v>
      </x:c>
      <x:c r="G493" t="str">
        <x:v>B</x:v>
      </x:c>
      <x:c r="H493" t="str">
        <x:v>W</x:v>
      </x:c>
      <x:c r="I493" t="str">
        <x:v>B</x:v>
      </x:c>
      <x:c r="J493" t="str">
        <x:v>W</x:v>
      </x:c>
      <x:c r="K493" t="str">
        <x:v>B</x:v>
      </x:c>
      <x:c r="L493" t="str">
        <x:v>B</x:v>
      </x:c>
      <x:c r="M493" t="str">
        <x:v>B</x:v>
      </x:c>
      <x:c r="N493" t="str">
        <x:v>B</x:v>
      </x:c>
      <x:c r="O493" t="str">
        <x:v>B</x:v>
      </x:c>
      <x:c r="P493" t="str">
        <x:v>B</x:v>
      </x:c>
      <x:c r="Q493" t="str">
        <x:v>B</x:v>
      </x:c>
      <x:c r="R493" t="str">
        <x:v>W</x:v>
      </x:c>
      <x:c r="S493" t="str">
        <x:v>W</x:v>
      </x:c>
      <x:c r="T493" t="str">
        <x:v>B</x:v>
      </x:c>
      <x:c r="U493" t="str">
        <x:v>B</x:v>
      </x:c>
      <x:c r="V493" t="n">
        <x:f>COUNTIF(B493:U493,"W")</x:f>
        <x:v>6</x:v>
      </x:c>
      <x:c r="W493" s="5" t="str">
        <x:f>IF(COUNTIF(B493:D493,"W")&gt;0,"Y","N")</x:f>
        <x:v>Y</x:v>
      </x:c>
      <x:c r="X493" s="5" t="str">
        <x:f>IF(COUNTIF(B493:I493,"W")&gt;=4,"Y","N")</x:f>
        <x:v>N</x:v>
      </x:c>
      <x:c r="Y493" s="1"/>
      <x:c r="Z493" s="1"/>
      <x:c r="AA493" s="1"/>
      <x:c r="AB493" s="1"/>
      <x:c r="AC493" s="1"/>
      <x:c r="AD493" s="1"/>
      <x:c r="AE493" s="1"/>
    </x:row>
    <x:row r="494">
      <x:c r="A494" s="1">
        <x:v>493</x:v>
      </x:c>
      <x:c r="B494" t="str">
        <x:v>B</x:v>
      </x:c>
      <x:c r="C494" t="str">
        <x:v>W</x:v>
      </x:c>
      <x:c r="D494" t="str">
        <x:v>W</x:v>
      </x:c>
      <x:c r="E494" t="str">
        <x:v>B</x:v>
      </x:c>
      <x:c r="F494" t="str">
        <x:v>B</x:v>
      </x:c>
      <x:c r="G494" t="str">
        <x:v>B</x:v>
      </x:c>
      <x:c r="H494" t="str">
        <x:v>W</x:v>
      </x:c>
      <x:c r="I494" t="str">
        <x:v>W</x:v>
      </x:c>
      <x:c r="J494" t="str">
        <x:v>B</x:v>
      </x:c>
      <x:c r="K494" t="str">
        <x:v>B</x:v>
      </x:c>
      <x:c r="L494" t="str">
        <x:v>B</x:v>
      </x:c>
      <x:c r="M494" t="str">
        <x:v>B</x:v>
      </x:c>
      <x:c r="N494" t="str">
        <x:v>B</x:v>
      </x:c>
      <x:c r="O494" t="str">
        <x:v>B</x:v>
      </x:c>
      <x:c r="P494" t="str">
        <x:v>B</x:v>
      </x:c>
      <x:c r="Q494" t="str">
        <x:v>B</x:v>
      </x:c>
      <x:c r="R494" t="str">
        <x:v>B</x:v>
      </x:c>
      <x:c r="S494" t="str">
        <x:v>W</x:v>
      </x:c>
      <x:c r="T494" t="str">
        <x:v>B</x:v>
      </x:c>
      <x:c r="U494" t="str">
        <x:v>B</x:v>
      </x:c>
      <x:c r="V494" t="n">
        <x:f>COUNTIF(B494:U494,"W")</x:f>
        <x:v>5</x:v>
      </x:c>
      <x:c r="W494" s="5" t="str">
        <x:f>IF(COUNTIF(B494:D494,"W")&gt;0,"Y","N")</x:f>
        <x:v>Y</x:v>
      </x:c>
      <x:c r="X494" s="5" t="str">
        <x:f>IF(COUNTIF(B494:I494,"W")&gt;=4,"Y","N")</x:f>
        <x:v>Y</x:v>
      </x:c>
      <x:c r="Y494" s="1"/>
      <x:c r="Z494" s="1"/>
      <x:c r="AA494" s="1"/>
      <x:c r="AB494" s="1"/>
      <x:c r="AC494" s="1"/>
      <x:c r="AD494" s="1"/>
      <x:c r="AE494" s="1"/>
    </x:row>
    <x:row r="495">
      <x:c r="A495" s="1">
        <x:v>494</x:v>
      </x:c>
      <x:c r="B495" t="str">
        <x:v>W</x:v>
      </x:c>
      <x:c r="C495" t="str">
        <x:v>W</x:v>
      </x:c>
      <x:c r="D495" t="str">
        <x:v>W</x:v>
      </x:c>
      <x:c r="E495" t="str">
        <x:v>B</x:v>
      </x:c>
      <x:c r="F495" t="str">
        <x:v>B</x:v>
      </x:c>
      <x:c r="G495" t="str">
        <x:v>W</x:v>
      </x:c>
      <x:c r="H495" t="str">
        <x:v>W</x:v>
      </x:c>
      <x:c r="I495" t="str">
        <x:v>W</x:v>
      </x:c>
      <x:c r="J495" t="str">
        <x:v>W</x:v>
      </x:c>
      <x:c r="K495" t="str">
        <x:v>B</x:v>
      </x:c>
      <x:c r="L495" t="str">
        <x:v>W</x:v>
      </x:c>
      <x:c r="M495" t="str">
        <x:v>W</x:v>
      </x:c>
      <x:c r="N495" t="str">
        <x:v>B</x:v>
      </x:c>
      <x:c r="O495" t="str">
        <x:v>B</x:v>
      </x:c>
      <x:c r="P495" t="str">
        <x:v>W</x:v>
      </x:c>
      <x:c r="Q495" t="str">
        <x:v>W</x:v>
      </x:c>
      <x:c r="R495" t="str">
        <x:v>B</x:v>
      </x:c>
      <x:c r="S495" t="str">
        <x:v>W</x:v>
      </x:c>
      <x:c r="T495" t="str">
        <x:v>W</x:v>
      </x:c>
      <x:c r="U495" t="str">
        <x:v>B</x:v>
      </x:c>
      <x:c r="V495" t="n">
        <x:f>COUNTIF(B495:U495,"W")</x:f>
        <x:v>13</x:v>
      </x:c>
      <x:c r="W495" s="5" t="str">
        <x:f>IF(COUNTIF(B495:D495,"W")&gt;0,"Y","N")</x:f>
        <x:v>Y</x:v>
      </x:c>
      <x:c r="X495" s="5" t="str">
        <x:f>IF(COUNTIF(B495:I495,"W")&gt;=4,"Y","N")</x:f>
        <x:v>Y</x:v>
      </x:c>
      <x:c r="Y495" s="1"/>
      <x:c r="Z495" s="1"/>
      <x:c r="AA495" s="1"/>
      <x:c r="AB495" s="1"/>
      <x:c r="AC495" s="1"/>
      <x:c r="AD495" s="1"/>
      <x:c r="AE495" s="1"/>
    </x:row>
    <x:row r="496">
      <x:c r="A496" s="1">
        <x:v>495</x:v>
      </x:c>
      <x:c r="B496" t="str">
        <x:v>B</x:v>
      </x:c>
      <x:c r="C496" t="str">
        <x:v>B</x:v>
      </x:c>
      <x:c r="D496" t="str">
        <x:v>B</x:v>
      </x:c>
      <x:c r="E496" t="str">
        <x:v>B</x:v>
      </x:c>
      <x:c r="F496" t="str">
        <x:v>B</x:v>
      </x:c>
      <x:c r="G496" t="str">
        <x:v>B</x:v>
      </x:c>
      <x:c r="H496" t="str">
        <x:v>B</x:v>
      </x:c>
      <x:c r="I496" t="str">
        <x:v>W</x:v>
      </x:c>
      <x:c r="J496" t="str">
        <x:v>B</x:v>
      </x:c>
      <x:c r="K496" t="str">
        <x:v>W</x:v>
      </x:c>
      <x:c r="L496" t="str">
        <x:v>B</x:v>
      </x:c>
      <x:c r="M496" t="str">
        <x:v>B</x:v>
      </x:c>
      <x:c r="N496" t="str">
        <x:v>B</x:v>
      </x:c>
      <x:c r="O496" t="str">
        <x:v>B</x:v>
      </x:c>
      <x:c r="P496" t="str">
        <x:v>B</x:v>
      </x:c>
      <x:c r="Q496" t="str">
        <x:v>B</x:v>
      </x:c>
      <x:c r="R496" t="str">
        <x:v>W</x:v>
      </x:c>
      <x:c r="S496" t="str">
        <x:v>B</x:v>
      </x:c>
      <x:c r="T496" t="str">
        <x:v>W</x:v>
      </x:c>
      <x:c r="U496" t="str">
        <x:v>B</x:v>
      </x:c>
      <x:c r="V496" t="n">
        <x:f>COUNTIF(B496:U496,"W")</x:f>
        <x:v>4</x:v>
      </x:c>
      <x:c r="W496" s="5" t="str">
        <x:f>IF(COUNTIF(B496:D496,"W")&gt;0,"Y","N")</x:f>
        <x:v>N</x:v>
      </x:c>
      <x:c r="X496" s="5" t="str">
        <x:f>IF(COUNTIF(B496:I496,"W")&gt;=4,"Y","N")</x:f>
        <x:v>N</x:v>
      </x:c>
      <x:c r="Y496" s="1"/>
      <x:c r="Z496" s="1"/>
      <x:c r="AA496" s="1"/>
      <x:c r="AB496" s="1"/>
      <x:c r="AC496" s="1"/>
      <x:c r="AD496" s="1"/>
      <x:c r="AE496" s="1"/>
    </x:row>
    <x:row r="497">
      <x:c r="A497" s="1">
        <x:v>496</x:v>
      </x:c>
      <x:c r="B497" t="str">
        <x:v>B</x:v>
      </x:c>
      <x:c r="C497" t="str">
        <x:v>W</x:v>
      </x:c>
      <x:c r="D497" t="str">
        <x:v>B</x:v>
      </x:c>
      <x:c r="E497" t="str">
        <x:v>B</x:v>
      </x:c>
      <x:c r="F497" t="str">
        <x:v>W</x:v>
      </x:c>
      <x:c r="G497" t="str">
        <x:v>W</x:v>
      </x:c>
      <x:c r="H497" t="str">
        <x:v>B</x:v>
      </x:c>
      <x:c r="I497" t="str">
        <x:v>B</x:v>
      </x:c>
      <x:c r="J497" t="str">
        <x:v>B</x:v>
      </x:c>
      <x:c r="K497" t="str">
        <x:v>B</x:v>
      </x:c>
      <x:c r="L497" t="str">
        <x:v>B</x:v>
      </x:c>
      <x:c r="M497" t="str">
        <x:v>W</x:v>
      </x:c>
      <x:c r="N497" t="str">
        <x:v>B</x:v>
      </x:c>
      <x:c r="O497" t="str">
        <x:v>B</x:v>
      </x:c>
      <x:c r="P497" t="str">
        <x:v>W</x:v>
      </x:c>
      <x:c r="Q497" t="str">
        <x:v>B</x:v>
      </x:c>
      <x:c r="R497" t="str">
        <x:v>B</x:v>
      </x:c>
      <x:c r="S497" t="str">
        <x:v>B</x:v>
      </x:c>
      <x:c r="T497" t="str">
        <x:v>B</x:v>
      </x:c>
      <x:c r="U497" t="str">
        <x:v>B</x:v>
      </x:c>
      <x:c r="V497" t="n">
        <x:f>COUNTIF(B497:U497,"W")</x:f>
        <x:v>5</x:v>
      </x:c>
      <x:c r="W497" s="5" t="str">
        <x:f>IF(COUNTIF(B497:D497,"W")&gt;0,"Y","N")</x:f>
        <x:v>Y</x:v>
      </x:c>
      <x:c r="X497" s="5" t="str">
        <x:f>IF(COUNTIF(B497:I497,"W")&gt;=4,"Y","N")</x:f>
        <x:v>N</x:v>
      </x:c>
      <x:c r="Y497" s="1"/>
      <x:c r="Z497" s="1"/>
      <x:c r="AA497" s="1"/>
      <x:c r="AB497" s="1"/>
      <x:c r="AC497" s="1"/>
      <x:c r="AD497" s="1"/>
      <x:c r="AE497" s="1"/>
    </x:row>
    <x:row r="498">
      <x:c r="A498" s="1">
        <x:v>497</x:v>
      </x:c>
      <x:c r="B498" t="str">
        <x:v>W</x:v>
      </x:c>
      <x:c r="C498" t="str">
        <x:v>B</x:v>
      </x:c>
      <x:c r="D498" t="str">
        <x:v>W</x:v>
      </x:c>
      <x:c r="E498" t="str">
        <x:v>W</x:v>
      </x:c>
      <x:c r="F498" t="str">
        <x:v>B</x:v>
      </x:c>
      <x:c r="G498" t="str">
        <x:v>B</x:v>
      </x:c>
      <x:c r="H498" t="str">
        <x:v>B</x:v>
      </x:c>
      <x:c r="I498" t="str">
        <x:v>B</x:v>
      </x:c>
      <x:c r="J498" t="str">
        <x:v>B</x:v>
      </x:c>
      <x:c r="K498" t="str">
        <x:v>W</x:v>
      </x:c>
      <x:c r="L498" t="str">
        <x:v>B</x:v>
      </x:c>
      <x:c r="M498" t="str">
        <x:v>B</x:v>
      </x:c>
      <x:c r="N498" t="str">
        <x:v>B</x:v>
      </x:c>
      <x:c r="O498" t="str">
        <x:v>B</x:v>
      </x:c>
      <x:c r="P498" t="str">
        <x:v>B</x:v>
      </x:c>
      <x:c r="Q498" t="str">
        <x:v>B</x:v>
      </x:c>
      <x:c r="R498" t="str">
        <x:v>B</x:v>
      </x:c>
      <x:c r="S498" t="str">
        <x:v>B</x:v>
      </x:c>
      <x:c r="T498" t="str">
        <x:v>B</x:v>
      </x:c>
      <x:c r="U498" t="str">
        <x:v>B</x:v>
      </x:c>
      <x:c r="V498" t="n">
        <x:f>COUNTIF(B498:U498,"W")</x:f>
        <x:v>4</x:v>
      </x:c>
      <x:c r="W498" s="5" t="str">
        <x:f>IF(COUNTIF(B498:D498,"W")&gt;0,"Y","N")</x:f>
        <x:v>Y</x:v>
      </x:c>
      <x:c r="X498" s="5" t="str">
        <x:f>IF(COUNTIF(B498:I498,"W")&gt;=4,"Y","N")</x:f>
        <x:v>N</x:v>
      </x:c>
      <x:c r="Y498" s="1"/>
      <x:c r="Z498" s="1"/>
      <x:c r="AA498" s="1"/>
      <x:c r="AB498" s="1"/>
      <x:c r="AC498" s="1"/>
      <x:c r="AD498" s="1"/>
      <x:c r="AE498" s="1"/>
    </x:row>
    <x:row r="499">
      <x:c r="A499" s="1">
        <x:v>498</x:v>
      </x:c>
      <x:c r="B499" t="str">
        <x:v>B</x:v>
      </x:c>
      <x:c r="C499" t="str">
        <x:v>B</x:v>
      </x:c>
      <x:c r="D499" t="str">
        <x:v>B</x:v>
      </x:c>
      <x:c r="E499" t="str">
        <x:v>B</x:v>
      </x:c>
      <x:c r="F499" t="str">
        <x:v>W</x:v>
      </x:c>
      <x:c r="G499" t="str">
        <x:v>W</x:v>
      </x:c>
      <x:c r="H499" t="str">
        <x:v>W</x:v>
      </x:c>
      <x:c r="I499" t="str">
        <x:v>W</x:v>
      </x:c>
      <x:c r="J499" t="str">
        <x:v>B</x:v>
      </x:c>
      <x:c r="K499" t="str">
        <x:v>B</x:v>
      </x:c>
      <x:c r="L499" t="str">
        <x:v>W</x:v>
      </x:c>
      <x:c r="M499" t="str">
        <x:v>B</x:v>
      </x:c>
      <x:c r="N499" t="str">
        <x:v>B</x:v>
      </x:c>
      <x:c r="O499" t="str">
        <x:v>W</x:v>
      </x:c>
      <x:c r="P499" t="str">
        <x:v>B</x:v>
      </x:c>
      <x:c r="Q499" t="str">
        <x:v>B</x:v>
      </x:c>
      <x:c r="R499" t="str">
        <x:v>B</x:v>
      </x:c>
      <x:c r="S499" t="str">
        <x:v>B</x:v>
      </x:c>
      <x:c r="T499" t="str">
        <x:v>B</x:v>
      </x:c>
      <x:c r="U499" t="str">
        <x:v>W</x:v>
      </x:c>
      <x:c r="V499" t="n">
        <x:f>COUNTIF(B499:U499,"W")</x:f>
        <x:v>7</x:v>
      </x:c>
      <x:c r="W499" s="5" t="str">
        <x:f>IF(COUNTIF(B499:D499,"W")&gt;0,"Y","N")</x:f>
        <x:v>N</x:v>
      </x:c>
      <x:c r="X499" s="5" t="str">
        <x:f>IF(COUNTIF(B499:I499,"W")&gt;=4,"Y","N")</x:f>
        <x:v>Y</x:v>
      </x:c>
      <x:c r="Y499" s="1"/>
      <x:c r="Z499" s="1"/>
      <x:c r="AA499" s="1"/>
      <x:c r="AB499" s="1"/>
      <x:c r="AC499" s="1"/>
      <x:c r="AD499" s="1"/>
      <x:c r="AE499" s="1"/>
    </x:row>
    <x:row r="500">
      <x:c r="A500" s="1">
        <x:v>499</x:v>
      </x:c>
      <x:c r="B500" t="str">
        <x:v>B</x:v>
      </x:c>
      <x:c r="C500" t="str">
        <x:v>B</x:v>
      </x:c>
      <x:c r="D500" t="str">
        <x:v>B</x:v>
      </x:c>
      <x:c r="E500" t="str">
        <x:v>W</x:v>
      </x:c>
      <x:c r="F500" t="str">
        <x:v>B</x:v>
      </x:c>
      <x:c r="G500" t="str">
        <x:v>B</x:v>
      </x:c>
      <x:c r="H500" t="str">
        <x:v>B</x:v>
      </x:c>
      <x:c r="I500" t="str">
        <x:v>W</x:v>
      </x:c>
      <x:c r="J500" t="str">
        <x:v>W</x:v>
      </x:c>
      <x:c r="K500" t="str">
        <x:v>W</x:v>
      </x:c>
      <x:c r="L500" t="str">
        <x:v>B</x:v>
      </x:c>
      <x:c r="M500" t="str">
        <x:v>B</x:v>
      </x:c>
      <x:c r="N500" t="str">
        <x:v>B</x:v>
      </x:c>
      <x:c r="O500" t="str">
        <x:v>W</x:v>
      </x:c>
      <x:c r="P500" t="str">
        <x:v>W</x:v>
      </x:c>
      <x:c r="Q500" t="str">
        <x:v>B</x:v>
      </x:c>
      <x:c r="R500" t="str">
        <x:v>W</x:v>
      </x:c>
      <x:c r="S500" t="str">
        <x:v>B</x:v>
      </x:c>
      <x:c r="T500" t="str">
        <x:v>B</x:v>
      </x:c>
      <x:c r="U500" t="str">
        <x:v>B</x:v>
      </x:c>
      <x:c r="V500" t="n">
        <x:f>COUNTIF(B500:U500,"W")</x:f>
        <x:v>7</x:v>
      </x:c>
      <x:c r="W500" s="5" t="str">
        <x:f>IF(COUNTIF(B500:D500,"W")&gt;0,"Y","N")</x:f>
        <x:v>N</x:v>
      </x:c>
      <x:c r="X500" s="5" t="str">
        <x:f>IF(COUNTIF(B500:I500,"W")&gt;=4,"Y","N")</x:f>
        <x:v>N</x:v>
      </x:c>
      <x:c r="Y500" s="1"/>
      <x:c r="Z500" s="1"/>
      <x:c r="AA500" s="1"/>
      <x:c r="AB500" s="1"/>
      <x:c r="AC500" s="1"/>
      <x:c r="AD500" s="1"/>
      <x:c r="AE500" s="1"/>
    </x:row>
    <x:row r="501">
      <x:c r="A501" s="1">
        <x:v>500</x:v>
      </x:c>
      <x:c r="B501" t="str">
        <x:v>B</x:v>
      </x:c>
      <x:c r="C501" t="str">
        <x:v>B</x:v>
      </x:c>
      <x:c r="D501" t="str">
        <x:v>B</x:v>
      </x:c>
      <x:c r="E501" t="str">
        <x:v>W</x:v>
      </x:c>
      <x:c r="F501" t="str">
        <x:v>B</x:v>
      </x:c>
      <x:c r="G501" t="str">
        <x:v>B</x:v>
      </x:c>
      <x:c r="H501" t="str">
        <x:v>W</x:v>
      </x:c>
      <x:c r="I501" t="str">
        <x:v>B</x:v>
      </x:c>
      <x:c r="J501" t="str">
        <x:v>W</x:v>
      </x:c>
      <x:c r="K501" t="str">
        <x:v>W</x:v>
      </x:c>
      <x:c r="L501" t="str">
        <x:v>B</x:v>
      </x:c>
      <x:c r="M501" t="str">
        <x:v>B</x:v>
      </x:c>
      <x:c r="N501" t="str">
        <x:v>W</x:v>
      </x:c>
      <x:c r="O501" t="str">
        <x:v>B</x:v>
      </x:c>
      <x:c r="P501" t="str">
        <x:v>W</x:v>
      </x:c>
      <x:c r="Q501" t="str">
        <x:v>W</x:v>
      </x:c>
      <x:c r="R501" t="str">
        <x:v>W</x:v>
      </x:c>
      <x:c r="S501" t="str">
        <x:v>B</x:v>
      </x:c>
      <x:c r="T501" t="str">
        <x:v>B</x:v>
      </x:c>
      <x:c r="U501" t="str">
        <x:v>W</x:v>
      </x:c>
      <x:c r="V501" t="n">
        <x:f>COUNTIF(B501:U501,"W")</x:f>
        <x:v>9</x:v>
      </x:c>
      <x:c r="W501" s="5" t="str">
        <x:f>IF(COUNTIF(B501:D501,"W")&gt;0,"Y","N")</x:f>
        <x:v>N</x:v>
      </x:c>
      <x:c r="X501" s="5" t="str">
        <x:f>IF(COUNTIF(B501:I501,"W")&gt;=4,"Y","N")</x:f>
        <x:v>N</x:v>
      </x:c>
      <x:c r="Y501" s="1"/>
      <x:c r="Z501" s="1"/>
      <x:c r="AA501" s="1"/>
      <x:c r="AB501" s="1"/>
      <x:c r="AC501" s="1"/>
      <x:c r="AD501" s="1"/>
      <x:c r="AE501" s="1"/>
    </x:row>
  </x:sheetData>
  <x:mergeCells>
    <x:mergeCell ref="Y1:AE1"/>
  </x:mergeCells>
  <x:pageMargins left="0.7" right="0.7" top="0.75" bottom="0.75" header="0.3" footer="0.3"/>
  <x:tableParts count="1">
    <x:tablePart xmlns:r="http://schemas.openxmlformats.org/officeDocument/2006/relationships" r:id="Rad0b4fb469ae493b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2.44140625" style="1" customWidth="1"/>
    <x:col min="2" max="16" width="8.77734375" style="1" customWidth="1"/>
    <x:col min="17" max="22" width="8.88671875" style="1" customWidth="0"/>
    <x:col min="23" max="24" width="10.21875" style="1" customWidth="1"/>
    <x:col min="25" max="27" width="8.88671875" style="1" customWidth="0"/>
    <x:col min="23" max="23" width="15" hidden="0" customWidth="1"/>
    <x:col min="24" max="24" width="15" hidden="0" customWidth="1"/>
    <x:col min="25" max="25" width="15" hidden="0" customWidth="1"/>
  </x:cols>
  <x:sheetData>
    <x:row r="1">
      <x:c r="A1" s="1" t="s">
        <x:v>1</x:v>
      </x:c>
      <x:c r="B1" s="2" t="s">
        <x:v>2</x:v>
      </x:c>
      <x:c r="C1" s="2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2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13</x:v>
      </x:c>
      <x:c r="N1" s="2" t="s">
        <x:v>14</x:v>
      </x:c>
      <x:c r="O1" s="2" t="s">
        <x:v>15</x:v>
      </x:c>
      <x:c r="P1" s="2" t="s">
        <x:v>16</x:v>
      </x:c>
      <x:c r="Q1" s="2" t="s">
        <x:v>17</x:v>
      </x:c>
      <x:c r="R1" s="2" t="s">
        <x:v>18</x:v>
      </x:c>
      <x:c r="S1" s="2" t="s">
        <x:v>19</x:v>
      </x:c>
      <x:c r="T1" s="2" t="s">
        <x:v>20</x:v>
      </x:c>
      <x:c r="U1" s="2" t="s">
        <x:v>21</x:v>
      </x:c>
      <x:c r="W1" s="19" t="str">
        <x:v>Generation note</x:v>
      </x:c>
      <x:c r="X1" s="19"/>
      <x:c r="Y1" s="19"/>
    </x:row>
    <x:row r="2">
      <x:c r="A2" s="1">
        <x:v>1</x:v>
      </x:c>
      <x:c r="B2" t="str">
        <x:f>IF(RAND()&lt;'Team_Info'!$E$5,"W","B")</x:f>
        <x:v>W</x:v>
      </x:c>
      <x:c r="C2" t="str">
        <x:f>IF(RAND()&lt;(('Team_Info'!$E$2-COUNTIF($B2:B2,"W"))/('Team_Info'!$E$4-1)),"W","B")</x:f>
        <x:v>B</x:v>
      </x:c>
      <x:c r="D2" t="str">
        <x:f>IF(RAND()&lt;(('Team_Info'!$E$2-COUNTIF($B2:C2,"W"))/('Team_Info'!$E$4-2)),"W","B")</x:f>
        <x:v>W</x:v>
      </x:c>
      <x:c r="E2" t="str">
        <x:f>IF(RAND()&lt;(('Team_Info'!$E$2-COUNTIF($B2:D2,"W"))/('Team_Info'!$E$4-3)),"W","B")</x:f>
        <x:v>B</x:v>
      </x:c>
      <x:c r="F2" t="str">
        <x:f>IF(RAND()&lt;(('Team_Info'!$E$2-COUNTIF($B2:E2,"W"))/('Team_Info'!$E$4-4)),"W","B")</x:f>
        <x:v>B</x:v>
      </x:c>
      <x:c r="G2" t="str">
        <x:f>IF(RAND()&lt;(('Team_Info'!$E$2-COUNTIF($B2:F2,"W"))/('Team_Info'!$E$4-5)),"W","B")</x:f>
        <x:v>B</x:v>
      </x:c>
      <x:c r="H2" t="str">
        <x:f>IF(RAND()&lt;(('Team_Info'!$E$2-COUNTIF($B2:G2,"W"))/('Team_Info'!$E$4-6)),"W","B")</x:f>
        <x:v>W</x:v>
      </x:c>
      <x:c r="I2" t="str">
        <x:f>IF(RAND()&lt;(('Team_Info'!$E$2-COUNTIF($B2:H2,"W"))/('Team_Info'!$E$4-7)),"W","B")</x:f>
        <x:v>B</x:v>
      </x:c>
      <x:c r="J2" t="str">
        <x:f>IF(RAND()&lt;(('Team_Info'!$E$2-COUNTIF($B2:I2,"W"))/('Team_Info'!$E$4-8)),"W","B")</x:f>
        <x:v>B</x:v>
      </x:c>
      <x:c r="K2" t="str">
        <x:f>IF(RAND()&lt;(('Team_Info'!$E$2-COUNTIF($B2:J2,"W"))/('Team_Info'!$E$4-9)),"W","B")</x:f>
        <x:v>B</x:v>
      </x:c>
      <x:c r="L2" t="str">
        <x:f>IF(RAND()&lt;(('Team_Info'!$E$2-COUNTIF($B2:K2,"W"))/('Team_Info'!$E$4-10)),"W","B")</x:f>
        <x:v>W</x:v>
      </x:c>
      <x:c r="M2" t="str">
        <x:f>IF(RAND()&lt;(('Team_Info'!$E$2-COUNTIF($B2:L2,"W"))/('Team_Info'!$E$4-11)),"W","B")</x:f>
        <x:v>W</x:v>
      </x:c>
      <x:c r="N2" t="str">
        <x:f>IF(RAND()&lt;(('Team_Info'!$E$2-COUNTIF($B2:M2,"W"))/('Team_Info'!$E$4-12)),"W","B")</x:f>
        <x:v>W</x:v>
      </x:c>
      <x:c r="O2" t="str">
        <x:f>IF(RAND()&lt;(('Team_Info'!$E$2-COUNTIF($B2:N2,"W"))/('Team_Info'!$E$4-13)),"W","B")</x:f>
        <x:v>W</x:v>
      </x:c>
      <x:c r="P2" t="str">
        <x:f>IF(RAND()&lt;(('Team_Info'!$E$2-COUNTIF($B2:O2,"W"))/('Team_Info'!$E$4-14)),"W","B")</x:f>
        <x:v>B</x:v>
      </x:c>
      <x:c r="Q2" t="str">
        <x:f>IF(RAND()&lt;(('Team_Info'!$E$2-COUNTIF($B2:P2,"W"))/('Team_Info'!$E$4-15)),"W","B")</x:f>
        <x:v>B</x:v>
      </x:c>
      <x:c r="R2" t="str">
        <x:f>IF(RAND()&lt;(('Team_Info'!$E$2-COUNTIF($B2:Q2,"W"))/('Team_Info'!$E$4-16)),"W","B")</x:f>
        <x:v>B</x:v>
      </x:c>
      <x:c r="S2" t="str">
        <x:f>IF(RAND()&lt;(('Team_Info'!$E$2-COUNTIF($B2:R2,"W"))/('Team_Info'!$E$4-17)),"W","B")</x:f>
        <x:v>B</x:v>
      </x:c>
      <x:c r="T2" t="str">
        <x:f>IF(RAND()&lt;(('Team_Info'!$E$2-COUNTIF($B2:S2,"W"))/('Team_Info'!$E$4-18)),"W","B")</x:f>
        <x:v>W</x:v>
      </x:c>
      <x:c r="U2" t="str">
        <x:f>IF(RAND()&lt;(('Team_Info'!$E$2-COUNTIF($B2:T2,"W"))/('Team_Info'!$E$4-19)),"W","B")</x:f>
        <x:v>B</x:v>
      </x:c>
      <x:c r="W2" s="28" t="str">
        <x:v>Each RAND() draw uses the remaining urn composition.</x:v>
      </x:c>
      <x:c r="X2" s="28"/>
      <x:c r="Y2" s="28"/>
    </x:row>
    <x:row r="3">
      <x:c r="A3" s="1">
        <x:v>2</x:v>
      </x:c>
      <x:c r="B3" t="str">
        <x:f>IF(RAND()&lt;'Team_Info'!$E$5,"W","B")</x:f>
        <x:v>B</x:v>
      </x:c>
      <x:c r="C3" t="str">
        <x:f>IF(RAND()&lt;(('Team_Info'!$E$2-COUNTIF($B3:B3,"W"))/('Team_Info'!$E$4-1)),"W","B")</x:f>
        <x:v>B</x:v>
      </x:c>
      <x:c r="D3" t="str">
        <x:f>IF(RAND()&lt;(('Team_Info'!$E$2-COUNTIF($B3:C3,"W"))/('Team_Info'!$E$4-2)),"W","B")</x:f>
        <x:v>W</x:v>
      </x:c>
      <x:c r="E3" t="str">
        <x:f>IF(RAND()&lt;(('Team_Info'!$E$2-COUNTIF($B3:D3,"W"))/('Team_Info'!$E$4-3)),"W","B")</x:f>
        <x:v>W</x:v>
      </x:c>
      <x:c r="F3" t="str">
        <x:f>IF(RAND()&lt;(('Team_Info'!$E$2-COUNTIF($B3:E3,"W"))/('Team_Info'!$E$4-4)),"W","B")</x:f>
        <x:v>W</x:v>
      </x:c>
      <x:c r="G3" t="str">
        <x:f>IF(RAND()&lt;(('Team_Info'!$E$2-COUNTIF($B3:F3,"W"))/('Team_Info'!$E$4-5)),"W","B")</x:f>
        <x:v>B</x:v>
      </x:c>
      <x:c r="H3" t="str">
        <x:f>IF(RAND()&lt;(('Team_Info'!$E$2-COUNTIF($B3:G3,"W"))/('Team_Info'!$E$4-6)),"W","B")</x:f>
        <x:v>B</x:v>
      </x:c>
      <x:c r="I3" t="str">
        <x:f>IF(RAND()&lt;(('Team_Info'!$E$2-COUNTIF($B3:H3,"W"))/('Team_Info'!$E$4-7)),"W","B")</x:f>
        <x:v>W</x:v>
      </x:c>
      <x:c r="J3" t="str">
        <x:f>IF(RAND()&lt;(('Team_Info'!$E$2-COUNTIF($B3:I3,"W"))/('Team_Info'!$E$4-8)),"W","B")</x:f>
        <x:v>B</x:v>
      </x:c>
      <x:c r="K3" t="str">
        <x:f>IF(RAND()&lt;(('Team_Info'!$E$2-COUNTIF($B3:J3,"W"))/('Team_Info'!$E$4-9)),"W","B")</x:f>
        <x:v>B</x:v>
      </x:c>
      <x:c r="L3" t="str">
        <x:f>IF(RAND()&lt;(('Team_Info'!$E$2-COUNTIF($B3:K3,"W"))/('Team_Info'!$E$4-10)),"W","B")</x:f>
        <x:v>B</x:v>
      </x:c>
      <x:c r="M3" t="str">
        <x:f>IF(RAND()&lt;(('Team_Info'!$E$2-COUNTIF($B3:L3,"W"))/('Team_Info'!$E$4-11)),"W","B")</x:f>
        <x:v>B</x:v>
      </x:c>
      <x:c r="N3" t="str">
        <x:f>IF(RAND()&lt;(('Team_Info'!$E$2-COUNTIF($B3:M3,"W"))/('Team_Info'!$E$4-12)),"W","B")</x:f>
        <x:v>W</x:v>
      </x:c>
      <x:c r="O3" t="str">
        <x:f>IF(RAND()&lt;(('Team_Info'!$E$2-COUNTIF($B3:N3,"W"))/('Team_Info'!$E$4-13)),"W","B")</x:f>
        <x:v>W</x:v>
      </x:c>
      <x:c r="P3" t="str">
        <x:f>IF(RAND()&lt;(('Team_Info'!$E$2-COUNTIF($B3:O3,"W"))/('Team_Info'!$E$4-14)),"W","B")</x:f>
        <x:v>B</x:v>
      </x:c>
      <x:c r="Q3" t="str">
        <x:f>IF(RAND()&lt;(('Team_Info'!$E$2-COUNTIF($B3:P3,"W"))/('Team_Info'!$E$4-15)),"W","B")</x:f>
        <x:v>B</x:v>
      </x:c>
      <x:c r="R3" t="str">
        <x:f>IF(RAND()&lt;(('Team_Info'!$E$2-COUNTIF($B3:Q3,"W"))/('Team_Info'!$E$4-16)),"W","B")</x:f>
        <x:v>W</x:v>
      </x:c>
      <x:c r="S3" t="str">
        <x:f>IF(RAND()&lt;(('Team_Info'!$E$2-COUNTIF($B3:R3,"W"))/('Team_Info'!$E$4-17)),"W","B")</x:f>
        <x:v>B</x:v>
      </x:c>
      <x:c r="T3" t="str">
        <x:f>IF(RAND()&lt;(('Team_Info'!$E$2-COUNTIF($B3:S3,"W"))/('Team_Info'!$E$4-18)),"W","B")</x:f>
        <x:v>B</x:v>
      </x:c>
      <x:c r="U3" t="str">
        <x:f>IF(RAND()&lt;(('Team_Info'!$E$2-COUNTIF($B3:T3,"W"))/('Team_Info'!$E$4-19)),"W","B")</x:f>
        <x:v>B</x:v>
      </x:c>
      <x:c r="W3" s="28" t="str">
        <x:v>The submitted results use the fixed snapshot in Problem2_Computations.</x:v>
      </x:c>
      <x:c r="X3" s="28"/>
      <x:c r="Y3" s="28"/>
    </x:row>
    <x:row r="4">
      <x:c r="A4" s="1">
        <x:v>3</x:v>
      </x:c>
      <x:c r="B4" t="str">
        <x:f>IF(RAND()&lt;'Team_Info'!$E$5,"W","B")</x:f>
        <x:v>W</x:v>
      </x:c>
      <x:c r="C4" t="str">
        <x:f>IF(RAND()&lt;(('Team_Info'!$E$2-COUNTIF($B4:B4,"W"))/('Team_Info'!$E$4-1)),"W","B")</x:f>
        <x:v>W</x:v>
      </x:c>
      <x:c r="D4" t="str">
        <x:f>IF(RAND()&lt;(('Team_Info'!$E$2-COUNTIF($B4:C4,"W"))/('Team_Info'!$E$4-2)),"W","B")</x:f>
        <x:v>B</x:v>
      </x:c>
      <x:c r="E4" t="str">
        <x:f>IF(RAND()&lt;(('Team_Info'!$E$2-COUNTIF($B4:D4,"W"))/('Team_Info'!$E$4-3)),"W","B")</x:f>
        <x:v>W</x:v>
      </x:c>
      <x:c r="F4" t="str">
        <x:f>IF(RAND()&lt;(('Team_Info'!$E$2-COUNTIF($B4:E4,"W"))/('Team_Info'!$E$4-4)),"W","B")</x:f>
        <x:v>B</x:v>
      </x:c>
      <x:c r="G4" t="str">
        <x:f>IF(RAND()&lt;(('Team_Info'!$E$2-COUNTIF($B4:F4,"W"))/('Team_Info'!$E$4-5)),"W","B")</x:f>
        <x:v>B</x:v>
      </x:c>
      <x:c r="H4" t="str">
        <x:f>IF(RAND()&lt;(('Team_Info'!$E$2-COUNTIF($B4:G4,"W"))/('Team_Info'!$E$4-6)),"W","B")</x:f>
        <x:v>B</x:v>
      </x:c>
      <x:c r="I4" t="str">
        <x:f>IF(RAND()&lt;(('Team_Info'!$E$2-COUNTIF($B4:H4,"W"))/('Team_Info'!$E$4-7)),"W","B")</x:f>
        <x:v>B</x:v>
      </x:c>
      <x:c r="J4" t="str">
        <x:f>IF(RAND()&lt;(('Team_Info'!$E$2-COUNTIF($B4:I4,"W"))/('Team_Info'!$E$4-8)),"W","B")</x:f>
        <x:v>W</x:v>
      </x:c>
      <x:c r="K4" t="str">
        <x:f>IF(RAND()&lt;(('Team_Info'!$E$2-COUNTIF($B4:J4,"W"))/('Team_Info'!$E$4-9)),"W","B")</x:f>
        <x:v>B</x:v>
      </x:c>
      <x:c r="L4" t="str">
        <x:f>IF(RAND()&lt;(('Team_Info'!$E$2-COUNTIF($B4:K4,"W"))/('Team_Info'!$E$4-10)),"W","B")</x:f>
        <x:v>W</x:v>
      </x:c>
      <x:c r="M4" t="str">
        <x:f>IF(RAND()&lt;(('Team_Info'!$E$2-COUNTIF($B4:L4,"W"))/('Team_Info'!$E$4-11)),"W","B")</x:f>
        <x:v>W</x:v>
      </x:c>
      <x:c r="N4" t="str">
        <x:f>IF(RAND()&lt;(('Team_Info'!$E$2-COUNTIF($B4:M4,"W"))/('Team_Info'!$E$4-12)),"W","B")</x:f>
        <x:v>W</x:v>
      </x:c>
      <x:c r="O4" t="str">
        <x:f>IF(RAND()&lt;(('Team_Info'!$E$2-COUNTIF($B4:N4,"W"))/('Team_Info'!$E$4-13)),"W","B")</x:f>
        <x:v>B</x:v>
      </x:c>
      <x:c r="P4" t="str">
        <x:f>IF(RAND()&lt;(('Team_Info'!$E$2-COUNTIF($B4:O4,"W"))/('Team_Info'!$E$4-14)),"W","B")</x:f>
        <x:v>W</x:v>
      </x:c>
      <x:c r="Q4" t="str">
        <x:f>IF(RAND()&lt;(('Team_Info'!$E$2-COUNTIF($B4:P4,"W"))/('Team_Info'!$E$4-15)),"W","B")</x:f>
        <x:v>W</x:v>
      </x:c>
      <x:c r="R4" t="str">
        <x:f>IF(RAND()&lt;(('Team_Info'!$E$2-COUNTIF($B4:Q4,"W"))/('Team_Info'!$E$4-16)),"W","B")</x:f>
        <x:v>B</x:v>
      </x:c>
      <x:c r="S4" t="str">
        <x:f>IF(RAND()&lt;(('Team_Info'!$E$2-COUNTIF($B4:R4,"W"))/('Team_Info'!$E$4-17)),"W","B")</x:f>
        <x:v>B</x:v>
      </x:c>
      <x:c r="T4" t="str">
        <x:f>IF(RAND()&lt;(('Team_Info'!$E$2-COUNTIF($B4:S4,"W"))/('Team_Info'!$E$4-18)),"W","B")</x:f>
        <x:v>B</x:v>
      </x:c>
      <x:c r="U4" t="str">
        <x:f>IF(RAND()&lt;(('Team_Info'!$E$2-COUNTIF($B4:T4,"W"))/('Team_Info'!$E$4-19)),"W","B")</x:f>
        <x:v>B</x:v>
      </x:c>
    </x:row>
    <x:row r="5">
      <x:c r="A5" s="1">
        <x:v>4</x:v>
      </x:c>
      <x:c r="B5" t="str">
        <x:f>IF(RAND()&lt;'Team_Info'!$E$5,"W","B")</x:f>
        <x:v>B</x:v>
      </x:c>
      <x:c r="C5" t="str">
        <x:f>IF(RAND()&lt;(('Team_Info'!$E$2-COUNTIF($B5:B5,"W"))/('Team_Info'!$E$4-1)),"W","B")</x:f>
        <x:v>B</x:v>
      </x:c>
      <x:c r="D5" t="str">
        <x:f>IF(RAND()&lt;(('Team_Info'!$E$2-COUNTIF($B5:C5,"W"))/('Team_Info'!$E$4-2)),"W","B")</x:f>
        <x:v>B</x:v>
      </x:c>
      <x:c r="E5" t="str">
        <x:f>IF(RAND()&lt;(('Team_Info'!$E$2-COUNTIF($B5:D5,"W"))/('Team_Info'!$E$4-3)),"W","B")</x:f>
        <x:v>W</x:v>
      </x:c>
      <x:c r="F5" t="str">
        <x:f>IF(RAND()&lt;(('Team_Info'!$E$2-COUNTIF($B5:E5,"W"))/('Team_Info'!$E$4-4)),"W","B")</x:f>
        <x:v>B</x:v>
      </x:c>
      <x:c r="G5" t="str">
        <x:f>IF(RAND()&lt;(('Team_Info'!$E$2-COUNTIF($B5:F5,"W"))/('Team_Info'!$E$4-5)),"W","B")</x:f>
        <x:v>B</x:v>
      </x:c>
      <x:c r="H5" t="str">
        <x:f>IF(RAND()&lt;(('Team_Info'!$E$2-COUNTIF($B5:G5,"W"))/('Team_Info'!$E$4-6)),"W","B")</x:f>
        <x:v>W</x:v>
      </x:c>
      <x:c r="I5" t="str">
        <x:f>IF(RAND()&lt;(('Team_Info'!$E$2-COUNTIF($B5:H5,"W"))/('Team_Info'!$E$4-7)),"W","B")</x:f>
        <x:v>B</x:v>
      </x:c>
      <x:c r="J5" t="str">
        <x:f>IF(RAND()&lt;(('Team_Info'!$E$2-COUNTIF($B5:I5,"W"))/('Team_Info'!$E$4-8)),"W","B")</x:f>
        <x:v>B</x:v>
      </x:c>
      <x:c r="K5" t="str">
        <x:f>IF(RAND()&lt;(('Team_Info'!$E$2-COUNTIF($B5:J5,"W"))/('Team_Info'!$E$4-9)),"W","B")</x:f>
        <x:v>B</x:v>
      </x:c>
      <x:c r="L5" t="str">
        <x:f>IF(RAND()&lt;(('Team_Info'!$E$2-COUNTIF($B5:K5,"W"))/('Team_Info'!$E$4-10)),"W","B")</x:f>
        <x:v>B</x:v>
      </x:c>
      <x:c r="M5" t="str">
        <x:f>IF(RAND()&lt;(('Team_Info'!$E$2-COUNTIF($B5:L5,"W"))/('Team_Info'!$E$4-11)),"W","B")</x:f>
        <x:v>B</x:v>
      </x:c>
      <x:c r="N5" t="str">
        <x:f>IF(RAND()&lt;(('Team_Info'!$E$2-COUNTIF($B5:M5,"W"))/('Team_Info'!$E$4-12)),"W","B")</x:f>
        <x:v>B</x:v>
      </x:c>
      <x:c r="O5" t="str">
        <x:f>IF(RAND()&lt;(('Team_Info'!$E$2-COUNTIF($B5:N5,"W"))/('Team_Info'!$E$4-13)),"W","B")</x:f>
        <x:v>B</x:v>
      </x:c>
      <x:c r="P5" t="str">
        <x:f>IF(RAND()&lt;(('Team_Info'!$E$2-COUNTIF($B5:O5,"W"))/('Team_Info'!$E$4-14)),"W","B")</x:f>
        <x:v>B</x:v>
      </x:c>
      <x:c r="Q5" t="str">
        <x:f>IF(RAND()&lt;(('Team_Info'!$E$2-COUNTIF($B5:P5,"W"))/('Team_Info'!$E$4-15)),"W","B")</x:f>
        <x:v>W</x:v>
      </x:c>
      <x:c r="R5" t="str">
        <x:f>IF(RAND()&lt;(('Team_Info'!$E$2-COUNTIF($B5:Q5,"W"))/('Team_Info'!$E$4-16)),"W","B")</x:f>
        <x:v>W</x:v>
      </x:c>
      <x:c r="S5" t="str">
        <x:f>IF(RAND()&lt;(('Team_Info'!$E$2-COUNTIF($B5:R5,"W"))/('Team_Info'!$E$4-17)),"W","B")</x:f>
        <x:v>W</x:v>
      </x:c>
      <x:c r="T5" t="str">
        <x:f>IF(RAND()&lt;(('Team_Info'!$E$2-COUNTIF($B5:S5,"W"))/('Team_Info'!$E$4-18)),"W","B")</x:f>
        <x:v>B</x:v>
      </x:c>
      <x:c r="U5" t="str">
        <x:f>IF(RAND()&lt;(('Team_Info'!$E$2-COUNTIF($B5:T5,"W"))/('Team_Info'!$E$4-19)),"W","B")</x:f>
        <x:v>B</x:v>
      </x:c>
    </x:row>
    <x:row r="6">
      <x:c r="A6" s="1">
        <x:v>5</x:v>
      </x:c>
      <x:c r="B6" t="str">
        <x:f>IF(RAND()&lt;'Team_Info'!$E$5,"W","B")</x:f>
        <x:v>B</x:v>
      </x:c>
      <x:c r="C6" t="str">
        <x:f>IF(RAND()&lt;(('Team_Info'!$E$2-COUNTIF($B6:B6,"W"))/('Team_Info'!$E$4-1)),"W","B")</x:f>
        <x:v>B</x:v>
      </x:c>
      <x:c r="D6" t="str">
        <x:f>IF(RAND()&lt;(('Team_Info'!$E$2-COUNTIF($B6:C6,"W"))/('Team_Info'!$E$4-2)),"W","B")</x:f>
        <x:v>B</x:v>
      </x:c>
      <x:c r="E6" t="str">
        <x:f>IF(RAND()&lt;(('Team_Info'!$E$2-COUNTIF($B6:D6,"W"))/('Team_Info'!$E$4-3)),"W","B")</x:f>
        <x:v>B</x:v>
      </x:c>
      <x:c r="F6" t="str">
        <x:f>IF(RAND()&lt;(('Team_Info'!$E$2-COUNTIF($B6:E6,"W"))/('Team_Info'!$E$4-4)),"W","B")</x:f>
        <x:v>W</x:v>
      </x:c>
      <x:c r="G6" t="str">
        <x:f>IF(RAND()&lt;(('Team_Info'!$E$2-COUNTIF($B6:F6,"W"))/('Team_Info'!$E$4-5)),"W","B")</x:f>
        <x:v>B</x:v>
      </x:c>
      <x:c r="H6" t="str">
        <x:f>IF(RAND()&lt;(('Team_Info'!$E$2-COUNTIF($B6:G6,"W"))/('Team_Info'!$E$4-6)),"W","B")</x:f>
        <x:v>W</x:v>
      </x:c>
      <x:c r="I6" t="str">
        <x:f>IF(RAND()&lt;(('Team_Info'!$E$2-COUNTIF($B6:H6,"W"))/('Team_Info'!$E$4-7)),"W","B")</x:f>
        <x:v>W</x:v>
      </x:c>
      <x:c r="J6" t="str">
        <x:f>IF(RAND()&lt;(('Team_Info'!$E$2-COUNTIF($B6:I6,"W"))/('Team_Info'!$E$4-8)),"W","B")</x:f>
        <x:v>B</x:v>
      </x:c>
      <x:c r="K6" t="str">
        <x:f>IF(RAND()&lt;(('Team_Info'!$E$2-COUNTIF($B6:J6,"W"))/('Team_Info'!$E$4-9)),"W","B")</x:f>
        <x:v>B</x:v>
      </x:c>
      <x:c r="L6" t="str">
        <x:f>IF(RAND()&lt;(('Team_Info'!$E$2-COUNTIF($B6:K6,"W"))/('Team_Info'!$E$4-10)),"W","B")</x:f>
        <x:v>B</x:v>
      </x:c>
      <x:c r="M6" t="str">
        <x:f>IF(RAND()&lt;(('Team_Info'!$E$2-COUNTIF($B6:L6,"W"))/('Team_Info'!$E$4-11)),"W","B")</x:f>
        <x:v>W</x:v>
      </x:c>
      <x:c r="N6" t="str">
        <x:f>IF(RAND()&lt;(('Team_Info'!$E$2-COUNTIF($B6:M6,"W"))/('Team_Info'!$E$4-12)),"W","B")</x:f>
        <x:v>B</x:v>
      </x:c>
      <x:c r="O6" t="str">
        <x:f>IF(RAND()&lt;(('Team_Info'!$E$2-COUNTIF($B6:N6,"W"))/('Team_Info'!$E$4-13)),"W","B")</x:f>
        <x:v>B</x:v>
      </x:c>
      <x:c r="P6" t="str">
        <x:f>IF(RAND()&lt;(('Team_Info'!$E$2-COUNTIF($B6:O6,"W"))/('Team_Info'!$E$4-14)),"W","B")</x:f>
        <x:v>B</x:v>
      </x:c>
      <x:c r="Q6" t="str">
        <x:f>IF(RAND()&lt;(('Team_Info'!$E$2-COUNTIF($B6:P6,"W"))/('Team_Info'!$E$4-15)),"W","B")</x:f>
        <x:v>W</x:v>
      </x:c>
      <x:c r="R6" t="str">
        <x:f>IF(RAND()&lt;(('Team_Info'!$E$2-COUNTIF($B6:Q6,"W"))/('Team_Info'!$E$4-16)),"W","B")</x:f>
        <x:v>W</x:v>
      </x:c>
      <x:c r="S6" t="str">
        <x:f>IF(RAND()&lt;(('Team_Info'!$E$2-COUNTIF($B6:R6,"W"))/('Team_Info'!$E$4-17)),"W","B")</x:f>
        <x:v>B</x:v>
      </x:c>
      <x:c r="T6" t="str">
        <x:f>IF(RAND()&lt;(('Team_Info'!$E$2-COUNTIF($B6:S6,"W"))/('Team_Info'!$E$4-18)),"W","B")</x:f>
        <x:v>W</x:v>
      </x:c>
      <x:c r="U6" t="str">
        <x:f>IF(RAND()&lt;(('Team_Info'!$E$2-COUNTIF($B6:T6,"W"))/('Team_Info'!$E$4-19)),"W","B")</x:f>
        <x:v>W</x:v>
      </x:c>
    </x:row>
    <x:row r="7">
      <x:c r="A7" s="1">
        <x:v>6</x:v>
      </x:c>
      <x:c r="B7" t="str">
        <x:f>IF(RAND()&lt;'Team_Info'!$E$5,"W","B")</x:f>
        <x:v>B</x:v>
      </x:c>
      <x:c r="C7" t="str">
        <x:f>IF(RAND()&lt;(('Team_Info'!$E$2-COUNTIF($B7:B7,"W"))/('Team_Info'!$E$4-1)),"W","B")</x:f>
        <x:v>W</x:v>
      </x:c>
      <x:c r="D7" t="str">
        <x:f>IF(RAND()&lt;(('Team_Info'!$E$2-COUNTIF($B7:C7,"W"))/('Team_Info'!$E$4-2)),"W","B")</x:f>
        <x:v>B</x:v>
      </x:c>
      <x:c r="E7" t="str">
        <x:f>IF(RAND()&lt;(('Team_Info'!$E$2-COUNTIF($B7:D7,"W"))/('Team_Info'!$E$4-3)),"W","B")</x:f>
        <x:v>W</x:v>
      </x:c>
      <x:c r="F7" t="str">
        <x:f>IF(RAND()&lt;(('Team_Info'!$E$2-COUNTIF($B7:E7,"W"))/('Team_Info'!$E$4-4)),"W","B")</x:f>
        <x:v>W</x:v>
      </x:c>
      <x:c r="G7" t="str">
        <x:f>IF(RAND()&lt;(('Team_Info'!$E$2-COUNTIF($B7:F7,"W"))/('Team_Info'!$E$4-5)),"W","B")</x:f>
        <x:v>B</x:v>
      </x:c>
      <x:c r="H7" t="str">
        <x:f>IF(RAND()&lt;(('Team_Info'!$E$2-COUNTIF($B7:G7,"W"))/('Team_Info'!$E$4-6)),"W","B")</x:f>
        <x:v>B</x:v>
      </x:c>
      <x:c r="I7" t="str">
        <x:f>IF(RAND()&lt;(('Team_Info'!$E$2-COUNTIF($B7:H7,"W"))/('Team_Info'!$E$4-7)),"W","B")</x:f>
        <x:v>B</x:v>
      </x:c>
      <x:c r="J7" t="str">
        <x:f>IF(RAND()&lt;(('Team_Info'!$E$2-COUNTIF($B7:I7,"W"))/('Team_Info'!$E$4-8)),"W","B")</x:f>
        <x:v>B</x:v>
      </x:c>
      <x:c r="K7" t="str">
        <x:f>IF(RAND()&lt;(('Team_Info'!$E$2-COUNTIF($B7:J7,"W"))/('Team_Info'!$E$4-9)),"W","B")</x:f>
        <x:v>B</x:v>
      </x:c>
      <x:c r="L7" t="str">
        <x:f>IF(RAND()&lt;(('Team_Info'!$E$2-COUNTIF($B7:K7,"W"))/('Team_Info'!$E$4-10)),"W","B")</x:f>
        <x:v>W</x:v>
      </x:c>
      <x:c r="M7" t="str">
        <x:f>IF(RAND()&lt;(('Team_Info'!$E$2-COUNTIF($B7:L7,"W"))/('Team_Info'!$E$4-11)),"W","B")</x:f>
        <x:v>B</x:v>
      </x:c>
      <x:c r="N7" t="str">
        <x:f>IF(RAND()&lt;(('Team_Info'!$E$2-COUNTIF($B7:M7,"W"))/('Team_Info'!$E$4-12)),"W","B")</x:f>
        <x:v>B</x:v>
      </x:c>
      <x:c r="O7" t="str">
        <x:f>IF(RAND()&lt;(('Team_Info'!$E$2-COUNTIF($B7:N7,"W"))/('Team_Info'!$E$4-13)),"W","B")</x:f>
        <x:v>W</x:v>
      </x:c>
      <x:c r="P7" t="str">
        <x:f>IF(RAND()&lt;(('Team_Info'!$E$2-COUNTIF($B7:O7,"W"))/('Team_Info'!$E$4-14)),"W","B")</x:f>
        <x:v>B</x:v>
      </x:c>
      <x:c r="Q7" t="str">
        <x:f>IF(RAND()&lt;(('Team_Info'!$E$2-COUNTIF($B7:P7,"W"))/('Team_Info'!$E$4-15)),"W","B")</x:f>
        <x:v>B</x:v>
      </x:c>
      <x:c r="R7" t="str">
        <x:f>IF(RAND()&lt;(('Team_Info'!$E$2-COUNTIF($B7:Q7,"W"))/('Team_Info'!$E$4-16)),"W","B")</x:f>
        <x:v>W</x:v>
      </x:c>
      <x:c r="S7" t="str">
        <x:f>IF(RAND()&lt;(('Team_Info'!$E$2-COUNTIF($B7:R7,"W"))/('Team_Info'!$E$4-17)),"W","B")</x:f>
        <x:v>W</x:v>
      </x:c>
      <x:c r="T7" t="str">
        <x:f>IF(RAND()&lt;(('Team_Info'!$E$2-COUNTIF($B7:S7,"W"))/('Team_Info'!$E$4-18)),"W","B")</x:f>
        <x:v>B</x:v>
      </x:c>
      <x:c r="U7" t="str">
        <x:f>IF(RAND()&lt;(('Team_Info'!$E$2-COUNTIF($B7:T7,"W"))/('Team_Info'!$E$4-19)),"W","B")</x:f>
        <x:v>B</x:v>
      </x:c>
    </x:row>
    <x:row r="8">
      <x:c r="A8" s="1">
        <x:v>7</x:v>
      </x:c>
      <x:c r="B8" t="str">
        <x:f>IF(RAND()&lt;'Team_Info'!$E$5,"W","B")</x:f>
        <x:v>B</x:v>
      </x:c>
      <x:c r="C8" t="str">
        <x:f>IF(RAND()&lt;(('Team_Info'!$E$2-COUNTIF($B8:B8,"W"))/('Team_Info'!$E$4-1)),"W","B")</x:f>
        <x:v>B</x:v>
      </x:c>
      <x:c r="D8" t="str">
        <x:f>IF(RAND()&lt;(('Team_Info'!$E$2-COUNTIF($B8:C8,"W"))/('Team_Info'!$E$4-2)),"W","B")</x:f>
        <x:v>B</x:v>
      </x:c>
      <x:c r="E8" t="str">
        <x:f>IF(RAND()&lt;(('Team_Info'!$E$2-COUNTIF($B8:D8,"W"))/('Team_Info'!$E$4-3)),"W","B")</x:f>
        <x:v>W</x:v>
      </x:c>
      <x:c r="F8" t="str">
        <x:f>IF(RAND()&lt;(('Team_Info'!$E$2-COUNTIF($B8:E8,"W"))/('Team_Info'!$E$4-4)),"W","B")</x:f>
        <x:v>B</x:v>
      </x:c>
      <x:c r="G8" t="str">
        <x:f>IF(RAND()&lt;(('Team_Info'!$E$2-COUNTIF($B8:F8,"W"))/('Team_Info'!$E$4-5)),"W","B")</x:f>
        <x:v>W</x:v>
      </x:c>
      <x:c r="H8" t="str">
        <x:f>IF(RAND()&lt;(('Team_Info'!$E$2-COUNTIF($B8:G8,"W"))/('Team_Info'!$E$4-6)),"W","B")</x:f>
        <x:v>W</x:v>
      </x:c>
      <x:c r="I8" t="str">
        <x:f>IF(RAND()&lt;(('Team_Info'!$E$2-COUNTIF($B8:H8,"W"))/('Team_Info'!$E$4-7)),"W","B")</x:f>
        <x:v>B</x:v>
      </x:c>
      <x:c r="J8" t="str">
        <x:f>IF(RAND()&lt;(('Team_Info'!$E$2-COUNTIF($B8:I8,"W"))/('Team_Info'!$E$4-8)),"W","B")</x:f>
        <x:v>B</x:v>
      </x:c>
      <x:c r="K8" t="str">
        <x:f>IF(RAND()&lt;(('Team_Info'!$E$2-COUNTIF($B8:J8,"W"))/('Team_Info'!$E$4-9)),"W","B")</x:f>
        <x:v>B</x:v>
      </x:c>
      <x:c r="L8" t="str">
        <x:f>IF(RAND()&lt;(('Team_Info'!$E$2-COUNTIF($B8:K8,"W"))/('Team_Info'!$E$4-10)),"W","B")</x:f>
        <x:v>B</x:v>
      </x:c>
      <x:c r="M8" t="str">
        <x:f>IF(RAND()&lt;(('Team_Info'!$E$2-COUNTIF($B8:L8,"W"))/('Team_Info'!$E$4-11)),"W","B")</x:f>
        <x:v>B</x:v>
      </x:c>
      <x:c r="N8" t="str">
        <x:f>IF(RAND()&lt;(('Team_Info'!$E$2-COUNTIF($B8:M8,"W"))/('Team_Info'!$E$4-12)),"W","B")</x:f>
        <x:v>B</x:v>
      </x:c>
      <x:c r="O8" t="str">
        <x:f>IF(RAND()&lt;(('Team_Info'!$E$2-COUNTIF($B8:N8,"W"))/('Team_Info'!$E$4-13)),"W","B")</x:f>
        <x:v>B</x:v>
      </x:c>
      <x:c r="P8" t="str">
        <x:f>IF(RAND()&lt;(('Team_Info'!$E$2-COUNTIF($B8:O8,"W"))/('Team_Info'!$E$4-14)),"W","B")</x:f>
        <x:v>B</x:v>
      </x:c>
      <x:c r="Q8" t="str">
        <x:f>IF(RAND()&lt;(('Team_Info'!$E$2-COUNTIF($B8:P8,"W"))/('Team_Info'!$E$4-15)),"W","B")</x:f>
        <x:v>B</x:v>
      </x:c>
      <x:c r="R8" t="str">
        <x:f>IF(RAND()&lt;(('Team_Info'!$E$2-COUNTIF($B8:Q8,"W"))/('Team_Info'!$E$4-16)),"W","B")</x:f>
        <x:v>B</x:v>
      </x:c>
      <x:c r="S8" t="str">
        <x:f>IF(RAND()&lt;(('Team_Info'!$E$2-COUNTIF($B8:R8,"W"))/('Team_Info'!$E$4-17)),"W","B")</x:f>
        <x:v>W</x:v>
      </x:c>
      <x:c r="T8" t="str">
        <x:f>IF(RAND()&lt;(('Team_Info'!$E$2-COUNTIF($B8:S8,"W"))/('Team_Info'!$E$4-18)),"W","B")</x:f>
        <x:v>W</x:v>
      </x:c>
      <x:c r="U8" t="str">
        <x:f>IF(RAND()&lt;(('Team_Info'!$E$2-COUNTIF($B8:T8,"W"))/('Team_Info'!$E$4-19)),"W","B")</x:f>
        <x:v>W</x:v>
      </x:c>
    </x:row>
    <x:row r="9">
      <x:c r="A9" s="1">
        <x:v>8</x:v>
      </x:c>
      <x:c r="B9" t="str">
        <x:f>IF(RAND()&lt;'Team_Info'!$E$5,"W","B")</x:f>
        <x:v>B</x:v>
      </x:c>
      <x:c r="C9" t="str">
        <x:f>IF(RAND()&lt;(('Team_Info'!$E$2-COUNTIF($B9:B9,"W"))/('Team_Info'!$E$4-1)),"W","B")</x:f>
        <x:v>B</x:v>
      </x:c>
      <x:c r="D9" t="str">
        <x:f>IF(RAND()&lt;(('Team_Info'!$E$2-COUNTIF($B9:C9,"W"))/('Team_Info'!$E$4-2)),"W","B")</x:f>
        <x:v>W</x:v>
      </x:c>
      <x:c r="E9" t="str">
        <x:f>IF(RAND()&lt;(('Team_Info'!$E$2-COUNTIF($B9:D9,"W"))/('Team_Info'!$E$4-3)),"W","B")</x:f>
        <x:v>W</x:v>
      </x:c>
      <x:c r="F9" t="str">
        <x:f>IF(RAND()&lt;(('Team_Info'!$E$2-COUNTIF($B9:E9,"W"))/('Team_Info'!$E$4-4)),"W","B")</x:f>
        <x:v>B</x:v>
      </x:c>
      <x:c r="G9" t="str">
        <x:f>IF(RAND()&lt;(('Team_Info'!$E$2-COUNTIF($B9:F9,"W"))/('Team_Info'!$E$4-5)),"W","B")</x:f>
        <x:v>W</x:v>
      </x:c>
      <x:c r="H9" t="str">
        <x:f>IF(RAND()&lt;(('Team_Info'!$E$2-COUNTIF($B9:G9,"W"))/('Team_Info'!$E$4-6)),"W","B")</x:f>
        <x:v>W</x:v>
      </x:c>
      <x:c r="I9" t="str">
        <x:f>IF(RAND()&lt;(('Team_Info'!$E$2-COUNTIF($B9:H9,"W"))/('Team_Info'!$E$4-7)),"W","B")</x:f>
        <x:v>B</x:v>
      </x:c>
      <x:c r="J9" t="str">
        <x:f>IF(RAND()&lt;(('Team_Info'!$E$2-COUNTIF($B9:I9,"W"))/('Team_Info'!$E$4-8)),"W","B")</x:f>
        <x:v>B</x:v>
      </x:c>
      <x:c r="K9" t="str">
        <x:f>IF(RAND()&lt;(('Team_Info'!$E$2-COUNTIF($B9:J9,"W"))/('Team_Info'!$E$4-9)),"W","B")</x:f>
        <x:v>W</x:v>
      </x:c>
      <x:c r="L9" t="str">
        <x:f>IF(RAND()&lt;(('Team_Info'!$E$2-COUNTIF($B9:K9,"W"))/('Team_Info'!$E$4-10)),"W","B")</x:f>
        <x:v>W</x:v>
      </x:c>
      <x:c r="M9" t="str">
        <x:f>IF(RAND()&lt;(('Team_Info'!$E$2-COUNTIF($B9:L9,"W"))/('Team_Info'!$E$4-11)),"W","B")</x:f>
        <x:v>W</x:v>
      </x:c>
      <x:c r="N9" t="str">
        <x:f>IF(RAND()&lt;(('Team_Info'!$E$2-COUNTIF($B9:M9,"W"))/('Team_Info'!$E$4-12)),"W","B")</x:f>
        <x:v>B</x:v>
      </x:c>
      <x:c r="O9" t="str">
        <x:f>IF(RAND()&lt;(('Team_Info'!$E$2-COUNTIF($B9:N9,"W"))/('Team_Info'!$E$4-13)),"W","B")</x:f>
        <x:v>B</x:v>
      </x:c>
      <x:c r="P9" t="str">
        <x:f>IF(RAND()&lt;(('Team_Info'!$E$2-COUNTIF($B9:O9,"W"))/('Team_Info'!$E$4-14)),"W","B")</x:f>
        <x:v>B</x:v>
      </x:c>
      <x:c r="Q9" t="str">
        <x:f>IF(RAND()&lt;(('Team_Info'!$E$2-COUNTIF($B9:P9,"W"))/('Team_Info'!$E$4-15)),"W","B")</x:f>
        <x:v>B</x:v>
      </x:c>
      <x:c r="R9" t="str">
        <x:f>IF(RAND()&lt;(('Team_Info'!$E$2-COUNTIF($B9:Q9,"W"))/('Team_Info'!$E$4-16)),"W","B")</x:f>
        <x:v>W</x:v>
      </x:c>
      <x:c r="S9" t="str">
        <x:f>IF(RAND()&lt;(('Team_Info'!$E$2-COUNTIF($B9:R9,"W"))/('Team_Info'!$E$4-17)),"W","B")</x:f>
        <x:v>B</x:v>
      </x:c>
      <x:c r="T9" t="str">
        <x:f>IF(RAND()&lt;(('Team_Info'!$E$2-COUNTIF($B9:S9,"W"))/('Team_Info'!$E$4-18)),"W","B")</x:f>
        <x:v>W</x:v>
      </x:c>
      <x:c r="U9" t="str">
        <x:f>IF(RAND()&lt;(('Team_Info'!$E$2-COUNTIF($B9:T9,"W"))/('Team_Info'!$E$4-19)),"W","B")</x:f>
        <x:v>B</x:v>
      </x:c>
    </x:row>
    <x:row r="10">
      <x:c r="A10" s="1">
        <x:v>9</x:v>
      </x:c>
      <x:c r="B10" t="str">
        <x:f>IF(RAND()&lt;'Team_Info'!$E$5,"W","B")</x:f>
        <x:v>B</x:v>
      </x:c>
      <x:c r="C10" t="str">
        <x:f>IF(RAND()&lt;(('Team_Info'!$E$2-COUNTIF($B10:B10,"W"))/('Team_Info'!$E$4-1)),"W","B")</x:f>
        <x:v>B</x:v>
      </x:c>
      <x:c r="D10" t="str">
        <x:f>IF(RAND()&lt;(('Team_Info'!$E$2-COUNTIF($B10:C10,"W"))/('Team_Info'!$E$4-2)),"W","B")</x:f>
        <x:v>W</x:v>
      </x:c>
      <x:c r="E10" t="str">
        <x:f>IF(RAND()&lt;(('Team_Info'!$E$2-COUNTIF($B10:D10,"W"))/('Team_Info'!$E$4-3)),"W","B")</x:f>
        <x:v>B</x:v>
      </x:c>
      <x:c r="F10" t="str">
        <x:f>IF(RAND()&lt;(('Team_Info'!$E$2-COUNTIF($B10:E10,"W"))/('Team_Info'!$E$4-4)),"W","B")</x:f>
        <x:v>W</x:v>
      </x:c>
      <x:c r="G10" t="str">
        <x:f>IF(RAND()&lt;(('Team_Info'!$E$2-COUNTIF($B10:F10,"W"))/('Team_Info'!$E$4-5)),"W","B")</x:f>
        <x:v>B</x:v>
      </x:c>
      <x:c r="H10" t="str">
        <x:f>IF(RAND()&lt;(('Team_Info'!$E$2-COUNTIF($B10:G10,"W"))/('Team_Info'!$E$4-6)),"W","B")</x:f>
        <x:v>B</x:v>
      </x:c>
      <x:c r="I10" t="str">
        <x:f>IF(RAND()&lt;(('Team_Info'!$E$2-COUNTIF($B10:H10,"W"))/('Team_Info'!$E$4-7)),"W","B")</x:f>
        <x:v>W</x:v>
      </x:c>
      <x:c r="J10" t="str">
        <x:f>IF(RAND()&lt;(('Team_Info'!$E$2-COUNTIF($B10:I10,"W"))/('Team_Info'!$E$4-8)),"W","B")</x:f>
        <x:v>B</x:v>
      </x:c>
      <x:c r="K10" t="str">
        <x:f>IF(RAND()&lt;(('Team_Info'!$E$2-COUNTIF($B10:J10,"W"))/('Team_Info'!$E$4-9)),"W","B")</x:f>
        <x:v>W</x:v>
      </x:c>
      <x:c r="L10" t="str">
        <x:f>IF(RAND()&lt;(('Team_Info'!$E$2-COUNTIF($B10:K10,"W"))/('Team_Info'!$E$4-10)),"W","B")</x:f>
        <x:v>W</x:v>
      </x:c>
      <x:c r="M10" t="str">
        <x:f>IF(RAND()&lt;(('Team_Info'!$E$2-COUNTIF($B10:L10,"W"))/('Team_Info'!$E$4-11)),"W","B")</x:f>
        <x:v>B</x:v>
      </x:c>
      <x:c r="N10" t="str">
        <x:f>IF(RAND()&lt;(('Team_Info'!$E$2-COUNTIF($B10:M10,"W"))/('Team_Info'!$E$4-12)),"W","B")</x:f>
        <x:v>B</x:v>
      </x:c>
      <x:c r="O10" t="str">
        <x:f>IF(RAND()&lt;(('Team_Info'!$E$2-COUNTIF($B10:N10,"W"))/('Team_Info'!$E$4-13)),"W","B")</x:f>
        <x:v>B</x:v>
      </x:c>
      <x:c r="P10" t="str">
        <x:f>IF(RAND()&lt;(('Team_Info'!$E$2-COUNTIF($B10:O10,"W"))/('Team_Info'!$E$4-14)),"W","B")</x:f>
        <x:v>B</x:v>
      </x:c>
      <x:c r="Q10" t="str">
        <x:f>IF(RAND()&lt;(('Team_Info'!$E$2-COUNTIF($B10:P10,"W"))/('Team_Info'!$E$4-15)),"W","B")</x:f>
        <x:v>W</x:v>
      </x:c>
      <x:c r="R10" t="str">
        <x:f>IF(RAND()&lt;(('Team_Info'!$E$2-COUNTIF($B10:Q10,"W"))/('Team_Info'!$E$4-16)),"W","B")</x:f>
        <x:v>B</x:v>
      </x:c>
      <x:c r="S10" t="str">
        <x:f>IF(RAND()&lt;(('Team_Info'!$E$2-COUNTIF($B10:R10,"W"))/('Team_Info'!$E$4-17)),"W","B")</x:f>
        <x:v>B</x:v>
      </x:c>
      <x:c r="T10" t="str">
        <x:f>IF(RAND()&lt;(('Team_Info'!$E$2-COUNTIF($B10:S10,"W"))/('Team_Info'!$E$4-18)),"W","B")</x:f>
        <x:v>B</x:v>
      </x:c>
      <x:c r="U10" t="str">
        <x:f>IF(RAND()&lt;(('Team_Info'!$E$2-COUNTIF($B10:T10,"W"))/('Team_Info'!$E$4-19)),"W","B")</x:f>
        <x:v>B</x:v>
      </x:c>
    </x:row>
    <x:row r="11">
      <x:c r="A11" s="1">
        <x:v>10</x:v>
      </x:c>
      <x:c r="B11" t="str">
        <x:f>IF(RAND()&lt;'Team_Info'!$E$5,"W","B")</x:f>
        <x:v>W</x:v>
      </x:c>
      <x:c r="C11" t="str">
        <x:f>IF(RAND()&lt;(('Team_Info'!$E$2-COUNTIF($B11:B11,"W"))/('Team_Info'!$E$4-1)),"W","B")</x:f>
        <x:v>B</x:v>
      </x:c>
      <x:c r="D11" t="str">
        <x:f>IF(RAND()&lt;(('Team_Info'!$E$2-COUNTIF($B11:C11,"W"))/('Team_Info'!$E$4-2)),"W","B")</x:f>
        <x:v>B</x:v>
      </x:c>
      <x:c r="E11" t="str">
        <x:f>IF(RAND()&lt;(('Team_Info'!$E$2-COUNTIF($B11:D11,"W"))/('Team_Info'!$E$4-3)),"W","B")</x:f>
        <x:v>B</x:v>
      </x:c>
      <x:c r="F11" t="str">
        <x:f>IF(RAND()&lt;(('Team_Info'!$E$2-COUNTIF($B11:E11,"W"))/('Team_Info'!$E$4-4)),"W","B")</x:f>
        <x:v>B</x:v>
      </x:c>
      <x:c r="G11" t="str">
        <x:f>IF(RAND()&lt;(('Team_Info'!$E$2-COUNTIF($B11:F11,"W"))/('Team_Info'!$E$4-5)),"W","B")</x:f>
        <x:v>B</x:v>
      </x:c>
      <x:c r="H11" t="str">
        <x:f>IF(RAND()&lt;(('Team_Info'!$E$2-COUNTIF($B11:G11,"W"))/('Team_Info'!$E$4-6)),"W","B")</x:f>
        <x:v>W</x:v>
      </x:c>
      <x:c r="I11" t="str">
        <x:f>IF(RAND()&lt;(('Team_Info'!$E$2-COUNTIF($B11:H11,"W"))/('Team_Info'!$E$4-7)),"W","B")</x:f>
        <x:v>B</x:v>
      </x:c>
      <x:c r="J11" t="str">
        <x:f>IF(RAND()&lt;(('Team_Info'!$E$2-COUNTIF($B11:I11,"W"))/('Team_Info'!$E$4-8)),"W","B")</x:f>
        <x:v>B</x:v>
      </x:c>
      <x:c r="K11" t="str">
        <x:f>IF(RAND()&lt;(('Team_Info'!$E$2-COUNTIF($B11:J11,"W"))/('Team_Info'!$E$4-9)),"W","B")</x:f>
        <x:v>B</x:v>
      </x:c>
      <x:c r="L11" t="str">
        <x:f>IF(RAND()&lt;(('Team_Info'!$E$2-COUNTIF($B11:K11,"W"))/('Team_Info'!$E$4-10)),"W","B")</x:f>
        <x:v>B</x:v>
      </x:c>
      <x:c r="M11" t="str">
        <x:f>IF(RAND()&lt;(('Team_Info'!$E$2-COUNTIF($B11:L11,"W"))/('Team_Info'!$E$4-11)),"W","B")</x:f>
        <x:v>W</x:v>
      </x:c>
      <x:c r="N11" t="str">
        <x:f>IF(RAND()&lt;(('Team_Info'!$E$2-COUNTIF($B11:M11,"W"))/('Team_Info'!$E$4-12)),"W","B")</x:f>
        <x:v>W</x:v>
      </x:c>
      <x:c r="O11" t="str">
        <x:f>IF(RAND()&lt;(('Team_Info'!$E$2-COUNTIF($B11:N11,"W"))/('Team_Info'!$E$4-13)),"W","B")</x:f>
        <x:v>W</x:v>
      </x:c>
      <x:c r="P11" t="str">
        <x:f>IF(RAND()&lt;(('Team_Info'!$E$2-COUNTIF($B11:O11,"W"))/('Team_Info'!$E$4-14)),"W","B")</x:f>
        <x:v>B</x:v>
      </x:c>
      <x:c r="Q11" t="str">
        <x:f>IF(RAND()&lt;(('Team_Info'!$E$2-COUNTIF($B11:P11,"W"))/('Team_Info'!$E$4-15)),"W","B")</x:f>
        <x:v>B</x:v>
      </x:c>
      <x:c r="R11" t="str">
        <x:f>IF(RAND()&lt;(('Team_Info'!$E$2-COUNTIF($B11:Q11,"W"))/('Team_Info'!$E$4-16)),"W","B")</x:f>
        <x:v>B</x:v>
      </x:c>
      <x:c r="S11" t="str">
        <x:f>IF(RAND()&lt;(('Team_Info'!$E$2-COUNTIF($B11:R11,"W"))/('Team_Info'!$E$4-17)),"W","B")</x:f>
        <x:v>B</x:v>
      </x:c>
      <x:c r="T11" t="str">
        <x:f>IF(RAND()&lt;(('Team_Info'!$E$2-COUNTIF($B11:S11,"W"))/('Team_Info'!$E$4-18)),"W","B")</x:f>
        <x:v>B</x:v>
      </x:c>
      <x:c r="U11" t="str">
        <x:f>IF(RAND()&lt;(('Team_Info'!$E$2-COUNTIF($B11:T11,"W"))/('Team_Info'!$E$4-19)),"W","B")</x:f>
        <x:v>W</x:v>
      </x:c>
    </x:row>
    <x:row r="12">
      <x:c r="A12" s="1">
        <x:v>11</x:v>
      </x:c>
      <x:c r="B12" t="str">
        <x:f>IF(RAND()&lt;'Team_Info'!$E$5,"W","B")</x:f>
        <x:v>B</x:v>
      </x:c>
      <x:c r="C12" t="str">
        <x:f>IF(RAND()&lt;(('Team_Info'!$E$2-COUNTIF($B12:B12,"W"))/('Team_Info'!$E$4-1)),"W","B")</x:f>
        <x:v>W</x:v>
      </x:c>
      <x:c r="D12" t="str">
        <x:f>IF(RAND()&lt;(('Team_Info'!$E$2-COUNTIF($B12:C12,"W"))/('Team_Info'!$E$4-2)),"W","B")</x:f>
        <x:v>B</x:v>
      </x:c>
      <x:c r="E12" t="str">
        <x:f>IF(RAND()&lt;(('Team_Info'!$E$2-COUNTIF($B12:D12,"W"))/('Team_Info'!$E$4-3)),"W","B")</x:f>
        <x:v>B</x:v>
      </x:c>
      <x:c r="F12" t="str">
        <x:f>IF(RAND()&lt;(('Team_Info'!$E$2-COUNTIF($B12:E12,"W"))/('Team_Info'!$E$4-4)),"W","B")</x:f>
        <x:v>W</x:v>
      </x:c>
      <x:c r="G12" t="str">
        <x:f>IF(RAND()&lt;(('Team_Info'!$E$2-COUNTIF($B12:F12,"W"))/('Team_Info'!$E$4-5)),"W","B")</x:f>
        <x:v>B</x:v>
      </x:c>
      <x:c r="H12" t="str">
        <x:f>IF(RAND()&lt;(('Team_Info'!$E$2-COUNTIF($B12:G12,"W"))/('Team_Info'!$E$4-6)),"W","B")</x:f>
        <x:v>B</x:v>
      </x:c>
      <x:c r="I12" t="str">
        <x:f>IF(RAND()&lt;(('Team_Info'!$E$2-COUNTIF($B12:H12,"W"))/('Team_Info'!$E$4-7)),"W","B")</x:f>
        <x:v>W</x:v>
      </x:c>
      <x:c r="J12" t="str">
        <x:f>IF(RAND()&lt;(('Team_Info'!$E$2-COUNTIF($B12:I12,"W"))/('Team_Info'!$E$4-8)),"W","B")</x:f>
        <x:v>W</x:v>
      </x:c>
      <x:c r="K12" t="str">
        <x:f>IF(RAND()&lt;(('Team_Info'!$E$2-COUNTIF($B12:J12,"W"))/('Team_Info'!$E$4-9)),"W","B")</x:f>
        <x:v>B</x:v>
      </x:c>
      <x:c r="L12" t="str">
        <x:f>IF(RAND()&lt;(('Team_Info'!$E$2-COUNTIF($B12:K12,"W"))/('Team_Info'!$E$4-10)),"W","B")</x:f>
        <x:v>W</x:v>
      </x:c>
      <x:c r="M12" t="str">
        <x:f>IF(RAND()&lt;(('Team_Info'!$E$2-COUNTIF($B12:L12,"W"))/('Team_Info'!$E$4-11)),"W","B")</x:f>
        <x:v>B</x:v>
      </x:c>
      <x:c r="N12" t="str">
        <x:f>IF(RAND()&lt;(('Team_Info'!$E$2-COUNTIF($B12:M12,"W"))/('Team_Info'!$E$4-12)),"W","B")</x:f>
        <x:v>W</x:v>
      </x:c>
      <x:c r="O12" t="str">
        <x:f>IF(RAND()&lt;(('Team_Info'!$E$2-COUNTIF($B12:N12,"W"))/('Team_Info'!$E$4-13)),"W","B")</x:f>
        <x:v>B</x:v>
      </x:c>
      <x:c r="P12" t="str">
        <x:f>IF(RAND()&lt;(('Team_Info'!$E$2-COUNTIF($B12:O12,"W"))/('Team_Info'!$E$4-14)),"W","B")</x:f>
        <x:v>B</x:v>
      </x:c>
      <x:c r="Q12" t="str">
        <x:f>IF(RAND()&lt;(('Team_Info'!$E$2-COUNTIF($B12:P12,"W"))/('Team_Info'!$E$4-15)),"W","B")</x:f>
        <x:v>B</x:v>
      </x:c>
      <x:c r="R12" t="str">
        <x:f>IF(RAND()&lt;(('Team_Info'!$E$2-COUNTIF($B12:Q12,"W"))/('Team_Info'!$E$4-16)),"W","B")</x:f>
        <x:v>W</x:v>
      </x:c>
      <x:c r="S12" t="str">
        <x:f>IF(RAND()&lt;(('Team_Info'!$E$2-COUNTIF($B12:R12,"W"))/('Team_Info'!$E$4-17)),"W","B")</x:f>
        <x:v>B</x:v>
      </x:c>
      <x:c r="T12" t="str">
        <x:f>IF(RAND()&lt;(('Team_Info'!$E$2-COUNTIF($B12:S12,"W"))/('Team_Info'!$E$4-18)),"W","B")</x:f>
        <x:v>B</x:v>
      </x:c>
      <x:c r="U12" t="str">
        <x:f>IF(RAND()&lt;(('Team_Info'!$E$2-COUNTIF($B12:T12,"W"))/('Team_Info'!$E$4-19)),"W","B")</x:f>
        <x:v>B</x:v>
      </x:c>
    </x:row>
    <x:row r="13">
      <x:c r="A13" s="1">
        <x:v>12</x:v>
      </x:c>
      <x:c r="B13" t="str">
        <x:f>IF(RAND()&lt;'Team_Info'!$E$5,"W","B")</x:f>
        <x:v>W</x:v>
      </x:c>
      <x:c r="C13" t="str">
        <x:f>IF(RAND()&lt;(('Team_Info'!$E$2-COUNTIF($B13:B13,"W"))/('Team_Info'!$E$4-1)),"W","B")</x:f>
        <x:v>B</x:v>
      </x:c>
      <x:c r="D13" t="str">
        <x:f>IF(RAND()&lt;(('Team_Info'!$E$2-COUNTIF($B13:C13,"W"))/('Team_Info'!$E$4-2)),"W","B")</x:f>
        <x:v>B</x:v>
      </x:c>
      <x:c r="E13" t="str">
        <x:f>IF(RAND()&lt;(('Team_Info'!$E$2-COUNTIF($B13:D13,"W"))/('Team_Info'!$E$4-3)),"W","B")</x:f>
        <x:v>W</x:v>
      </x:c>
      <x:c r="F13" t="str">
        <x:f>IF(RAND()&lt;(('Team_Info'!$E$2-COUNTIF($B13:E13,"W"))/('Team_Info'!$E$4-4)),"W","B")</x:f>
        <x:v>B</x:v>
      </x:c>
      <x:c r="G13" t="str">
        <x:f>IF(RAND()&lt;(('Team_Info'!$E$2-COUNTIF($B13:F13,"W"))/('Team_Info'!$E$4-5)),"W","B")</x:f>
        <x:v>B</x:v>
      </x:c>
      <x:c r="H13" t="str">
        <x:f>IF(RAND()&lt;(('Team_Info'!$E$2-COUNTIF($B13:G13,"W"))/('Team_Info'!$E$4-6)),"W","B")</x:f>
        <x:v>B</x:v>
      </x:c>
      <x:c r="I13" t="str">
        <x:f>IF(RAND()&lt;(('Team_Info'!$E$2-COUNTIF($B13:H13,"W"))/('Team_Info'!$E$4-7)),"W","B")</x:f>
        <x:v>B</x:v>
      </x:c>
      <x:c r="J13" t="str">
        <x:f>IF(RAND()&lt;(('Team_Info'!$E$2-COUNTIF($B13:I13,"W"))/('Team_Info'!$E$4-8)),"W","B")</x:f>
        <x:v>W</x:v>
      </x:c>
      <x:c r="K13" t="str">
        <x:f>IF(RAND()&lt;(('Team_Info'!$E$2-COUNTIF($B13:J13,"W"))/('Team_Info'!$E$4-9)),"W","B")</x:f>
        <x:v>W</x:v>
      </x:c>
      <x:c r="L13" t="str">
        <x:f>IF(RAND()&lt;(('Team_Info'!$E$2-COUNTIF($B13:K13,"W"))/('Team_Info'!$E$4-10)),"W","B")</x:f>
        <x:v>B</x:v>
      </x:c>
      <x:c r="M13" t="str">
        <x:f>IF(RAND()&lt;(('Team_Info'!$E$2-COUNTIF($B13:L13,"W"))/('Team_Info'!$E$4-11)),"W","B")</x:f>
        <x:v>B</x:v>
      </x:c>
      <x:c r="N13" t="str">
        <x:f>IF(RAND()&lt;(('Team_Info'!$E$2-COUNTIF($B13:M13,"W"))/('Team_Info'!$E$4-12)),"W","B")</x:f>
        <x:v>B</x:v>
      </x:c>
      <x:c r="O13" t="str">
        <x:f>IF(RAND()&lt;(('Team_Info'!$E$2-COUNTIF($B13:N13,"W"))/('Team_Info'!$E$4-13)),"W","B")</x:f>
        <x:v>W</x:v>
      </x:c>
      <x:c r="P13" t="str">
        <x:f>IF(RAND()&lt;(('Team_Info'!$E$2-COUNTIF($B13:O13,"W"))/('Team_Info'!$E$4-14)),"W","B")</x:f>
        <x:v>W</x:v>
      </x:c>
      <x:c r="Q13" t="str">
        <x:f>IF(RAND()&lt;(('Team_Info'!$E$2-COUNTIF($B13:P13,"W"))/('Team_Info'!$E$4-15)),"W","B")</x:f>
        <x:v>B</x:v>
      </x:c>
      <x:c r="R13" t="str">
        <x:f>IF(RAND()&lt;(('Team_Info'!$E$2-COUNTIF($B13:Q13,"W"))/('Team_Info'!$E$4-16)),"W","B")</x:f>
        <x:v>W</x:v>
      </x:c>
      <x:c r="S13" t="str">
        <x:f>IF(RAND()&lt;(('Team_Info'!$E$2-COUNTIF($B13:R13,"W"))/('Team_Info'!$E$4-17)),"W","B")</x:f>
        <x:v>B</x:v>
      </x:c>
      <x:c r="T13" t="str">
        <x:f>IF(RAND()&lt;(('Team_Info'!$E$2-COUNTIF($B13:S13,"W"))/('Team_Info'!$E$4-18)),"W","B")</x:f>
        <x:v>W</x:v>
      </x:c>
      <x:c r="U13" t="str">
        <x:f>IF(RAND()&lt;(('Team_Info'!$E$2-COUNTIF($B13:T13,"W"))/('Team_Info'!$E$4-19)),"W","B")</x:f>
        <x:v>W</x:v>
      </x:c>
    </x:row>
    <x:row r="14">
      <x:c r="A14" s="1">
        <x:v>13</x:v>
      </x:c>
      <x:c r="B14" t="str">
        <x:f>IF(RAND()&lt;'Team_Info'!$E$5,"W","B")</x:f>
        <x:v>W</x:v>
      </x:c>
      <x:c r="C14" t="str">
        <x:f>IF(RAND()&lt;(('Team_Info'!$E$2-COUNTIF($B14:B14,"W"))/('Team_Info'!$E$4-1)),"W","B")</x:f>
        <x:v>W</x:v>
      </x:c>
      <x:c r="D14" t="str">
        <x:f>IF(RAND()&lt;(('Team_Info'!$E$2-COUNTIF($B14:C14,"W"))/('Team_Info'!$E$4-2)),"W","B")</x:f>
        <x:v>B</x:v>
      </x:c>
      <x:c r="E14" t="str">
        <x:f>IF(RAND()&lt;(('Team_Info'!$E$2-COUNTIF($B14:D14,"W"))/('Team_Info'!$E$4-3)),"W","B")</x:f>
        <x:v>B</x:v>
      </x:c>
      <x:c r="F14" t="str">
        <x:f>IF(RAND()&lt;(('Team_Info'!$E$2-COUNTIF($B14:E14,"W"))/('Team_Info'!$E$4-4)),"W","B")</x:f>
        <x:v>W</x:v>
      </x:c>
      <x:c r="G14" t="str">
        <x:f>IF(RAND()&lt;(('Team_Info'!$E$2-COUNTIF($B14:F14,"W"))/('Team_Info'!$E$4-5)),"W","B")</x:f>
        <x:v>B</x:v>
      </x:c>
      <x:c r="H14" t="str">
        <x:f>IF(RAND()&lt;(('Team_Info'!$E$2-COUNTIF($B14:G14,"W"))/('Team_Info'!$E$4-6)),"W","B")</x:f>
        <x:v>B</x:v>
      </x:c>
      <x:c r="I14" t="str">
        <x:f>IF(RAND()&lt;(('Team_Info'!$E$2-COUNTIF($B14:H14,"W"))/('Team_Info'!$E$4-7)),"W","B")</x:f>
        <x:v>B</x:v>
      </x:c>
      <x:c r="J14" t="str">
        <x:f>IF(RAND()&lt;(('Team_Info'!$E$2-COUNTIF($B14:I14,"W"))/('Team_Info'!$E$4-8)),"W","B")</x:f>
        <x:v>B</x:v>
      </x:c>
      <x:c r="K14" t="str">
        <x:f>IF(RAND()&lt;(('Team_Info'!$E$2-COUNTIF($B14:J14,"W"))/('Team_Info'!$E$4-9)),"W","B")</x:f>
        <x:v>B</x:v>
      </x:c>
      <x:c r="L14" t="str">
        <x:f>IF(RAND()&lt;(('Team_Info'!$E$2-COUNTIF($B14:K14,"W"))/('Team_Info'!$E$4-10)),"W","B")</x:f>
        <x:v>B</x:v>
      </x:c>
      <x:c r="M14" t="str">
        <x:f>IF(RAND()&lt;(('Team_Info'!$E$2-COUNTIF($B14:L14,"W"))/('Team_Info'!$E$4-11)),"W","B")</x:f>
        <x:v>B</x:v>
      </x:c>
      <x:c r="N14" t="str">
        <x:f>IF(RAND()&lt;(('Team_Info'!$E$2-COUNTIF($B14:M14,"W"))/('Team_Info'!$E$4-12)),"W","B")</x:f>
        <x:v>B</x:v>
      </x:c>
      <x:c r="O14" t="str">
        <x:f>IF(RAND()&lt;(('Team_Info'!$E$2-COUNTIF($B14:N14,"W"))/('Team_Info'!$E$4-13)),"W","B")</x:f>
        <x:v>B</x:v>
      </x:c>
      <x:c r="P14" t="str">
        <x:f>IF(RAND()&lt;(('Team_Info'!$E$2-COUNTIF($B14:O14,"W"))/('Team_Info'!$E$4-14)),"W","B")</x:f>
        <x:v>B</x:v>
      </x:c>
      <x:c r="Q14" t="str">
        <x:f>IF(RAND()&lt;(('Team_Info'!$E$2-COUNTIF($B14:P14,"W"))/('Team_Info'!$E$4-15)),"W","B")</x:f>
        <x:v>B</x:v>
      </x:c>
      <x:c r="R14" t="str">
        <x:f>IF(RAND()&lt;(('Team_Info'!$E$2-COUNTIF($B14:Q14,"W"))/('Team_Info'!$E$4-16)),"W","B")</x:f>
        <x:v>B</x:v>
      </x:c>
      <x:c r="S14" t="str">
        <x:f>IF(RAND()&lt;(('Team_Info'!$E$2-COUNTIF($B14:R14,"W"))/('Team_Info'!$E$4-17)),"W","B")</x:f>
        <x:v>B</x:v>
      </x:c>
      <x:c r="T14" t="str">
        <x:f>IF(RAND()&lt;(('Team_Info'!$E$2-COUNTIF($B14:S14,"W"))/('Team_Info'!$E$4-18)),"W","B")</x:f>
        <x:v>B</x:v>
      </x:c>
      <x:c r="U14" t="str">
        <x:f>IF(RAND()&lt;(('Team_Info'!$E$2-COUNTIF($B14:T14,"W"))/('Team_Info'!$E$4-19)),"W","B")</x:f>
        <x:v>B</x:v>
      </x:c>
    </x:row>
    <x:row r="15">
      <x:c r="A15" s="1">
        <x:v>14</x:v>
      </x:c>
      <x:c r="B15" t="str">
        <x:f>IF(RAND()&lt;'Team_Info'!$E$5,"W","B")</x:f>
        <x:v>B</x:v>
      </x:c>
      <x:c r="C15" t="str">
        <x:f>IF(RAND()&lt;(('Team_Info'!$E$2-COUNTIF($B15:B15,"W"))/('Team_Info'!$E$4-1)),"W","B")</x:f>
        <x:v>W</x:v>
      </x:c>
      <x:c r="D15" t="str">
        <x:f>IF(RAND()&lt;(('Team_Info'!$E$2-COUNTIF($B15:C15,"W"))/('Team_Info'!$E$4-2)),"W","B")</x:f>
        <x:v>W</x:v>
      </x:c>
      <x:c r="E15" t="str">
        <x:f>IF(RAND()&lt;(('Team_Info'!$E$2-COUNTIF($B15:D15,"W"))/('Team_Info'!$E$4-3)),"W","B")</x:f>
        <x:v>W</x:v>
      </x:c>
      <x:c r="F15" t="str">
        <x:f>IF(RAND()&lt;(('Team_Info'!$E$2-COUNTIF($B15:E15,"W"))/('Team_Info'!$E$4-4)),"W","B")</x:f>
        <x:v>B</x:v>
      </x:c>
      <x:c r="G15" t="str">
        <x:f>IF(RAND()&lt;(('Team_Info'!$E$2-COUNTIF($B15:F15,"W"))/('Team_Info'!$E$4-5)),"W","B")</x:f>
        <x:v>B</x:v>
      </x:c>
      <x:c r="H15" t="str">
        <x:f>IF(RAND()&lt;(('Team_Info'!$E$2-COUNTIF($B15:G15,"W"))/('Team_Info'!$E$4-6)),"W","B")</x:f>
        <x:v>W</x:v>
      </x:c>
      <x:c r="I15" t="str">
        <x:f>IF(RAND()&lt;(('Team_Info'!$E$2-COUNTIF($B15:H15,"W"))/('Team_Info'!$E$4-7)),"W","B")</x:f>
        <x:v>B</x:v>
      </x:c>
      <x:c r="J15" t="str">
        <x:f>IF(RAND()&lt;(('Team_Info'!$E$2-COUNTIF($B15:I15,"W"))/('Team_Info'!$E$4-8)),"W","B")</x:f>
        <x:v>B</x:v>
      </x:c>
      <x:c r="K15" t="str">
        <x:f>IF(RAND()&lt;(('Team_Info'!$E$2-COUNTIF($B15:J15,"W"))/('Team_Info'!$E$4-9)),"W","B")</x:f>
        <x:v>B</x:v>
      </x:c>
      <x:c r="L15" t="str">
        <x:f>IF(RAND()&lt;(('Team_Info'!$E$2-COUNTIF($B15:K15,"W"))/('Team_Info'!$E$4-10)),"W","B")</x:f>
        <x:v>B</x:v>
      </x:c>
      <x:c r="M15" t="str">
        <x:f>IF(RAND()&lt;(('Team_Info'!$E$2-COUNTIF($B15:L15,"W"))/('Team_Info'!$E$4-11)),"W","B")</x:f>
        <x:v>B</x:v>
      </x:c>
      <x:c r="N15" t="str">
        <x:f>IF(RAND()&lt;(('Team_Info'!$E$2-COUNTIF($B15:M15,"W"))/('Team_Info'!$E$4-12)),"W","B")</x:f>
        <x:v>B</x:v>
      </x:c>
      <x:c r="O15" t="str">
        <x:f>IF(RAND()&lt;(('Team_Info'!$E$2-COUNTIF($B15:N15,"W"))/('Team_Info'!$E$4-13)),"W","B")</x:f>
        <x:v>W</x:v>
      </x:c>
      <x:c r="P15" t="str">
        <x:f>IF(RAND()&lt;(('Team_Info'!$E$2-COUNTIF($B15:O15,"W"))/('Team_Info'!$E$4-14)),"W","B")</x:f>
        <x:v>W</x:v>
      </x:c>
      <x:c r="Q15" t="str">
        <x:f>IF(RAND()&lt;(('Team_Info'!$E$2-COUNTIF($B15:P15,"W"))/('Team_Info'!$E$4-15)),"W","B")</x:f>
        <x:v>B</x:v>
      </x:c>
      <x:c r="R15" t="str">
        <x:f>IF(RAND()&lt;(('Team_Info'!$E$2-COUNTIF($B15:Q15,"W"))/('Team_Info'!$E$4-16)),"W","B")</x:f>
        <x:v>B</x:v>
      </x:c>
      <x:c r="S15" t="str">
        <x:f>IF(RAND()&lt;(('Team_Info'!$E$2-COUNTIF($B15:R15,"W"))/('Team_Info'!$E$4-17)),"W","B")</x:f>
        <x:v>W</x:v>
      </x:c>
      <x:c r="T15" t="str">
        <x:f>IF(RAND()&lt;(('Team_Info'!$E$2-COUNTIF($B15:S15,"W"))/('Team_Info'!$E$4-18)),"W","B")</x:f>
        <x:v>W</x:v>
      </x:c>
      <x:c r="U15" t="str">
        <x:f>IF(RAND()&lt;(('Team_Info'!$E$2-COUNTIF($B15:T15,"W"))/('Team_Info'!$E$4-19)),"W","B")</x:f>
        <x:v>B</x:v>
      </x:c>
    </x:row>
    <x:row r="16">
      <x:c r="A16" s="1">
        <x:v>15</x:v>
      </x:c>
      <x:c r="B16" t="str">
        <x:f>IF(RAND()&lt;'Team_Info'!$E$5,"W","B")</x:f>
        <x:v>W</x:v>
      </x:c>
      <x:c r="C16" t="str">
        <x:f>IF(RAND()&lt;(('Team_Info'!$E$2-COUNTIF($B16:B16,"W"))/('Team_Info'!$E$4-1)),"W","B")</x:f>
        <x:v>W</x:v>
      </x:c>
      <x:c r="D16" t="str">
        <x:f>IF(RAND()&lt;(('Team_Info'!$E$2-COUNTIF($B16:C16,"W"))/('Team_Info'!$E$4-2)),"W","B")</x:f>
        <x:v>B</x:v>
      </x:c>
      <x:c r="E16" t="str">
        <x:f>IF(RAND()&lt;(('Team_Info'!$E$2-COUNTIF($B16:D16,"W"))/('Team_Info'!$E$4-3)),"W","B")</x:f>
        <x:v>W</x:v>
      </x:c>
      <x:c r="F16" t="str">
        <x:f>IF(RAND()&lt;(('Team_Info'!$E$2-COUNTIF($B16:E16,"W"))/('Team_Info'!$E$4-4)),"W","B")</x:f>
        <x:v>B</x:v>
      </x:c>
      <x:c r="G16" t="str">
        <x:f>IF(RAND()&lt;(('Team_Info'!$E$2-COUNTIF($B16:F16,"W"))/('Team_Info'!$E$4-5)),"W","B")</x:f>
        <x:v>B</x:v>
      </x:c>
      <x:c r="H16" t="str">
        <x:f>IF(RAND()&lt;(('Team_Info'!$E$2-COUNTIF($B16:G16,"W"))/('Team_Info'!$E$4-6)),"W","B")</x:f>
        <x:v>B</x:v>
      </x:c>
      <x:c r="I16" t="str">
        <x:f>IF(RAND()&lt;(('Team_Info'!$E$2-COUNTIF($B16:H16,"W"))/('Team_Info'!$E$4-7)),"W","B")</x:f>
        <x:v>B</x:v>
      </x:c>
      <x:c r="J16" t="str">
        <x:f>IF(RAND()&lt;(('Team_Info'!$E$2-COUNTIF($B16:I16,"W"))/('Team_Info'!$E$4-8)),"W","B")</x:f>
        <x:v>B</x:v>
      </x:c>
      <x:c r="K16" t="str">
        <x:f>IF(RAND()&lt;(('Team_Info'!$E$2-COUNTIF($B16:J16,"W"))/('Team_Info'!$E$4-9)),"W","B")</x:f>
        <x:v>W</x:v>
      </x:c>
      <x:c r="L16" t="str">
        <x:f>IF(RAND()&lt;(('Team_Info'!$E$2-COUNTIF($B16:K16,"W"))/('Team_Info'!$E$4-10)),"W","B")</x:f>
        <x:v>B</x:v>
      </x:c>
      <x:c r="M16" t="str">
        <x:f>IF(RAND()&lt;(('Team_Info'!$E$2-COUNTIF($B16:L16,"W"))/('Team_Info'!$E$4-11)),"W","B")</x:f>
        <x:v>B</x:v>
      </x:c>
      <x:c r="N16" t="str">
        <x:f>IF(RAND()&lt;(('Team_Info'!$E$2-COUNTIF($B16:M16,"W"))/('Team_Info'!$E$4-12)),"W","B")</x:f>
        <x:v>B</x:v>
      </x:c>
      <x:c r="O16" t="str">
        <x:f>IF(RAND()&lt;(('Team_Info'!$E$2-COUNTIF($B16:N16,"W"))/('Team_Info'!$E$4-13)),"W","B")</x:f>
        <x:v>B</x:v>
      </x:c>
      <x:c r="P16" t="str">
        <x:f>IF(RAND()&lt;(('Team_Info'!$E$2-COUNTIF($B16:O16,"W"))/('Team_Info'!$E$4-14)),"W","B")</x:f>
        <x:v>B</x:v>
      </x:c>
      <x:c r="Q16" t="str">
        <x:f>IF(RAND()&lt;(('Team_Info'!$E$2-COUNTIF($B16:P16,"W"))/('Team_Info'!$E$4-15)),"W","B")</x:f>
        <x:v>W</x:v>
      </x:c>
      <x:c r="R16" t="str">
        <x:f>IF(RAND()&lt;(('Team_Info'!$E$2-COUNTIF($B16:Q16,"W"))/('Team_Info'!$E$4-16)),"W","B")</x:f>
        <x:v>B</x:v>
      </x:c>
      <x:c r="S16" t="str">
        <x:f>IF(RAND()&lt;(('Team_Info'!$E$2-COUNTIF($B16:R16,"W"))/('Team_Info'!$E$4-17)),"W","B")</x:f>
        <x:v>B</x:v>
      </x:c>
      <x:c r="T16" t="str">
        <x:f>IF(RAND()&lt;(('Team_Info'!$E$2-COUNTIF($B16:S16,"W"))/('Team_Info'!$E$4-18)),"W","B")</x:f>
        <x:v>B</x:v>
      </x:c>
      <x:c r="U16" t="str">
        <x:f>IF(RAND()&lt;(('Team_Info'!$E$2-COUNTIF($B16:T16,"W"))/('Team_Info'!$E$4-19)),"W","B")</x:f>
        <x:v>W</x:v>
      </x:c>
    </x:row>
    <x:row r="17">
      <x:c r="A17" s="1">
        <x:v>16</x:v>
      </x:c>
      <x:c r="B17" t="str">
        <x:f>IF(RAND()&lt;'Team_Info'!$E$5,"W","B")</x:f>
        <x:v>W</x:v>
      </x:c>
      <x:c r="C17" t="str">
        <x:f>IF(RAND()&lt;(('Team_Info'!$E$2-COUNTIF($B17:B17,"W"))/('Team_Info'!$E$4-1)),"W","B")</x:f>
        <x:v>B</x:v>
      </x:c>
      <x:c r="D17" t="str">
        <x:f>IF(RAND()&lt;(('Team_Info'!$E$2-COUNTIF($B17:C17,"W"))/('Team_Info'!$E$4-2)),"W","B")</x:f>
        <x:v>B</x:v>
      </x:c>
      <x:c r="E17" t="str">
        <x:f>IF(RAND()&lt;(('Team_Info'!$E$2-COUNTIF($B17:D17,"W"))/('Team_Info'!$E$4-3)),"W","B")</x:f>
        <x:v>B</x:v>
      </x:c>
      <x:c r="F17" t="str">
        <x:f>IF(RAND()&lt;(('Team_Info'!$E$2-COUNTIF($B17:E17,"W"))/('Team_Info'!$E$4-4)),"W","B")</x:f>
        <x:v>B</x:v>
      </x:c>
      <x:c r="G17" t="str">
        <x:f>IF(RAND()&lt;(('Team_Info'!$E$2-COUNTIF($B17:F17,"W"))/('Team_Info'!$E$4-5)),"W","B")</x:f>
        <x:v>W</x:v>
      </x:c>
      <x:c r="H17" t="str">
        <x:f>IF(RAND()&lt;(('Team_Info'!$E$2-COUNTIF($B17:G17,"W"))/('Team_Info'!$E$4-6)),"W","B")</x:f>
        <x:v>B</x:v>
      </x:c>
      <x:c r="I17" t="str">
        <x:f>IF(RAND()&lt;(('Team_Info'!$E$2-COUNTIF($B17:H17,"W"))/('Team_Info'!$E$4-7)),"W","B")</x:f>
        <x:v>B</x:v>
      </x:c>
      <x:c r="J17" t="str">
        <x:f>IF(RAND()&lt;(('Team_Info'!$E$2-COUNTIF($B17:I17,"W"))/('Team_Info'!$E$4-8)),"W","B")</x:f>
        <x:v>B</x:v>
      </x:c>
      <x:c r="K17" t="str">
        <x:f>IF(RAND()&lt;(('Team_Info'!$E$2-COUNTIF($B17:J17,"W"))/('Team_Info'!$E$4-9)),"W","B")</x:f>
        <x:v>B</x:v>
      </x:c>
      <x:c r="L17" t="str">
        <x:f>IF(RAND()&lt;(('Team_Info'!$E$2-COUNTIF($B17:K17,"W"))/('Team_Info'!$E$4-10)),"W","B")</x:f>
        <x:v>B</x:v>
      </x:c>
      <x:c r="M17" t="str">
        <x:f>IF(RAND()&lt;(('Team_Info'!$E$2-COUNTIF($B17:L17,"W"))/('Team_Info'!$E$4-11)),"W","B")</x:f>
        <x:v>B</x:v>
      </x:c>
      <x:c r="N17" t="str">
        <x:f>IF(RAND()&lt;(('Team_Info'!$E$2-COUNTIF($B17:M17,"W"))/('Team_Info'!$E$4-12)),"W","B")</x:f>
        <x:v>B</x:v>
      </x:c>
      <x:c r="O17" t="str">
        <x:f>IF(RAND()&lt;(('Team_Info'!$E$2-COUNTIF($B17:N17,"W"))/('Team_Info'!$E$4-13)),"W","B")</x:f>
        <x:v>B</x:v>
      </x:c>
      <x:c r="P17" t="str">
        <x:f>IF(RAND()&lt;(('Team_Info'!$E$2-COUNTIF($B17:O17,"W"))/('Team_Info'!$E$4-14)),"W","B")</x:f>
        <x:v>B</x:v>
      </x:c>
      <x:c r="Q17" t="str">
        <x:f>IF(RAND()&lt;(('Team_Info'!$E$2-COUNTIF($B17:P17,"W"))/('Team_Info'!$E$4-15)),"W","B")</x:f>
        <x:v>W</x:v>
      </x:c>
      <x:c r="R17" t="str">
        <x:f>IF(RAND()&lt;(('Team_Info'!$E$2-COUNTIF($B17:Q17,"W"))/('Team_Info'!$E$4-16)),"W","B")</x:f>
        <x:v>B</x:v>
      </x:c>
      <x:c r="S17" t="str">
        <x:f>IF(RAND()&lt;(('Team_Info'!$E$2-COUNTIF($B17:R17,"W"))/('Team_Info'!$E$4-17)),"W","B")</x:f>
        <x:v>B</x:v>
      </x:c>
      <x:c r="T17" t="str">
        <x:f>IF(RAND()&lt;(('Team_Info'!$E$2-COUNTIF($B17:S17,"W"))/('Team_Info'!$E$4-18)),"W","B")</x:f>
        <x:v>B</x:v>
      </x:c>
      <x:c r="U17" t="str">
        <x:f>IF(RAND()&lt;(('Team_Info'!$E$2-COUNTIF($B17:T17,"W"))/('Team_Info'!$E$4-19)),"W","B")</x:f>
        <x:v>B</x:v>
      </x:c>
    </x:row>
    <x:row r="18">
      <x:c r="A18" s="1">
        <x:v>17</x:v>
      </x:c>
      <x:c r="B18" t="str">
        <x:f>IF(RAND()&lt;'Team_Info'!$E$5,"W","B")</x:f>
        <x:v>W</x:v>
      </x:c>
      <x:c r="C18" t="str">
        <x:f>IF(RAND()&lt;(('Team_Info'!$E$2-COUNTIF($B18:B18,"W"))/('Team_Info'!$E$4-1)),"W","B")</x:f>
        <x:v>B</x:v>
      </x:c>
      <x:c r="D18" t="str">
        <x:f>IF(RAND()&lt;(('Team_Info'!$E$2-COUNTIF($B18:C18,"W"))/('Team_Info'!$E$4-2)),"W","B")</x:f>
        <x:v>B</x:v>
      </x:c>
      <x:c r="E18" t="str">
        <x:f>IF(RAND()&lt;(('Team_Info'!$E$2-COUNTIF($B18:D18,"W"))/('Team_Info'!$E$4-3)),"W","B")</x:f>
        <x:v>B</x:v>
      </x:c>
      <x:c r="F18" t="str">
        <x:f>IF(RAND()&lt;(('Team_Info'!$E$2-COUNTIF($B18:E18,"W"))/('Team_Info'!$E$4-4)),"W","B")</x:f>
        <x:v>B</x:v>
      </x:c>
      <x:c r="G18" t="str">
        <x:f>IF(RAND()&lt;(('Team_Info'!$E$2-COUNTIF($B18:F18,"W"))/('Team_Info'!$E$4-5)),"W","B")</x:f>
        <x:v>W</x:v>
      </x:c>
      <x:c r="H18" t="str">
        <x:f>IF(RAND()&lt;(('Team_Info'!$E$2-COUNTIF($B18:G18,"W"))/('Team_Info'!$E$4-6)),"W","B")</x:f>
        <x:v>W</x:v>
      </x:c>
      <x:c r="I18" t="str">
        <x:f>IF(RAND()&lt;(('Team_Info'!$E$2-COUNTIF($B18:H18,"W"))/('Team_Info'!$E$4-7)),"W","B")</x:f>
        <x:v>W</x:v>
      </x:c>
      <x:c r="J18" t="str">
        <x:f>IF(RAND()&lt;(('Team_Info'!$E$2-COUNTIF($B18:I18,"W"))/('Team_Info'!$E$4-8)),"W","B")</x:f>
        <x:v>W</x:v>
      </x:c>
      <x:c r="K18" t="str">
        <x:f>IF(RAND()&lt;(('Team_Info'!$E$2-COUNTIF($B18:J18,"W"))/('Team_Info'!$E$4-9)),"W","B")</x:f>
        <x:v>W</x:v>
      </x:c>
      <x:c r="L18" t="str">
        <x:f>IF(RAND()&lt;(('Team_Info'!$E$2-COUNTIF($B18:K18,"W"))/('Team_Info'!$E$4-10)),"W","B")</x:f>
        <x:v>W</x:v>
      </x:c>
      <x:c r="M18" t="str">
        <x:f>IF(RAND()&lt;(('Team_Info'!$E$2-COUNTIF($B18:L18,"W"))/('Team_Info'!$E$4-11)),"W","B")</x:f>
        <x:v>B</x:v>
      </x:c>
      <x:c r="N18" t="str">
        <x:f>IF(RAND()&lt;(('Team_Info'!$E$2-COUNTIF($B18:M18,"W"))/('Team_Info'!$E$4-12)),"W","B")</x:f>
        <x:v>W</x:v>
      </x:c>
      <x:c r="O18" t="str">
        <x:f>IF(RAND()&lt;(('Team_Info'!$E$2-COUNTIF($B18:N18,"W"))/('Team_Info'!$E$4-13)),"W","B")</x:f>
        <x:v>B</x:v>
      </x:c>
      <x:c r="P18" t="str">
        <x:f>IF(RAND()&lt;(('Team_Info'!$E$2-COUNTIF($B18:O18,"W"))/('Team_Info'!$E$4-14)),"W","B")</x:f>
        <x:v>B</x:v>
      </x:c>
      <x:c r="Q18" t="str">
        <x:f>IF(RAND()&lt;(('Team_Info'!$E$2-COUNTIF($B18:P18,"W"))/('Team_Info'!$E$4-15)),"W","B")</x:f>
        <x:v>W</x:v>
      </x:c>
      <x:c r="R18" t="str">
        <x:f>IF(RAND()&lt;(('Team_Info'!$E$2-COUNTIF($B18:Q18,"W"))/('Team_Info'!$E$4-16)),"W","B")</x:f>
        <x:v>B</x:v>
      </x:c>
      <x:c r="S18" t="str">
        <x:f>IF(RAND()&lt;(('Team_Info'!$E$2-COUNTIF($B18:R18,"W"))/('Team_Info'!$E$4-17)),"W","B")</x:f>
        <x:v>W</x:v>
      </x:c>
      <x:c r="T18" t="str">
        <x:f>IF(RAND()&lt;(('Team_Info'!$E$2-COUNTIF($B18:S18,"W"))/('Team_Info'!$E$4-18)),"W","B")</x:f>
        <x:v>B</x:v>
      </x:c>
      <x:c r="U18" t="str">
        <x:f>IF(RAND()&lt;(('Team_Info'!$E$2-COUNTIF($B18:T18,"W"))/('Team_Info'!$E$4-19)),"W","B")</x:f>
        <x:v>W</x:v>
      </x:c>
    </x:row>
    <x:row r="19">
      <x:c r="A19" s="1">
        <x:v>18</x:v>
      </x:c>
      <x:c r="B19" t="str">
        <x:f>IF(RAND()&lt;'Team_Info'!$E$5,"W","B")</x:f>
        <x:v>W</x:v>
      </x:c>
      <x:c r="C19" t="str">
        <x:f>IF(RAND()&lt;(('Team_Info'!$E$2-COUNTIF($B19:B19,"W"))/('Team_Info'!$E$4-1)),"W","B")</x:f>
        <x:v>B</x:v>
      </x:c>
      <x:c r="D19" t="str">
        <x:f>IF(RAND()&lt;(('Team_Info'!$E$2-COUNTIF($B19:C19,"W"))/('Team_Info'!$E$4-2)),"W","B")</x:f>
        <x:v>B</x:v>
      </x:c>
      <x:c r="E19" t="str">
        <x:f>IF(RAND()&lt;(('Team_Info'!$E$2-COUNTIF($B19:D19,"W"))/('Team_Info'!$E$4-3)),"W","B")</x:f>
        <x:v>W</x:v>
      </x:c>
      <x:c r="F19" t="str">
        <x:f>IF(RAND()&lt;(('Team_Info'!$E$2-COUNTIF($B19:E19,"W"))/('Team_Info'!$E$4-4)),"W","B")</x:f>
        <x:v>B</x:v>
      </x:c>
      <x:c r="G19" t="str">
        <x:f>IF(RAND()&lt;(('Team_Info'!$E$2-COUNTIF($B19:F19,"W"))/('Team_Info'!$E$4-5)),"W","B")</x:f>
        <x:v>B</x:v>
      </x:c>
      <x:c r="H19" t="str">
        <x:f>IF(RAND()&lt;(('Team_Info'!$E$2-COUNTIF($B19:G19,"W"))/('Team_Info'!$E$4-6)),"W","B")</x:f>
        <x:v>B</x:v>
      </x:c>
      <x:c r="I19" t="str">
        <x:f>IF(RAND()&lt;(('Team_Info'!$E$2-COUNTIF($B19:H19,"W"))/('Team_Info'!$E$4-7)),"W","B")</x:f>
        <x:v>B</x:v>
      </x:c>
      <x:c r="J19" t="str">
        <x:f>IF(RAND()&lt;(('Team_Info'!$E$2-COUNTIF($B19:I19,"W"))/('Team_Info'!$E$4-8)),"W","B")</x:f>
        <x:v>B</x:v>
      </x:c>
      <x:c r="K19" t="str">
        <x:f>IF(RAND()&lt;(('Team_Info'!$E$2-COUNTIF($B19:J19,"W"))/('Team_Info'!$E$4-9)),"W","B")</x:f>
        <x:v>B</x:v>
      </x:c>
      <x:c r="L19" t="str">
        <x:f>IF(RAND()&lt;(('Team_Info'!$E$2-COUNTIF($B19:K19,"W"))/('Team_Info'!$E$4-10)),"W","B")</x:f>
        <x:v>B</x:v>
      </x:c>
      <x:c r="M19" t="str">
        <x:f>IF(RAND()&lt;(('Team_Info'!$E$2-COUNTIF($B19:L19,"W"))/('Team_Info'!$E$4-11)),"W","B")</x:f>
        <x:v>B</x:v>
      </x:c>
      <x:c r="N19" t="str">
        <x:f>IF(RAND()&lt;(('Team_Info'!$E$2-COUNTIF($B19:M19,"W"))/('Team_Info'!$E$4-12)),"W","B")</x:f>
        <x:v>B</x:v>
      </x:c>
      <x:c r="O19" t="str">
        <x:f>IF(RAND()&lt;(('Team_Info'!$E$2-COUNTIF($B19:N19,"W"))/('Team_Info'!$E$4-13)),"W","B")</x:f>
        <x:v>W</x:v>
      </x:c>
      <x:c r="P19" t="str">
        <x:f>IF(RAND()&lt;(('Team_Info'!$E$2-COUNTIF($B19:O19,"W"))/('Team_Info'!$E$4-14)),"W","B")</x:f>
        <x:v>B</x:v>
      </x:c>
      <x:c r="Q19" t="str">
        <x:f>IF(RAND()&lt;(('Team_Info'!$E$2-COUNTIF($B19:P19,"W"))/('Team_Info'!$E$4-15)),"W","B")</x:f>
        <x:v>B</x:v>
      </x:c>
      <x:c r="R19" t="str">
        <x:f>IF(RAND()&lt;(('Team_Info'!$E$2-COUNTIF($B19:Q19,"W"))/('Team_Info'!$E$4-16)),"W","B")</x:f>
        <x:v>W</x:v>
      </x:c>
      <x:c r="S19" t="str">
        <x:f>IF(RAND()&lt;(('Team_Info'!$E$2-COUNTIF($B19:R19,"W"))/('Team_Info'!$E$4-17)),"W","B")</x:f>
        <x:v>B</x:v>
      </x:c>
      <x:c r="T19" t="str">
        <x:f>IF(RAND()&lt;(('Team_Info'!$E$2-COUNTIF($B19:S19,"W"))/('Team_Info'!$E$4-18)),"W","B")</x:f>
        <x:v>B</x:v>
      </x:c>
      <x:c r="U19" t="str">
        <x:f>IF(RAND()&lt;(('Team_Info'!$E$2-COUNTIF($B19:T19,"W"))/('Team_Info'!$E$4-19)),"W","B")</x:f>
        <x:v>W</x:v>
      </x:c>
    </x:row>
    <x:row r="20">
      <x:c r="A20" s="1">
        <x:v>19</x:v>
      </x:c>
      <x:c r="B20" t="str">
        <x:f>IF(RAND()&lt;'Team_Info'!$E$5,"W","B")</x:f>
        <x:v>B</x:v>
      </x:c>
      <x:c r="C20" t="str">
        <x:f>IF(RAND()&lt;(('Team_Info'!$E$2-COUNTIF($B20:B20,"W"))/('Team_Info'!$E$4-1)),"W","B")</x:f>
        <x:v>B</x:v>
      </x:c>
      <x:c r="D20" t="str">
        <x:f>IF(RAND()&lt;(('Team_Info'!$E$2-COUNTIF($B20:C20,"W"))/('Team_Info'!$E$4-2)),"W","B")</x:f>
        <x:v>B</x:v>
      </x:c>
      <x:c r="E20" t="str">
        <x:f>IF(RAND()&lt;(('Team_Info'!$E$2-COUNTIF($B20:D20,"W"))/('Team_Info'!$E$4-3)),"W","B")</x:f>
        <x:v>B</x:v>
      </x:c>
      <x:c r="F20" t="str">
        <x:f>IF(RAND()&lt;(('Team_Info'!$E$2-COUNTIF($B20:E20,"W"))/('Team_Info'!$E$4-4)),"W","B")</x:f>
        <x:v>W</x:v>
      </x:c>
      <x:c r="G20" t="str">
        <x:f>IF(RAND()&lt;(('Team_Info'!$E$2-COUNTIF($B20:F20,"W"))/('Team_Info'!$E$4-5)),"W","B")</x:f>
        <x:v>W</x:v>
      </x:c>
      <x:c r="H20" t="str">
        <x:f>IF(RAND()&lt;(('Team_Info'!$E$2-COUNTIF($B20:G20,"W"))/('Team_Info'!$E$4-6)),"W","B")</x:f>
        <x:v>B</x:v>
      </x:c>
      <x:c r="I20" t="str">
        <x:f>IF(RAND()&lt;(('Team_Info'!$E$2-COUNTIF($B20:H20,"W"))/('Team_Info'!$E$4-7)),"W","B")</x:f>
        <x:v>W</x:v>
      </x:c>
      <x:c r="J20" t="str">
        <x:f>IF(RAND()&lt;(('Team_Info'!$E$2-COUNTIF($B20:I20,"W"))/('Team_Info'!$E$4-8)),"W","B")</x:f>
        <x:v>W</x:v>
      </x:c>
      <x:c r="K20" t="str">
        <x:f>IF(RAND()&lt;(('Team_Info'!$E$2-COUNTIF($B20:J20,"W"))/('Team_Info'!$E$4-9)),"W","B")</x:f>
        <x:v>B</x:v>
      </x:c>
      <x:c r="L20" t="str">
        <x:f>IF(RAND()&lt;(('Team_Info'!$E$2-COUNTIF($B20:K20,"W"))/('Team_Info'!$E$4-10)),"W","B")</x:f>
        <x:v>W</x:v>
      </x:c>
      <x:c r="M20" t="str">
        <x:f>IF(RAND()&lt;(('Team_Info'!$E$2-COUNTIF($B20:L20,"W"))/('Team_Info'!$E$4-11)),"W","B")</x:f>
        <x:v>B</x:v>
      </x:c>
      <x:c r="N20" t="str">
        <x:f>IF(RAND()&lt;(('Team_Info'!$E$2-COUNTIF($B20:M20,"W"))/('Team_Info'!$E$4-12)),"W","B")</x:f>
        <x:v>W</x:v>
      </x:c>
      <x:c r="O20" t="str">
        <x:f>IF(RAND()&lt;(('Team_Info'!$E$2-COUNTIF($B20:N20,"W"))/('Team_Info'!$E$4-13)),"W","B")</x:f>
        <x:v>W</x:v>
      </x:c>
      <x:c r="P20" t="str">
        <x:f>IF(RAND()&lt;(('Team_Info'!$E$2-COUNTIF($B20:O20,"W"))/('Team_Info'!$E$4-14)),"W","B")</x:f>
        <x:v>B</x:v>
      </x:c>
      <x:c r="Q20" t="str">
        <x:f>IF(RAND()&lt;(('Team_Info'!$E$2-COUNTIF($B20:P20,"W"))/('Team_Info'!$E$4-15)),"W","B")</x:f>
        <x:v>B</x:v>
      </x:c>
      <x:c r="R20" t="str">
        <x:f>IF(RAND()&lt;(('Team_Info'!$E$2-COUNTIF($B20:Q20,"W"))/('Team_Info'!$E$4-16)),"W","B")</x:f>
        <x:v>B</x:v>
      </x:c>
      <x:c r="S20" t="str">
        <x:f>IF(RAND()&lt;(('Team_Info'!$E$2-COUNTIF($B20:R20,"W"))/('Team_Info'!$E$4-17)),"W","B")</x:f>
        <x:v>B</x:v>
      </x:c>
      <x:c r="T20" t="str">
        <x:f>IF(RAND()&lt;(('Team_Info'!$E$2-COUNTIF($B20:S20,"W"))/('Team_Info'!$E$4-18)),"W","B")</x:f>
        <x:v>B</x:v>
      </x:c>
      <x:c r="U20" t="str">
        <x:f>IF(RAND()&lt;(('Team_Info'!$E$2-COUNTIF($B20:T20,"W"))/('Team_Info'!$E$4-19)),"W","B")</x:f>
        <x:v>B</x:v>
      </x:c>
    </x:row>
    <x:row r="21">
      <x:c r="A21" s="1">
        <x:v>20</x:v>
      </x:c>
      <x:c r="B21" t="str">
        <x:f>IF(RAND()&lt;'Team_Info'!$E$5,"W","B")</x:f>
        <x:v>W</x:v>
      </x:c>
      <x:c r="C21" t="str">
        <x:f>IF(RAND()&lt;(('Team_Info'!$E$2-COUNTIF($B21:B21,"W"))/('Team_Info'!$E$4-1)),"W","B")</x:f>
        <x:v>W</x:v>
      </x:c>
      <x:c r="D21" t="str">
        <x:f>IF(RAND()&lt;(('Team_Info'!$E$2-COUNTIF($B21:C21,"W"))/('Team_Info'!$E$4-2)),"W","B")</x:f>
        <x:v>B</x:v>
      </x:c>
      <x:c r="E21" t="str">
        <x:f>IF(RAND()&lt;(('Team_Info'!$E$2-COUNTIF($B21:D21,"W"))/('Team_Info'!$E$4-3)),"W","B")</x:f>
        <x:v>B</x:v>
      </x:c>
      <x:c r="F21" t="str">
        <x:f>IF(RAND()&lt;(('Team_Info'!$E$2-COUNTIF($B21:E21,"W"))/('Team_Info'!$E$4-4)),"W","B")</x:f>
        <x:v>W</x:v>
      </x:c>
      <x:c r="G21" t="str">
        <x:f>IF(RAND()&lt;(('Team_Info'!$E$2-COUNTIF($B21:F21,"W"))/('Team_Info'!$E$4-5)),"W","B")</x:f>
        <x:v>W</x:v>
      </x:c>
      <x:c r="H21" t="str">
        <x:f>IF(RAND()&lt;(('Team_Info'!$E$2-COUNTIF($B21:G21,"W"))/('Team_Info'!$E$4-6)),"W","B")</x:f>
        <x:v>B</x:v>
      </x:c>
      <x:c r="I21" t="str">
        <x:f>IF(RAND()&lt;(('Team_Info'!$E$2-COUNTIF($B21:H21,"W"))/('Team_Info'!$E$4-7)),"W","B")</x:f>
        <x:v>B</x:v>
      </x:c>
      <x:c r="J21" t="str">
        <x:f>IF(RAND()&lt;(('Team_Info'!$E$2-COUNTIF($B21:I21,"W"))/('Team_Info'!$E$4-8)),"W","B")</x:f>
        <x:v>B</x:v>
      </x:c>
      <x:c r="K21" t="str">
        <x:f>IF(RAND()&lt;(('Team_Info'!$E$2-COUNTIF($B21:J21,"W"))/('Team_Info'!$E$4-9)),"W","B")</x:f>
        <x:v>B</x:v>
      </x:c>
      <x:c r="L21" t="str">
        <x:f>IF(RAND()&lt;(('Team_Info'!$E$2-COUNTIF($B21:K21,"W"))/('Team_Info'!$E$4-10)),"W","B")</x:f>
        <x:v>W</x:v>
      </x:c>
      <x:c r="M21" t="str">
        <x:f>IF(RAND()&lt;(('Team_Info'!$E$2-COUNTIF($B21:L21,"W"))/('Team_Info'!$E$4-11)),"W","B")</x:f>
        <x:v>B</x:v>
      </x:c>
      <x:c r="N21" t="str">
        <x:f>IF(RAND()&lt;(('Team_Info'!$E$2-COUNTIF($B21:M21,"W"))/('Team_Info'!$E$4-12)),"W","B")</x:f>
        <x:v>B</x:v>
      </x:c>
      <x:c r="O21" t="str">
        <x:f>IF(RAND()&lt;(('Team_Info'!$E$2-COUNTIF($B21:N21,"W"))/('Team_Info'!$E$4-13)),"W","B")</x:f>
        <x:v>B</x:v>
      </x:c>
      <x:c r="P21" t="str">
        <x:f>IF(RAND()&lt;(('Team_Info'!$E$2-COUNTIF($B21:O21,"W"))/('Team_Info'!$E$4-14)),"W","B")</x:f>
        <x:v>W</x:v>
      </x:c>
      <x:c r="Q21" t="str">
        <x:f>IF(RAND()&lt;(('Team_Info'!$E$2-COUNTIF($B21:P21,"W"))/('Team_Info'!$E$4-15)),"W","B")</x:f>
        <x:v>B</x:v>
      </x:c>
      <x:c r="R21" t="str">
        <x:f>IF(RAND()&lt;(('Team_Info'!$E$2-COUNTIF($B21:Q21,"W"))/('Team_Info'!$E$4-16)),"W","B")</x:f>
        <x:v>B</x:v>
      </x:c>
      <x:c r="S21" t="str">
        <x:f>IF(RAND()&lt;(('Team_Info'!$E$2-COUNTIF($B21:R21,"W"))/('Team_Info'!$E$4-17)),"W","B")</x:f>
        <x:v>W</x:v>
      </x:c>
      <x:c r="T21" t="str">
        <x:f>IF(RAND()&lt;(('Team_Info'!$E$2-COUNTIF($B21:S21,"W"))/('Team_Info'!$E$4-18)),"W","B")</x:f>
        <x:v>W</x:v>
      </x:c>
      <x:c r="U21" t="str">
        <x:f>IF(RAND()&lt;(('Team_Info'!$E$2-COUNTIF($B21:T21,"W"))/('Team_Info'!$E$4-19)),"W","B")</x:f>
        <x:v>B</x:v>
      </x:c>
    </x:row>
    <x:row r="22">
      <x:c r="A22" s="1">
        <x:v>21</x:v>
      </x:c>
      <x:c r="B22" t="str">
        <x:f>IF(RAND()&lt;'Team_Info'!$E$5,"W","B")</x:f>
        <x:v>B</x:v>
      </x:c>
      <x:c r="C22" t="str">
        <x:f>IF(RAND()&lt;(('Team_Info'!$E$2-COUNTIF($B22:B22,"W"))/('Team_Info'!$E$4-1)),"W","B")</x:f>
        <x:v>B</x:v>
      </x:c>
      <x:c r="D22" t="str">
        <x:f>IF(RAND()&lt;(('Team_Info'!$E$2-COUNTIF($B22:C22,"W"))/('Team_Info'!$E$4-2)),"W","B")</x:f>
        <x:v>B</x:v>
      </x:c>
      <x:c r="E22" t="str">
        <x:f>IF(RAND()&lt;(('Team_Info'!$E$2-COUNTIF($B22:D22,"W"))/('Team_Info'!$E$4-3)),"W","B")</x:f>
        <x:v>B</x:v>
      </x:c>
      <x:c r="F22" t="str">
        <x:f>IF(RAND()&lt;(('Team_Info'!$E$2-COUNTIF($B22:E22,"W"))/('Team_Info'!$E$4-4)),"W","B")</x:f>
        <x:v>W</x:v>
      </x:c>
      <x:c r="G22" t="str">
        <x:f>IF(RAND()&lt;(('Team_Info'!$E$2-COUNTIF($B22:F22,"W"))/('Team_Info'!$E$4-5)),"W","B")</x:f>
        <x:v>W</x:v>
      </x:c>
      <x:c r="H22" t="str">
        <x:f>IF(RAND()&lt;(('Team_Info'!$E$2-COUNTIF($B22:G22,"W"))/('Team_Info'!$E$4-6)),"W","B")</x:f>
        <x:v>B</x:v>
      </x:c>
      <x:c r="I22" t="str">
        <x:f>IF(RAND()&lt;(('Team_Info'!$E$2-COUNTIF($B22:H22,"W"))/('Team_Info'!$E$4-7)),"W","B")</x:f>
        <x:v>W</x:v>
      </x:c>
      <x:c r="J22" t="str">
        <x:f>IF(RAND()&lt;(('Team_Info'!$E$2-COUNTIF($B22:I22,"W"))/('Team_Info'!$E$4-8)),"W","B")</x:f>
        <x:v>B</x:v>
      </x:c>
      <x:c r="K22" t="str">
        <x:f>IF(RAND()&lt;(('Team_Info'!$E$2-COUNTIF($B22:J22,"W"))/('Team_Info'!$E$4-9)),"W","B")</x:f>
        <x:v>W</x:v>
      </x:c>
      <x:c r="L22" t="str">
        <x:f>IF(RAND()&lt;(('Team_Info'!$E$2-COUNTIF($B22:K22,"W"))/('Team_Info'!$E$4-10)),"W","B")</x:f>
        <x:v>B</x:v>
      </x:c>
      <x:c r="M22" t="str">
        <x:f>IF(RAND()&lt;(('Team_Info'!$E$2-COUNTIF($B22:L22,"W"))/('Team_Info'!$E$4-11)),"W","B")</x:f>
        <x:v>B</x:v>
      </x:c>
      <x:c r="N22" t="str">
        <x:f>IF(RAND()&lt;(('Team_Info'!$E$2-COUNTIF($B22:M22,"W"))/('Team_Info'!$E$4-12)),"W","B")</x:f>
        <x:v>W</x:v>
      </x:c>
      <x:c r="O22" t="str">
        <x:f>IF(RAND()&lt;(('Team_Info'!$E$2-COUNTIF($B22:N22,"W"))/('Team_Info'!$E$4-13)),"W","B")</x:f>
        <x:v>W</x:v>
      </x:c>
      <x:c r="P22" t="str">
        <x:f>IF(RAND()&lt;(('Team_Info'!$E$2-COUNTIF($B22:O22,"W"))/('Team_Info'!$E$4-14)),"W","B")</x:f>
        <x:v>W</x:v>
      </x:c>
      <x:c r="Q22" t="str">
        <x:f>IF(RAND()&lt;(('Team_Info'!$E$2-COUNTIF($B22:P22,"W"))/('Team_Info'!$E$4-15)),"W","B")</x:f>
        <x:v>W</x:v>
      </x:c>
      <x:c r="R22" t="str">
        <x:f>IF(RAND()&lt;(('Team_Info'!$E$2-COUNTIF($B22:Q22,"W"))/('Team_Info'!$E$4-16)),"W","B")</x:f>
        <x:v>W</x:v>
      </x:c>
      <x:c r="S22" t="str">
        <x:f>IF(RAND()&lt;(('Team_Info'!$E$2-COUNTIF($B22:R22,"W"))/('Team_Info'!$E$4-17)),"W","B")</x:f>
        <x:v>W</x:v>
      </x:c>
      <x:c r="T22" t="str">
        <x:f>IF(RAND()&lt;(('Team_Info'!$E$2-COUNTIF($B22:S22,"W"))/('Team_Info'!$E$4-18)),"W","B")</x:f>
        <x:v>B</x:v>
      </x:c>
      <x:c r="U22" t="str">
        <x:f>IF(RAND()&lt;(('Team_Info'!$E$2-COUNTIF($B22:T22,"W"))/('Team_Info'!$E$4-19)),"W","B")</x:f>
        <x:v>W</x:v>
      </x:c>
    </x:row>
    <x:row r="23">
      <x:c r="A23" s="1">
        <x:v>22</x:v>
      </x:c>
      <x:c r="B23" t="str">
        <x:f>IF(RAND()&lt;'Team_Info'!$E$5,"W","B")</x:f>
        <x:v>W</x:v>
      </x:c>
      <x:c r="C23" t="str">
        <x:f>IF(RAND()&lt;(('Team_Info'!$E$2-COUNTIF($B23:B23,"W"))/('Team_Info'!$E$4-1)),"W","B")</x:f>
        <x:v>B</x:v>
      </x:c>
      <x:c r="D23" t="str">
        <x:f>IF(RAND()&lt;(('Team_Info'!$E$2-COUNTIF($B23:C23,"W"))/('Team_Info'!$E$4-2)),"W","B")</x:f>
        <x:v>W</x:v>
      </x:c>
      <x:c r="E23" t="str">
        <x:f>IF(RAND()&lt;(('Team_Info'!$E$2-COUNTIF($B23:D23,"W"))/('Team_Info'!$E$4-3)),"W","B")</x:f>
        <x:v>B</x:v>
      </x:c>
      <x:c r="F23" t="str">
        <x:f>IF(RAND()&lt;(('Team_Info'!$E$2-COUNTIF($B23:E23,"W"))/('Team_Info'!$E$4-4)),"W","B")</x:f>
        <x:v>W</x:v>
      </x:c>
      <x:c r="G23" t="str">
        <x:f>IF(RAND()&lt;(('Team_Info'!$E$2-COUNTIF($B23:F23,"W"))/('Team_Info'!$E$4-5)),"W","B")</x:f>
        <x:v>W</x:v>
      </x:c>
      <x:c r="H23" t="str">
        <x:f>IF(RAND()&lt;(('Team_Info'!$E$2-COUNTIF($B23:G23,"W"))/('Team_Info'!$E$4-6)),"W","B")</x:f>
        <x:v>B</x:v>
      </x:c>
      <x:c r="I23" t="str">
        <x:f>IF(RAND()&lt;(('Team_Info'!$E$2-COUNTIF($B23:H23,"W"))/('Team_Info'!$E$4-7)),"W","B")</x:f>
        <x:v>B</x:v>
      </x:c>
      <x:c r="J23" t="str">
        <x:f>IF(RAND()&lt;(('Team_Info'!$E$2-COUNTIF($B23:I23,"W"))/('Team_Info'!$E$4-8)),"W","B")</x:f>
        <x:v>B</x:v>
      </x:c>
      <x:c r="K23" t="str">
        <x:f>IF(RAND()&lt;(('Team_Info'!$E$2-COUNTIF($B23:J23,"W"))/('Team_Info'!$E$4-9)),"W","B")</x:f>
        <x:v>B</x:v>
      </x:c>
      <x:c r="L23" t="str">
        <x:f>IF(RAND()&lt;(('Team_Info'!$E$2-COUNTIF($B23:K23,"W"))/('Team_Info'!$E$4-10)),"W","B")</x:f>
        <x:v>W</x:v>
      </x:c>
      <x:c r="M23" t="str">
        <x:f>IF(RAND()&lt;(('Team_Info'!$E$2-COUNTIF($B23:L23,"W"))/('Team_Info'!$E$4-11)),"W","B")</x:f>
        <x:v>B</x:v>
      </x:c>
      <x:c r="N23" t="str">
        <x:f>IF(RAND()&lt;(('Team_Info'!$E$2-COUNTIF($B23:M23,"W"))/('Team_Info'!$E$4-12)),"W","B")</x:f>
        <x:v>W</x:v>
      </x:c>
      <x:c r="O23" t="str">
        <x:f>IF(RAND()&lt;(('Team_Info'!$E$2-COUNTIF($B23:N23,"W"))/('Team_Info'!$E$4-13)),"W","B")</x:f>
        <x:v>W</x:v>
      </x:c>
      <x:c r="P23" t="str">
        <x:f>IF(RAND()&lt;(('Team_Info'!$E$2-COUNTIF($B23:O23,"W"))/('Team_Info'!$E$4-14)),"W","B")</x:f>
        <x:v>W</x:v>
      </x:c>
      <x:c r="Q23" t="str">
        <x:f>IF(RAND()&lt;(('Team_Info'!$E$2-COUNTIF($B23:P23,"W"))/('Team_Info'!$E$4-15)),"W","B")</x:f>
        <x:v>B</x:v>
      </x:c>
      <x:c r="R23" t="str">
        <x:f>IF(RAND()&lt;(('Team_Info'!$E$2-COUNTIF($B23:Q23,"W"))/('Team_Info'!$E$4-16)),"W","B")</x:f>
        <x:v>W</x:v>
      </x:c>
      <x:c r="S23" t="str">
        <x:f>IF(RAND()&lt;(('Team_Info'!$E$2-COUNTIF($B23:R23,"W"))/('Team_Info'!$E$4-17)),"W","B")</x:f>
        <x:v>B</x:v>
      </x:c>
      <x:c r="T23" t="str">
        <x:f>IF(RAND()&lt;(('Team_Info'!$E$2-COUNTIF($B23:S23,"W"))/('Team_Info'!$E$4-18)),"W","B")</x:f>
        <x:v>W</x:v>
      </x:c>
      <x:c r="U23" t="str">
        <x:f>IF(RAND()&lt;(('Team_Info'!$E$2-COUNTIF($B23:T23,"W"))/('Team_Info'!$E$4-19)),"W","B")</x:f>
        <x:v>W</x:v>
      </x:c>
    </x:row>
    <x:row r="24">
      <x:c r="A24" s="1">
        <x:v>23</x:v>
      </x:c>
      <x:c r="B24" t="str">
        <x:f>IF(RAND()&lt;'Team_Info'!$E$5,"W","B")</x:f>
        <x:v>B</x:v>
      </x:c>
      <x:c r="C24" t="str">
        <x:f>IF(RAND()&lt;(('Team_Info'!$E$2-COUNTIF($B24:B24,"W"))/('Team_Info'!$E$4-1)),"W","B")</x:f>
        <x:v>B</x:v>
      </x:c>
      <x:c r="D24" t="str">
        <x:f>IF(RAND()&lt;(('Team_Info'!$E$2-COUNTIF($B24:C24,"W"))/('Team_Info'!$E$4-2)),"W","B")</x:f>
        <x:v>B</x:v>
      </x:c>
      <x:c r="E24" t="str">
        <x:f>IF(RAND()&lt;(('Team_Info'!$E$2-COUNTIF($B24:D24,"W"))/('Team_Info'!$E$4-3)),"W","B")</x:f>
        <x:v>W</x:v>
      </x:c>
      <x:c r="F24" t="str">
        <x:f>IF(RAND()&lt;(('Team_Info'!$E$2-COUNTIF($B24:E24,"W"))/('Team_Info'!$E$4-4)),"W","B")</x:f>
        <x:v>B</x:v>
      </x:c>
      <x:c r="G24" t="str">
        <x:f>IF(RAND()&lt;(('Team_Info'!$E$2-COUNTIF($B24:F24,"W"))/('Team_Info'!$E$4-5)),"W","B")</x:f>
        <x:v>B</x:v>
      </x:c>
      <x:c r="H24" t="str">
        <x:f>IF(RAND()&lt;(('Team_Info'!$E$2-COUNTIF($B24:G24,"W"))/('Team_Info'!$E$4-6)),"W","B")</x:f>
        <x:v>B</x:v>
      </x:c>
      <x:c r="I24" t="str">
        <x:f>IF(RAND()&lt;(('Team_Info'!$E$2-COUNTIF($B24:H24,"W"))/('Team_Info'!$E$4-7)),"W","B")</x:f>
        <x:v>B</x:v>
      </x:c>
      <x:c r="J24" t="str">
        <x:f>IF(RAND()&lt;(('Team_Info'!$E$2-COUNTIF($B24:I24,"W"))/('Team_Info'!$E$4-8)),"W","B")</x:f>
        <x:v>B</x:v>
      </x:c>
      <x:c r="K24" t="str">
        <x:f>IF(RAND()&lt;(('Team_Info'!$E$2-COUNTIF($B24:J24,"W"))/('Team_Info'!$E$4-9)),"W","B")</x:f>
        <x:v>B</x:v>
      </x:c>
      <x:c r="L24" t="str">
        <x:f>IF(RAND()&lt;(('Team_Info'!$E$2-COUNTIF($B24:K24,"W"))/('Team_Info'!$E$4-10)),"W","B")</x:f>
        <x:v>B</x:v>
      </x:c>
      <x:c r="M24" t="str">
        <x:f>IF(RAND()&lt;(('Team_Info'!$E$2-COUNTIF($B24:L24,"W"))/('Team_Info'!$E$4-11)),"W","B")</x:f>
        <x:v>B</x:v>
      </x:c>
      <x:c r="N24" t="str">
        <x:f>IF(RAND()&lt;(('Team_Info'!$E$2-COUNTIF($B24:M24,"W"))/('Team_Info'!$E$4-12)),"W","B")</x:f>
        <x:v>B</x:v>
      </x:c>
      <x:c r="O24" t="str">
        <x:f>IF(RAND()&lt;(('Team_Info'!$E$2-COUNTIF($B24:N24,"W"))/('Team_Info'!$E$4-13)),"W","B")</x:f>
        <x:v>W</x:v>
      </x:c>
      <x:c r="P24" t="str">
        <x:f>IF(RAND()&lt;(('Team_Info'!$E$2-COUNTIF($B24:O24,"W"))/('Team_Info'!$E$4-14)),"W","B")</x:f>
        <x:v>W</x:v>
      </x:c>
      <x:c r="Q24" t="str">
        <x:f>IF(RAND()&lt;(('Team_Info'!$E$2-COUNTIF($B24:P24,"W"))/('Team_Info'!$E$4-15)),"W","B")</x:f>
        <x:v>B</x:v>
      </x:c>
      <x:c r="R24" t="str">
        <x:f>IF(RAND()&lt;(('Team_Info'!$E$2-COUNTIF($B24:Q24,"W"))/('Team_Info'!$E$4-16)),"W","B")</x:f>
        <x:v>B</x:v>
      </x:c>
      <x:c r="S24" t="str">
        <x:f>IF(RAND()&lt;(('Team_Info'!$E$2-COUNTIF($B24:R24,"W"))/('Team_Info'!$E$4-17)),"W","B")</x:f>
        <x:v>B</x:v>
      </x:c>
      <x:c r="T24" t="str">
        <x:f>IF(RAND()&lt;(('Team_Info'!$E$2-COUNTIF($B24:S24,"W"))/('Team_Info'!$E$4-18)),"W","B")</x:f>
        <x:v>W</x:v>
      </x:c>
      <x:c r="U24" t="str">
        <x:f>IF(RAND()&lt;(('Team_Info'!$E$2-COUNTIF($B24:T24,"W"))/('Team_Info'!$E$4-19)),"W","B")</x:f>
        <x:v>W</x:v>
      </x:c>
    </x:row>
    <x:row r="25">
      <x:c r="A25" s="1">
        <x:v>24</x:v>
      </x:c>
      <x:c r="B25" t="str">
        <x:f>IF(RAND()&lt;'Team_Info'!$E$5,"W","B")</x:f>
        <x:v>W</x:v>
      </x:c>
      <x:c r="C25" t="str">
        <x:f>IF(RAND()&lt;(('Team_Info'!$E$2-COUNTIF($B25:B25,"W"))/('Team_Info'!$E$4-1)),"W","B")</x:f>
        <x:v>W</x:v>
      </x:c>
      <x:c r="D25" t="str">
        <x:f>IF(RAND()&lt;(('Team_Info'!$E$2-COUNTIF($B25:C25,"W"))/('Team_Info'!$E$4-2)),"W","B")</x:f>
        <x:v>B</x:v>
      </x:c>
      <x:c r="E25" t="str">
        <x:f>IF(RAND()&lt;(('Team_Info'!$E$2-COUNTIF($B25:D25,"W"))/('Team_Info'!$E$4-3)),"W","B")</x:f>
        <x:v>B</x:v>
      </x:c>
      <x:c r="F25" t="str">
        <x:f>IF(RAND()&lt;(('Team_Info'!$E$2-COUNTIF($B25:E25,"W"))/('Team_Info'!$E$4-4)),"W","B")</x:f>
        <x:v>W</x:v>
      </x:c>
      <x:c r="G25" t="str">
        <x:f>IF(RAND()&lt;(('Team_Info'!$E$2-COUNTIF($B25:F25,"W"))/('Team_Info'!$E$4-5)),"W","B")</x:f>
        <x:v>B</x:v>
      </x:c>
      <x:c r="H25" t="str">
        <x:f>IF(RAND()&lt;(('Team_Info'!$E$2-COUNTIF($B25:G25,"W"))/('Team_Info'!$E$4-6)),"W","B")</x:f>
        <x:v>W</x:v>
      </x:c>
      <x:c r="I25" t="str">
        <x:f>IF(RAND()&lt;(('Team_Info'!$E$2-COUNTIF($B25:H25,"W"))/('Team_Info'!$E$4-7)),"W","B")</x:f>
        <x:v>B</x:v>
      </x:c>
      <x:c r="J25" t="str">
        <x:f>IF(RAND()&lt;(('Team_Info'!$E$2-COUNTIF($B25:I25,"W"))/('Team_Info'!$E$4-8)),"W","B")</x:f>
        <x:v>B</x:v>
      </x:c>
      <x:c r="K25" t="str">
        <x:f>IF(RAND()&lt;(('Team_Info'!$E$2-COUNTIF($B25:J25,"W"))/('Team_Info'!$E$4-9)),"W","B")</x:f>
        <x:v>B</x:v>
      </x:c>
      <x:c r="L25" t="str">
        <x:f>IF(RAND()&lt;(('Team_Info'!$E$2-COUNTIF($B25:K25,"W"))/('Team_Info'!$E$4-10)),"W","B")</x:f>
        <x:v>W</x:v>
      </x:c>
      <x:c r="M25" t="str">
        <x:f>IF(RAND()&lt;(('Team_Info'!$E$2-COUNTIF($B25:L25,"W"))/('Team_Info'!$E$4-11)),"W","B")</x:f>
        <x:v>B</x:v>
      </x:c>
      <x:c r="N25" t="str">
        <x:f>IF(RAND()&lt;(('Team_Info'!$E$2-COUNTIF($B25:M25,"W"))/('Team_Info'!$E$4-12)),"W","B")</x:f>
        <x:v>B</x:v>
      </x:c>
      <x:c r="O25" t="str">
        <x:f>IF(RAND()&lt;(('Team_Info'!$E$2-COUNTIF($B25:N25,"W"))/('Team_Info'!$E$4-13)),"W","B")</x:f>
        <x:v>B</x:v>
      </x:c>
      <x:c r="P25" t="str">
        <x:f>IF(RAND()&lt;(('Team_Info'!$E$2-COUNTIF($B25:O25,"W"))/('Team_Info'!$E$4-14)),"W","B")</x:f>
        <x:v>B</x:v>
      </x:c>
      <x:c r="Q25" t="str">
        <x:f>IF(RAND()&lt;(('Team_Info'!$E$2-COUNTIF($B25:P25,"W"))/('Team_Info'!$E$4-15)),"W","B")</x:f>
        <x:v>B</x:v>
      </x:c>
      <x:c r="R25" t="str">
        <x:f>IF(RAND()&lt;(('Team_Info'!$E$2-COUNTIF($B25:Q25,"W"))/('Team_Info'!$E$4-16)),"W","B")</x:f>
        <x:v>W</x:v>
      </x:c>
      <x:c r="S25" t="str">
        <x:f>IF(RAND()&lt;(('Team_Info'!$E$2-COUNTIF($B25:R25,"W"))/('Team_Info'!$E$4-17)),"W","B")</x:f>
        <x:v>W</x:v>
      </x:c>
      <x:c r="T25" t="str">
        <x:f>IF(RAND()&lt;(('Team_Info'!$E$2-COUNTIF($B25:S25,"W"))/('Team_Info'!$E$4-18)),"W","B")</x:f>
        <x:v>B</x:v>
      </x:c>
      <x:c r="U25" t="str">
        <x:f>IF(RAND()&lt;(('Team_Info'!$E$2-COUNTIF($B25:T25,"W"))/('Team_Info'!$E$4-19)),"W","B")</x:f>
        <x:v>B</x:v>
      </x:c>
    </x:row>
    <x:row r="26">
      <x:c r="A26" s="1">
        <x:v>25</x:v>
      </x:c>
      <x:c r="B26" t="str">
        <x:f>IF(RAND()&lt;'Team_Info'!$E$5,"W","B")</x:f>
        <x:v>W</x:v>
      </x:c>
      <x:c r="C26" t="str">
        <x:f>IF(RAND()&lt;(('Team_Info'!$E$2-COUNTIF($B26:B26,"W"))/('Team_Info'!$E$4-1)),"W","B")</x:f>
        <x:v>W</x:v>
      </x:c>
      <x:c r="D26" t="str">
        <x:f>IF(RAND()&lt;(('Team_Info'!$E$2-COUNTIF($B26:C26,"W"))/('Team_Info'!$E$4-2)),"W","B")</x:f>
        <x:v>W</x:v>
      </x:c>
      <x:c r="E26" t="str">
        <x:f>IF(RAND()&lt;(('Team_Info'!$E$2-COUNTIF($B26:D26,"W"))/('Team_Info'!$E$4-3)),"W","B")</x:f>
        <x:v>B</x:v>
      </x:c>
      <x:c r="F26" t="str">
        <x:f>IF(RAND()&lt;(('Team_Info'!$E$2-COUNTIF($B26:E26,"W"))/('Team_Info'!$E$4-4)),"W","B")</x:f>
        <x:v>B</x:v>
      </x:c>
      <x:c r="G26" t="str">
        <x:f>IF(RAND()&lt;(('Team_Info'!$E$2-COUNTIF($B26:F26,"W"))/('Team_Info'!$E$4-5)),"W","B")</x:f>
        <x:v>W</x:v>
      </x:c>
      <x:c r="H26" t="str">
        <x:f>IF(RAND()&lt;(('Team_Info'!$E$2-COUNTIF($B26:G26,"W"))/('Team_Info'!$E$4-6)),"W","B")</x:f>
        <x:v>W</x:v>
      </x:c>
      <x:c r="I26" t="str">
        <x:f>IF(RAND()&lt;(('Team_Info'!$E$2-COUNTIF($B26:H26,"W"))/('Team_Info'!$E$4-7)),"W","B")</x:f>
        <x:v>B</x:v>
      </x:c>
      <x:c r="J26" t="str">
        <x:f>IF(RAND()&lt;(('Team_Info'!$E$2-COUNTIF($B26:I26,"W"))/('Team_Info'!$E$4-8)),"W","B")</x:f>
        <x:v>B</x:v>
      </x:c>
      <x:c r="K26" t="str">
        <x:f>IF(RAND()&lt;(('Team_Info'!$E$2-COUNTIF($B26:J26,"W"))/('Team_Info'!$E$4-9)),"W","B")</x:f>
        <x:v>W</x:v>
      </x:c>
      <x:c r="L26" t="str">
        <x:f>IF(RAND()&lt;(('Team_Info'!$E$2-COUNTIF($B26:K26,"W"))/('Team_Info'!$E$4-10)),"W","B")</x:f>
        <x:v>B</x:v>
      </x:c>
      <x:c r="M26" t="str">
        <x:f>IF(RAND()&lt;(('Team_Info'!$E$2-COUNTIF($B26:L26,"W"))/('Team_Info'!$E$4-11)),"W","B")</x:f>
        <x:v>W</x:v>
      </x:c>
      <x:c r="N26" t="str">
        <x:f>IF(RAND()&lt;(('Team_Info'!$E$2-COUNTIF($B26:M26,"W"))/('Team_Info'!$E$4-12)),"W","B")</x:f>
        <x:v>B</x:v>
      </x:c>
      <x:c r="O26" t="str">
        <x:f>IF(RAND()&lt;(('Team_Info'!$E$2-COUNTIF($B26:N26,"W"))/('Team_Info'!$E$4-13)),"W","B")</x:f>
        <x:v>W</x:v>
      </x:c>
      <x:c r="P26" t="str">
        <x:f>IF(RAND()&lt;(('Team_Info'!$E$2-COUNTIF($B26:O26,"W"))/('Team_Info'!$E$4-14)),"W","B")</x:f>
        <x:v>W</x:v>
      </x:c>
      <x:c r="Q26" t="str">
        <x:f>IF(RAND()&lt;(('Team_Info'!$E$2-COUNTIF($B26:P26,"W"))/('Team_Info'!$E$4-15)),"W","B")</x:f>
        <x:v>B</x:v>
      </x:c>
      <x:c r="R26" t="str">
        <x:f>IF(RAND()&lt;(('Team_Info'!$E$2-COUNTIF($B26:Q26,"W"))/('Team_Info'!$E$4-16)),"W","B")</x:f>
        <x:v>W</x:v>
      </x:c>
      <x:c r="S26" t="str">
        <x:f>IF(RAND()&lt;(('Team_Info'!$E$2-COUNTIF($B26:R26,"W"))/('Team_Info'!$E$4-17)),"W","B")</x:f>
        <x:v>B</x:v>
      </x:c>
      <x:c r="T26" t="str">
        <x:f>IF(RAND()&lt;(('Team_Info'!$E$2-COUNTIF($B26:S26,"W"))/('Team_Info'!$E$4-18)),"W","B")</x:f>
        <x:v>B</x:v>
      </x:c>
      <x:c r="U26" t="str">
        <x:f>IF(RAND()&lt;(('Team_Info'!$E$2-COUNTIF($B26:T26,"W"))/('Team_Info'!$E$4-19)),"W","B")</x:f>
        <x:v>B</x:v>
      </x:c>
    </x:row>
    <x:row r="27">
      <x:c r="A27" s="1">
        <x:v>26</x:v>
      </x:c>
      <x:c r="B27" t="str">
        <x:f>IF(RAND()&lt;'Team_Info'!$E$5,"W","B")</x:f>
        <x:v>B</x:v>
      </x:c>
      <x:c r="C27" t="str">
        <x:f>IF(RAND()&lt;(('Team_Info'!$E$2-COUNTIF($B27:B27,"W"))/('Team_Info'!$E$4-1)),"W","B")</x:f>
        <x:v>B</x:v>
      </x:c>
      <x:c r="D27" t="str">
        <x:f>IF(RAND()&lt;(('Team_Info'!$E$2-COUNTIF($B27:C27,"W"))/('Team_Info'!$E$4-2)),"W","B")</x:f>
        <x:v>B</x:v>
      </x:c>
      <x:c r="E27" t="str">
        <x:f>IF(RAND()&lt;(('Team_Info'!$E$2-COUNTIF($B27:D27,"W"))/('Team_Info'!$E$4-3)),"W","B")</x:f>
        <x:v>B</x:v>
      </x:c>
      <x:c r="F27" t="str">
        <x:f>IF(RAND()&lt;(('Team_Info'!$E$2-COUNTIF($B27:E27,"W"))/('Team_Info'!$E$4-4)),"W","B")</x:f>
        <x:v>B</x:v>
      </x:c>
      <x:c r="G27" t="str">
        <x:f>IF(RAND()&lt;(('Team_Info'!$E$2-COUNTIF($B27:F27,"W"))/('Team_Info'!$E$4-5)),"W","B")</x:f>
        <x:v>W</x:v>
      </x:c>
      <x:c r="H27" t="str">
        <x:f>IF(RAND()&lt;(('Team_Info'!$E$2-COUNTIF($B27:G27,"W"))/('Team_Info'!$E$4-6)),"W","B")</x:f>
        <x:v>B</x:v>
      </x:c>
      <x:c r="I27" t="str">
        <x:f>IF(RAND()&lt;(('Team_Info'!$E$2-COUNTIF($B27:H27,"W"))/('Team_Info'!$E$4-7)),"W","B")</x:f>
        <x:v>B</x:v>
      </x:c>
      <x:c r="J27" t="str">
        <x:f>IF(RAND()&lt;(('Team_Info'!$E$2-COUNTIF($B27:I27,"W"))/('Team_Info'!$E$4-8)),"W","B")</x:f>
        <x:v>B</x:v>
      </x:c>
      <x:c r="K27" t="str">
        <x:f>IF(RAND()&lt;(('Team_Info'!$E$2-COUNTIF($B27:J27,"W"))/('Team_Info'!$E$4-9)),"W","B")</x:f>
        <x:v>B</x:v>
      </x:c>
      <x:c r="L27" t="str">
        <x:f>IF(RAND()&lt;(('Team_Info'!$E$2-COUNTIF($B27:K27,"W"))/('Team_Info'!$E$4-10)),"W","B")</x:f>
        <x:v>W</x:v>
      </x:c>
      <x:c r="M27" t="str">
        <x:f>IF(RAND()&lt;(('Team_Info'!$E$2-COUNTIF($B27:L27,"W"))/('Team_Info'!$E$4-11)),"W","B")</x:f>
        <x:v>W</x:v>
      </x:c>
      <x:c r="N27" t="str">
        <x:f>IF(RAND()&lt;(('Team_Info'!$E$2-COUNTIF($B27:M27,"W"))/('Team_Info'!$E$4-12)),"W","B")</x:f>
        <x:v>B</x:v>
      </x:c>
      <x:c r="O27" t="str">
        <x:f>IF(RAND()&lt;(('Team_Info'!$E$2-COUNTIF($B27:N27,"W"))/('Team_Info'!$E$4-13)),"W","B")</x:f>
        <x:v>B</x:v>
      </x:c>
      <x:c r="P27" t="str">
        <x:f>IF(RAND()&lt;(('Team_Info'!$E$2-COUNTIF($B27:O27,"W"))/('Team_Info'!$E$4-14)),"W","B")</x:f>
        <x:v>B</x:v>
      </x:c>
      <x:c r="Q27" t="str">
        <x:f>IF(RAND()&lt;(('Team_Info'!$E$2-COUNTIF($B27:P27,"W"))/('Team_Info'!$E$4-15)),"W","B")</x:f>
        <x:v>B</x:v>
      </x:c>
      <x:c r="R27" t="str">
        <x:f>IF(RAND()&lt;(('Team_Info'!$E$2-COUNTIF($B27:Q27,"W"))/('Team_Info'!$E$4-16)),"W","B")</x:f>
        <x:v>W</x:v>
      </x:c>
      <x:c r="S27" t="str">
        <x:f>IF(RAND()&lt;(('Team_Info'!$E$2-COUNTIF($B27:R27,"W"))/('Team_Info'!$E$4-17)),"W","B")</x:f>
        <x:v>B</x:v>
      </x:c>
      <x:c r="T27" t="str">
        <x:f>IF(RAND()&lt;(('Team_Info'!$E$2-COUNTIF($B27:S27,"W"))/('Team_Info'!$E$4-18)),"W","B")</x:f>
        <x:v>B</x:v>
      </x:c>
      <x:c r="U27" t="str">
        <x:f>IF(RAND()&lt;(('Team_Info'!$E$2-COUNTIF($B27:T27,"W"))/('Team_Info'!$E$4-19)),"W","B")</x:f>
        <x:v>B</x:v>
      </x:c>
    </x:row>
    <x:row r="28">
      <x:c r="A28" s="1">
        <x:v>27</x:v>
      </x:c>
      <x:c r="B28" t="str">
        <x:f>IF(RAND()&lt;'Team_Info'!$E$5,"W","B")</x:f>
        <x:v>W</x:v>
      </x:c>
      <x:c r="C28" t="str">
        <x:f>IF(RAND()&lt;(('Team_Info'!$E$2-COUNTIF($B28:B28,"W"))/('Team_Info'!$E$4-1)),"W","B")</x:f>
        <x:v>W</x:v>
      </x:c>
      <x:c r="D28" t="str">
        <x:f>IF(RAND()&lt;(('Team_Info'!$E$2-COUNTIF($B28:C28,"W"))/('Team_Info'!$E$4-2)),"W","B")</x:f>
        <x:v>B</x:v>
      </x:c>
      <x:c r="E28" t="str">
        <x:f>IF(RAND()&lt;(('Team_Info'!$E$2-COUNTIF($B28:D28,"W"))/('Team_Info'!$E$4-3)),"W","B")</x:f>
        <x:v>W</x:v>
      </x:c>
      <x:c r="F28" t="str">
        <x:f>IF(RAND()&lt;(('Team_Info'!$E$2-COUNTIF($B28:E28,"W"))/('Team_Info'!$E$4-4)),"W","B")</x:f>
        <x:v>B</x:v>
      </x:c>
      <x:c r="G28" t="str">
        <x:f>IF(RAND()&lt;(('Team_Info'!$E$2-COUNTIF($B28:F28,"W"))/('Team_Info'!$E$4-5)),"W","B")</x:f>
        <x:v>W</x:v>
      </x:c>
      <x:c r="H28" t="str">
        <x:f>IF(RAND()&lt;(('Team_Info'!$E$2-COUNTIF($B28:G28,"W"))/('Team_Info'!$E$4-6)),"W","B")</x:f>
        <x:v>B</x:v>
      </x:c>
      <x:c r="I28" t="str">
        <x:f>IF(RAND()&lt;(('Team_Info'!$E$2-COUNTIF($B28:H28,"W"))/('Team_Info'!$E$4-7)),"W","B")</x:f>
        <x:v>B</x:v>
      </x:c>
      <x:c r="J28" t="str">
        <x:f>IF(RAND()&lt;(('Team_Info'!$E$2-COUNTIF($B28:I28,"W"))/('Team_Info'!$E$4-8)),"W","B")</x:f>
        <x:v>W</x:v>
      </x:c>
      <x:c r="K28" t="str">
        <x:f>IF(RAND()&lt;(('Team_Info'!$E$2-COUNTIF($B28:J28,"W"))/('Team_Info'!$E$4-9)),"W","B")</x:f>
        <x:v>B</x:v>
      </x:c>
      <x:c r="L28" t="str">
        <x:f>IF(RAND()&lt;(('Team_Info'!$E$2-COUNTIF($B28:K28,"W"))/('Team_Info'!$E$4-10)),"W","B")</x:f>
        <x:v>W</x:v>
      </x:c>
      <x:c r="M28" t="str">
        <x:f>IF(RAND()&lt;(('Team_Info'!$E$2-COUNTIF($B28:L28,"W"))/('Team_Info'!$E$4-11)),"W","B")</x:f>
        <x:v>W</x:v>
      </x:c>
      <x:c r="N28" t="str">
        <x:f>IF(RAND()&lt;(('Team_Info'!$E$2-COUNTIF($B28:M28,"W"))/('Team_Info'!$E$4-12)),"W","B")</x:f>
        <x:v>B</x:v>
      </x:c>
      <x:c r="O28" t="str">
        <x:f>IF(RAND()&lt;(('Team_Info'!$E$2-COUNTIF($B28:N28,"W"))/('Team_Info'!$E$4-13)),"W","B")</x:f>
        <x:v>B</x:v>
      </x:c>
      <x:c r="P28" t="str">
        <x:f>IF(RAND()&lt;(('Team_Info'!$E$2-COUNTIF($B28:O28,"W"))/('Team_Info'!$E$4-14)),"W","B")</x:f>
        <x:v>W</x:v>
      </x:c>
      <x:c r="Q28" t="str">
        <x:f>IF(RAND()&lt;(('Team_Info'!$E$2-COUNTIF($B28:P28,"W"))/('Team_Info'!$E$4-15)),"W","B")</x:f>
        <x:v>B</x:v>
      </x:c>
      <x:c r="R28" t="str">
        <x:f>IF(RAND()&lt;(('Team_Info'!$E$2-COUNTIF($B28:Q28,"W"))/('Team_Info'!$E$4-16)),"W","B")</x:f>
        <x:v>W</x:v>
      </x:c>
      <x:c r="S28" t="str">
        <x:f>IF(RAND()&lt;(('Team_Info'!$E$2-COUNTIF($B28:R28,"W"))/('Team_Info'!$E$4-17)),"W","B")</x:f>
        <x:v>W</x:v>
      </x:c>
      <x:c r="T28" t="str">
        <x:f>IF(RAND()&lt;(('Team_Info'!$E$2-COUNTIF($B28:S28,"W"))/('Team_Info'!$E$4-18)),"W","B")</x:f>
        <x:v>B</x:v>
      </x:c>
      <x:c r="U28" t="str">
        <x:f>IF(RAND()&lt;(('Team_Info'!$E$2-COUNTIF($B28:T28,"W"))/('Team_Info'!$E$4-19)),"W","B")</x:f>
        <x:v>W</x:v>
      </x:c>
    </x:row>
    <x:row r="29">
      <x:c r="A29" s="1">
        <x:v>28</x:v>
      </x:c>
      <x:c r="B29" t="str">
        <x:f>IF(RAND()&lt;'Team_Info'!$E$5,"W","B")</x:f>
        <x:v>B</x:v>
      </x:c>
      <x:c r="C29" t="str">
        <x:f>IF(RAND()&lt;(('Team_Info'!$E$2-COUNTIF($B29:B29,"W"))/('Team_Info'!$E$4-1)),"W","B")</x:f>
        <x:v>W</x:v>
      </x:c>
      <x:c r="D29" t="str">
        <x:f>IF(RAND()&lt;(('Team_Info'!$E$2-COUNTIF($B29:C29,"W"))/('Team_Info'!$E$4-2)),"W","B")</x:f>
        <x:v>B</x:v>
      </x:c>
      <x:c r="E29" t="str">
        <x:f>IF(RAND()&lt;(('Team_Info'!$E$2-COUNTIF($B29:D29,"W"))/('Team_Info'!$E$4-3)),"W","B")</x:f>
        <x:v>W</x:v>
      </x:c>
      <x:c r="F29" t="str">
        <x:f>IF(RAND()&lt;(('Team_Info'!$E$2-COUNTIF($B29:E29,"W"))/('Team_Info'!$E$4-4)),"W","B")</x:f>
        <x:v>B</x:v>
      </x:c>
      <x:c r="G29" t="str">
        <x:f>IF(RAND()&lt;(('Team_Info'!$E$2-COUNTIF($B29:F29,"W"))/('Team_Info'!$E$4-5)),"W","B")</x:f>
        <x:v>W</x:v>
      </x:c>
      <x:c r="H29" t="str">
        <x:f>IF(RAND()&lt;(('Team_Info'!$E$2-COUNTIF($B29:G29,"W"))/('Team_Info'!$E$4-6)),"W","B")</x:f>
        <x:v>B</x:v>
      </x:c>
      <x:c r="I29" t="str">
        <x:f>IF(RAND()&lt;(('Team_Info'!$E$2-COUNTIF($B29:H29,"W"))/('Team_Info'!$E$4-7)),"W","B")</x:f>
        <x:v>W</x:v>
      </x:c>
      <x:c r="J29" t="str">
        <x:f>IF(RAND()&lt;(('Team_Info'!$E$2-COUNTIF($B29:I29,"W"))/('Team_Info'!$E$4-8)),"W","B")</x:f>
        <x:v>B</x:v>
      </x:c>
      <x:c r="K29" t="str">
        <x:f>IF(RAND()&lt;(('Team_Info'!$E$2-COUNTIF($B29:J29,"W"))/('Team_Info'!$E$4-9)),"W","B")</x:f>
        <x:v>B</x:v>
      </x:c>
      <x:c r="L29" t="str">
        <x:f>IF(RAND()&lt;(('Team_Info'!$E$2-COUNTIF($B29:K29,"W"))/('Team_Info'!$E$4-10)),"W","B")</x:f>
        <x:v>W</x:v>
      </x:c>
      <x:c r="M29" t="str">
        <x:f>IF(RAND()&lt;(('Team_Info'!$E$2-COUNTIF($B29:L29,"W"))/('Team_Info'!$E$4-11)),"W","B")</x:f>
        <x:v>B</x:v>
      </x:c>
      <x:c r="N29" t="str">
        <x:f>IF(RAND()&lt;(('Team_Info'!$E$2-COUNTIF($B29:M29,"W"))/('Team_Info'!$E$4-12)),"W","B")</x:f>
        <x:v>W</x:v>
      </x:c>
      <x:c r="O29" t="str">
        <x:f>IF(RAND()&lt;(('Team_Info'!$E$2-COUNTIF($B29:N29,"W"))/('Team_Info'!$E$4-13)),"W","B")</x:f>
        <x:v>B</x:v>
      </x:c>
      <x:c r="P29" t="str">
        <x:f>IF(RAND()&lt;(('Team_Info'!$E$2-COUNTIF($B29:O29,"W"))/('Team_Info'!$E$4-14)),"W","B")</x:f>
        <x:v>W</x:v>
      </x:c>
      <x:c r="Q29" t="str">
        <x:f>IF(RAND()&lt;(('Team_Info'!$E$2-COUNTIF($B29:P29,"W"))/('Team_Info'!$E$4-15)),"W","B")</x:f>
        <x:v>W</x:v>
      </x:c>
      <x:c r="R29" t="str">
        <x:f>IF(RAND()&lt;(('Team_Info'!$E$2-COUNTIF($B29:Q29,"W"))/('Team_Info'!$E$4-16)),"W","B")</x:f>
        <x:v>W</x:v>
      </x:c>
      <x:c r="S29" t="str">
        <x:f>IF(RAND()&lt;(('Team_Info'!$E$2-COUNTIF($B29:R29,"W"))/('Team_Info'!$E$4-17)),"W","B")</x:f>
        <x:v>W</x:v>
      </x:c>
      <x:c r="T29" t="str">
        <x:f>IF(RAND()&lt;(('Team_Info'!$E$2-COUNTIF($B29:S29,"W"))/('Team_Info'!$E$4-18)),"W","B")</x:f>
        <x:v>B</x:v>
      </x:c>
      <x:c r="U29" t="str">
        <x:f>IF(RAND()&lt;(('Team_Info'!$E$2-COUNTIF($B29:T29,"W"))/('Team_Info'!$E$4-19)),"W","B")</x:f>
        <x:v>B</x:v>
      </x:c>
    </x:row>
    <x:row r="30">
      <x:c r="A30" s="1">
        <x:v>29</x:v>
      </x:c>
      <x:c r="B30" t="str">
        <x:f>IF(RAND()&lt;'Team_Info'!$E$5,"W","B")</x:f>
        <x:v>B</x:v>
      </x:c>
      <x:c r="C30" t="str">
        <x:f>IF(RAND()&lt;(('Team_Info'!$E$2-COUNTIF($B30:B30,"W"))/('Team_Info'!$E$4-1)),"W","B")</x:f>
        <x:v>B</x:v>
      </x:c>
      <x:c r="D30" t="str">
        <x:f>IF(RAND()&lt;(('Team_Info'!$E$2-COUNTIF($B30:C30,"W"))/('Team_Info'!$E$4-2)),"W","B")</x:f>
        <x:v>W</x:v>
      </x:c>
      <x:c r="E30" t="str">
        <x:f>IF(RAND()&lt;(('Team_Info'!$E$2-COUNTIF($B30:D30,"W"))/('Team_Info'!$E$4-3)),"W","B")</x:f>
        <x:v>B</x:v>
      </x:c>
      <x:c r="F30" t="str">
        <x:f>IF(RAND()&lt;(('Team_Info'!$E$2-COUNTIF($B30:E30,"W"))/('Team_Info'!$E$4-4)),"W","B")</x:f>
        <x:v>B</x:v>
      </x:c>
      <x:c r="G30" t="str">
        <x:f>IF(RAND()&lt;(('Team_Info'!$E$2-COUNTIF($B30:F30,"W"))/('Team_Info'!$E$4-5)),"W","B")</x:f>
        <x:v>B</x:v>
      </x:c>
      <x:c r="H30" t="str">
        <x:f>IF(RAND()&lt;(('Team_Info'!$E$2-COUNTIF($B30:G30,"W"))/('Team_Info'!$E$4-6)),"W","B")</x:f>
        <x:v>B</x:v>
      </x:c>
      <x:c r="I30" t="str">
        <x:f>IF(RAND()&lt;(('Team_Info'!$E$2-COUNTIF($B30:H30,"W"))/('Team_Info'!$E$4-7)),"W","B")</x:f>
        <x:v>W</x:v>
      </x:c>
      <x:c r="J30" t="str">
        <x:f>IF(RAND()&lt;(('Team_Info'!$E$2-COUNTIF($B30:I30,"W"))/('Team_Info'!$E$4-8)),"W","B")</x:f>
        <x:v>B</x:v>
      </x:c>
      <x:c r="K30" t="str">
        <x:f>IF(RAND()&lt;(('Team_Info'!$E$2-COUNTIF($B30:J30,"W"))/('Team_Info'!$E$4-9)),"W","B")</x:f>
        <x:v>B</x:v>
      </x:c>
      <x:c r="L30" t="str">
        <x:f>IF(RAND()&lt;(('Team_Info'!$E$2-COUNTIF($B30:K30,"W"))/('Team_Info'!$E$4-10)),"W","B")</x:f>
        <x:v>W</x:v>
      </x:c>
      <x:c r="M30" t="str">
        <x:f>IF(RAND()&lt;(('Team_Info'!$E$2-COUNTIF($B30:L30,"W"))/('Team_Info'!$E$4-11)),"W","B")</x:f>
        <x:v>W</x:v>
      </x:c>
      <x:c r="N30" t="str">
        <x:f>IF(RAND()&lt;(('Team_Info'!$E$2-COUNTIF($B30:M30,"W"))/('Team_Info'!$E$4-12)),"W","B")</x:f>
        <x:v>W</x:v>
      </x:c>
      <x:c r="O30" t="str">
        <x:f>IF(RAND()&lt;(('Team_Info'!$E$2-COUNTIF($B30:N30,"W"))/('Team_Info'!$E$4-13)),"W","B")</x:f>
        <x:v>W</x:v>
      </x:c>
      <x:c r="P30" t="str">
        <x:f>IF(RAND()&lt;(('Team_Info'!$E$2-COUNTIF($B30:O30,"W"))/('Team_Info'!$E$4-14)),"W","B")</x:f>
        <x:v>W</x:v>
      </x:c>
      <x:c r="Q30" t="str">
        <x:f>IF(RAND()&lt;(('Team_Info'!$E$2-COUNTIF($B30:P30,"W"))/('Team_Info'!$E$4-15)),"W","B")</x:f>
        <x:v>B</x:v>
      </x:c>
      <x:c r="R30" t="str">
        <x:f>IF(RAND()&lt;(('Team_Info'!$E$2-COUNTIF($B30:Q30,"W"))/('Team_Info'!$E$4-16)),"W","B")</x:f>
        <x:v>W</x:v>
      </x:c>
      <x:c r="S30" t="str">
        <x:f>IF(RAND()&lt;(('Team_Info'!$E$2-COUNTIF($B30:R30,"W"))/('Team_Info'!$E$4-17)),"W","B")</x:f>
        <x:v>B</x:v>
      </x:c>
      <x:c r="T30" t="str">
        <x:f>IF(RAND()&lt;(('Team_Info'!$E$2-COUNTIF($B30:S30,"W"))/('Team_Info'!$E$4-18)),"W","B")</x:f>
        <x:v>B</x:v>
      </x:c>
      <x:c r="U30" t="str">
        <x:f>IF(RAND()&lt;(('Team_Info'!$E$2-COUNTIF($B30:T30,"W"))/('Team_Info'!$E$4-19)),"W","B")</x:f>
        <x:v>W</x:v>
      </x:c>
    </x:row>
    <x:row r="31">
      <x:c r="A31" s="1">
        <x:v>30</x:v>
      </x:c>
      <x:c r="B31" t="str">
        <x:f>IF(RAND()&lt;'Team_Info'!$E$5,"W","B")</x:f>
        <x:v>B</x:v>
      </x:c>
      <x:c r="C31" t="str">
        <x:f>IF(RAND()&lt;(('Team_Info'!$E$2-COUNTIF($B31:B31,"W"))/('Team_Info'!$E$4-1)),"W","B")</x:f>
        <x:v>B</x:v>
      </x:c>
      <x:c r="D31" t="str">
        <x:f>IF(RAND()&lt;(('Team_Info'!$E$2-COUNTIF($B31:C31,"W"))/('Team_Info'!$E$4-2)),"W","B")</x:f>
        <x:v>B</x:v>
      </x:c>
      <x:c r="E31" t="str">
        <x:f>IF(RAND()&lt;(('Team_Info'!$E$2-COUNTIF($B31:D31,"W"))/('Team_Info'!$E$4-3)),"W","B")</x:f>
        <x:v>B</x:v>
      </x:c>
      <x:c r="F31" t="str">
        <x:f>IF(RAND()&lt;(('Team_Info'!$E$2-COUNTIF($B31:E31,"W"))/('Team_Info'!$E$4-4)),"W","B")</x:f>
        <x:v>B</x:v>
      </x:c>
      <x:c r="G31" t="str">
        <x:f>IF(RAND()&lt;(('Team_Info'!$E$2-COUNTIF($B31:F31,"W"))/('Team_Info'!$E$4-5)),"W","B")</x:f>
        <x:v>B</x:v>
      </x:c>
      <x:c r="H31" t="str">
        <x:f>IF(RAND()&lt;(('Team_Info'!$E$2-COUNTIF($B31:G31,"W"))/('Team_Info'!$E$4-6)),"W","B")</x:f>
        <x:v>W</x:v>
      </x:c>
      <x:c r="I31" t="str">
        <x:f>IF(RAND()&lt;(('Team_Info'!$E$2-COUNTIF($B31:H31,"W"))/('Team_Info'!$E$4-7)),"W","B")</x:f>
        <x:v>W</x:v>
      </x:c>
      <x:c r="J31" t="str">
        <x:f>IF(RAND()&lt;(('Team_Info'!$E$2-COUNTIF($B31:I31,"W"))/('Team_Info'!$E$4-8)),"W","B")</x:f>
        <x:v>W</x:v>
      </x:c>
      <x:c r="K31" t="str">
        <x:f>IF(RAND()&lt;(('Team_Info'!$E$2-COUNTIF($B31:J31,"W"))/('Team_Info'!$E$4-9)),"W","B")</x:f>
        <x:v>B</x:v>
      </x:c>
      <x:c r="L31" t="str">
        <x:f>IF(RAND()&lt;(('Team_Info'!$E$2-COUNTIF($B31:K31,"W"))/('Team_Info'!$E$4-10)),"W","B")</x:f>
        <x:v>B</x:v>
      </x:c>
      <x:c r="M31" t="str">
        <x:f>IF(RAND()&lt;(('Team_Info'!$E$2-COUNTIF($B31:L31,"W"))/('Team_Info'!$E$4-11)),"W","B")</x:f>
        <x:v>B</x:v>
      </x:c>
      <x:c r="N31" t="str">
        <x:f>IF(RAND()&lt;(('Team_Info'!$E$2-COUNTIF($B31:M31,"W"))/('Team_Info'!$E$4-12)),"W","B")</x:f>
        <x:v>W</x:v>
      </x:c>
      <x:c r="O31" t="str">
        <x:f>IF(RAND()&lt;(('Team_Info'!$E$2-COUNTIF($B31:N31,"W"))/('Team_Info'!$E$4-13)),"W","B")</x:f>
        <x:v>B</x:v>
      </x:c>
      <x:c r="P31" t="str">
        <x:f>IF(RAND()&lt;(('Team_Info'!$E$2-COUNTIF($B31:O31,"W"))/('Team_Info'!$E$4-14)),"W","B")</x:f>
        <x:v>B</x:v>
      </x:c>
      <x:c r="Q31" t="str">
        <x:f>IF(RAND()&lt;(('Team_Info'!$E$2-COUNTIF($B31:P31,"W"))/('Team_Info'!$E$4-15)),"W","B")</x:f>
        <x:v>B</x:v>
      </x:c>
      <x:c r="R31" t="str">
        <x:f>IF(RAND()&lt;(('Team_Info'!$E$2-COUNTIF($B31:Q31,"W"))/('Team_Info'!$E$4-16)),"W","B")</x:f>
        <x:v>B</x:v>
      </x:c>
      <x:c r="S31" t="str">
        <x:f>IF(RAND()&lt;(('Team_Info'!$E$2-COUNTIF($B31:R31,"W"))/('Team_Info'!$E$4-17)),"W","B")</x:f>
        <x:v>B</x:v>
      </x:c>
      <x:c r="T31" t="str">
        <x:f>IF(RAND()&lt;(('Team_Info'!$E$2-COUNTIF($B31:S31,"W"))/('Team_Info'!$E$4-18)),"W","B")</x:f>
        <x:v>B</x:v>
      </x:c>
      <x:c r="U31" t="str">
        <x:f>IF(RAND()&lt;(('Team_Info'!$E$2-COUNTIF($B31:T31,"W"))/('Team_Info'!$E$4-19)),"W","B")</x:f>
        <x:v>B</x:v>
      </x:c>
    </x:row>
    <x:row r="32">
      <x:c r="A32" s="1">
        <x:v>31</x:v>
      </x:c>
      <x:c r="B32" t="str">
        <x:f>IF(RAND()&lt;'Team_Info'!$E$5,"W","B")</x:f>
        <x:v>B</x:v>
      </x:c>
      <x:c r="C32" t="str">
        <x:f>IF(RAND()&lt;(('Team_Info'!$E$2-COUNTIF($B32:B32,"W"))/('Team_Info'!$E$4-1)),"W","B")</x:f>
        <x:v>B</x:v>
      </x:c>
      <x:c r="D32" t="str">
        <x:f>IF(RAND()&lt;(('Team_Info'!$E$2-COUNTIF($B32:C32,"W"))/('Team_Info'!$E$4-2)),"W","B")</x:f>
        <x:v>B</x:v>
      </x:c>
      <x:c r="E32" t="str">
        <x:f>IF(RAND()&lt;(('Team_Info'!$E$2-COUNTIF($B32:D32,"W"))/('Team_Info'!$E$4-3)),"W","B")</x:f>
        <x:v>W</x:v>
      </x:c>
      <x:c r="F32" t="str">
        <x:f>IF(RAND()&lt;(('Team_Info'!$E$2-COUNTIF($B32:E32,"W"))/('Team_Info'!$E$4-4)),"W","B")</x:f>
        <x:v>B</x:v>
      </x:c>
      <x:c r="G32" t="str">
        <x:f>IF(RAND()&lt;(('Team_Info'!$E$2-COUNTIF($B32:F32,"W"))/('Team_Info'!$E$4-5)),"W","B")</x:f>
        <x:v>B</x:v>
      </x:c>
      <x:c r="H32" t="str">
        <x:f>IF(RAND()&lt;(('Team_Info'!$E$2-COUNTIF($B32:G32,"W"))/('Team_Info'!$E$4-6)),"W","B")</x:f>
        <x:v>W</x:v>
      </x:c>
      <x:c r="I32" t="str">
        <x:f>IF(RAND()&lt;(('Team_Info'!$E$2-COUNTIF($B32:H32,"W"))/('Team_Info'!$E$4-7)),"W","B")</x:f>
        <x:v>B</x:v>
      </x:c>
      <x:c r="J32" t="str">
        <x:f>IF(RAND()&lt;(('Team_Info'!$E$2-COUNTIF($B32:I32,"W"))/('Team_Info'!$E$4-8)),"W","B")</x:f>
        <x:v>W</x:v>
      </x:c>
      <x:c r="K32" t="str">
        <x:f>IF(RAND()&lt;(('Team_Info'!$E$2-COUNTIF($B32:J32,"W"))/('Team_Info'!$E$4-9)),"W","B")</x:f>
        <x:v>B</x:v>
      </x:c>
      <x:c r="L32" t="str">
        <x:f>IF(RAND()&lt;(('Team_Info'!$E$2-COUNTIF($B32:K32,"W"))/('Team_Info'!$E$4-10)),"W","B")</x:f>
        <x:v>B</x:v>
      </x:c>
      <x:c r="M32" t="str">
        <x:f>IF(RAND()&lt;(('Team_Info'!$E$2-COUNTIF($B32:L32,"W"))/('Team_Info'!$E$4-11)),"W","B")</x:f>
        <x:v>B</x:v>
      </x:c>
      <x:c r="N32" t="str">
        <x:f>IF(RAND()&lt;(('Team_Info'!$E$2-COUNTIF($B32:M32,"W"))/('Team_Info'!$E$4-12)),"W","B")</x:f>
        <x:v>B</x:v>
      </x:c>
      <x:c r="O32" t="str">
        <x:f>IF(RAND()&lt;(('Team_Info'!$E$2-COUNTIF($B32:N32,"W"))/('Team_Info'!$E$4-13)),"W","B")</x:f>
        <x:v>B</x:v>
      </x:c>
      <x:c r="P32" t="str">
        <x:f>IF(RAND()&lt;(('Team_Info'!$E$2-COUNTIF($B32:O32,"W"))/('Team_Info'!$E$4-14)),"W","B")</x:f>
        <x:v>W</x:v>
      </x:c>
      <x:c r="Q32" t="str">
        <x:f>IF(RAND()&lt;(('Team_Info'!$E$2-COUNTIF($B32:P32,"W"))/('Team_Info'!$E$4-15)),"W","B")</x:f>
        <x:v>B</x:v>
      </x:c>
      <x:c r="R32" t="str">
        <x:f>IF(RAND()&lt;(('Team_Info'!$E$2-COUNTIF($B32:Q32,"W"))/('Team_Info'!$E$4-16)),"W","B")</x:f>
        <x:v>B</x:v>
      </x:c>
      <x:c r="S32" t="str">
        <x:f>IF(RAND()&lt;(('Team_Info'!$E$2-COUNTIF($B32:R32,"W"))/('Team_Info'!$E$4-17)),"W","B")</x:f>
        <x:v>B</x:v>
      </x:c>
      <x:c r="T32" t="str">
        <x:f>IF(RAND()&lt;(('Team_Info'!$E$2-COUNTIF($B32:S32,"W"))/('Team_Info'!$E$4-18)),"W","B")</x:f>
        <x:v>B</x:v>
      </x:c>
      <x:c r="U32" t="str">
        <x:f>IF(RAND()&lt;(('Team_Info'!$E$2-COUNTIF($B32:T32,"W"))/('Team_Info'!$E$4-19)),"W","B")</x:f>
        <x:v>W</x:v>
      </x:c>
    </x:row>
    <x:row r="33">
      <x:c r="A33" s="1">
        <x:v>32</x:v>
      </x:c>
      <x:c r="B33" t="str">
        <x:f>IF(RAND()&lt;'Team_Info'!$E$5,"W","B")</x:f>
        <x:v>W</x:v>
      </x:c>
      <x:c r="C33" t="str">
        <x:f>IF(RAND()&lt;(('Team_Info'!$E$2-COUNTIF($B33:B33,"W"))/('Team_Info'!$E$4-1)),"W","B")</x:f>
        <x:v>B</x:v>
      </x:c>
      <x:c r="D33" t="str">
        <x:f>IF(RAND()&lt;(('Team_Info'!$E$2-COUNTIF($B33:C33,"W"))/('Team_Info'!$E$4-2)),"W","B")</x:f>
        <x:v>B</x:v>
      </x:c>
      <x:c r="E33" t="str">
        <x:f>IF(RAND()&lt;(('Team_Info'!$E$2-COUNTIF($B33:D33,"W"))/('Team_Info'!$E$4-3)),"W","B")</x:f>
        <x:v>B</x:v>
      </x:c>
      <x:c r="F33" t="str">
        <x:f>IF(RAND()&lt;(('Team_Info'!$E$2-COUNTIF($B33:E33,"W"))/('Team_Info'!$E$4-4)),"W","B")</x:f>
        <x:v>B</x:v>
      </x:c>
      <x:c r="G33" t="str">
        <x:f>IF(RAND()&lt;(('Team_Info'!$E$2-COUNTIF($B33:F33,"W"))/('Team_Info'!$E$4-5)),"W","B")</x:f>
        <x:v>W</x:v>
      </x:c>
      <x:c r="H33" t="str">
        <x:f>IF(RAND()&lt;(('Team_Info'!$E$2-COUNTIF($B33:G33,"W"))/('Team_Info'!$E$4-6)),"W","B")</x:f>
        <x:v>B</x:v>
      </x:c>
      <x:c r="I33" t="str">
        <x:f>IF(RAND()&lt;(('Team_Info'!$E$2-COUNTIF($B33:H33,"W"))/('Team_Info'!$E$4-7)),"W","B")</x:f>
        <x:v>W</x:v>
      </x:c>
      <x:c r="J33" t="str">
        <x:f>IF(RAND()&lt;(('Team_Info'!$E$2-COUNTIF($B33:I33,"W"))/('Team_Info'!$E$4-8)),"W","B")</x:f>
        <x:v>B</x:v>
      </x:c>
      <x:c r="K33" t="str">
        <x:f>IF(RAND()&lt;(('Team_Info'!$E$2-COUNTIF($B33:J33,"W"))/('Team_Info'!$E$4-9)),"W","B")</x:f>
        <x:v>B</x:v>
      </x:c>
      <x:c r="L33" t="str">
        <x:f>IF(RAND()&lt;(('Team_Info'!$E$2-COUNTIF($B33:K33,"W"))/('Team_Info'!$E$4-10)),"W","B")</x:f>
        <x:v>B</x:v>
      </x:c>
      <x:c r="M33" t="str">
        <x:f>IF(RAND()&lt;(('Team_Info'!$E$2-COUNTIF($B33:L33,"W"))/('Team_Info'!$E$4-11)),"W","B")</x:f>
        <x:v>W</x:v>
      </x:c>
      <x:c r="N33" t="str">
        <x:f>IF(RAND()&lt;(('Team_Info'!$E$2-COUNTIF($B33:M33,"W"))/('Team_Info'!$E$4-12)),"W","B")</x:f>
        <x:v>W</x:v>
      </x:c>
      <x:c r="O33" t="str">
        <x:f>IF(RAND()&lt;(('Team_Info'!$E$2-COUNTIF($B33:N33,"W"))/('Team_Info'!$E$4-13)),"W","B")</x:f>
        <x:v>B</x:v>
      </x:c>
      <x:c r="P33" t="str">
        <x:f>IF(RAND()&lt;(('Team_Info'!$E$2-COUNTIF($B33:O33,"W"))/('Team_Info'!$E$4-14)),"W","B")</x:f>
        <x:v>B</x:v>
      </x:c>
      <x:c r="Q33" t="str">
        <x:f>IF(RAND()&lt;(('Team_Info'!$E$2-COUNTIF($B33:P33,"W"))/('Team_Info'!$E$4-15)),"W","B")</x:f>
        <x:v>B</x:v>
      </x:c>
      <x:c r="R33" t="str">
        <x:f>IF(RAND()&lt;(('Team_Info'!$E$2-COUNTIF($B33:Q33,"W"))/('Team_Info'!$E$4-16)),"W","B")</x:f>
        <x:v>B</x:v>
      </x:c>
      <x:c r="S33" t="str">
        <x:f>IF(RAND()&lt;(('Team_Info'!$E$2-COUNTIF($B33:R33,"W"))/('Team_Info'!$E$4-17)),"W","B")</x:f>
        <x:v>B</x:v>
      </x:c>
      <x:c r="T33" t="str">
        <x:f>IF(RAND()&lt;(('Team_Info'!$E$2-COUNTIF($B33:S33,"W"))/('Team_Info'!$E$4-18)),"W","B")</x:f>
        <x:v>B</x:v>
      </x:c>
      <x:c r="U33" t="str">
        <x:f>IF(RAND()&lt;(('Team_Info'!$E$2-COUNTIF($B33:T33,"W"))/('Team_Info'!$E$4-19)),"W","B")</x:f>
        <x:v>B</x:v>
      </x:c>
    </x:row>
    <x:row r="34">
      <x:c r="A34" s="1">
        <x:v>33</x:v>
      </x:c>
      <x:c r="B34" t="str">
        <x:f>IF(RAND()&lt;'Team_Info'!$E$5,"W","B")</x:f>
        <x:v>W</x:v>
      </x:c>
      <x:c r="C34" t="str">
        <x:f>IF(RAND()&lt;(('Team_Info'!$E$2-COUNTIF($B34:B34,"W"))/('Team_Info'!$E$4-1)),"W","B")</x:f>
        <x:v>B</x:v>
      </x:c>
      <x:c r="D34" t="str">
        <x:f>IF(RAND()&lt;(('Team_Info'!$E$2-COUNTIF($B34:C34,"W"))/('Team_Info'!$E$4-2)),"W","B")</x:f>
        <x:v>B</x:v>
      </x:c>
      <x:c r="E34" t="str">
        <x:f>IF(RAND()&lt;(('Team_Info'!$E$2-COUNTIF($B34:D34,"W"))/('Team_Info'!$E$4-3)),"W","B")</x:f>
        <x:v>B</x:v>
      </x:c>
      <x:c r="F34" t="str">
        <x:f>IF(RAND()&lt;(('Team_Info'!$E$2-COUNTIF($B34:E34,"W"))/('Team_Info'!$E$4-4)),"W","B")</x:f>
        <x:v>B</x:v>
      </x:c>
      <x:c r="G34" t="str">
        <x:f>IF(RAND()&lt;(('Team_Info'!$E$2-COUNTIF($B34:F34,"W"))/('Team_Info'!$E$4-5)),"W","B")</x:f>
        <x:v>B</x:v>
      </x:c>
      <x:c r="H34" t="str">
        <x:f>IF(RAND()&lt;(('Team_Info'!$E$2-COUNTIF($B34:G34,"W"))/('Team_Info'!$E$4-6)),"W","B")</x:f>
        <x:v>B</x:v>
      </x:c>
      <x:c r="I34" t="str">
        <x:f>IF(RAND()&lt;(('Team_Info'!$E$2-COUNTIF($B34:H34,"W"))/('Team_Info'!$E$4-7)),"W","B")</x:f>
        <x:v>B</x:v>
      </x:c>
      <x:c r="J34" t="str">
        <x:f>IF(RAND()&lt;(('Team_Info'!$E$2-COUNTIF($B34:I34,"W"))/('Team_Info'!$E$4-8)),"W","B")</x:f>
        <x:v>B</x:v>
      </x:c>
      <x:c r="K34" t="str">
        <x:f>IF(RAND()&lt;(('Team_Info'!$E$2-COUNTIF($B34:J34,"W"))/('Team_Info'!$E$4-9)),"W","B")</x:f>
        <x:v>W</x:v>
      </x:c>
      <x:c r="L34" t="str">
        <x:f>IF(RAND()&lt;(('Team_Info'!$E$2-COUNTIF($B34:K34,"W"))/('Team_Info'!$E$4-10)),"W","B")</x:f>
        <x:v>W</x:v>
      </x:c>
      <x:c r="M34" t="str">
        <x:f>IF(RAND()&lt;(('Team_Info'!$E$2-COUNTIF($B34:L34,"W"))/('Team_Info'!$E$4-11)),"W","B")</x:f>
        <x:v>B</x:v>
      </x:c>
      <x:c r="N34" t="str">
        <x:f>IF(RAND()&lt;(('Team_Info'!$E$2-COUNTIF($B34:M34,"W"))/('Team_Info'!$E$4-12)),"W","B")</x:f>
        <x:v>B</x:v>
      </x:c>
      <x:c r="O34" t="str">
        <x:f>IF(RAND()&lt;(('Team_Info'!$E$2-COUNTIF($B34:N34,"W"))/('Team_Info'!$E$4-13)),"W","B")</x:f>
        <x:v>B</x:v>
      </x:c>
      <x:c r="P34" t="str">
        <x:f>IF(RAND()&lt;(('Team_Info'!$E$2-COUNTIF($B34:O34,"W"))/('Team_Info'!$E$4-14)),"W","B")</x:f>
        <x:v>B</x:v>
      </x:c>
      <x:c r="Q34" t="str">
        <x:f>IF(RAND()&lt;(('Team_Info'!$E$2-COUNTIF($B34:P34,"W"))/('Team_Info'!$E$4-15)),"W","B")</x:f>
        <x:v>B</x:v>
      </x:c>
      <x:c r="R34" t="str">
        <x:f>IF(RAND()&lt;(('Team_Info'!$E$2-COUNTIF($B34:Q34,"W"))/('Team_Info'!$E$4-16)),"W","B")</x:f>
        <x:v>W</x:v>
      </x:c>
      <x:c r="S34" t="str">
        <x:f>IF(RAND()&lt;(('Team_Info'!$E$2-COUNTIF($B34:R34,"W"))/('Team_Info'!$E$4-17)),"W","B")</x:f>
        <x:v>W</x:v>
      </x:c>
      <x:c r="T34" t="str">
        <x:f>IF(RAND()&lt;(('Team_Info'!$E$2-COUNTIF($B34:S34,"W"))/('Team_Info'!$E$4-18)),"W","B")</x:f>
        <x:v>B</x:v>
      </x:c>
      <x:c r="U34" t="str">
        <x:f>IF(RAND()&lt;(('Team_Info'!$E$2-COUNTIF($B34:T34,"W"))/('Team_Info'!$E$4-19)),"W","B")</x:f>
        <x:v>W</x:v>
      </x:c>
    </x:row>
    <x:row r="35">
      <x:c r="A35" s="1">
        <x:v>34</x:v>
      </x:c>
      <x:c r="B35" t="str">
        <x:f>IF(RAND()&lt;'Team_Info'!$E$5,"W","B")</x:f>
        <x:v>W</x:v>
      </x:c>
      <x:c r="C35" t="str">
        <x:f>IF(RAND()&lt;(('Team_Info'!$E$2-COUNTIF($B35:B35,"W"))/('Team_Info'!$E$4-1)),"W","B")</x:f>
        <x:v>B</x:v>
      </x:c>
      <x:c r="D35" t="str">
        <x:f>IF(RAND()&lt;(('Team_Info'!$E$2-COUNTIF($B35:C35,"W"))/('Team_Info'!$E$4-2)),"W","B")</x:f>
        <x:v>W</x:v>
      </x:c>
      <x:c r="E35" t="str">
        <x:f>IF(RAND()&lt;(('Team_Info'!$E$2-COUNTIF($B35:D35,"W"))/('Team_Info'!$E$4-3)),"W","B")</x:f>
        <x:v>W</x:v>
      </x:c>
      <x:c r="F35" t="str">
        <x:f>IF(RAND()&lt;(('Team_Info'!$E$2-COUNTIF($B35:E35,"W"))/('Team_Info'!$E$4-4)),"W","B")</x:f>
        <x:v>W</x:v>
      </x:c>
      <x:c r="G35" t="str">
        <x:f>IF(RAND()&lt;(('Team_Info'!$E$2-COUNTIF($B35:F35,"W"))/('Team_Info'!$E$4-5)),"W","B")</x:f>
        <x:v>W</x:v>
      </x:c>
      <x:c r="H35" t="str">
        <x:f>IF(RAND()&lt;(('Team_Info'!$E$2-COUNTIF($B35:G35,"W"))/('Team_Info'!$E$4-6)),"W","B")</x:f>
        <x:v>W</x:v>
      </x:c>
      <x:c r="I35" t="str">
        <x:f>IF(RAND()&lt;(('Team_Info'!$E$2-COUNTIF($B35:H35,"W"))/('Team_Info'!$E$4-7)),"W","B")</x:f>
        <x:v>B</x:v>
      </x:c>
      <x:c r="J35" t="str">
        <x:f>IF(RAND()&lt;(('Team_Info'!$E$2-COUNTIF($B35:I35,"W"))/('Team_Info'!$E$4-8)),"W","B")</x:f>
        <x:v>B</x:v>
      </x:c>
      <x:c r="K35" t="str">
        <x:f>IF(RAND()&lt;(('Team_Info'!$E$2-COUNTIF($B35:J35,"W"))/('Team_Info'!$E$4-9)),"W","B")</x:f>
        <x:v>W</x:v>
      </x:c>
      <x:c r="L35" t="str">
        <x:f>IF(RAND()&lt;(('Team_Info'!$E$2-COUNTIF($B35:K35,"W"))/('Team_Info'!$E$4-10)),"W","B")</x:f>
        <x:v>W</x:v>
      </x:c>
      <x:c r="M35" t="str">
        <x:f>IF(RAND()&lt;(('Team_Info'!$E$2-COUNTIF($B35:L35,"W"))/('Team_Info'!$E$4-11)),"W","B")</x:f>
        <x:v>W</x:v>
      </x:c>
      <x:c r="N35" t="str">
        <x:f>IF(RAND()&lt;(('Team_Info'!$E$2-COUNTIF($B35:M35,"W"))/('Team_Info'!$E$4-12)),"W","B")</x:f>
        <x:v>W</x:v>
      </x:c>
      <x:c r="O35" t="str">
        <x:f>IF(RAND()&lt;(('Team_Info'!$E$2-COUNTIF($B35:N35,"W"))/('Team_Info'!$E$4-13)),"W","B")</x:f>
        <x:v>B</x:v>
      </x:c>
      <x:c r="P35" t="str">
        <x:f>IF(RAND()&lt;(('Team_Info'!$E$2-COUNTIF($B35:O35,"W"))/('Team_Info'!$E$4-14)),"W","B")</x:f>
        <x:v>B</x:v>
      </x:c>
      <x:c r="Q35" t="str">
        <x:f>IF(RAND()&lt;(('Team_Info'!$E$2-COUNTIF($B35:P35,"W"))/('Team_Info'!$E$4-15)),"W","B")</x:f>
        <x:v>W</x:v>
      </x:c>
      <x:c r="R35" t="str">
        <x:f>IF(RAND()&lt;(('Team_Info'!$E$2-COUNTIF($B35:Q35,"W"))/('Team_Info'!$E$4-16)),"W","B")</x:f>
        <x:v>B</x:v>
      </x:c>
      <x:c r="S35" t="str">
        <x:f>IF(RAND()&lt;(('Team_Info'!$E$2-COUNTIF($B35:R35,"W"))/('Team_Info'!$E$4-17)),"W","B")</x:f>
        <x:v>B</x:v>
      </x:c>
      <x:c r="T35" t="str">
        <x:f>IF(RAND()&lt;(('Team_Info'!$E$2-COUNTIF($B35:S35,"W"))/('Team_Info'!$E$4-18)),"W","B")</x:f>
        <x:v>W</x:v>
      </x:c>
      <x:c r="U35" t="str">
        <x:f>IF(RAND()&lt;(('Team_Info'!$E$2-COUNTIF($B35:T35,"W"))/('Team_Info'!$E$4-19)),"W","B")</x:f>
        <x:v>B</x:v>
      </x:c>
    </x:row>
    <x:row r="36">
      <x:c r="A36" s="1">
        <x:v>35</x:v>
      </x:c>
      <x:c r="B36" t="str">
        <x:f>IF(RAND()&lt;'Team_Info'!$E$5,"W","B")</x:f>
        <x:v>B</x:v>
      </x:c>
      <x:c r="C36" t="str">
        <x:f>IF(RAND()&lt;(('Team_Info'!$E$2-COUNTIF($B36:B36,"W"))/('Team_Info'!$E$4-1)),"W","B")</x:f>
        <x:v>W</x:v>
      </x:c>
      <x:c r="D36" t="str">
        <x:f>IF(RAND()&lt;(('Team_Info'!$E$2-COUNTIF($B36:C36,"W"))/('Team_Info'!$E$4-2)),"W","B")</x:f>
        <x:v>B</x:v>
      </x:c>
      <x:c r="E36" t="str">
        <x:f>IF(RAND()&lt;(('Team_Info'!$E$2-COUNTIF($B36:D36,"W"))/('Team_Info'!$E$4-3)),"W","B")</x:f>
        <x:v>B</x:v>
      </x:c>
      <x:c r="F36" t="str">
        <x:f>IF(RAND()&lt;(('Team_Info'!$E$2-COUNTIF($B36:E36,"W"))/('Team_Info'!$E$4-4)),"W","B")</x:f>
        <x:v>B</x:v>
      </x:c>
      <x:c r="G36" t="str">
        <x:f>IF(RAND()&lt;(('Team_Info'!$E$2-COUNTIF($B36:F36,"W"))/('Team_Info'!$E$4-5)),"W","B")</x:f>
        <x:v>W</x:v>
      </x:c>
      <x:c r="H36" t="str">
        <x:f>IF(RAND()&lt;(('Team_Info'!$E$2-COUNTIF($B36:G36,"W"))/('Team_Info'!$E$4-6)),"W","B")</x:f>
        <x:v>W</x:v>
      </x:c>
      <x:c r="I36" t="str">
        <x:f>IF(RAND()&lt;(('Team_Info'!$E$2-COUNTIF($B36:H36,"W"))/('Team_Info'!$E$4-7)),"W","B")</x:f>
        <x:v>B</x:v>
      </x:c>
      <x:c r="J36" t="str">
        <x:f>IF(RAND()&lt;(('Team_Info'!$E$2-COUNTIF($B36:I36,"W"))/('Team_Info'!$E$4-8)),"W","B")</x:f>
        <x:v>W</x:v>
      </x:c>
      <x:c r="K36" t="str">
        <x:f>IF(RAND()&lt;(('Team_Info'!$E$2-COUNTIF($B36:J36,"W"))/('Team_Info'!$E$4-9)),"W","B")</x:f>
        <x:v>B</x:v>
      </x:c>
      <x:c r="L36" t="str">
        <x:f>IF(RAND()&lt;(('Team_Info'!$E$2-COUNTIF($B36:K36,"W"))/('Team_Info'!$E$4-10)),"W","B")</x:f>
        <x:v>B</x:v>
      </x:c>
      <x:c r="M36" t="str">
        <x:f>IF(RAND()&lt;(('Team_Info'!$E$2-COUNTIF($B36:L36,"W"))/('Team_Info'!$E$4-11)),"W","B")</x:f>
        <x:v>B</x:v>
      </x:c>
      <x:c r="N36" t="str">
        <x:f>IF(RAND()&lt;(('Team_Info'!$E$2-COUNTIF($B36:M36,"W"))/('Team_Info'!$E$4-12)),"W","B")</x:f>
        <x:v>B</x:v>
      </x:c>
      <x:c r="O36" t="str">
        <x:f>IF(RAND()&lt;(('Team_Info'!$E$2-COUNTIF($B36:N36,"W"))/('Team_Info'!$E$4-13)),"W","B")</x:f>
        <x:v>B</x:v>
      </x:c>
      <x:c r="P36" t="str">
        <x:f>IF(RAND()&lt;(('Team_Info'!$E$2-COUNTIF($B36:O36,"W"))/('Team_Info'!$E$4-14)),"W","B")</x:f>
        <x:v>B</x:v>
      </x:c>
      <x:c r="Q36" t="str">
        <x:f>IF(RAND()&lt;(('Team_Info'!$E$2-COUNTIF($B36:P36,"W"))/('Team_Info'!$E$4-15)),"W","B")</x:f>
        <x:v>B</x:v>
      </x:c>
      <x:c r="R36" t="str">
        <x:f>IF(RAND()&lt;(('Team_Info'!$E$2-COUNTIF($B36:Q36,"W"))/('Team_Info'!$E$4-16)),"W","B")</x:f>
        <x:v>W</x:v>
      </x:c>
      <x:c r="S36" t="str">
        <x:f>IF(RAND()&lt;(('Team_Info'!$E$2-COUNTIF($B36:R36,"W"))/('Team_Info'!$E$4-17)),"W","B")</x:f>
        <x:v>W</x:v>
      </x:c>
      <x:c r="T36" t="str">
        <x:f>IF(RAND()&lt;(('Team_Info'!$E$2-COUNTIF($B36:S36,"W"))/('Team_Info'!$E$4-18)),"W","B")</x:f>
        <x:v>B</x:v>
      </x:c>
      <x:c r="U36" t="str">
        <x:f>IF(RAND()&lt;(('Team_Info'!$E$2-COUNTIF($B36:T36,"W"))/('Team_Info'!$E$4-19)),"W","B")</x:f>
        <x:v>B</x:v>
      </x:c>
    </x:row>
    <x:row r="37">
      <x:c r="A37" s="1">
        <x:v>36</x:v>
      </x:c>
      <x:c r="B37" t="str">
        <x:f>IF(RAND()&lt;'Team_Info'!$E$5,"W","B")</x:f>
        <x:v>B</x:v>
      </x:c>
      <x:c r="C37" t="str">
        <x:f>IF(RAND()&lt;(('Team_Info'!$E$2-COUNTIF($B37:B37,"W"))/('Team_Info'!$E$4-1)),"W","B")</x:f>
        <x:v>W</x:v>
      </x:c>
      <x:c r="D37" t="str">
        <x:f>IF(RAND()&lt;(('Team_Info'!$E$2-COUNTIF($B37:C37,"W"))/('Team_Info'!$E$4-2)),"W","B")</x:f>
        <x:v>B</x:v>
      </x:c>
      <x:c r="E37" t="str">
        <x:f>IF(RAND()&lt;(('Team_Info'!$E$2-COUNTIF($B37:D37,"W"))/('Team_Info'!$E$4-3)),"W","B")</x:f>
        <x:v>W</x:v>
      </x:c>
      <x:c r="F37" t="str">
        <x:f>IF(RAND()&lt;(('Team_Info'!$E$2-COUNTIF($B37:E37,"W"))/('Team_Info'!$E$4-4)),"W","B")</x:f>
        <x:v>B</x:v>
      </x:c>
      <x:c r="G37" t="str">
        <x:f>IF(RAND()&lt;(('Team_Info'!$E$2-COUNTIF($B37:F37,"W"))/('Team_Info'!$E$4-5)),"W","B")</x:f>
        <x:v>B</x:v>
      </x:c>
      <x:c r="H37" t="str">
        <x:f>IF(RAND()&lt;(('Team_Info'!$E$2-COUNTIF($B37:G37,"W"))/('Team_Info'!$E$4-6)),"W","B")</x:f>
        <x:v>W</x:v>
      </x:c>
      <x:c r="I37" t="str">
        <x:f>IF(RAND()&lt;(('Team_Info'!$E$2-COUNTIF($B37:H37,"W"))/('Team_Info'!$E$4-7)),"W","B")</x:f>
        <x:v>B</x:v>
      </x:c>
      <x:c r="J37" t="str">
        <x:f>IF(RAND()&lt;(('Team_Info'!$E$2-COUNTIF($B37:I37,"W"))/('Team_Info'!$E$4-8)),"W","B")</x:f>
        <x:v>B</x:v>
      </x:c>
      <x:c r="K37" t="str">
        <x:f>IF(RAND()&lt;(('Team_Info'!$E$2-COUNTIF($B37:J37,"W"))/('Team_Info'!$E$4-9)),"W","B")</x:f>
        <x:v>W</x:v>
      </x:c>
      <x:c r="L37" t="str">
        <x:f>IF(RAND()&lt;(('Team_Info'!$E$2-COUNTIF($B37:K37,"W"))/('Team_Info'!$E$4-10)),"W","B")</x:f>
        <x:v>B</x:v>
      </x:c>
      <x:c r="M37" t="str">
        <x:f>IF(RAND()&lt;(('Team_Info'!$E$2-COUNTIF($B37:L37,"W"))/('Team_Info'!$E$4-11)),"W","B")</x:f>
        <x:v>B</x:v>
      </x:c>
      <x:c r="N37" t="str">
        <x:f>IF(RAND()&lt;(('Team_Info'!$E$2-COUNTIF($B37:M37,"W"))/('Team_Info'!$E$4-12)),"W","B")</x:f>
        <x:v>B</x:v>
      </x:c>
      <x:c r="O37" t="str">
        <x:f>IF(RAND()&lt;(('Team_Info'!$E$2-COUNTIF($B37:N37,"W"))/('Team_Info'!$E$4-13)),"W","B")</x:f>
        <x:v>B</x:v>
      </x:c>
      <x:c r="P37" t="str">
        <x:f>IF(RAND()&lt;(('Team_Info'!$E$2-COUNTIF($B37:O37,"W"))/('Team_Info'!$E$4-14)),"W","B")</x:f>
        <x:v>B</x:v>
      </x:c>
      <x:c r="Q37" t="str">
        <x:f>IF(RAND()&lt;(('Team_Info'!$E$2-COUNTIF($B37:P37,"W"))/('Team_Info'!$E$4-15)),"W","B")</x:f>
        <x:v>W</x:v>
      </x:c>
      <x:c r="R37" t="str">
        <x:f>IF(RAND()&lt;(('Team_Info'!$E$2-COUNTIF($B37:Q37,"W"))/('Team_Info'!$E$4-16)),"W","B")</x:f>
        <x:v>W</x:v>
      </x:c>
      <x:c r="S37" t="str">
        <x:f>IF(RAND()&lt;(('Team_Info'!$E$2-COUNTIF($B37:R37,"W"))/('Team_Info'!$E$4-17)),"W","B")</x:f>
        <x:v>W</x:v>
      </x:c>
      <x:c r="T37" t="str">
        <x:f>IF(RAND()&lt;(('Team_Info'!$E$2-COUNTIF($B37:S37,"W"))/('Team_Info'!$E$4-18)),"W","B")</x:f>
        <x:v>B</x:v>
      </x:c>
      <x:c r="U37" t="str">
        <x:f>IF(RAND()&lt;(('Team_Info'!$E$2-COUNTIF($B37:T37,"W"))/('Team_Info'!$E$4-19)),"W","B")</x:f>
        <x:v>W</x:v>
      </x:c>
    </x:row>
    <x:row r="38">
      <x:c r="A38" s="1">
        <x:v>37</x:v>
      </x:c>
      <x:c r="B38" t="str">
        <x:f>IF(RAND()&lt;'Team_Info'!$E$5,"W","B")</x:f>
        <x:v>B</x:v>
      </x:c>
      <x:c r="C38" t="str">
        <x:f>IF(RAND()&lt;(('Team_Info'!$E$2-COUNTIF($B38:B38,"W"))/('Team_Info'!$E$4-1)),"W","B")</x:f>
        <x:v>B</x:v>
      </x:c>
      <x:c r="D38" t="str">
        <x:f>IF(RAND()&lt;(('Team_Info'!$E$2-COUNTIF($B38:C38,"W"))/('Team_Info'!$E$4-2)),"W","B")</x:f>
        <x:v>W</x:v>
      </x:c>
      <x:c r="E38" t="str">
        <x:f>IF(RAND()&lt;(('Team_Info'!$E$2-COUNTIF($B38:D38,"W"))/('Team_Info'!$E$4-3)),"W","B")</x:f>
        <x:v>W</x:v>
      </x:c>
      <x:c r="F38" t="str">
        <x:f>IF(RAND()&lt;(('Team_Info'!$E$2-COUNTIF($B38:E38,"W"))/('Team_Info'!$E$4-4)),"W","B")</x:f>
        <x:v>B</x:v>
      </x:c>
      <x:c r="G38" t="str">
        <x:f>IF(RAND()&lt;(('Team_Info'!$E$2-COUNTIF($B38:F38,"W"))/('Team_Info'!$E$4-5)),"W","B")</x:f>
        <x:v>B</x:v>
      </x:c>
      <x:c r="H38" t="str">
        <x:f>IF(RAND()&lt;(('Team_Info'!$E$2-COUNTIF($B38:G38,"W"))/('Team_Info'!$E$4-6)),"W","B")</x:f>
        <x:v>B</x:v>
      </x:c>
      <x:c r="I38" t="str">
        <x:f>IF(RAND()&lt;(('Team_Info'!$E$2-COUNTIF($B38:H38,"W"))/('Team_Info'!$E$4-7)),"W","B")</x:f>
        <x:v>B</x:v>
      </x:c>
      <x:c r="J38" t="str">
        <x:f>IF(RAND()&lt;(('Team_Info'!$E$2-COUNTIF($B38:I38,"W"))/('Team_Info'!$E$4-8)),"W","B")</x:f>
        <x:v>B</x:v>
      </x:c>
      <x:c r="K38" t="str">
        <x:f>IF(RAND()&lt;(('Team_Info'!$E$2-COUNTIF($B38:J38,"W"))/('Team_Info'!$E$4-9)),"W","B")</x:f>
        <x:v>W</x:v>
      </x:c>
      <x:c r="L38" t="str">
        <x:f>IF(RAND()&lt;(('Team_Info'!$E$2-COUNTIF($B38:K38,"W"))/('Team_Info'!$E$4-10)),"W","B")</x:f>
        <x:v>B</x:v>
      </x:c>
      <x:c r="M38" t="str">
        <x:f>IF(RAND()&lt;(('Team_Info'!$E$2-COUNTIF($B38:L38,"W"))/('Team_Info'!$E$4-11)),"W","B")</x:f>
        <x:v>B</x:v>
      </x:c>
      <x:c r="N38" t="str">
        <x:f>IF(RAND()&lt;(('Team_Info'!$E$2-COUNTIF($B38:M38,"W"))/('Team_Info'!$E$4-12)),"W","B")</x:f>
        <x:v>B</x:v>
      </x:c>
      <x:c r="O38" t="str">
        <x:f>IF(RAND()&lt;(('Team_Info'!$E$2-COUNTIF($B38:N38,"W"))/('Team_Info'!$E$4-13)),"W","B")</x:f>
        <x:v>B</x:v>
      </x:c>
      <x:c r="P38" t="str">
        <x:f>IF(RAND()&lt;(('Team_Info'!$E$2-COUNTIF($B38:O38,"W"))/('Team_Info'!$E$4-14)),"W","B")</x:f>
        <x:v>W</x:v>
      </x:c>
      <x:c r="Q38" t="str">
        <x:f>IF(RAND()&lt;(('Team_Info'!$E$2-COUNTIF($B38:P38,"W"))/('Team_Info'!$E$4-15)),"W","B")</x:f>
        <x:v>B</x:v>
      </x:c>
      <x:c r="R38" t="str">
        <x:f>IF(RAND()&lt;(('Team_Info'!$E$2-COUNTIF($B38:Q38,"W"))/('Team_Info'!$E$4-16)),"W","B")</x:f>
        <x:v>W</x:v>
      </x:c>
      <x:c r="S38" t="str">
        <x:f>IF(RAND()&lt;(('Team_Info'!$E$2-COUNTIF($B38:R38,"W"))/('Team_Info'!$E$4-17)),"W","B")</x:f>
        <x:v>B</x:v>
      </x:c>
      <x:c r="T38" t="str">
        <x:f>IF(RAND()&lt;(('Team_Info'!$E$2-COUNTIF($B38:S38,"W"))/('Team_Info'!$E$4-18)),"W","B")</x:f>
        <x:v>B</x:v>
      </x:c>
      <x:c r="U38" t="str">
        <x:f>IF(RAND()&lt;(('Team_Info'!$E$2-COUNTIF($B38:T38,"W"))/('Team_Info'!$E$4-19)),"W","B")</x:f>
        <x:v>B</x:v>
      </x:c>
    </x:row>
    <x:row r="39">
      <x:c r="A39" s="1">
        <x:v>38</x:v>
      </x:c>
      <x:c r="B39" t="str">
        <x:f>IF(RAND()&lt;'Team_Info'!$E$5,"W","B")</x:f>
        <x:v>B</x:v>
      </x:c>
      <x:c r="C39" t="str">
        <x:f>IF(RAND()&lt;(('Team_Info'!$E$2-COUNTIF($B39:B39,"W"))/('Team_Info'!$E$4-1)),"W","B")</x:f>
        <x:v>W</x:v>
      </x:c>
      <x:c r="D39" t="str">
        <x:f>IF(RAND()&lt;(('Team_Info'!$E$2-COUNTIF($B39:C39,"W"))/('Team_Info'!$E$4-2)),"W","B")</x:f>
        <x:v>W</x:v>
      </x:c>
      <x:c r="E39" t="str">
        <x:f>IF(RAND()&lt;(('Team_Info'!$E$2-COUNTIF($B39:D39,"W"))/('Team_Info'!$E$4-3)),"W","B")</x:f>
        <x:v>B</x:v>
      </x:c>
      <x:c r="F39" t="str">
        <x:f>IF(RAND()&lt;(('Team_Info'!$E$2-COUNTIF($B39:E39,"W"))/('Team_Info'!$E$4-4)),"W","B")</x:f>
        <x:v>B</x:v>
      </x:c>
      <x:c r="G39" t="str">
        <x:f>IF(RAND()&lt;(('Team_Info'!$E$2-COUNTIF($B39:F39,"W"))/('Team_Info'!$E$4-5)),"W","B")</x:f>
        <x:v>W</x:v>
      </x:c>
      <x:c r="H39" t="str">
        <x:f>IF(RAND()&lt;(('Team_Info'!$E$2-COUNTIF($B39:G39,"W"))/('Team_Info'!$E$4-6)),"W","B")</x:f>
        <x:v>B</x:v>
      </x:c>
      <x:c r="I39" t="str">
        <x:f>IF(RAND()&lt;(('Team_Info'!$E$2-COUNTIF($B39:H39,"W"))/('Team_Info'!$E$4-7)),"W","B")</x:f>
        <x:v>W</x:v>
      </x:c>
      <x:c r="J39" t="str">
        <x:f>IF(RAND()&lt;(('Team_Info'!$E$2-COUNTIF($B39:I39,"W"))/('Team_Info'!$E$4-8)),"W","B")</x:f>
        <x:v>B</x:v>
      </x:c>
      <x:c r="K39" t="str">
        <x:f>IF(RAND()&lt;(('Team_Info'!$E$2-COUNTIF($B39:J39,"W"))/('Team_Info'!$E$4-9)),"W","B")</x:f>
        <x:v>W</x:v>
      </x:c>
      <x:c r="L39" t="str">
        <x:f>IF(RAND()&lt;(('Team_Info'!$E$2-COUNTIF($B39:K39,"W"))/('Team_Info'!$E$4-10)),"W","B")</x:f>
        <x:v>W</x:v>
      </x:c>
      <x:c r="M39" t="str">
        <x:f>IF(RAND()&lt;(('Team_Info'!$E$2-COUNTIF($B39:L39,"W"))/('Team_Info'!$E$4-11)),"W","B")</x:f>
        <x:v>W</x:v>
      </x:c>
      <x:c r="N39" t="str">
        <x:f>IF(RAND()&lt;(('Team_Info'!$E$2-COUNTIF($B39:M39,"W"))/('Team_Info'!$E$4-12)),"W","B")</x:f>
        <x:v>B</x:v>
      </x:c>
      <x:c r="O39" t="str">
        <x:f>IF(RAND()&lt;(('Team_Info'!$E$2-COUNTIF($B39:N39,"W"))/('Team_Info'!$E$4-13)),"W","B")</x:f>
        <x:v>B</x:v>
      </x:c>
      <x:c r="P39" t="str">
        <x:f>IF(RAND()&lt;(('Team_Info'!$E$2-COUNTIF($B39:O39,"W"))/('Team_Info'!$E$4-14)),"W","B")</x:f>
        <x:v>B</x:v>
      </x:c>
      <x:c r="Q39" t="str">
        <x:f>IF(RAND()&lt;(('Team_Info'!$E$2-COUNTIF($B39:P39,"W"))/('Team_Info'!$E$4-15)),"W","B")</x:f>
        <x:v>W</x:v>
      </x:c>
      <x:c r="R39" t="str">
        <x:f>IF(RAND()&lt;(('Team_Info'!$E$2-COUNTIF($B39:Q39,"W"))/('Team_Info'!$E$4-16)),"W","B")</x:f>
        <x:v>B</x:v>
      </x:c>
      <x:c r="S39" t="str">
        <x:f>IF(RAND()&lt;(('Team_Info'!$E$2-COUNTIF($B39:R39,"W"))/('Team_Info'!$E$4-17)),"W","B")</x:f>
        <x:v>W</x:v>
      </x:c>
      <x:c r="T39" t="str">
        <x:f>IF(RAND()&lt;(('Team_Info'!$E$2-COUNTIF($B39:S39,"W"))/('Team_Info'!$E$4-18)),"W","B")</x:f>
        <x:v>W</x:v>
      </x:c>
      <x:c r="U39" t="str">
        <x:f>IF(RAND()&lt;(('Team_Info'!$E$2-COUNTIF($B39:T39,"W"))/('Team_Info'!$E$4-19)),"W","B")</x:f>
        <x:v>W</x:v>
      </x:c>
    </x:row>
    <x:row r="40">
      <x:c r="A40" s="1">
        <x:v>39</x:v>
      </x:c>
      <x:c r="B40" t="str">
        <x:f>IF(RAND()&lt;'Team_Info'!$E$5,"W","B")</x:f>
        <x:v>W</x:v>
      </x:c>
      <x:c r="C40" t="str">
        <x:f>IF(RAND()&lt;(('Team_Info'!$E$2-COUNTIF($B40:B40,"W"))/('Team_Info'!$E$4-1)),"W","B")</x:f>
        <x:v>B</x:v>
      </x:c>
      <x:c r="D40" t="str">
        <x:f>IF(RAND()&lt;(('Team_Info'!$E$2-COUNTIF($B40:C40,"W"))/('Team_Info'!$E$4-2)),"W","B")</x:f>
        <x:v>B</x:v>
      </x:c>
      <x:c r="E40" t="str">
        <x:f>IF(RAND()&lt;(('Team_Info'!$E$2-COUNTIF($B40:D40,"W"))/('Team_Info'!$E$4-3)),"W","B")</x:f>
        <x:v>W</x:v>
      </x:c>
      <x:c r="F40" t="str">
        <x:f>IF(RAND()&lt;(('Team_Info'!$E$2-COUNTIF($B40:E40,"W"))/('Team_Info'!$E$4-4)),"W","B")</x:f>
        <x:v>B</x:v>
      </x:c>
      <x:c r="G40" t="str">
        <x:f>IF(RAND()&lt;(('Team_Info'!$E$2-COUNTIF($B40:F40,"W"))/('Team_Info'!$E$4-5)),"W","B")</x:f>
        <x:v>W</x:v>
      </x:c>
      <x:c r="H40" t="str">
        <x:f>IF(RAND()&lt;(('Team_Info'!$E$2-COUNTIF($B40:G40,"W"))/('Team_Info'!$E$4-6)),"W","B")</x:f>
        <x:v>W</x:v>
      </x:c>
      <x:c r="I40" t="str">
        <x:f>IF(RAND()&lt;(('Team_Info'!$E$2-COUNTIF($B40:H40,"W"))/('Team_Info'!$E$4-7)),"W","B")</x:f>
        <x:v>B</x:v>
      </x:c>
      <x:c r="J40" t="str">
        <x:f>IF(RAND()&lt;(('Team_Info'!$E$2-COUNTIF($B40:I40,"W"))/('Team_Info'!$E$4-8)),"W","B")</x:f>
        <x:v>W</x:v>
      </x:c>
      <x:c r="K40" t="str">
        <x:f>IF(RAND()&lt;(('Team_Info'!$E$2-COUNTIF($B40:J40,"W"))/('Team_Info'!$E$4-9)),"W","B")</x:f>
        <x:v>B</x:v>
      </x:c>
      <x:c r="L40" t="str">
        <x:f>IF(RAND()&lt;(('Team_Info'!$E$2-COUNTIF($B40:K40,"W"))/('Team_Info'!$E$4-10)),"W","B")</x:f>
        <x:v>W</x:v>
      </x:c>
      <x:c r="M40" t="str">
        <x:f>IF(RAND()&lt;(('Team_Info'!$E$2-COUNTIF($B40:L40,"W"))/('Team_Info'!$E$4-11)),"W","B")</x:f>
        <x:v>B</x:v>
      </x:c>
      <x:c r="N40" t="str">
        <x:f>IF(RAND()&lt;(('Team_Info'!$E$2-COUNTIF($B40:M40,"W"))/('Team_Info'!$E$4-12)),"W","B")</x:f>
        <x:v>W</x:v>
      </x:c>
      <x:c r="O40" t="str">
        <x:f>IF(RAND()&lt;(('Team_Info'!$E$2-COUNTIF($B40:N40,"W"))/('Team_Info'!$E$4-13)),"W","B")</x:f>
        <x:v>B</x:v>
      </x:c>
      <x:c r="P40" t="str">
        <x:f>IF(RAND()&lt;(('Team_Info'!$E$2-COUNTIF($B40:O40,"W"))/('Team_Info'!$E$4-14)),"W","B")</x:f>
        <x:v>W</x:v>
      </x:c>
      <x:c r="Q40" t="str">
        <x:f>IF(RAND()&lt;(('Team_Info'!$E$2-COUNTIF($B40:P40,"W"))/('Team_Info'!$E$4-15)),"W","B")</x:f>
        <x:v>W</x:v>
      </x:c>
      <x:c r="R40" t="str">
        <x:f>IF(RAND()&lt;(('Team_Info'!$E$2-COUNTIF($B40:Q40,"W"))/('Team_Info'!$E$4-16)),"W","B")</x:f>
        <x:v>B</x:v>
      </x:c>
      <x:c r="S40" t="str">
        <x:f>IF(RAND()&lt;(('Team_Info'!$E$2-COUNTIF($B40:R40,"W"))/('Team_Info'!$E$4-17)),"W","B")</x:f>
        <x:v>W</x:v>
      </x:c>
      <x:c r="T40" t="str">
        <x:f>IF(RAND()&lt;(('Team_Info'!$E$2-COUNTIF($B40:S40,"W"))/('Team_Info'!$E$4-18)),"W","B")</x:f>
        <x:v>B</x:v>
      </x:c>
      <x:c r="U40" t="str">
        <x:f>IF(RAND()&lt;(('Team_Info'!$E$2-COUNTIF($B40:T40,"W"))/('Team_Info'!$E$4-19)),"W","B")</x:f>
        <x:v>W</x:v>
      </x:c>
    </x:row>
    <x:row r="41">
      <x:c r="A41" s="1">
        <x:v>40</x:v>
      </x:c>
      <x:c r="B41" t="str">
        <x:f>IF(RAND()&lt;'Team_Info'!$E$5,"W","B")</x:f>
        <x:v>B</x:v>
      </x:c>
      <x:c r="C41" t="str">
        <x:f>IF(RAND()&lt;(('Team_Info'!$E$2-COUNTIF($B41:B41,"W"))/('Team_Info'!$E$4-1)),"W","B")</x:f>
        <x:v>B</x:v>
      </x:c>
      <x:c r="D41" t="str">
        <x:f>IF(RAND()&lt;(('Team_Info'!$E$2-COUNTIF($B41:C41,"W"))/('Team_Info'!$E$4-2)),"W","B")</x:f>
        <x:v>B</x:v>
      </x:c>
      <x:c r="E41" t="str">
        <x:f>IF(RAND()&lt;(('Team_Info'!$E$2-COUNTIF($B41:D41,"W"))/('Team_Info'!$E$4-3)),"W","B")</x:f>
        <x:v>B</x:v>
      </x:c>
      <x:c r="F41" t="str">
        <x:f>IF(RAND()&lt;(('Team_Info'!$E$2-COUNTIF($B41:E41,"W"))/('Team_Info'!$E$4-4)),"W","B")</x:f>
        <x:v>B</x:v>
      </x:c>
      <x:c r="G41" t="str">
        <x:f>IF(RAND()&lt;(('Team_Info'!$E$2-COUNTIF($B41:F41,"W"))/('Team_Info'!$E$4-5)),"W","B")</x:f>
        <x:v>B</x:v>
      </x:c>
      <x:c r="H41" t="str">
        <x:f>IF(RAND()&lt;(('Team_Info'!$E$2-COUNTIF($B41:G41,"W"))/('Team_Info'!$E$4-6)),"W","B")</x:f>
        <x:v>B</x:v>
      </x:c>
      <x:c r="I41" t="str">
        <x:f>IF(RAND()&lt;(('Team_Info'!$E$2-COUNTIF($B41:H41,"W"))/('Team_Info'!$E$4-7)),"W","B")</x:f>
        <x:v>W</x:v>
      </x:c>
      <x:c r="J41" t="str">
        <x:f>IF(RAND()&lt;(('Team_Info'!$E$2-COUNTIF($B41:I41,"W"))/('Team_Info'!$E$4-8)),"W","B")</x:f>
        <x:v>B</x:v>
      </x:c>
      <x:c r="K41" t="str">
        <x:f>IF(RAND()&lt;(('Team_Info'!$E$2-COUNTIF($B41:J41,"W"))/('Team_Info'!$E$4-9)),"W","B")</x:f>
        <x:v>W</x:v>
      </x:c>
      <x:c r="L41" t="str">
        <x:f>IF(RAND()&lt;(('Team_Info'!$E$2-COUNTIF($B41:K41,"W"))/('Team_Info'!$E$4-10)),"W","B")</x:f>
        <x:v>B</x:v>
      </x:c>
      <x:c r="M41" t="str">
        <x:f>IF(RAND()&lt;(('Team_Info'!$E$2-COUNTIF($B41:L41,"W"))/('Team_Info'!$E$4-11)),"W","B")</x:f>
        <x:v>B</x:v>
      </x:c>
      <x:c r="N41" t="str">
        <x:f>IF(RAND()&lt;(('Team_Info'!$E$2-COUNTIF($B41:M41,"W"))/('Team_Info'!$E$4-12)),"W","B")</x:f>
        <x:v>B</x:v>
      </x:c>
      <x:c r="O41" t="str">
        <x:f>IF(RAND()&lt;(('Team_Info'!$E$2-COUNTIF($B41:N41,"W"))/('Team_Info'!$E$4-13)),"W","B")</x:f>
        <x:v>B</x:v>
      </x:c>
      <x:c r="P41" t="str">
        <x:f>IF(RAND()&lt;(('Team_Info'!$E$2-COUNTIF($B41:O41,"W"))/('Team_Info'!$E$4-14)),"W","B")</x:f>
        <x:v>B</x:v>
      </x:c>
      <x:c r="Q41" t="str">
        <x:f>IF(RAND()&lt;(('Team_Info'!$E$2-COUNTIF($B41:P41,"W"))/('Team_Info'!$E$4-15)),"W","B")</x:f>
        <x:v>B</x:v>
      </x:c>
      <x:c r="R41" t="str">
        <x:f>IF(RAND()&lt;(('Team_Info'!$E$2-COUNTIF($B41:Q41,"W"))/('Team_Info'!$E$4-16)),"W","B")</x:f>
        <x:v>B</x:v>
      </x:c>
      <x:c r="S41" t="str">
        <x:f>IF(RAND()&lt;(('Team_Info'!$E$2-COUNTIF($B41:R41,"W"))/('Team_Info'!$E$4-17)),"W","B")</x:f>
        <x:v>W</x:v>
      </x:c>
      <x:c r="T41" t="str">
        <x:f>IF(RAND()&lt;(('Team_Info'!$E$2-COUNTIF($B41:S41,"W"))/('Team_Info'!$E$4-18)),"W","B")</x:f>
        <x:v>B</x:v>
      </x:c>
      <x:c r="U41" t="str">
        <x:f>IF(RAND()&lt;(('Team_Info'!$E$2-COUNTIF($B41:T41,"W"))/('Team_Info'!$E$4-19)),"W","B")</x:f>
        <x:v>W</x:v>
      </x:c>
    </x:row>
    <x:row r="42">
      <x:c r="A42" s="1">
        <x:v>41</x:v>
      </x:c>
      <x:c r="B42" t="str">
        <x:f>IF(RAND()&lt;'Team_Info'!$E$5,"W","B")</x:f>
        <x:v>B</x:v>
      </x:c>
      <x:c r="C42" t="str">
        <x:f>IF(RAND()&lt;(('Team_Info'!$E$2-COUNTIF($B42:B42,"W"))/('Team_Info'!$E$4-1)),"W","B")</x:f>
        <x:v>W</x:v>
      </x:c>
      <x:c r="D42" t="str">
        <x:f>IF(RAND()&lt;(('Team_Info'!$E$2-COUNTIF($B42:C42,"W"))/('Team_Info'!$E$4-2)),"W","B")</x:f>
        <x:v>B</x:v>
      </x:c>
      <x:c r="E42" t="str">
        <x:f>IF(RAND()&lt;(('Team_Info'!$E$2-COUNTIF($B42:D42,"W"))/('Team_Info'!$E$4-3)),"W","B")</x:f>
        <x:v>B</x:v>
      </x:c>
      <x:c r="F42" t="str">
        <x:f>IF(RAND()&lt;(('Team_Info'!$E$2-COUNTIF($B42:E42,"W"))/('Team_Info'!$E$4-4)),"W","B")</x:f>
        <x:v>B</x:v>
      </x:c>
      <x:c r="G42" t="str">
        <x:f>IF(RAND()&lt;(('Team_Info'!$E$2-COUNTIF($B42:F42,"W"))/('Team_Info'!$E$4-5)),"W","B")</x:f>
        <x:v>B</x:v>
      </x:c>
      <x:c r="H42" t="str">
        <x:f>IF(RAND()&lt;(('Team_Info'!$E$2-COUNTIF($B42:G42,"W"))/('Team_Info'!$E$4-6)),"W","B")</x:f>
        <x:v>W</x:v>
      </x:c>
      <x:c r="I42" t="str">
        <x:f>IF(RAND()&lt;(('Team_Info'!$E$2-COUNTIF($B42:H42,"W"))/('Team_Info'!$E$4-7)),"W","B")</x:f>
        <x:v>B</x:v>
      </x:c>
      <x:c r="J42" t="str">
        <x:f>IF(RAND()&lt;(('Team_Info'!$E$2-COUNTIF($B42:I42,"W"))/('Team_Info'!$E$4-8)),"W","B")</x:f>
        <x:v>W</x:v>
      </x:c>
      <x:c r="K42" t="str">
        <x:f>IF(RAND()&lt;(('Team_Info'!$E$2-COUNTIF($B42:J42,"W"))/('Team_Info'!$E$4-9)),"W","B")</x:f>
        <x:v>B</x:v>
      </x:c>
      <x:c r="L42" t="str">
        <x:f>IF(RAND()&lt;(('Team_Info'!$E$2-COUNTIF($B42:K42,"W"))/('Team_Info'!$E$4-10)),"W","B")</x:f>
        <x:v>W</x:v>
      </x:c>
      <x:c r="M42" t="str">
        <x:f>IF(RAND()&lt;(('Team_Info'!$E$2-COUNTIF($B42:L42,"W"))/('Team_Info'!$E$4-11)),"W","B")</x:f>
        <x:v>B</x:v>
      </x:c>
      <x:c r="N42" t="str">
        <x:f>IF(RAND()&lt;(('Team_Info'!$E$2-COUNTIF($B42:M42,"W"))/('Team_Info'!$E$4-12)),"W","B")</x:f>
        <x:v>B</x:v>
      </x:c>
      <x:c r="O42" t="str">
        <x:f>IF(RAND()&lt;(('Team_Info'!$E$2-COUNTIF($B42:N42,"W"))/('Team_Info'!$E$4-13)),"W","B")</x:f>
        <x:v>W</x:v>
      </x:c>
      <x:c r="P42" t="str">
        <x:f>IF(RAND()&lt;(('Team_Info'!$E$2-COUNTIF($B42:O42,"W"))/('Team_Info'!$E$4-14)),"W","B")</x:f>
        <x:v>W</x:v>
      </x:c>
      <x:c r="Q42" t="str">
        <x:f>IF(RAND()&lt;(('Team_Info'!$E$2-COUNTIF($B42:P42,"W"))/('Team_Info'!$E$4-15)),"W","B")</x:f>
        <x:v>B</x:v>
      </x:c>
      <x:c r="R42" t="str">
        <x:f>IF(RAND()&lt;(('Team_Info'!$E$2-COUNTIF($B42:Q42,"W"))/('Team_Info'!$E$4-16)),"W","B")</x:f>
        <x:v>W</x:v>
      </x:c>
      <x:c r="S42" t="str">
        <x:f>IF(RAND()&lt;(('Team_Info'!$E$2-COUNTIF($B42:R42,"W"))/('Team_Info'!$E$4-17)),"W","B")</x:f>
        <x:v>B</x:v>
      </x:c>
      <x:c r="T42" t="str">
        <x:f>IF(RAND()&lt;(('Team_Info'!$E$2-COUNTIF($B42:S42,"W"))/('Team_Info'!$E$4-18)),"W","B")</x:f>
        <x:v>W</x:v>
      </x:c>
      <x:c r="U42" t="str">
        <x:f>IF(RAND()&lt;(('Team_Info'!$E$2-COUNTIF($B42:T42,"W"))/('Team_Info'!$E$4-19)),"W","B")</x:f>
        <x:v>B</x:v>
      </x:c>
    </x:row>
    <x:row r="43">
      <x:c r="A43" s="1">
        <x:v>42</x:v>
      </x:c>
      <x:c r="B43" t="str">
        <x:f>IF(RAND()&lt;'Team_Info'!$E$5,"W","B")</x:f>
        <x:v>B</x:v>
      </x:c>
      <x:c r="C43" t="str">
        <x:f>IF(RAND()&lt;(('Team_Info'!$E$2-COUNTIF($B43:B43,"W"))/('Team_Info'!$E$4-1)),"W","B")</x:f>
        <x:v>B</x:v>
      </x:c>
      <x:c r="D43" t="str">
        <x:f>IF(RAND()&lt;(('Team_Info'!$E$2-COUNTIF($B43:C43,"W"))/('Team_Info'!$E$4-2)),"W","B")</x:f>
        <x:v>B</x:v>
      </x:c>
      <x:c r="E43" t="str">
        <x:f>IF(RAND()&lt;(('Team_Info'!$E$2-COUNTIF($B43:D43,"W"))/('Team_Info'!$E$4-3)),"W","B")</x:f>
        <x:v>B</x:v>
      </x:c>
      <x:c r="F43" t="str">
        <x:f>IF(RAND()&lt;(('Team_Info'!$E$2-COUNTIF($B43:E43,"W"))/('Team_Info'!$E$4-4)),"W","B")</x:f>
        <x:v>B</x:v>
      </x:c>
      <x:c r="G43" t="str">
        <x:f>IF(RAND()&lt;(('Team_Info'!$E$2-COUNTIF($B43:F43,"W"))/('Team_Info'!$E$4-5)),"W","B")</x:f>
        <x:v>W</x:v>
      </x:c>
      <x:c r="H43" t="str">
        <x:f>IF(RAND()&lt;(('Team_Info'!$E$2-COUNTIF($B43:G43,"W"))/('Team_Info'!$E$4-6)),"W","B")</x:f>
        <x:v>B</x:v>
      </x:c>
      <x:c r="I43" t="str">
        <x:f>IF(RAND()&lt;(('Team_Info'!$E$2-COUNTIF($B43:H43,"W"))/('Team_Info'!$E$4-7)),"W","B")</x:f>
        <x:v>B</x:v>
      </x:c>
      <x:c r="J43" t="str">
        <x:f>IF(RAND()&lt;(('Team_Info'!$E$2-COUNTIF($B43:I43,"W"))/('Team_Info'!$E$4-8)),"W","B")</x:f>
        <x:v>B</x:v>
      </x:c>
      <x:c r="K43" t="str">
        <x:f>IF(RAND()&lt;(('Team_Info'!$E$2-COUNTIF($B43:J43,"W"))/('Team_Info'!$E$4-9)),"W","B")</x:f>
        <x:v>W</x:v>
      </x:c>
      <x:c r="L43" t="str">
        <x:f>IF(RAND()&lt;(('Team_Info'!$E$2-COUNTIF($B43:K43,"W"))/('Team_Info'!$E$4-10)),"W","B")</x:f>
        <x:v>B</x:v>
      </x:c>
      <x:c r="M43" t="str">
        <x:f>IF(RAND()&lt;(('Team_Info'!$E$2-COUNTIF($B43:L43,"W"))/('Team_Info'!$E$4-11)),"W","B")</x:f>
        <x:v>W</x:v>
      </x:c>
      <x:c r="N43" t="str">
        <x:f>IF(RAND()&lt;(('Team_Info'!$E$2-COUNTIF($B43:M43,"W"))/('Team_Info'!$E$4-12)),"W","B")</x:f>
        <x:v>W</x:v>
      </x:c>
      <x:c r="O43" t="str">
        <x:f>IF(RAND()&lt;(('Team_Info'!$E$2-COUNTIF($B43:N43,"W"))/('Team_Info'!$E$4-13)),"W","B")</x:f>
        <x:v>B</x:v>
      </x:c>
      <x:c r="P43" t="str">
        <x:f>IF(RAND()&lt;(('Team_Info'!$E$2-COUNTIF($B43:O43,"W"))/('Team_Info'!$E$4-14)),"W","B")</x:f>
        <x:v>W</x:v>
      </x:c>
      <x:c r="Q43" t="str">
        <x:f>IF(RAND()&lt;(('Team_Info'!$E$2-COUNTIF($B43:P43,"W"))/('Team_Info'!$E$4-15)),"W","B")</x:f>
        <x:v>B</x:v>
      </x:c>
      <x:c r="R43" t="str">
        <x:f>IF(RAND()&lt;(('Team_Info'!$E$2-COUNTIF($B43:Q43,"W"))/('Team_Info'!$E$4-16)),"W","B")</x:f>
        <x:v>B</x:v>
      </x:c>
      <x:c r="S43" t="str">
        <x:f>IF(RAND()&lt;(('Team_Info'!$E$2-COUNTIF($B43:R43,"W"))/('Team_Info'!$E$4-17)),"W","B")</x:f>
        <x:v>W</x:v>
      </x:c>
      <x:c r="T43" t="str">
        <x:f>IF(RAND()&lt;(('Team_Info'!$E$2-COUNTIF($B43:S43,"W"))/('Team_Info'!$E$4-18)),"W","B")</x:f>
        <x:v>B</x:v>
      </x:c>
      <x:c r="U43" t="str">
        <x:f>IF(RAND()&lt;(('Team_Info'!$E$2-COUNTIF($B43:T43,"W"))/('Team_Info'!$E$4-19)),"W","B")</x:f>
        <x:v>W</x:v>
      </x:c>
    </x:row>
    <x:row r="44">
      <x:c r="A44" s="1">
        <x:v>43</x:v>
      </x:c>
      <x:c r="B44" t="str">
        <x:f>IF(RAND()&lt;'Team_Info'!$E$5,"W","B")</x:f>
        <x:v>B</x:v>
      </x:c>
      <x:c r="C44" t="str">
        <x:f>IF(RAND()&lt;(('Team_Info'!$E$2-COUNTIF($B44:B44,"W"))/('Team_Info'!$E$4-1)),"W","B")</x:f>
        <x:v>W</x:v>
      </x:c>
      <x:c r="D44" t="str">
        <x:f>IF(RAND()&lt;(('Team_Info'!$E$2-COUNTIF($B44:C44,"W"))/('Team_Info'!$E$4-2)),"W","B")</x:f>
        <x:v>B</x:v>
      </x:c>
      <x:c r="E44" t="str">
        <x:f>IF(RAND()&lt;(('Team_Info'!$E$2-COUNTIF($B44:D44,"W"))/('Team_Info'!$E$4-3)),"W","B")</x:f>
        <x:v>B</x:v>
      </x:c>
      <x:c r="F44" t="str">
        <x:f>IF(RAND()&lt;(('Team_Info'!$E$2-COUNTIF($B44:E44,"W"))/('Team_Info'!$E$4-4)),"W","B")</x:f>
        <x:v>W</x:v>
      </x:c>
      <x:c r="G44" t="str">
        <x:f>IF(RAND()&lt;(('Team_Info'!$E$2-COUNTIF($B44:F44,"W"))/('Team_Info'!$E$4-5)),"W","B")</x:f>
        <x:v>W</x:v>
      </x:c>
      <x:c r="H44" t="str">
        <x:f>IF(RAND()&lt;(('Team_Info'!$E$2-COUNTIF($B44:G44,"W"))/('Team_Info'!$E$4-6)),"W","B")</x:f>
        <x:v>B</x:v>
      </x:c>
      <x:c r="I44" t="str">
        <x:f>IF(RAND()&lt;(('Team_Info'!$E$2-COUNTIF($B44:H44,"W"))/('Team_Info'!$E$4-7)),"W","B")</x:f>
        <x:v>B</x:v>
      </x:c>
      <x:c r="J44" t="str">
        <x:f>IF(RAND()&lt;(('Team_Info'!$E$2-COUNTIF($B44:I44,"W"))/('Team_Info'!$E$4-8)),"W","B")</x:f>
        <x:v>W</x:v>
      </x:c>
      <x:c r="K44" t="str">
        <x:f>IF(RAND()&lt;(('Team_Info'!$E$2-COUNTIF($B44:J44,"W"))/('Team_Info'!$E$4-9)),"W","B")</x:f>
        <x:v>B</x:v>
      </x:c>
      <x:c r="L44" t="str">
        <x:f>IF(RAND()&lt;(('Team_Info'!$E$2-COUNTIF($B44:K44,"W"))/('Team_Info'!$E$4-10)),"W","B")</x:f>
        <x:v>B</x:v>
      </x:c>
      <x:c r="M44" t="str">
        <x:f>IF(RAND()&lt;(('Team_Info'!$E$2-COUNTIF($B44:L44,"W"))/('Team_Info'!$E$4-11)),"W","B")</x:f>
        <x:v>B</x:v>
      </x:c>
      <x:c r="N44" t="str">
        <x:f>IF(RAND()&lt;(('Team_Info'!$E$2-COUNTIF($B44:M44,"W"))/('Team_Info'!$E$4-12)),"W","B")</x:f>
        <x:v>B</x:v>
      </x:c>
      <x:c r="O44" t="str">
        <x:f>IF(RAND()&lt;(('Team_Info'!$E$2-COUNTIF($B44:N44,"W"))/('Team_Info'!$E$4-13)),"W","B")</x:f>
        <x:v>B</x:v>
      </x:c>
      <x:c r="P44" t="str">
        <x:f>IF(RAND()&lt;(('Team_Info'!$E$2-COUNTIF($B44:O44,"W"))/('Team_Info'!$E$4-14)),"W","B")</x:f>
        <x:v>W</x:v>
      </x:c>
      <x:c r="Q44" t="str">
        <x:f>IF(RAND()&lt;(('Team_Info'!$E$2-COUNTIF($B44:P44,"W"))/('Team_Info'!$E$4-15)),"W","B")</x:f>
        <x:v>B</x:v>
      </x:c>
      <x:c r="R44" t="str">
        <x:f>IF(RAND()&lt;(('Team_Info'!$E$2-COUNTIF($B44:Q44,"W"))/('Team_Info'!$E$4-16)),"W","B")</x:f>
        <x:v>W</x:v>
      </x:c>
      <x:c r="S44" t="str">
        <x:f>IF(RAND()&lt;(('Team_Info'!$E$2-COUNTIF($B44:R44,"W"))/('Team_Info'!$E$4-17)),"W","B")</x:f>
        <x:v>W</x:v>
      </x:c>
      <x:c r="T44" t="str">
        <x:f>IF(RAND()&lt;(('Team_Info'!$E$2-COUNTIF($B44:S44,"W"))/('Team_Info'!$E$4-18)),"W","B")</x:f>
        <x:v>W</x:v>
      </x:c>
      <x:c r="U44" t="str">
        <x:f>IF(RAND()&lt;(('Team_Info'!$E$2-COUNTIF($B44:T44,"W"))/('Team_Info'!$E$4-19)),"W","B")</x:f>
        <x:v>B</x:v>
      </x:c>
    </x:row>
    <x:row r="45">
      <x:c r="A45" s="1">
        <x:v>44</x:v>
      </x:c>
      <x:c r="B45" t="str">
        <x:f>IF(RAND()&lt;'Team_Info'!$E$5,"W","B")</x:f>
        <x:v>B</x:v>
      </x:c>
      <x:c r="C45" t="str">
        <x:f>IF(RAND()&lt;(('Team_Info'!$E$2-COUNTIF($B45:B45,"W"))/('Team_Info'!$E$4-1)),"W","B")</x:f>
        <x:v>B</x:v>
      </x:c>
      <x:c r="D45" t="str">
        <x:f>IF(RAND()&lt;(('Team_Info'!$E$2-COUNTIF($B45:C45,"W"))/('Team_Info'!$E$4-2)),"W","B")</x:f>
        <x:v>B</x:v>
      </x:c>
      <x:c r="E45" t="str">
        <x:f>IF(RAND()&lt;(('Team_Info'!$E$2-COUNTIF($B45:D45,"W"))/('Team_Info'!$E$4-3)),"W","B")</x:f>
        <x:v>W</x:v>
      </x:c>
      <x:c r="F45" t="str">
        <x:f>IF(RAND()&lt;(('Team_Info'!$E$2-COUNTIF($B45:E45,"W"))/('Team_Info'!$E$4-4)),"W","B")</x:f>
        <x:v>B</x:v>
      </x:c>
      <x:c r="G45" t="str">
        <x:f>IF(RAND()&lt;(('Team_Info'!$E$2-COUNTIF($B45:F45,"W"))/('Team_Info'!$E$4-5)),"W","B")</x:f>
        <x:v>B</x:v>
      </x:c>
      <x:c r="H45" t="str">
        <x:f>IF(RAND()&lt;(('Team_Info'!$E$2-COUNTIF($B45:G45,"W"))/('Team_Info'!$E$4-6)),"W","B")</x:f>
        <x:v>W</x:v>
      </x:c>
      <x:c r="I45" t="str">
        <x:f>IF(RAND()&lt;(('Team_Info'!$E$2-COUNTIF($B45:H45,"W"))/('Team_Info'!$E$4-7)),"W","B")</x:f>
        <x:v>W</x:v>
      </x:c>
      <x:c r="J45" t="str">
        <x:f>IF(RAND()&lt;(('Team_Info'!$E$2-COUNTIF($B45:I45,"W"))/('Team_Info'!$E$4-8)),"W","B")</x:f>
        <x:v>B</x:v>
      </x:c>
      <x:c r="K45" t="str">
        <x:f>IF(RAND()&lt;(('Team_Info'!$E$2-COUNTIF($B45:J45,"W"))/('Team_Info'!$E$4-9)),"W","B")</x:f>
        <x:v>B</x:v>
      </x:c>
      <x:c r="L45" t="str">
        <x:f>IF(RAND()&lt;(('Team_Info'!$E$2-COUNTIF($B45:K45,"W"))/('Team_Info'!$E$4-10)),"W","B")</x:f>
        <x:v>B</x:v>
      </x:c>
      <x:c r="M45" t="str">
        <x:f>IF(RAND()&lt;(('Team_Info'!$E$2-COUNTIF($B45:L45,"W"))/('Team_Info'!$E$4-11)),"W","B")</x:f>
        <x:v>B</x:v>
      </x:c>
      <x:c r="N45" t="str">
        <x:f>IF(RAND()&lt;(('Team_Info'!$E$2-COUNTIF($B45:M45,"W"))/('Team_Info'!$E$4-12)),"W","B")</x:f>
        <x:v>B</x:v>
      </x:c>
      <x:c r="O45" t="str">
        <x:f>IF(RAND()&lt;(('Team_Info'!$E$2-COUNTIF($B45:N45,"W"))/('Team_Info'!$E$4-13)),"W","B")</x:f>
        <x:v>B</x:v>
      </x:c>
      <x:c r="P45" t="str">
        <x:f>IF(RAND()&lt;(('Team_Info'!$E$2-COUNTIF($B45:O45,"W"))/('Team_Info'!$E$4-14)),"W","B")</x:f>
        <x:v>B</x:v>
      </x:c>
      <x:c r="Q45" t="str">
        <x:f>IF(RAND()&lt;(('Team_Info'!$E$2-COUNTIF($B45:P45,"W"))/('Team_Info'!$E$4-15)),"W","B")</x:f>
        <x:v>W</x:v>
      </x:c>
      <x:c r="R45" t="str">
        <x:f>IF(RAND()&lt;(('Team_Info'!$E$2-COUNTIF($B45:Q45,"W"))/('Team_Info'!$E$4-16)),"W","B")</x:f>
        <x:v>W</x:v>
      </x:c>
      <x:c r="S45" t="str">
        <x:f>IF(RAND()&lt;(('Team_Info'!$E$2-COUNTIF($B45:R45,"W"))/('Team_Info'!$E$4-17)),"W","B")</x:f>
        <x:v>B</x:v>
      </x:c>
      <x:c r="T45" t="str">
        <x:f>IF(RAND()&lt;(('Team_Info'!$E$2-COUNTIF($B45:S45,"W"))/('Team_Info'!$E$4-18)),"W","B")</x:f>
        <x:v>W</x:v>
      </x:c>
      <x:c r="U45" t="str">
        <x:f>IF(RAND()&lt;(('Team_Info'!$E$2-COUNTIF($B45:T45,"W"))/('Team_Info'!$E$4-19)),"W","B")</x:f>
        <x:v>B</x:v>
      </x:c>
    </x:row>
    <x:row r="46">
      <x:c r="A46" s="1">
        <x:v>45</x:v>
      </x:c>
      <x:c r="B46" t="str">
        <x:f>IF(RAND()&lt;'Team_Info'!$E$5,"W","B")</x:f>
        <x:v>B</x:v>
      </x:c>
      <x:c r="C46" t="str">
        <x:f>IF(RAND()&lt;(('Team_Info'!$E$2-COUNTIF($B46:B46,"W"))/('Team_Info'!$E$4-1)),"W","B")</x:f>
        <x:v>B</x:v>
      </x:c>
      <x:c r="D46" t="str">
        <x:f>IF(RAND()&lt;(('Team_Info'!$E$2-COUNTIF($B46:C46,"W"))/('Team_Info'!$E$4-2)),"W","B")</x:f>
        <x:v>B</x:v>
      </x:c>
      <x:c r="E46" t="str">
        <x:f>IF(RAND()&lt;(('Team_Info'!$E$2-COUNTIF($B46:D46,"W"))/('Team_Info'!$E$4-3)),"W","B")</x:f>
        <x:v>B</x:v>
      </x:c>
      <x:c r="F46" t="str">
        <x:f>IF(RAND()&lt;(('Team_Info'!$E$2-COUNTIF($B46:E46,"W"))/('Team_Info'!$E$4-4)),"W","B")</x:f>
        <x:v>B</x:v>
      </x:c>
      <x:c r="G46" t="str">
        <x:f>IF(RAND()&lt;(('Team_Info'!$E$2-COUNTIF($B46:F46,"W"))/('Team_Info'!$E$4-5)),"W","B")</x:f>
        <x:v>B</x:v>
      </x:c>
      <x:c r="H46" t="str">
        <x:f>IF(RAND()&lt;(('Team_Info'!$E$2-COUNTIF($B46:G46,"W"))/('Team_Info'!$E$4-6)),"W","B")</x:f>
        <x:v>W</x:v>
      </x:c>
      <x:c r="I46" t="str">
        <x:f>IF(RAND()&lt;(('Team_Info'!$E$2-COUNTIF($B46:H46,"W"))/('Team_Info'!$E$4-7)),"W","B")</x:f>
        <x:v>W</x:v>
      </x:c>
      <x:c r="J46" t="str">
        <x:f>IF(RAND()&lt;(('Team_Info'!$E$2-COUNTIF($B46:I46,"W"))/('Team_Info'!$E$4-8)),"W","B")</x:f>
        <x:v>B</x:v>
      </x:c>
      <x:c r="K46" t="str">
        <x:f>IF(RAND()&lt;(('Team_Info'!$E$2-COUNTIF($B46:J46,"W"))/('Team_Info'!$E$4-9)),"W","B")</x:f>
        <x:v>W</x:v>
      </x:c>
      <x:c r="L46" t="str">
        <x:f>IF(RAND()&lt;(('Team_Info'!$E$2-COUNTIF($B46:K46,"W"))/('Team_Info'!$E$4-10)),"W","B")</x:f>
        <x:v>W</x:v>
      </x:c>
      <x:c r="M46" t="str">
        <x:f>IF(RAND()&lt;(('Team_Info'!$E$2-COUNTIF($B46:L46,"W"))/('Team_Info'!$E$4-11)),"W","B")</x:f>
        <x:v>B</x:v>
      </x:c>
      <x:c r="N46" t="str">
        <x:f>IF(RAND()&lt;(('Team_Info'!$E$2-COUNTIF($B46:M46,"W"))/('Team_Info'!$E$4-12)),"W","B")</x:f>
        <x:v>B</x:v>
      </x:c>
      <x:c r="O46" t="str">
        <x:f>IF(RAND()&lt;(('Team_Info'!$E$2-COUNTIF($B46:N46,"W"))/('Team_Info'!$E$4-13)),"W","B")</x:f>
        <x:v>B</x:v>
      </x:c>
      <x:c r="P46" t="str">
        <x:f>IF(RAND()&lt;(('Team_Info'!$E$2-COUNTIF($B46:O46,"W"))/('Team_Info'!$E$4-14)),"W","B")</x:f>
        <x:v>B</x:v>
      </x:c>
      <x:c r="Q46" t="str">
        <x:f>IF(RAND()&lt;(('Team_Info'!$E$2-COUNTIF($B46:P46,"W"))/('Team_Info'!$E$4-15)),"W","B")</x:f>
        <x:v>B</x:v>
      </x:c>
      <x:c r="R46" t="str">
        <x:f>IF(RAND()&lt;(('Team_Info'!$E$2-COUNTIF($B46:Q46,"W"))/('Team_Info'!$E$4-16)),"W","B")</x:f>
        <x:v>W</x:v>
      </x:c>
      <x:c r="S46" t="str">
        <x:f>IF(RAND()&lt;(('Team_Info'!$E$2-COUNTIF($B46:R46,"W"))/('Team_Info'!$E$4-17)),"W","B")</x:f>
        <x:v>W</x:v>
      </x:c>
      <x:c r="T46" t="str">
        <x:f>IF(RAND()&lt;(('Team_Info'!$E$2-COUNTIF($B46:S46,"W"))/('Team_Info'!$E$4-18)),"W","B")</x:f>
        <x:v>W</x:v>
      </x:c>
      <x:c r="U46" t="str">
        <x:f>IF(RAND()&lt;(('Team_Info'!$E$2-COUNTIF($B46:T46,"W"))/('Team_Info'!$E$4-19)),"W","B")</x:f>
        <x:v>B</x:v>
      </x:c>
    </x:row>
    <x:row r="47">
      <x:c r="A47" s="1">
        <x:v>46</x:v>
      </x:c>
      <x:c r="B47" t="str">
        <x:f>IF(RAND()&lt;'Team_Info'!$E$5,"W","B")</x:f>
        <x:v>W</x:v>
      </x:c>
      <x:c r="C47" t="str">
        <x:f>IF(RAND()&lt;(('Team_Info'!$E$2-COUNTIF($B47:B47,"W"))/('Team_Info'!$E$4-1)),"W","B")</x:f>
        <x:v>B</x:v>
      </x:c>
      <x:c r="D47" t="str">
        <x:f>IF(RAND()&lt;(('Team_Info'!$E$2-COUNTIF($B47:C47,"W"))/('Team_Info'!$E$4-2)),"W","B")</x:f>
        <x:v>W</x:v>
      </x:c>
      <x:c r="E47" t="str">
        <x:f>IF(RAND()&lt;(('Team_Info'!$E$2-COUNTIF($B47:D47,"W"))/('Team_Info'!$E$4-3)),"W","B")</x:f>
        <x:v>B</x:v>
      </x:c>
      <x:c r="F47" t="str">
        <x:f>IF(RAND()&lt;(('Team_Info'!$E$2-COUNTIF($B47:E47,"W"))/('Team_Info'!$E$4-4)),"W","B")</x:f>
        <x:v>B</x:v>
      </x:c>
      <x:c r="G47" t="str">
        <x:f>IF(RAND()&lt;(('Team_Info'!$E$2-COUNTIF($B47:F47,"W"))/('Team_Info'!$E$4-5)),"W","B")</x:f>
        <x:v>B</x:v>
      </x:c>
      <x:c r="H47" t="str">
        <x:f>IF(RAND()&lt;(('Team_Info'!$E$2-COUNTIF($B47:G47,"W"))/('Team_Info'!$E$4-6)),"W","B")</x:f>
        <x:v>W</x:v>
      </x:c>
      <x:c r="I47" t="str">
        <x:f>IF(RAND()&lt;(('Team_Info'!$E$2-COUNTIF($B47:H47,"W"))/('Team_Info'!$E$4-7)),"W","B")</x:f>
        <x:v>W</x:v>
      </x:c>
      <x:c r="J47" t="str">
        <x:f>IF(RAND()&lt;(('Team_Info'!$E$2-COUNTIF($B47:I47,"W"))/('Team_Info'!$E$4-8)),"W","B")</x:f>
        <x:v>B</x:v>
      </x:c>
      <x:c r="K47" t="str">
        <x:f>IF(RAND()&lt;(('Team_Info'!$E$2-COUNTIF($B47:J47,"W"))/('Team_Info'!$E$4-9)),"W","B")</x:f>
        <x:v>B</x:v>
      </x:c>
      <x:c r="L47" t="str">
        <x:f>IF(RAND()&lt;(('Team_Info'!$E$2-COUNTIF($B47:K47,"W"))/('Team_Info'!$E$4-10)),"W","B")</x:f>
        <x:v>B</x:v>
      </x:c>
      <x:c r="M47" t="str">
        <x:f>IF(RAND()&lt;(('Team_Info'!$E$2-COUNTIF($B47:L47,"W"))/('Team_Info'!$E$4-11)),"W","B")</x:f>
        <x:v>B</x:v>
      </x:c>
      <x:c r="N47" t="str">
        <x:f>IF(RAND()&lt;(('Team_Info'!$E$2-COUNTIF($B47:M47,"W"))/('Team_Info'!$E$4-12)),"W","B")</x:f>
        <x:v>B</x:v>
      </x:c>
      <x:c r="O47" t="str">
        <x:f>IF(RAND()&lt;(('Team_Info'!$E$2-COUNTIF($B47:N47,"W"))/('Team_Info'!$E$4-13)),"W","B")</x:f>
        <x:v>B</x:v>
      </x:c>
      <x:c r="P47" t="str">
        <x:f>IF(RAND()&lt;(('Team_Info'!$E$2-COUNTIF($B47:O47,"W"))/('Team_Info'!$E$4-14)),"W","B")</x:f>
        <x:v>W</x:v>
      </x:c>
      <x:c r="Q47" t="str">
        <x:f>IF(RAND()&lt;(('Team_Info'!$E$2-COUNTIF($B47:P47,"W"))/('Team_Info'!$E$4-15)),"W","B")</x:f>
        <x:v>B</x:v>
      </x:c>
      <x:c r="R47" t="str">
        <x:f>IF(RAND()&lt;(('Team_Info'!$E$2-COUNTIF($B47:Q47,"W"))/('Team_Info'!$E$4-16)),"W","B")</x:f>
        <x:v>B</x:v>
      </x:c>
      <x:c r="S47" t="str">
        <x:f>IF(RAND()&lt;(('Team_Info'!$E$2-COUNTIF($B47:R47,"W"))/('Team_Info'!$E$4-17)),"W","B")</x:f>
        <x:v>W</x:v>
      </x:c>
      <x:c r="T47" t="str">
        <x:f>IF(RAND()&lt;(('Team_Info'!$E$2-COUNTIF($B47:S47,"W"))/('Team_Info'!$E$4-18)),"W","B")</x:f>
        <x:v>B</x:v>
      </x:c>
      <x:c r="U47" t="str">
        <x:f>IF(RAND()&lt;(('Team_Info'!$E$2-COUNTIF($B47:T47,"W"))/('Team_Info'!$E$4-19)),"W","B")</x:f>
        <x:v>B</x:v>
      </x:c>
    </x:row>
    <x:row r="48">
      <x:c r="A48" s="1">
        <x:v>47</x:v>
      </x:c>
      <x:c r="B48" t="str">
        <x:f>IF(RAND()&lt;'Team_Info'!$E$5,"W","B")</x:f>
        <x:v>W</x:v>
      </x:c>
      <x:c r="C48" t="str">
        <x:f>IF(RAND()&lt;(('Team_Info'!$E$2-COUNTIF($B48:B48,"W"))/('Team_Info'!$E$4-1)),"W","B")</x:f>
        <x:v>W</x:v>
      </x:c>
      <x:c r="D48" t="str">
        <x:f>IF(RAND()&lt;(('Team_Info'!$E$2-COUNTIF($B48:C48,"W"))/('Team_Info'!$E$4-2)),"W","B")</x:f>
        <x:v>B</x:v>
      </x:c>
      <x:c r="E48" t="str">
        <x:f>IF(RAND()&lt;(('Team_Info'!$E$2-COUNTIF($B48:D48,"W"))/('Team_Info'!$E$4-3)),"W","B")</x:f>
        <x:v>W</x:v>
      </x:c>
      <x:c r="F48" t="str">
        <x:f>IF(RAND()&lt;(('Team_Info'!$E$2-COUNTIF($B48:E48,"W"))/('Team_Info'!$E$4-4)),"W","B")</x:f>
        <x:v>B</x:v>
      </x:c>
      <x:c r="G48" t="str">
        <x:f>IF(RAND()&lt;(('Team_Info'!$E$2-COUNTIF($B48:F48,"W"))/('Team_Info'!$E$4-5)),"W","B")</x:f>
        <x:v>B</x:v>
      </x:c>
      <x:c r="H48" t="str">
        <x:f>IF(RAND()&lt;(('Team_Info'!$E$2-COUNTIF($B48:G48,"W"))/('Team_Info'!$E$4-6)),"W","B")</x:f>
        <x:v>B</x:v>
      </x:c>
      <x:c r="I48" t="str">
        <x:f>IF(RAND()&lt;(('Team_Info'!$E$2-COUNTIF($B48:H48,"W"))/('Team_Info'!$E$4-7)),"W","B")</x:f>
        <x:v>B</x:v>
      </x:c>
      <x:c r="J48" t="str">
        <x:f>IF(RAND()&lt;(('Team_Info'!$E$2-COUNTIF($B48:I48,"W"))/('Team_Info'!$E$4-8)),"W","B")</x:f>
        <x:v>B</x:v>
      </x:c>
      <x:c r="K48" t="str">
        <x:f>IF(RAND()&lt;(('Team_Info'!$E$2-COUNTIF($B48:J48,"W"))/('Team_Info'!$E$4-9)),"W","B")</x:f>
        <x:v>W</x:v>
      </x:c>
      <x:c r="L48" t="str">
        <x:f>IF(RAND()&lt;(('Team_Info'!$E$2-COUNTIF($B48:K48,"W"))/('Team_Info'!$E$4-10)),"W","B")</x:f>
        <x:v>B</x:v>
      </x:c>
      <x:c r="M48" t="str">
        <x:f>IF(RAND()&lt;(('Team_Info'!$E$2-COUNTIF($B48:L48,"W"))/('Team_Info'!$E$4-11)),"W","B")</x:f>
        <x:v>B</x:v>
      </x:c>
      <x:c r="N48" t="str">
        <x:f>IF(RAND()&lt;(('Team_Info'!$E$2-COUNTIF($B48:M48,"W"))/('Team_Info'!$E$4-12)),"W","B")</x:f>
        <x:v>B</x:v>
      </x:c>
      <x:c r="O48" t="str">
        <x:f>IF(RAND()&lt;(('Team_Info'!$E$2-COUNTIF($B48:N48,"W"))/('Team_Info'!$E$4-13)),"W","B")</x:f>
        <x:v>B</x:v>
      </x:c>
      <x:c r="P48" t="str">
        <x:f>IF(RAND()&lt;(('Team_Info'!$E$2-COUNTIF($B48:O48,"W"))/('Team_Info'!$E$4-14)),"W","B")</x:f>
        <x:v>W</x:v>
      </x:c>
      <x:c r="Q48" t="str">
        <x:f>IF(RAND()&lt;(('Team_Info'!$E$2-COUNTIF($B48:P48,"W"))/('Team_Info'!$E$4-15)),"W","B")</x:f>
        <x:v>W</x:v>
      </x:c>
      <x:c r="R48" t="str">
        <x:f>IF(RAND()&lt;(('Team_Info'!$E$2-COUNTIF($B48:Q48,"W"))/('Team_Info'!$E$4-16)),"W","B")</x:f>
        <x:v>W</x:v>
      </x:c>
      <x:c r="S48" t="str">
        <x:f>IF(RAND()&lt;(('Team_Info'!$E$2-COUNTIF($B48:R48,"W"))/('Team_Info'!$E$4-17)),"W","B")</x:f>
        <x:v>W</x:v>
      </x:c>
      <x:c r="T48" t="str">
        <x:f>IF(RAND()&lt;(('Team_Info'!$E$2-COUNTIF($B48:S48,"W"))/('Team_Info'!$E$4-18)),"W","B")</x:f>
        <x:v>B</x:v>
      </x:c>
      <x:c r="U48" t="str">
        <x:f>IF(RAND()&lt;(('Team_Info'!$E$2-COUNTIF($B48:T48,"W"))/('Team_Info'!$E$4-19)),"W","B")</x:f>
        <x:v>B</x:v>
      </x:c>
    </x:row>
    <x:row r="49">
      <x:c r="A49" s="1">
        <x:v>48</x:v>
      </x:c>
      <x:c r="B49" t="str">
        <x:f>IF(RAND()&lt;'Team_Info'!$E$5,"W","B")</x:f>
        <x:v>B</x:v>
      </x:c>
      <x:c r="C49" t="str">
        <x:f>IF(RAND()&lt;(('Team_Info'!$E$2-COUNTIF($B49:B49,"W"))/('Team_Info'!$E$4-1)),"W","B")</x:f>
        <x:v>B</x:v>
      </x:c>
      <x:c r="D49" t="str">
        <x:f>IF(RAND()&lt;(('Team_Info'!$E$2-COUNTIF($B49:C49,"W"))/('Team_Info'!$E$4-2)),"W","B")</x:f>
        <x:v>B</x:v>
      </x:c>
      <x:c r="E49" t="str">
        <x:f>IF(RAND()&lt;(('Team_Info'!$E$2-COUNTIF($B49:D49,"W"))/('Team_Info'!$E$4-3)),"W","B")</x:f>
        <x:v>B</x:v>
      </x:c>
      <x:c r="F49" t="str">
        <x:f>IF(RAND()&lt;(('Team_Info'!$E$2-COUNTIF($B49:E49,"W"))/('Team_Info'!$E$4-4)),"W","B")</x:f>
        <x:v>B</x:v>
      </x:c>
      <x:c r="G49" t="str">
        <x:f>IF(RAND()&lt;(('Team_Info'!$E$2-COUNTIF($B49:F49,"W"))/('Team_Info'!$E$4-5)),"W","B")</x:f>
        <x:v>B</x:v>
      </x:c>
      <x:c r="H49" t="str">
        <x:f>IF(RAND()&lt;(('Team_Info'!$E$2-COUNTIF($B49:G49,"W"))/('Team_Info'!$E$4-6)),"W","B")</x:f>
        <x:v>W</x:v>
      </x:c>
      <x:c r="I49" t="str">
        <x:f>IF(RAND()&lt;(('Team_Info'!$E$2-COUNTIF($B49:H49,"W"))/('Team_Info'!$E$4-7)),"W","B")</x:f>
        <x:v>B</x:v>
      </x:c>
      <x:c r="J49" t="str">
        <x:f>IF(RAND()&lt;(('Team_Info'!$E$2-COUNTIF($B49:I49,"W"))/('Team_Info'!$E$4-8)),"W","B")</x:f>
        <x:v>B</x:v>
      </x:c>
      <x:c r="K49" t="str">
        <x:f>IF(RAND()&lt;(('Team_Info'!$E$2-COUNTIF($B49:J49,"W"))/('Team_Info'!$E$4-9)),"W","B")</x:f>
        <x:v>B</x:v>
      </x:c>
      <x:c r="L49" t="str">
        <x:f>IF(RAND()&lt;(('Team_Info'!$E$2-COUNTIF($B49:K49,"W"))/('Team_Info'!$E$4-10)),"W","B")</x:f>
        <x:v>B</x:v>
      </x:c>
      <x:c r="M49" t="str">
        <x:f>IF(RAND()&lt;(('Team_Info'!$E$2-COUNTIF($B49:L49,"W"))/('Team_Info'!$E$4-11)),"W","B")</x:f>
        <x:v>W</x:v>
      </x:c>
      <x:c r="N49" t="str">
        <x:f>IF(RAND()&lt;(('Team_Info'!$E$2-COUNTIF($B49:M49,"W"))/('Team_Info'!$E$4-12)),"W","B")</x:f>
        <x:v>B</x:v>
      </x:c>
      <x:c r="O49" t="str">
        <x:f>IF(RAND()&lt;(('Team_Info'!$E$2-COUNTIF($B49:N49,"W"))/('Team_Info'!$E$4-13)),"W","B")</x:f>
        <x:v>W</x:v>
      </x:c>
      <x:c r="P49" t="str">
        <x:f>IF(RAND()&lt;(('Team_Info'!$E$2-COUNTIF($B49:O49,"W"))/('Team_Info'!$E$4-14)),"W","B")</x:f>
        <x:v>W</x:v>
      </x:c>
      <x:c r="Q49" t="str">
        <x:f>IF(RAND()&lt;(('Team_Info'!$E$2-COUNTIF($B49:P49,"W"))/('Team_Info'!$E$4-15)),"W","B")</x:f>
        <x:v>B</x:v>
      </x:c>
      <x:c r="R49" t="str">
        <x:f>IF(RAND()&lt;(('Team_Info'!$E$2-COUNTIF($B49:Q49,"W"))/('Team_Info'!$E$4-16)),"W","B")</x:f>
        <x:v>B</x:v>
      </x:c>
      <x:c r="S49" t="str">
        <x:f>IF(RAND()&lt;(('Team_Info'!$E$2-COUNTIF($B49:R49,"W"))/('Team_Info'!$E$4-17)),"W","B")</x:f>
        <x:v>W</x:v>
      </x:c>
      <x:c r="T49" t="str">
        <x:f>IF(RAND()&lt;(('Team_Info'!$E$2-COUNTIF($B49:S49,"W"))/('Team_Info'!$E$4-18)),"W","B")</x:f>
        <x:v>B</x:v>
      </x:c>
      <x:c r="U49" t="str">
        <x:f>IF(RAND()&lt;(('Team_Info'!$E$2-COUNTIF($B49:T49,"W"))/('Team_Info'!$E$4-19)),"W","B")</x:f>
        <x:v>B</x:v>
      </x:c>
    </x:row>
    <x:row r="50">
      <x:c r="A50" s="1">
        <x:v>49</x:v>
      </x:c>
      <x:c r="B50" t="str">
        <x:f>IF(RAND()&lt;'Team_Info'!$E$5,"W","B")</x:f>
        <x:v>B</x:v>
      </x:c>
      <x:c r="C50" t="str">
        <x:f>IF(RAND()&lt;(('Team_Info'!$E$2-COUNTIF($B50:B50,"W"))/('Team_Info'!$E$4-1)),"W","B")</x:f>
        <x:v>W</x:v>
      </x:c>
      <x:c r="D50" t="str">
        <x:f>IF(RAND()&lt;(('Team_Info'!$E$2-COUNTIF($B50:C50,"W"))/('Team_Info'!$E$4-2)),"W","B")</x:f>
        <x:v>W</x:v>
      </x:c>
      <x:c r="E50" t="str">
        <x:f>IF(RAND()&lt;(('Team_Info'!$E$2-COUNTIF($B50:D50,"W"))/('Team_Info'!$E$4-3)),"W","B")</x:f>
        <x:v>B</x:v>
      </x:c>
      <x:c r="F50" t="str">
        <x:f>IF(RAND()&lt;(('Team_Info'!$E$2-COUNTIF($B50:E50,"W"))/('Team_Info'!$E$4-4)),"W","B")</x:f>
        <x:v>W</x:v>
      </x:c>
      <x:c r="G50" t="str">
        <x:f>IF(RAND()&lt;(('Team_Info'!$E$2-COUNTIF($B50:F50,"W"))/('Team_Info'!$E$4-5)),"W","B")</x:f>
        <x:v>B</x:v>
      </x:c>
      <x:c r="H50" t="str">
        <x:f>IF(RAND()&lt;(('Team_Info'!$E$2-COUNTIF($B50:G50,"W"))/('Team_Info'!$E$4-6)),"W","B")</x:f>
        <x:v>B</x:v>
      </x:c>
      <x:c r="I50" t="str">
        <x:f>IF(RAND()&lt;(('Team_Info'!$E$2-COUNTIF($B50:H50,"W"))/('Team_Info'!$E$4-7)),"W","B")</x:f>
        <x:v>B</x:v>
      </x:c>
      <x:c r="J50" t="str">
        <x:f>IF(RAND()&lt;(('Team_Info'!$E$2-COUNTIF($B50:I50,"W"))/('Team_Info'!$E$4-8)),"W","B")</x:f>
        <x:v>B</x:v>
      </x:c>
      <x:c r="K50" t="str">
        <x:f>IF(RAND()&lt;(('Team_Info'!$E$2-COUNTIF($B50:J50,"W"))/('Team_Info'!$E$4-9)),"W","B")</x:f>
        <x:v>B</x:v>
      </x:c>
      <x:c r="L50" t="str">
        <x:f>IF(RAND()&lt;(('Team_Info'!$E$2-COUNTIF($B50:K50,"W"))/('Team_Info'!$E$4-10)),"W","B")</x:f>
        <x:v>W</x:v>
      </x:c>
      <x:c r="M50" t="str">
        <x:f>IF(RAND()&lt;(('Team_Info'!$E$2-COUNTIF($B50:L50,"W"))/('Team_Info'!$E$4-11)),"W","B")</x:f>
        <x:v>B</x:v>
      </x:c>
      <x:c r="N50" t="str">
        <x:f>IF(RAND()&lt;(('Team_Info'!$E$2-COUNTIF($B50:M50,"W"))/('Team_Info'!$E$4-12)),"W","B")</x:f>
        <x:v>W</x:v>
      </x:c>
      <x:c r="O50" t="str">
        <x:f>IF(RAND()&lt;(('Team_Info'!$E$2-COUNTIF($B50:N50,"W"))/('Team_Info'!$E$4-13)),"W","B")</x:f>
        <x:v>B</x:v>
      </x:c>
      <x:c r="P50" t="str">
        <x:f>IF(RAND()&lt;(('Team_Info'!$E$2-COUNTIF($B50:O50,"W"))/('Team_Info'!$E$4-14)),"W","B")</x:f>
        <x:v>B</x:v>
      </x:c>
      <x:c r="Q50" t="str">
        <x:f>IF(RAND()&lt;(('Team_Info'!$E$2-COUNTIF($B50:P50,"W"))/('Team_Info'!$E$4-15)),"W","B")</x:f>
        <x:v>W</x:v>
      </x:c>
      <x:c r="R50" t="str">
        <x:f>IF(RAND()&lt;(('Team_Info'!$E$2-COUNTIF($B50:Q50,"W"))/('Team_Info'!$E$4-16)),"W","B")</x:f>
        <x:v>B</x:v>
      </x:c>
      <x:c r="S50" t="str">
        <x:f>IF(RAND()&lt;(('Team_Info'!$E$2-COUNTIF($B50:R50,"W"))/('Team_Info'!$E$4-17)),"W","B")</x:f>
        <x:v>B</x:v>
      </x:c>
      <x:c r="T50" t="str">
        <x:f>IF(RAND()&lt;(('Team_Info'!$E$2-COUNTIF($B50:S50,"W"))/('Team_Info'!$E$4-18)),"W","B")</x:f>
        <x:v>W</x:v>
      </x:c>
      <x:c r="U50" t="str">
        <x:f>IF(RAND()&lt;(('Team_Info'!$E$2-COUNTIF($B50:T50,"W"))/('Team_Info'!$E$4-19)),"W","B")</x:f>
        <x:v>B</x:v>
      </x:c>
    </x:row>
    <x:row r="51">
      <x:c r="A51" s="1">
        <x:v>50</x:v>
      </x:c>
      <x:c r="B51" t="str">
        <x:f>IF(RAND()&lt;'Team_Info'!$E$5,"W","B")</x:f>
        <x:v>B</x:v>
      </x:c>
      <x:c r="C51" t="str">
        <x:f>IF(RAND()&lt;(('Team_Info'!$E$2-COUNTIF($B51:B51,"W"))/('Team_Info'!$E$4-1)),"W","B")</x:f>
        <x:v>B</x:v>
      </x:c>
      <x:c r="D51" t="str">
        <x:f>IF(RAND()&lt;(('Team_Info'!$E$2-COUNTIF($B51:C51,"W"))/('Team_Info'!$E$4-2)),"W","B")</x:f>
        <x:v>W</x:v>
      </x:c>
      <x:c r="E51" t="str">
        <x:f>IF(RAND()&lt;(('Team_Info'!$E$2-COUNTIF($B51:D51,"W"))/('Team_Info'!$E$4-3)),"W","B")</x:f>
        <x:v>B</x:v>
      </x:c>
      <x:c r="F51" t="str">
        <x:f>IF(RAND()&lt;(('Team_Info'!$E$2-COUNTIF($B51:E51,"W"))/('Team_Info'!$E$4-4)),"W","B")</x:f>
        <x:v>B</x:v>
      </x:c>
      <x:c r="G51" t="str">
        <x:f>IF(RAND()&lt;(('Team_Info'!$E$2-COUNTIF($B51:F51,"W"))/('Team_Info'!$E$4-5)),"W","B")</x:f>
        <x:v>W</x:v>
      </x:c>
      <x:c r="H51" t="str">
        <x:f>IF(RAND()&lt;(('Team_Info'!$E$2-COUNTIF($B51:G51,"W"))/('Team_Info'!$E$4-6)),"W","B")</x:f>
        <x:v>W</x:v>
      </x:c>
      <x:c r="I51" t="str">
        <x:f>IF(RAND()&lt;(('Team_Info'!$E$2-COUNTIF($B51:H51,"W"))/('Team_Info'!$E$4-7)),"W","B")</x:f>
        <x:v>W</x:v>
      </x:c>
      <x:c r="J51" t="str">
        <x:f>IF(RAND()&lt;(('Team_Info'!$E$2-COUNTIF($B51:I51,"W"))/('Team_Info'!$E$4-8)),"W","B")</x:f>
        <x:v>B</x:v>
      </x:c>
      <x:c r="K51" t="str">
        <x:f>IF(RAND()&lt;(('Team_Info'!$E$2-COUNTIF($B51:J51,"W"))/('Team_Info'!$E$4-9)),"W","B")</x:f>
        <x:v>B</x:v>
      </x:c>
      <x:c r="L51" t="str">
        <x:f>IF(RAND()&lt;(('Team_Info'!$E$2-COUNTIF($B51:K51,"W"))/('Team_Info'!$E$4-10)),"W","B")</x:f>
        <x:v>B</x:v>
      </x:c>
      <x:c r="M51" t="str">
        <x:f>IF(RAND()&lt;(('Team_Info'!$E$2-COUNTIF($B51:L51,"W"))/('Team_Info'!$E$4-11)),"W","B")</x:f>
        <x:v>B</x:v>
      </x:c>
      <x:c r="N51" t="str">
        <x:f>IF(RAND()&lt;(('Team_Info'!$E$2-COUNTIF($B51:M51,"W"))/('Team_Info'!$E$4-12)),"W","B")</x:f>
        <x:v>B</x:v>
      </x:c>
      <x:c r="O51" t="str">
        <x:f>IF(RAND()&lt;(('Team_Info'!$E$2-COUNTIF($B51:N51,"W"))/('Team_Info'!$E$4-13)),"W","B")</x:f>
        <x:v>B</x:v>
      </x:c>
      <x:c r="P51" t="str">
        <x:f>IF(RAND()&lt;(('Team_Info'!$E$2-COUNTIF($B51:O51,"W"))/('Team_Info'!$E$4-14)),"W","B")</x:f>
        <x:v>W</x:v>
      </x:c>
      <x:c r="Q51" t="str">
        <x:f>IF(RAND()&lt;(('Team_Info'!$E$2-COUNTIF($B51:P51,"W"))/('Team_Info'!$E$4-15)),"W","B")</x:f>
        <x:v>W</x:v>
      </x:c>
      <x:c r="R51" t="str">
        <x:f>IF(RAND()&lt;(('Team_Info'!$E$2-COUNTIF($B51:Q51,"W"))/('Team_Info'!$E$4-16)),"W","B")</x:f>
        <x:v>W</x:v>
      </x:c>
      <x:c r="S51" t="str">
        <x:f>IF(RAND()&lt;(('Team_Info'!$E$2-COUNTIF($B51:R51,"W"))/('Team_Info'!$E$4-17)),"W","B")</x:f>
        <x:v>W</x:v>
      </x:c>
      <x:c r="T51" t="str">
        <x:f>IF(RAND()&lt;(('Team_Info'!$E$2-COUNTIF($B51:S51,"W"))/('Team_Info'!$E$4-18)),"W","B")</x:f>
        <x:v>B</x:v>
      </x:c>
      <x:c r="U51" t="str">
        <x:f>IF(RAND()&lt;(('Team_Info'!$E$2-COUNTIF($B51:T51,"W"))/('Team_Info'!$E$4-19)),"W","B")</x:f>
        <x:v>B</x:v>
      </x:c>
    </x:row>
    <x:row r="52">
      <x:c r="A52" s="1">
        <x:v>51</x:v>
      </x:c>
      <x:c r="B52" t="str">
        <x:f>IF(RAND()&lt;'Team_Info'!$E$5,"W","B")</x:f>
        <x:v>W</x:v>
      </x:c>
      <x:c r="C52" t="str">
        <x:f>IF(RAND()&lt;(('Team_Info'!$E$2-COUNTIF($B52:B52,"W"))/('Team_Info'!$E$4-1)),"W","B")</x:f>
        <x:v>W</x:v>
      </x:c>
      <x:c r="D52" t="str">
        <x:f>IF(RAND()&lt;(('Team_Info'!$E$2-COUNTIF($B52:C52,"W"))/('Team_Info'!$E$4-2)),"W","B")</x:f>
        <x:v>B</x:v>
      </x:c>
      <x:c r="E52" t="str">
        <x:f>IF(RAND()&lt;(('Team_Info'!$E$2-COUNTIF($B52:D52,"W"))/('Team_Info'!$E$4-3)),"W","B")</x:f>
        <x:v>B</x:v>
      </x:c>
      <x:c r="F52" t="str">
        <x:f>IF(RAND()&lt;(('Team_Info'!$E$2-COUNTIF($B52:E52,"W"))/('Team_Info'!$E$4-4)),"W","B")</x:f>
        <x:v>B</x:v>
      </x:c>
      <x:c r="G52" t="str">
        <x:f>IF(RAND()&lt;(('Team_Info'!$E$2-COUNTIF($B52:F52,"W"))/('Team_Info'!$E$4-5)),"W","B")</x:f>
        <x:v>B</x:v>
      </x:c>
      <x:c r="H52" t="str">
        <x:f>IF(RAND()&lt;(('Team_Info'!$E$2-COUNTIF($B52:G52,"W"))/('Team_Info'!$E$4-6)),"W","B")</x:f>
        <x:v>B</x:v>
      </x:c>
      <x:c r="I52" t="str">
        <x:f>IF(RAND()&lt;(('Team_Info'!$E$2-COUNTIF($B52:H52,"W"))/('Team_Info'!$E$4-7)),"W","B")</x:f>
        <x:v>W</x:v>
      </x:c>
      <x:c r="J52" t="str">
        <x:f>IF(RAND()&lt;(('Team_Info'!$E$2-COUNTIF($B52:I52,"W"))/('Team_Info'!$E$4-8)),"W","B")</x:f>
        <x:v>W</x:v>
      </x:c>
      <x:c r="K52" t="str">
        <x:f>IF(RAND()&lt;(('Team_Info'!$E$2-COUNTIF($B52:J52,"W"))/('Team_Info'!$E$4-9)),"W","B")</x:f>
        <x:v>B</x:v>
      </x:c>
      <x:c r="L52" t="str">
        <x:f>IF(RAND()&lt;(('Team_Info'!$E$2-COUNTIF($B52:K52,"W"))/('Team_Info'!$E$4-10)),"W","B")</x:f>
        <x:v>W</x:v>
      </x:c>
      <x:c r="M52" t="str">
        <x:f>IF(RAND()&lt;(('Team_Info'!$E$2-COUNTIF($B52:L52,"W"))/('Team_Info'!$E$4-11)),"W","B")</x:f>
        <x:v>B</x:v>
      </x:c>
      <x:c r="N52" t="str">
        <x:f>IF(RAND()&lt;(('Team_Info'!$E$2-COUNTIF($B52:M52,"W"))/('Team_Info'!$E$4-12)),"W","B")</x:f>
        <x:v>W</x:v>
      </x:c>
      <x:c r="O52" t="str">
        <x:f>IF(RAND()&lt;(('Team_Info'!$E$2-COUNTIF($B52:N52,"W"))/('Team_Info'!$E$4-13)),"W","B")</x:f>
        <x:v>W</x:v>
      </x:c>
      <x:c r="P52" t="str">
        <x:f>IF(RAND()&lt;(('Team_Info'!$E$2-COUNTIF($B52:O52,"W"))/('Team_Info'!$E$4-14)),"W","B")</x:f>
        <x:v>B</x:v>
      </x:c>
      <x:c r="Q52" t="str">
        <x:f>IF(RAND()&lt;(('Team_Info'!$E$2-COUNTIF($B52:P52,"W"))/('Team_Info'!$E$4-15)),"W","B")</x:f>
        <x:v>W</x:v>
      </x:c>
      <x:c r="R52" t="str">
        <x:f>IF(RAND()&lt;(('Team_Info'!$E$2-COUNTIF($B52:Q52,"W"))/('Team_Info'!$E$4-16)),"W","B")</x:f>
        <x:v>W</x:v>
      </x:c>
      <x:c r="S52" t="str">
        <x:f>IF(RAND()&lt;(('Team_Info'!$E$2-COUNTIF($B52:R52,"W"))/('Team_Info'!$E$4-17)),"W","B")</x:f>
        <x:v>W</x:v>
      </x:c>
      <x:c r="T52" t="str">
        <x:f>IF(RAND()&lt;(('Team_Info'!$E$2-COUNTIF($B52:S52,"W"))/('Team_Info'!$E$4-18)),"W","B")</x:f>
        <x:v>B</x:v>
      </x:c>
      <x:c r="U52" t="str">
        <x:f>IF(RAND()&lt;(('Team_Info'!$E$2-COUNTIF($B52:T52,"W"))/('Team_Info'!$E$4-19)),"W","B")</x:f>
        <x:v>B</x:v>
      </x:c>
    </x:row>
    <x:row r="53">
      <x:c r="A53" s="1">
        <x:v>52</x:v>
      </x:c>
      <x:c r="B53" t="str">
        <x:f>IF(RAND()&lt;'Team_Info'!$E$5,"W","B")</x:f>
        <x:v>W</x:v>
      </x:c>
      <x:c r="C53" t="str">
        <x:f>IF(RAND()&lt;(('Team_Info'!$E$2-COUNTIF($B53:B53,"W"))/('Team_Info'!$E$4-1)),"W","B")</x:f>
        <x:v>B</x:v>
      </x:c>
      <x:c r="D53" t="str">
        <x:f>IF(RAND()&lt;(('Team_Info'!$E$2-COUNTIF($B53:C53,"W"))/('Team_Info'!$E$4-2)),"W","B")</x:f>
        <x:v>W</x:v>
      </x:c>
      <x:c r="E53" t="str">
        <x:f>IF(RAND()&lt;(('Team_Info'!$E$2-COUNTIF($B53:D53,"W"))/('Team_Info'!$E$4-3)),"W","B")</x:f>
        <x:v>B</x:v>
      </x:c>
      <x:c r="F53" t="str">
        <x:f>IF(RAND()&lt;(('Team_Info'!$E$2-COUNTIF($B53:E53,"W"))/('Team_Info'!$E$4-4)),"W","B")</x:f>
        <x:v>W</x:v>
      </x:c>
      <x:c r="G53" t="str">
        <x:f>IF(RAND()&lt;(('Team_Info'!$E$2-COUNTIF($B53:F53,"W"))/('Team_Info'!$E$4-5)),"W","B")</x:f>
        <x:v>W</x:v>
      </x:c>
      <x:c r="H53" t="str">
        <x:f>IF(RAND()&lt;(('Team_Info'!$E$2-COUNTIF($B53:G53,"W"))/('Team_Info'!$E$4-6)),"W","B")</x:f>
        <x:v>B</x:v>
      </x:c>
      <x:c r="I53" t="str">
        <x:f>IF(RAND()&lt;(('Team_Info'!$E$2-COUNTIF($B53:H53,"W"))/('Team_Info'!$E$4-7)),"W","B")</x:f>
        <x:v>B</x:v>
      </x:c>
      <x:c r="J53" t="str">
        <x:f>IF(RAND()&lt;(('Team_Info'!$E$2-COUNTIF($B53:I53,"W"))/('Team_Info'!$E$4-8)),"W","B")</x:f>
        <x:v>W</x:v>
      </x:c>
      <x:c r="K53" t="str">
        <x:f>IF(RAND()&lt;(('Team_Info'!$E$2-COUNTIF($B53:J53,"W"))/('Team_Info'!$E$4-9)),"W","B")</x:f>
        <x:v>W</x:v>
      </x:c>
      <x:c r="L53" t="str">
        <x:f>IF(RAND()&lt;(('Team_Info'!$E$2-COUNTIF($B53:K53,"W"))/('Team_Info'!$E$4-10)),"W","B")</x:f>
        <x:v>W</x:v>
      </x:c>
      <x:c r="M53" t="str">
        <x:f>IF(RAND()&lt;(('Team_Info'!$E$2-COUNTIF($B53:L53,"W"))/('Team_Info'!$E$4-11)),"W","B")</x:f>
        <x:v>B</x:v>
      </x:c>
      <x:c r="N53" t="str">
        <x:f>IF(RAND()&lt;(('Team_Info'!$E$2-COUNTIF($B53:M53,"W"))/('Team_Info'!$E$4-12)),"W","B")</x:f>
        <x:v>W</x:v>
      </x:c>
      <x:c r="O53" t="str">
        <x:f>IF(RAND()&lt;(('Team_Info'!$E$2-COUNTIF($B53:N53,"W"))/('Team_Info'!$E$4-13)),"W","B")</x:f>
        <x:v>W</x:v>
      </x:c>
      <x:c r="P53" t="str">
        <x:f>IF(RAND()&lt;(('Team_Info'!$E$2-COUNTIF($B53:O53,"W"))/('Team_Info'!$E$4-14)),"W","B")</x:f>
        <x:v>W</x:v>
      </x:c>
      <x:c r="Q53" t="str">
        <x:f>IF(RAND()&lt;(('Team_Info'!$E$2-COUNTIF($B53:P53,"W"))/('Team_Info'!$E$4-15)),"W","B")</x:f>
        <x:v>B</x:v>
      </x:c>
      <x:c r="R53" t="str">
        <x:f>IF(RAND()&lt;(('Team_Info'!$E$2-COUNTIF($B53:Q53,"W"))/('Team_Info'!$E$4-16)),"W","B")</x:f>
        <x:v>B</x:v>
      </x:c>
      <x:c r="S53" t="str">
        <x:f>IF(RAND()&lt;(('Team_Info'!$E$2-COUNTIF($B53:R53,"W"))/('Team_Info'!$E$4-17)),"W","B")</x:f>
        <x:v>B</x:v>
      </x:c>
      <x:c r="T53" t="str">
        <x:f>IF(RAND()&lt;(('Team_Info'!$E$2-COUNTIF($B53:S53,"W"))/('Team_Info'!$E$4-18)),"W","B")</x:f>
        <x:v>B</x:v>
      </x:c>
      <x:c r="U53" t="str">
        <x:f>IF(RAND()&lt;(('Team_Info'!$E$2-COUNTIF($B53:T53,"W"))/('Team_Info'!$E$4-19)),"W","B")</x:f>
        <x:v>B</x:v>
      </x:c>
    </x:row>
    <x:row r="54">
      <x:c r="A54" s="1">
        <x:v>53</x:v>
      </x:c>
      <x:c r="B54" t="str">
        <x:f>IF(RAND()&lt;'Team_Info'!$E$5,"W","B")</x:f>
        <x:v>W</x:v>
      </x:c>
      <x:c r="C54" t="str">
        <x:f>IF(RAND()&lt;(('Team_Info'!$E$2-COUNTIF($B54:B54,"W"))/('Team_Info'!$E$4-1)),"W","B")</x:f>
        <x:v>W</x:v>
      </x:c>
      <x:c r="D54" t="str">
        <x:f>IF(RAND()&lt;(('Team_Info'!$E$2-COUNTIF($B54:C54,"W"))/('Team_Info'!$E$4-2)),"W","B")</x:f>
        <x:v>W</x:v>
      </x:c>
      <x:c r="E54" t="str">
        <x:f>IF(RAND()&lt;(('Team_Info'!$E$2-COUNTIF($B54:D54,"W"))/('Team_Info'!$E$4-3)),"W","B")</x:f>
        <x:v>B</x:v>
      </x:c>
      <x:c r="F54" t="str">
        <x:f>IF(RAND()&lt;(('Team_Info'!$E$2-COUNTIF($B54:E54,"W"))/('Team_Info'!$E$4-4)),"W","B")</x:f>
        <x:v>W</x:v>
      </x:c>
      <x:c r="G54" t="str">
        <x:f>IF(RAND()&lt;(('Team_Info'!$E$2-COUNTIF($B54:F54,"W"))/('Team_Info'!$E$4-5)),"W","B")</x:f>
        <x:v>W</x:v>
      </x:c>
      <x:c r="H54" t="str">
        <x:f>IF(RAND()&lt;(('Team_Info'!$E$2-COUNTIF($B54:G54,"W"))/('Team_Info'!$E$4-6)),"W","B")</x:f>
        <x:v>B</x:v>
      </x:c>
      <x:c r="I54" t="str">
        <x:f>IF(RAND()&lt;(('Team_Info'!$E$2-COUNTIF($B54:H54,"W"))/('Team_Info'!$E$4-7)),"W","B")</x:f>
        <x:v>B</x:v>
      </x:c>
      <x:c r="J54" t="str">
        <x:f>IF(RAND()&lt;(('Team_Info'!$E$2-COUNTIF($B54:I54,"W"))/('Team_Info'!$E$4-8)),"W","B")</x:f>
        <x:v>W</x:v>
      </x:c>
      <x:c r="K54" t="str">
        <x:f>IF(RAND()&lt;(('Team_Info'!$E$2-COUNTIF($B54:J54,"W"))/('Team_Info'!$E$4-9)),"W","B")</x:f>
        <x:v>B</x:v>
      </x:c>
      <x:c r="L54" t="str">
        <x:f>IF(RAND()&lt;(('Team_Info'!$E$2-COUNTIF($B54:K54,"W"))/('Team_Info'!$E$4-10)),"W","B")</x:f>
        <x:v>W</x:v>
      </x:c>
      <x:c r="M54" t="str">
        <x:f>IF(RAND()&lt;(('Team_Info'!$E$2-COUNTIF($B54:L54,"W"))/('Team_Info'!$E$4-11)),"W","B")</x:f>
        <x:v>B</x:v>
      </x:c>
      <x:c r="N54" t="str">
        <x:f>IF(RAND()&lt;(('Team_Info'!$E$2-COUNTIF($B54:M54,"W"))/('Team_Info'!$E$4-12)),"W","B")</x:f>
        <x:v>W</x:v>
      </x:c>
      <x:c r="O54" t="str">
        <x:f>IF(RAND()&lt;(('Team_Info'!$E$2-COUNTIF($B54:N54,"W"))/('Team_Info'!$E$4-13)),"W","B")</x:f>
        <x:v>W</x:v>
      </x:c>
      <x:c r="P54" t="str">
        <x:f>IF(RAND()&lt;(('Team_Info'!$E$2-COUNTIF($B54:O54,"W"))/('Team_Info'!$E$4-14)),"W","B")</x:f>
        <x:v>W</x:v>
      </x:c>
      <x:c r="Q54" t="str">
        <x:f>IF(RAND()&lt;(('Team_Info'!$E$2-COUNTIF($B54:P54,"W"))/('Team_Info'!$E$4-15)),"W","B")</x:f>
        <x:v>B</x:v>
      </x:c>
      <x:c r="R54" t="str">
        <x:f>IF(RAND()&lt;(('Team_Info'!$E$2-COUNTIF($B54:Q54,"W"))/('Team_Info'!$E$4-16)),"W","B")</x:f>
        <x:v>W</x:v>
      </x:c>
      <x:c r="S54" t="str">
        <x:f>IF(RAND()&lt;(('Team_Info'!$E$2-COUNTIF($B54:R54,"W"))/('Team_Info'!$E$4-17)),"W","B")</x:f>
        <x:v>B</x:v>
      </x:c>
      <x:c r="T54" t="str">
        <x:f>IF(RAND()&lt;(('Team_Info'!$E$2-COUNTIF($B54:S54,"W"))/('Team_Info'!$E$4-18)),"W","B")</x:f>
        <x:v>W</x:v>
      </x:c>
      <x:c r="U54" t="str">
        <x:f>IF(RAND()&lt;(('Team_Info'!$E$2-COUNTIF($B54:T54,"W"))/('Team_Info'!$E$4-19)),"W","B")</x:f>
        <x:v>B</x:v>
      </x:c>
    </x:row>
    <x:row r="55">
      <x:c r="A55" s="1">
        <x:v>54</x:v>
      </x:c>
      <x:c r="B55" t="str">
        <x:f>IF(RAND()&lt;'Team_Info'!$E$5,"W","B")</x:f>
        <x:v>W</x:v>
      </x:c>
      <x:c r="C55" t="str">
        <x:f>IF(RAND()&lt;(('Team_Info'!$E$2-COUNTIF($B55:B55,"W"))/('Team_Info'!$E$4-1)),"W","B")</x:f>
        <x:v>B</x:v>
      </x:c>
      <x:c r="D55" t="str">
        <x:f>IF(RAND()&lt;(('Team_Info'!$E$2-COUNTIF($B55:C55,"W"))/('Team_Info'!$E$4-2)),"W","B")</x:f>
        <x:v>B</x:v>
      </x:c>
      <x:c r="E55" t="str">
        <x:f>IF(RAND()&lt;(('Team_Info'!$E$2-COUNTIF($B55:D55,"W"))/('Team_Info'!$E$4-3)),"W","B")</x:f>
        <x:v>B</x:v>
      </x:c>
      <x:c r="F55" t="str">
        <x:f>IF(RAND()&lt;(('Team_Info'!$E$2-COUNTIF($B55:E55,"W"))/('Team_Info'!$E$4-4)),"W","B")</x:f>
        <x:v>W</x:v>
      </x:c>
      <x:c r="G55" t="str">
        <x:f>IF(RAND()&lt;(('Team_Info'!$E$2-COUNTIF($B55:F55,"W"))/('Team_Info'!$E$4-5)),"W","B")</x:f>
        <x:v>B</x:v>
      </x:c>
      <x:c r="H55" t="str">
        <x:f>IF(RAND()&lt;(('Team_Info'!$E$2-COUNTIF($B55:G55,"W"))/('Team_Info'!$E$4-6)),"W","B")</x:f>
        <x:v>B</x:v>
      </x:c>
      <x:c r="I55" t="str">
        <x:f>IF(RAND()&lt;(('Team_Info'!$E$2-COUNTIF($B55:H55,"W"))/('Team_Info'!$E$4-7)),"W","B")</x:f>
        <x:v>B</x:v>
      </x:c>
      <x:c r="J55" t="str">
        <x:f>IF(RAND()&lt;(('Team_Info'!$E$2-COUNTIF($B55:I55,"W"))/('Team_Info'!$E$4-8)),"W","B")</x:f>
        <x:v>B</x:v>
      </x:c>
      <x:c r="K55" t="str">
        <x:f>IF(RAND()&lt;(('Team_Info'!$E$2-COUNTIF($B55:J55,"W"))/('Team_Info'!$E$4-9)),"W","B")</x:f>
        <x:v>W</x:v>
      </x:c>
      <x:c r="L55" t="str">
        <x:f>IF(RAND()&lt;(('Team_Info'!$E$2-COUNTIF($B55:K55,"W"))/('Team_Info'!$E$4-10)),"W","B")</x:f>
        <x:v>B</x:v>
      </x:c>
      <x:c r="M55" t="str">
        <x:f>IF(RAND()&lt;(('Team_Info'!$E$2-COUNTIF($B55:L55,"W"))/('Team_Info'!$E$4-11)),"W","B")</x:f>
        <x:v>B</x:v>
      </x:c>
      <x:c r="N55" t="str">
        <x:f>IF(RAND()&lt;(('Team_Info'!$E$2-COUNTIF($B55:M55,"W"))/('Team_Info'!$E$4-12)),"W","B")</x:f>
        <x:v>B</x:v>
      </x:c>
      <x:c r="O55" t="str">
        <x:f>IF(RAND()&lt;(('Team_Info'!$E$2-COUNTIF($B55:N55,"W"))/('Team_Info'!$E$4-13)),"W","B")</x:f>
        <x:v>B</x:v>
      </x:c>
      <x:c r="P55" t="str">
        <x:f>IF(RAND()&lt;(('Team_Info'!$E$2-COUNTIF($B55:O55,"W"))/('Team_Info'!$E$4-14)),"W","B")</x:f>
        <x:v>B</x:v>
      </x:c>
      <x:c r="Q55" t="str">
        <x:f>IF(RAND()&lt;(('Team_Info'!$E$2-COUNTIF($B55:P55,"W"))/('Team_Info'!$E$4-15)),"W","B")</x:f>
        <x:v>W</x:v>
      </x:c>
      <x:c r="R55" t="str">
        <x:f>IF(RAND()&lt;(('Team_Info'!$E$2-COUNTIF($B55:Q55,"W"))/('Team_Info'!$E$4-16)),"W","B")</x:f>
        <x:v>B</x:v>
      </x:c>
      <x:c r="S55" t="str">
        <x:f>IF(RAND()&lt;(('Team_Info'!$E$2-COUNTIF($B55:R55,"W"))/('Team_Info'!$E$4-17)),"W","B")</x:f>
        <x:v>B</x:v>
      </x:c>
      <x:c r="T55" t="str">
        <x:f>IF(RAND()&lt;(('Team_Info'!$E$2-COUNTIF($B55:S55,"W"))/('Team_Info'!$E$4-18)),"W","B")</x:f>
        <x:v>B</x:v>
      </x:c>
      <x:c r="U55" t="str">
        <x:f>IF(RAND()&lt;(('Team_Info'!$E$2-COUNTIF($B55:T55,"W"))/('Team_Info'!$E$4-19)),"W","B")</x:f>
        <x:v>B</x:v>
      </x:c>
    </x:row>
    <x:row r="56">
      <x:c r="A56" s="1">
        <x:v>55</x:v>
      </x:c>
      <x:c r="B56" t="str">
        <x:f>IF(RAND()&lt;'Team_Info'!$E$5,"W","B")</x:f>
        <x:v>B</x:v>
      </x:c>
      <x:c r="C56" t="str">
        <x:f>IF(RAND()&lt;(('Team_Info'!$E$2-COUNTIF($B56:B56,"W"))/('Team_Info'!$E$4-1)),"W","B")</x:f>
        <x:v>B</x:v>
      </x:c>
      <x:c r="D56" t="str">
        <x:f>IF(RAND()&lt;(('Team_Info'!$E$2-COUNTIF($B56:C56,"W"))/('Team_Info'!$E$4-2)),"W","B")</x:f>
        <x:v>B</x:v>
      </x:c>
      <x:c r="E56" t="str">
        <x:f>IF(RAND()&lt;(('Team_Info'!$E$2-COUNTIF($B56:D56,"W"))/('Team_Info'!$E$4-3)),"W","B")</x:f>
        <x:v>B</x:v>
      </x:c>
      <x:c r="F56" t="str">
        <x:f>IF(RAND()&lt;(('Team_Info'!$E$2-COUNTIF($B56:E56,"W"))/('Team_Info'!$E$4-4)),"W","B")</x:f>
        <x:v>B</x:v>
      </x:c>
      <x:c r="G56" t="str">
        <x:f>IF(RAND()&lt;(('Team_Info'!$E$2-COUNTIF($B56:F56,"W"))/('Team_Info'!$E$4-5)),"W","B")</x:f>
        <x:v>B</x:v>
      </x:c>
      <x:c r="H56" t="str">
        <x:f>IF(RAND()&lt;(('Team_Info'!$E$2-COUNTIF($B56:G56,"W"))/('Team_Info'!$E$4-6)),"W","B")</x:f>
        <x:v>B</x:v>
      </x:c>
      <x:c r="I56" t="str">
        <x:f>IF(RAND()&lt;(('Team_Info'!$E$2-COUNTIF($B56:H56,"W"))/('Team_Info'!$E$4-7)),"W","B")</x:f>
        <x:v>B</x:v>
      </x:c>
      <x:c r="J56" t="str">
        <x:f>IF(RAND()&lt;(('Team_Info'!$E$2-COUNTIF($B56:I56,"W"))/('Team_Info'!$E$4-8)),"W","B")</x:f>
        <x:v>W</x:v>
      </x:c>
      <x:c r="K56" t="str">
        <x:f>IF(RAND()&lt;(('Team_Info'!$E$2-COUNTIF($B56:J56,"W"))/('Team_Info'!$E$4-9)),"W","B")</x:f>
        <x:v>B</x:v>
      </x:c>
      <x:c r="L56" t="str">
        <x:f>IF(RAND()&lt;(('Team_Info'!$E$2-COUNTIF($B56:K56,"W"))/('Team_Info'!$E$4-10)),"W","B")</x:f>
        <x:v>W</x:v>
      </x:c>
      <x:c r="M56" t="str">
        <x:f>IF(RAND()&lt;(('Team_Info'!$E$2-COUNTIF($B56:L56,"W"))/('Team_Info'!$E$4-11)),"W","B")</x:f>
        <x:v>B</x:v>
      </x:c>
      <x:c r="N56" t="str">
        <x:f>IF(RAND()&lt;(('Team_Info'!$E$2-COUNTIF($B56:M56,"W"))/('Team_Info'!$E$4-12)),"W","B")</x:f>
        <x:v>B</x:v>
      </x:c>
      <x:c r="O56" t="str">
        <x:f>IF(RAND()&lt;(('Team_Info'!$E$2-COUNTIF($B56:N56,"W"))/('Team_Info'!$E$4-13)),"W","B")</x:f>
        <x:v>B</x:v>
      </x:c>
      <x:c r="P56" t="str">
        <x:f>IF(RAND()&lt;(('Team_Info'!$E$2-COUNTIF($B56:O56,"W"))/('Team_Info'!$E$4-14)),"W","B")</x:f>
        <x:v>W</x:v>
      </x:c>
      <x:c r="Q56" t="str">
        <x:f>IF(RAND()&lt;(('Team_Info'!$E$2-COUNTIF($B56:P56,"W"))/('Team_Info'!$E$4-15)),"W","B")</x:f>
        <x:v>B</x:v>
      </x:c>
      <x:c r="R56" t="str">
        <x:f>IF(RAND()&lt;(('Team_Info'!$E$2-COUNTIF($B56:Q56,"W"))/('Team_Info'!$E$4-16)),"W","B")</x:f>
        <x:v>B</x:v>
      </x:c>
      <x:c r="S56" t="str">
        <x:f>IF(RAND()&lt;(('Team_Info'!$E$2-COUNTIF($B56:R56,"W"))/('Team_Info'!$E$4-17)),"W","B")</x:f>
        <x:v>B</x:v>
      </x:c>
      <x:c r="T56" t="str">
        <x:f>IF(RAND()&lt;(('Team_Info'!$E$2-COUNTIF($B56:S56,"W"))/('Team_Info'!$E$4-18)),"W","B")</x:f>
        <x:v>B</x:v>
      </x:c>
      <x:c r="U56" t="str">
        <x:f>IF(RAND()&lt;(('Team_Info'!$E$2-COUNTIF($B56:T56,"W"))/('Team_Info'!$E$4-19)),"W","B")</x:f>
        <x:v>B</x:v>
      </x:c>
    </x:row>
    <x:row r="57">
      <x:c r="A57" s="1">
        <x:v>56</x:v>
      </x:c>
      <x:c r="B57" t="str">
        <x:f>IF(RAND()&lt;'Team_Info'!$E$5,"W","B")</x:f>
        <x:v>B</x:v>
      </x:c>
      <x:c r="C57" t="str">
        <x:f>IF(RAND()&lt;(('Team_Info'!$E$2-COUNTIF($B57:B57,"W"))/('Team_Info'!$E$4-1)),"W","B")</x:f>
        <x:v>B</x:v>
      </x:c>
      <x:c r="D57" t="str">
        <x:f>IF(RAND()&lt;(('Team_Info'!$E$2-COUNTIF($B57:C57,"W"))/('Team_Info'!$E$4-2)),"W","B")</x:f>
        <x:v>B</x:v>
      </x:c>
      <x:c r="E57" t="str">
        <x:f>IF(RAND()&lt;(('Team_Info'!$E$2-COUNTIF($B57:D57,"W"))/('Team_Info'!$E$4-3)),"W","B")</x:f>
        <x:v>W</x:v>
      </x:c>
      <x:c r="F57" t="str">
        <x:f>IF(RAND()&lt;(('Team_Info'!$E$2-COUNTIF($B57:E57,"W"))/('Team_Info'!$E$4-4)),"W","B")</x:f>
        <x:v>W</x:v>
      </x:c>
      <x:c r="G57" t="str">
        <x:f>IF(RAND()&lt;(('Team_Info'!$E$2-COUNTIF($B57:F57,"W"))/('Team_Info'!$E$4-5)),"W","B")</x:f>
        <x:v>B</x:v>
      </x:c>
      <x:c r="H57" t="str">
        <x:f>IF(RAND()&lt;(('Team_Info'!$E$2-COUNTIF($B57:G57,"W"))/('Team_Info'!$E$4-6)),"W","B")</x:f>
        <x:v>W</x:v>
      </x:c>
      <x:c r="I57" t="str">
        <x:f>IF(RAND()&lt;(('Team_Info'!$E$2-COUNTIF($B57:H57,"W"))/('Team_Info'!$E$4-7)),"W","B")</x:f>
        <x:v>W</x:v>
      </x:c>
      <x:c r="J57" t="str">
        <x:f>IF(RAND()&lt;(('Team_Info'!$E$2-COUNTIF($B57:I57,"W"))/('Team_Info'!$E$4-8)),"W","B")</x:f>
        <x:v>B</x:v>
      </x:c>
      <x:c r="K57" t="str">
        <x:f>IF(RAND()&lt;(('Team_Info'!$E$2-COUNTIF($B57:J57,"W"))/('Team_Info'!$E$4-9)),"W","B")</x:f>
        <x:v>W</x:v>
      </x:c>
      <x:c r="L57" t="str">
        <x:f>IF(RAND()&lt;(('Team_Info'!$E$2-COUNTIF($B57:K57,"W"))/('Team_Info'!$E$4-10)),"W","B")</x:f>
        <x:v>B</x:v>
      </x:c>
      <x:c r="M57" t="str">
        <x:f>IF(RAND()&lt;(('Team_Info'!$E$2-COUNTIF($B57:L57,"W"))/('Team_Info'!$E$4-11)),"W","B")</x:f>
        <x:v>B</x:v>
      </x:c>
      <x:c r="N57" t="str">
        <x:f>IF(RAND()&lt;(('Team_Info'!$E$2-COUNTIF($B57:M57,"W"))/('Team_Info'!$E$4-12)),"W","B")</x:f>
        <x:v>B</x:v>
      </x:c>
      <x:c r="O57" t="str">
        <x:f>IF(RAND()&lt;(('Team_Info'!$E$2-COUNTIF($B57:N57,"W"))/('Team_Info'!$E$4-13)),"W","B")</x:f>
        <x:v>W</x:v>
      </x:c>
      <x:c r="P57" t="str">
        <x:f>IF(RAND()&lt;(('Team_Info'!$E$2-COUNTIF($B57:O57,"W"))/('Team_Info'!$E$4-14)),"W","B")</x:f>
        <x:v>W</x:v>
      </x:c>
      <x:c r="Q57" t="str">
        <x:f>IF(RAND()&lt;(('Team_Info'!$E$2-COUNTIF($B57:P57,"W"))/('Team_Info'!$E$4-15)),"W","B")</x:f>
        <x:v>B</x:v>
      </x:c>
      <x:c r="R57" t="str">
        <x:f>IF(RAND()&lt;(('Team_Info'!$E$2-COUNTIF($B57:Q57,"W"))/('Team_Info'!$E$4-16)),"W","B")</x:f>
        <x:v>B</x:v>
      </x:c>
      <x:c r="S57" t="str">
        <x:f>IF(RAND()&lt;(('Team_Info'!$E$2-COUNTIF($B57:R57,"W"))/('Team_Info'!$E$4-17)),"W","B")</x:f>
        <x:v>B</x:v>
      </x:c>
      <x:c r="T57" t="str">
        <x:f>IF(RAND()&lt;(('Team_Info'!$E$2-COUNTIF($B57:S57,"W"))/('Team_Info'!$E$4-18)),"W","B")</x:f>
        <x:v>W</x:v>
      </x:c>
      <x:c r="U57" t="str">
        <x:f>IF(RAND()&lt;(('Team_Info'!$E$2-COUNTIF($B57:T57,"W"))/('Team_Info'!$E$4-19)),"W","B")</x:f>
        <x:v>W</x:v>
      </x:c>
    </x:row>
    <x:row r="58">
      <x:c r="A58" s="1">
        <x:v>57</x:v>
      </x:c>
      <x:c r="B58" t="str">
        <x:f>IF(RAND()&lt;'Team_Info'!$E$5,"W","B")</x:f>
        <x:v>W</x:v>
      </x:c>
      <x:c r="C58" t="str">
        <x:f>IF(RAND()&lt;(('Team_Info'!$E$2-COUNTIF($B58:B58,"W"))/('Team_Info'!$E$4-1)),"W","B")</x:f>
        <x:v>B</x:v>
      </x:c>
      <x:c r="D58" t="str">
        <x:f>IF(RAND()&lt;(('Team_Info'!$E$2-COUNTIF($B58:C58,"W"))/('Team_Info'!$E$4-2)),"W","B")</x:f>
        <x:v>B</x:v>
      </x:c>
      <x:c r="E58" t="str">
        <x:f>IF(RAND()&lt;(('Team_Info'!$E$2-COUNTIF($B58:D58,"W"))/('Team_Info'!$E$4-3)),"W","B")</x:f>
        <x:v>W</x:v>
      </x:c>
      <x:c r="F58" t="str">
        <x:f>IF(RAND()&lt;(('Team_Info'!$E$2-COUNTIF($B58:E58,"W"))/('Team_Info'!$E$4-4)),"W","B")</x:f>
        <x:v>B</x:v>
      </x:c>
      <x:c r="G58" t="str">
        <x:f>IF(RAND()&lt;(('Team_Info'!$E$2-COUNTIF($B58:F58,"W"))/('Team_Info'!$E$4-5)),"W","B")</x:f>
        <x:v>B</x:v>
      </x:c>
      <x:c r="H58" t="str">
        <x:f>IF(RAND()&lt;(('Team_Info'!$E$2-COUNTIF($B58:G58,"W"))/('Team_Info'!$E$4-6)),"W","B")</x:f>
        <x:v>W</x:v>
      </x:c>
      <x:c r="I58" t="str">
        <x:f>IF(RAND()&lt;(('Team_Info'!$E$2-COUNTIF($B58:H58,"W"))/('Team_Info'!$E$4-7)),"W","B")</x:f>
        <x:v>B</x:v>
      </x:c>
      <x:c r="J58" t="str">
        <x:f>IF(RAND()&lt;(('Team_Info'!$E$2-COUNTIF($B58:I58,"W"))/('Team_Info'!$E$4-8)),"W","B")</x:f>
        <x:v>B</x:v>
      </x:c>
      <x:c r="K58" t="str">
        <x:f>IF(RAND()&lt;(('Team_Info'!$E$2-COUNTIF($B58:J58,"W"))/('Team_Info'!$E$4-9)),"W","B")</x:f>
        <x:v>B</x:v>
      </x:c>
      <x:c r="L58" t="str">
        <x:f>IF(RAND()&lt;(('Team_Info'!$E$2-COUNTIF($B58:K58,"W"))/('Team_Info'!$E$4-10)),"W","B")</x:f>
        <x:v>W</x:v>
      </x:c>
      <x:c r="M58" t="str">
        <x:f>IF(RAND()&lt;(('Team_Info'!$E$2-COUNTIF($B58:L58,"W"))/('Team_Info'!$E$4-11)),"W","B")</x:f>
        <x:v>W</x:v>
      </x:c>
      <x:c r="N58" t="str">
        <x:f>IF(RAND()&lt;(('Team_Info'!$E$2-COUNTIF($B58:M58,"W"))/('Team_Info'!$E$4-12)),"W","B")</x:f>
        <x:v>B</x:v>
      </x:c>
      <x:c r="O58" t="str">
        <x:f>IF(RAND()&lt;(('Team_Info'!$E$2-COUNTIF($B58:N58,"W"))/('Team_Info'!$E$4-13)),"W","B")</x:f>
        <x:v>W</x:v>
      </x:c>
      <x:c r="P58" t="str">
        <x:f>IF(RAND()&lt;(('Team_Info'!$E$2-COUNTIF($B58:O58,"W"))/('Team_Info'!$E$4-14)),"W","B")</x:f>
        <x:v>W</x:v>
      </x:c>
      <x:c r="Q58" t="str">
        <x:f>IF(RAND()&lt;(('Team_Info'!$E$2-COUNTIF($B58:P58,"W"))/('Team_Info'!$E$4-15)),"W","B")</x:f>
        <x:v>B</x:v>
      </x:c>
      <x:c r="R58" t="str">
        <x:f>IF(RAND()&lt;(('Team_Info'!$E$2-COUNTIF($B58:Q58,"W"))/('Team_Info'!$E$4-16)),"W","B")</x:f>
        <x:v>B</x:v>
      </x:c>
      <x:c r="S58" t="str">
        <x:f>IF(RAND()&lt;(('Team_Info'!$E$2-COUNTIF($B58:R58,"W"))/('Team_Info'!$E$4-17)),"W","B")</x:f>
        <x:v>W</x:v>
      </x:c>
      <x:c r="T58" t="str">
        <x:f>IF(RAND()&lt;(('Team_Info'!$E$2-COUNTIF($B58:S58,"W"))/('Team_Info'!$E$4-18)),"W","B")</x:f>
        <x:v>W</x:v>
      </x:c>
      <x:c r="U58" t="str">
        <x:f>IF(RAND()&lt;(('Team_Info'!$E$2-COUNTIF($B58:T58,"W"))/('Team_Info'!$E$4-19)),"W","B")</x:f>
        <x:v>B</x:v>
      </x:c>
    </x:row>
    <x:row r="59">
      <x:c r="A59" s="1">
        <x:v>58</x:v>
      </x:c>
      <x:c r="B59" t="str">
        <x:f>IF(RAND()&lt;'Team_Info'!$E$5,"W","B")</x:f>
        <x:v>W</x:v>
      </x:c>
      <x:c r="C59" t="str">
        <x:f>IF(RAND()&lt;(('Team_Info'!$E$2-COUNTIF($B59:B59,"W"))/('Team_Info'!$E$4-1)),"W","B")</x:f>
        <x:v>B</x:v>
      </x:c>
      <x:c r="D59" t="str">
        <x:f>IF(RAND()&lt;(('Team_Info'!$E$2-COUNTIF($B59:C59,"W"))/('Team_Info'!$E$4-2)),"W","B")</x:f>
        <x:v>W</x:v>
      </x:c>
      <x:c r="E59" t="str">
        <x:f>IF(RAND()&lt;(('Team_Info'!$E$2-COUNTIF($B59:D59,"W"))/('Team_Info'!$E$4-3)),"W","B")</x:f>
        <x:v>W</x:v>
      </x:c>
      <x:c r="F59" t="str">
        <x:f>IF(RAND()&lt;(('Team_Info'!$E$2-COUNTIF($B59:E59,"W"))/('Team_Info'!$E$4-4)),"W","B")</x:f>
        <x:v>B</x:v>
      </x:c>
      <x:c r="G59" t="str">
        <x:f>IF(RAND()&lt;(('Team_Info'!$E$2-COUNTIF($B59:F59,"W"))/('Team_Info'!$E$4-5)),"W","B")</x:f>
        <x:v>B</x:v>
      </x:c>
      <x:c r="H59" t="str">
        <x:f>IF(RAND()&lt;(('Team_Info'!$E$2-COUNTIF($B59:G59,"W"))/('Team_Info'!$E$4-6)),"W","B")</x:f>
        <x:v>W</x:v>
      </x:c>
      <x:c r="I59" t="str">
        <x:f>IF(RAND()&lt;(('Team_Info'!$E$2-COUNTIF($B59:H59,"W"))/('Team_Info'!$E$4-7)),"W","B")</x:f>
        <x:v>W</x:v>
      </x:c>
      <x:c r="J59" t="str">
        <x:f>IF(RAND()&lt;(('Team_Info'!$E$2-COUNTIF($B59:I59,"W"))/('Team_Info'!$E$4-8)),"W","B")</x:f>
        <x:v>B</x:v>
      </x:c>
      <x:c r="K59" t="str">
        <x:f>IF(RAND()&lt;(('Team_Info'!$E$2-COUNTIF($B59:J59,"W"))/('Team_Info'!$E$4-9)),"W","B")</x:f>
        <x:v>W</x:v>
      </x:c>
      <x:c r="L59" t="str">
        <x:f>IF(RAND()&lt;(('Team_Info'!$E$2-COUNTIF($B59:K59,"W"))/('Team_Info'!$E$4-10)),"W","B")</x:f>
        <x:v>B</x:v>
      </x:c>
      <x:c r="M59" t="str">
        <x:f>IF(RAND()&lt;(('Team_Info'!$E$2-COUNTIF($B59:L59,"W"))/('Team_Info'!$E$4-11)),"W","B")</x:f>
        <x:v>W</x:v>
      </x:c>
      <x:c r="N59" t="str">
        <x:f>IF(RAND()&lt;(('Team_Info'!$E$2-COUNTIF($B59:M59,"W"))/('Team_Info'!$E$4-12)),"W","B")</x:f>
        <x:v>B</x:v>
      </x:c>
      <x:c r="O59" t="str">
        <x:f>IF(RAND()&lt;(('Team_Info'!$E$2-COUNTIF($B59:N59,"W"))/('Team_Info'!$E$4-13)),"W","B")</x:f>
        <x:v>B</x:v>
      </x:c>
      <x:c r="P59" t="str">
        <x:f>IF(RAND()&lt;(('Team_Info'!$E$2-COUNTIF($B59:O59,"W"))/('Team_Info'!$E$4-14)),"W","B")</x:f>
        <x:v>B</x:v>
      </x:c>
      <x:c r="Q59" t="str">
        <x:f>IF(RAND()&lt;(('Team_Info'!$E$2-COUNTIF($B59:P59,"W"))/('Team_Info'!$E$4-15)),"W","B")</x:f>
        <x:v>B</x:v>
      </x:c>
      <x:c r="R59" t="str">
        <x:f>IF(RAND()&lt;(('Team_Info'!$E$2-COUNTIF($B59:Q59,"W"))/('Team_Info'!$E$4-16)),"W","B")</x:f>
        <x:v>B</x:v>
      </x:c>
      <x:c r="S59" t="str">
        <x:f>IF(RAND()&lt;(('Team_Info'!$E$2-COUNTIF($B59:R59,"W"))/('Team_Info'!$E$4-17)),"W","B")</x:f>
        <x:v>B</x:v>
      </x:c>
      <x:c r="T59" t="str">
        <x:f>IF(RAND()&lt;(('Team_Info'!$E$2-COUNTIF($B59:S59,"W"))/('Team_Info'!$E$4-18)),"W","B")</x:f>
        <x:v>W</x:v>
      </x:c>
      <x:c r="U59" t="str">
        <x:f>IF(RAND()&lt;(('Team_Info'!$E$2-COUNTIF($B59:T59,"W"))/('Team_Info'!$E$4-19)),"W","B")</x:f>
        <x:v>B</x:v>
      </x:c>
    </x:row>
    <x:row r="60">
      <x:c r="A60" s="1">
        <x:v>59</x:v>
      </x:c>
      <x:c r="B60" t="str">
        <x:f>IF(RAND()&lt;'Team_Info'!$E$5,"W","B")</x:f>
        <x:v>B</x:v>
      </x:c>
      <x:c r="C60" t="str">
        <x:f>IF(RAND()&lt;(('Team_Info'!$E$2-COUNTIF($B60:B60,"W"))/('Team_Info'!$E$4-1)),"W","B")</x:f>
        <x:v>B</x:v>
      </x:c>
      <x:c r="D60" t="str">
        <x:f>IF(RAND()&lt;(('Team_Info'!$E$2-COUNTIF($B60:C60,"W"))/('Team_Info'!$E$4-2)),"W","B")</x:f>
        <x:v>W</x:v>
      </x:c>
      <x:c r="E60" t="str">
        <x:f>IF(RAND()&lt;(('Team_Info'!$E$2-COUNTIF($B60:D60,"W"))/('Team_Info'!$E$4-3)),"W","B")</x:f>
        <x:v>W</x:v>
      </x:c>
      <x:c r="F60" t="str">
        <x:f>IF(RAND()&lt;(('Team_Info'!$E$2-COUNTIF($B60:E60,"W"))/('Team_Info'!$E$4-4)),"W","B")</x:f>
        <x:v>B</x:v>
      </x:c>
      <x:c r="G60" t="str">
        <x:f>IF(RAND()&lt;(('Team_Info'!$E$2-COUNTIF($B60:F60,"W"))/('Team_Info'!$E$4-5)),"W","B")</x:f>
        <x:v>B</x:v>
      </x:c>
      <x:c r="H60" t="str">
        <x:f>IF(RAND()&lt;(('Team_Info'!$E$2-COUNTIF($B60:G60,"W"))/('Team_Info'!$E$4-6)),"W","B")</x:f>
        <x:v>W</x:v>
      </x:c>
      <x:c r="I60" t="str">
        <x:f>IF(RAND()&lt;(('Team_Info'!$E$2-COUNTIF($B60:H60,"W"))/('Team_Info'!$E$4-7)),"W","B")</x:f>
        <x:v>W</x:v>
      </x:c>
      <x:c r="J60" t="str">
        <x:f>IF(RAND()&lt;(('Team_Info'!$E$2-COUNTIF($B60:I60,"W"))/('Team_Info'!$E$4-8)),"W","B")</x:f>
        <x:v>B</x:v>
      </x:c>
      <x:c r="K60" t="str">
        <x:f>IF(RAND()&lt;(('Team_Info'!$E$2-COUNTIF($B60:J60,"W"))/('Team_Info'!$E$4-9)),"W","B")</x:f>
        <x:v>B</x:v>
      </x:c>
      <x:c r="L60" t="str">
        <x:f>IF(RAND()&lt;(('Team_Info'!$E$2-COUNTIF($B60:K60,"W"))/('Team_Info'!$E$4-10)),"W","B")</x:f>
        <x:v>B</x:v>
      </x:c>
      <x:c r="M60" t="str">
        <x:f>IF(RAND()&lt;(('Team_Info'!$E$2-COUNTIF($B60:L60,"W"))/('Team_Info'!$E$4-11)),"W","B")</x:f>
        <x:v>W</x:v>
      </x:c>
      <x:c r="N60" t="str">
        <x:f>IF(RAND()&lt;(('Team_Info'!$E$2-COUNTIF($B60:M60,"W"))/('Team_Info'!$E$4-12)),"W","B")</x:f>
        <x:v>W</x:v>
      </x:c>
      <x:c r="O60" t="str">
        <x:f>IF(RAND()&lt;(('Team_Info'!$E$2-COUNTIF($B60:N60,"W"))/('Team_Info'!$E$4-13)),"W","B")</x:f>
        <x:v>B</x:v>
      </x:c>
      <x:c r="P60" t="str">
        <x:f>IF(RAND()&lt;(('Team_Info'!$E$2-COUNTIF($B60:O60,"W"))/('Team_Info'!$E$4-14)),"W","B")</x:f>
        <x:v>W</x:v>
      </x:c>
      <x:c r="Q60" t="str">
        <x:f>IF(RAND()&lt;(('Team_Info'!$E$2-COUNTIF($B60:P60,"W"))/('Team_Info'!$E$4-15)),"W","B")</x:f>
        <x:v>W</x:v>
      </x:c>
      <x:c r="R60" t="str">
        <x:f>IF(RAND()&lt;(('Team_Info'!$E$2-COUNTIF($B60:Q60,"W"))/('Team_Info'!$E$4-16)),"W","B")</x:f>
        <x:v>B</x:v>
      </x:c>
      <x:c r="S60" t="str">
        <x:f>IF(RAND()&lt;(('Team_Info'!$E$2-COUNTIF($B60:R60,"W"))/('Team_Info'!$E$4-17)),"W","B")</x:f>
        <x:v>B</x:v>
      </x:c>
      <x:c r="T60" t="str">
        <x:f>IF(RAND()&lt;(('Team_Info'!$E$2-COUNTIF($B60:S60,"W"))/('Team_Info'!$E$4-18)),"W","B")</x:f>
        <x:v>W</x:v>
      </x:c>
      <x:c r="U60" t="str">
        <x:f>IF(RAND()&lt;(('Team_Info'!$E$2-COUNTIF($B60:T60,"W"))/('Team_Info'!$E$4-19)),"W","B")</x:f>
        <x:v>B</x:v>
      </x:c>
    </x:row>
    <x:row r="61">
      <x:c r="A61" s="1">
        <x:v>60</x:v>
      </x:c>
      <x:c r="B61" t="str">
        <x:f>IF(RAND()&lt;'Team_Info'!$E$5,"W","B")</x:f>
        <x:v>B</x:v>
      </x:c>
      <x:c r="C61" t="str">
        <x:f>IF(RAND()&lt;(('Team_Info'!$E$2-COUNTIF($B61:B61,"W"))/('Team_Info'!$E$4-1)),"W","B")</x:f>
        <x:v>B</x:v>
      </x:c>
      <x:c r="D61" t="str">
        <x:f>IF(RAND()&lt;(('Team_Info'!$E$2-COUNTIF($B61:C61,"W"))/('Team_Info'!$E$4-2)),"W","B")</x:f>
        <x:v>B</x:v>
      </x:c>
      <x:c r="E61" t="str">
        <x:f>IF(RAND()&lt;(('Team_Info'!$E$2-COUNTIF($B61:D61,"W"))/('Team_Info'!$E$4-3)),"W","B")</x:f>
        <x:v>W</x:v>
      </x:c>
      <x:c r="F61" t="str">
        <x:f>IF(RAND()&lt;(('Team_Info'!$E$2-COUNTIF($B61:E61,"W"))/('Team_Info'!$E$4-4)),"W","B")</x:f>
        <x:v>W</x:v>
      </x:c>
      <x:c r="G61" t="str">
        <x:f>IF(RAND()&lt;(('Team_Info'!$E$2-COUNTIF($B61:F61,"W"))/('Team_Info'!$E$4-5)),"W","B")</x:f>
        <x:v>B</x:v>
      </x:c>
      <x:c r="H61" t="str">
        <x:f>IF(RAND()&lt;(('Team_Info'!$E$2-COUNTIF($B61:G61,"W"))/('Team_Info'!$E$4-6)),"W","B")</x:f>
        <x:v>B</x:v>
      </x:c>
      <x:c r="I61" t="str">
        <x:f>IF(RAND()&lt;(('Team_Info'!$E$2-COUNTIF($B61:H61,"W"))/('Team_Info'!$E$4-7)),"W","B")</x:f>
        <x:v>W</x:v>
      </x:c>
      <x:c r="J61" t="str">
        <x:f>IF(RAND()&lt;(('Team_Info'!$E$2-COUNTIF($B61:I61,"W"))/('Team_Info'!$E$4-8)),"W","B")</x:f>
        <x:v>W</x:v>
      </x:c>
      <x:c r="K61" t="str">
        <x:f>IF(RAND()&lt;(('Team_Info'!$E$2-COUNTIF($B61:J61,"W"))/('Team_Info'!$E$4-9)),"W","B")</x:f>
        <x:v>W</x:v>
      </x:c>
      <x:c r="L61" t="str">
        <x:f>IF(RAND()&lt;(('Team_Info'!$E$2-COUNTIF($B61:K61,"W"))/('Team_Info'!$E$4-10)),"W","B")</x:f>
        <x:v>W</x:v>
      </x:c>
      <x:c r="M61" t="str">
        <x:f>IF(RAND()&lt;(('Team_Info'!$E$2-COUNTIF($B61:L61,"W"))/('Team_Info'!$E$4-11)),"W","B")</x:f>
        <x:v>B</x:v>
      </x:c>
      <x:c r="N61" t="str">
        <x:f>IF(RAND()&lt;(('Team_Info'!$E$2-COUNTIF($B61:M61,"W"))/('Team_Info'!$E$4-12)),"W","B")</x:f>
        <x:v>W</x:v>
      </x:c>
      <x:c r="O61" t="str">
        <x:f>IF(RAND()&lt;(('Team_Info'!$E$2-COUNTIF($B61:N61,"W"))/('Team_Info'!$E$4-13)),"W","B")</x:f>
        <x:v>W</x:v>
      </x:c>
      <x:c r="P61" t="str">
        <x:f>IF(RAND()&lt;(('Team_Info'!$E$2-COUNTIF($B61:O61,"W"))/('Team_Info'!$E$4-14)),"W","B")</x:f>
        <x:v>B</x:v>
      </x:c>
      <x:c r="Q61" t="str">
        <x:f>IF(RAND()&lt;(('Team_Info'!$E$2-COUNTIF($B61:P61,"W"))/('Team_Info'!$E$4-15)),"W","B")</x:f>
        <x:v>W</x:v>
      </x:c>
      <x:c r="R61" t="str">
        <x:f>IF(RAND()&lt;(('Team_Info'!$E$2-COUNTIF($B61:Q61,"W"))/('Team_Info'!$E$4-16)),"W","B")</x:f>
        <x:v>W</x:v>
      </x:c>
      <x:c r="S61" t="str">
        <x:f>IF(RAND()&lt;(('Team_Info'!$E$2-COUNTIF($B61:R61,"W"))/('Team_Info'!$E$4-17)),"W","B")</x:f>
        <x:v>B</x:v>
      </x:c>
      <x:c r="T61" t="str">
        <x:f>IF(RAND()&lt;(('Team_Info'!$E$2-COUNTIF($B61:S61,"W"))/('Team_Info'!$E$4-18)),"W","B")</x:f>
        <x:v>B</x:v>
      </x:c>
      <x:c r="U61" t="str">
        <x:f>IF(RAND()&lt;(('Team_Info'!$E$2-COUNTIF($B61:T61,"W"))/('Team_Info'!$E$4-19)),"W","B")</x:f>
        <x:v>W</x:v>
      </x:c>
    </x:row>
    <x:row r="62">
      <x:c r="A62" s="1">
        <x:v>61</x:v>
      </x:c>
      <x:c r="B62" t="str">
        <x:f>IF(RAND()&lt;'Team_Info'!$E$5,"W","B")</x:f>
        <x:v>B</x:v>
      </x:c>
      <x:c r="C62" t="str">
        <x:f>IF(RAND()&lt;(('Team_Info'!$E$2-COUNTIF($B62:B62,"W"))/('Team_Info'!$E$4-1)),"W","B")</x:f>
        <x:v>B</x:v>
      </x:c>
      <x:c r="D62" t="str">
        <x:f>IF(RAND()&lt;(('Team_Info'!$E$2-COUNTIF($B62:C62,"W"))/('Team_Info'!$E$4-2)),"W","B")</x:f>
        <x:v>W</x:v>
      </x:c>
      <x:c r="E62" t="str">
        <x:f>IF(RAND()&lt;(('Team_Info'!$E$2-COUNTIF($B62:D62,"W"))/('Team_Info'!$E$4-3)),"W","B")</x:f>
        <x:v>W</x:v>
      </x:c>
      <x:c r="F62" t="str">
        <x:f>IF(RAND()&lt;(('Team_Info'!$E$2-COUNTIF($B62:E62,"W"))/('Team_Info'!$E$4-4)),"W","B")</x:f>
        <x:v>W</x:v>
      </x:c>
      <x:c r="G62" t="str">
        <x:f>IF(RAND()&lt;(('Team_Info'!$E$2-COUNTIF($B62:F62,"W"))/('Team_Info'!$E$4-5)),"W","B")</x:f>
        <x:v>B</x:v>
      </x:c>
      <x:c r="H62" t="str">
        <x:f>IF(RAND()&lt;(('Team_Info'!$E$2-COUNTIF($B62:G62,"W"))/('Team_Info'!$E$4-6)),"W","B")</x:f>
        <x:v>B</x:v>
      </x:c>
      <x:c r="I62" t="str">
        <x:f>IF(RAND()&lt;(('Team_Info'!$E$2-COUNTIF($B62:H62,"W"))/('Team_Info'!$E$4-7)),"W","B")</x:f>
        <x:v>B</x:v>
      </x:c>
      <x:c r="J62" t="str">
        <x:f>IF(RAND()&lt;(('Team_Info'!$E$2-COUNTIF($B62:I62,"W"))/('Team_Info'!$E$4-8)),"W","B")</x:f>
        <x:v>W</x:v>
      </x:c>
      <x:c r="K62" t="str">
        <x:f>IF(RAND()&lt;(('Team_Info'!$E$2-COUNTIF($B62:J62,"W"))/('Team_Info'!$E$4-9)),"W","B")</x:f>
        <x:v>B</x:v>
      </x:c>
      <x:c r="L62" t="str">
        <x:f>IF(RAND()&lt;(('Team_Info'!$E$2-COUNTIF($B62:K62,"W"))/('Team_Info'!$E$4-10)),"W","B")</x:f>
        <x:v>B</x:v>
      </x:c>
      <x:c r="M62" t="str">
        <x:f>IF(RAND()&lt;(('Team_Info'!$E$2-COUNTIF($B62:L62,"W"))/('Team_Info'!$E$4-11)),"W","B")</x:f>
        <x:v>W</x:v>
      </x:c>
      <x:c r="N62" t="str">
        <x:f>IF(RAND()&lt;(('Team_Info'!$E$2-COUNTIF($B62:M62,"W"))/('Team_Info'!$E$4-12)),"W","B")</x:f>
        <x:v>B</x:v>
      </x:c>
      <x:c r="O62" t="str">
        <x:f>IF(RAND()&lt;(('Team_Info'!$E$2-COUNTIF($B62:N62,"W"))/('Team_Info'!$E$4-13)),"W","B")</x:f>
        <x:v>W</x:v>
      </x:c>
      <x:c r="P62" t="str">
        <x:f>IF(RAND()&lt;(('Team_Info'!$E$2-COUNTIF($B62:O62,"W"))/('Team_Info'!$E$4-14)),"W","B")</x:f>
        <x:v>W</x:v>
      </x:c>
      <x:c r="Q62" t="str">
        <x:f>IF(RAND()&lt;(('Team_Info'!$E$2-COUNTIF($B62:P62,"W"))/('Team_Info'!$E$4-15)),"W","B")</x:f>
        <x:v>B</x:v>
      </x:c>
      <x:c r="R62" t="str">
        <x:f>IF(RAND()&lt;(('Team_Info'!$E$2-COUNTIF($B62:Q62,"W"))/('Team_Info'!$E$4-16)),"W","B")</x:f>
        <x:v>W</x:v>
      </x:c>
      <x:c r="S62" t="str">
        <x:f>IF(RAND()&lt;(('Team_Info'!$E$2-COUNTIF($B62:R62,"W"))/('Team_Info'!$E$4-17)),"W","B")</x:f>
        <x:v>B</x:v>
      </x:c>
      <x:c r="T62" t="str">
        <x:f>IF(RAND()&lt;(('Team_Info'!$E$2-COUNTIF($B62:S62,"W"))/('Team_Info'!$E$4-18)),"W","B")</x:f>
        <x:v>W</x:v>
      </x:c>
      <x:c r="U62" t="str">
        <x:f>IF(RAND()&lt;(('Team_Info'!$E$2-COUNTIF($B62:T62,"W"))/('Team_Info'!$E$4-19)),"W","B")</x:f>
        <x:v>B</x:v>
      </x:c>
    </x:row>
    <x:row r="63">
      <x:c r="A63" s="1">
        <x:v>62</x:v>
      </x:c>
      <x:c r="B63" t="str">
        <x:f>IF(RAND()&lt;'Team_Info'!$E$5,"W","B")</x:f>
        <x:v>B</x:v>
      </x:c>
      <x:c r="C63" t="str">
        <x:f>IF(RAND()&lt;(('Team_Info'!$E$2-COUNTIF($B63:B63,"W"))/('Team_Info'!$E$4-1)),"W","B")</x:f>
        <x:v>B</x:v>
      </x:c>
      <x:c r="D63" t="str">
        <x:f>IF(RAND()&lt;(('Team_Info'!$E$2-COUNTIF($B63:C63,"W"))/('Team_Info'!$E$4-2)),"W","B")</x:f>
        <x:v>W</x:v>
      </x:c>
      <x:c r="E63" t="str">
        <x:f>IF(RAND()&lt;(('Team_Info'!$E$2-COUNTIF($B63:D63,"W"))/('Team_Info'!$E$4-3)),"W","B")</x:f>
        <x:v>B</x:v>
      </x:c>
      <x:c r="F63" t="str">
        <x:f>IF(RAND()&lt;(('Team_Info'!$E$2-COUNTIF($B63:E63,"W"))/('Team_Info'!$E$4-4)),"W","B")</x:f>
        <x:v>B</x:v>
      </x:c>
      <x:c r="G63" t="str">
        <x:f>IF(RAND()&lt;(('Team_Info'!$E$2-COUNTIF($B63:F63,"W"))/('Team_Info'!$E$4-5)),"W","B")</x:f>
        <x:v>W</x:v>
      </x:c>
      <x:c r="H63" t="str">
        <x:f>IF(RAND()&lt;(('Team_Info'!$E$2-COUNTIF($B63:G63,"W"))/('Team_Info'!$E$4-6)),"W","B")</x:f>
        <x:v>B</x:v>
      </x:c>
      <x:c r="I63" t="str">
        <x:f>IF(RAND()&lt;(('Team_Info'!$E$2-COUNTIF($B63:H63,"W"))/('Team_Info'!$E$4-7)),"W","B")</x:f>
        <x:v>B</x:v>
      </x:c>
      <x:c r="J63" t="str">
        <x:f>IF(RAND()&lt;(('Team_Info'!$E$2-COUNTIF($B63:I63,"W"))/('Team_Info'!$E$4-8)),"W","B")</x:f>
        <x:v>B</x:v>
      </x:c>
      <x:c r="K63" t="str">
        <x:f>IF(RAND()&lt;(('Team_Info'!$E$2-COUNTIF($B63:J63,"W"))/('Team_Info'!$E$4-9)),"W","B")</x:f>
        <x:v>W</x:v>
      </x:c>
      <x:c r="L63" t="str">
        <x:f>IF(RAND()&lt;(('Team_Info'!$E$2-COUNTIF($B63:K63,"W"))/('Team_Info'!$E$4-10)),"W","B")</x:f>
        <x:v>B</x:v>
      </x:c>
      <x:c r="M63" t="str">
        <x:f>IF(RAND()&lt;(('Team_Info'!$E$2-COUNTIF($B63:L63,"W"))/('Team_Info'!$E$4-11)),"W","B")</x:f>
        <x:v>W</x:v>
      </x:c>
      <x:c r="N63" t="str">
        <x:f>IF(RAND()&lt;(('Team_Info'!$E$2-COUNTIF($B63:M63,"W"))/('Team_Info'!$E$4-12)),"W","B")</x:f>
        <x:v>W</x:v>
      </x:c>
      <x:c r="O63" t="str">
        <x:f>IF(RAND()&lt;(('Team_Info'!$E$2-COUNTIF($B63:N63,"W"))/('Team_Info'!$E$4-13)),"W","B")</x:f>
        <x:v>B</x:v>
      </x:c>
      <x:c r="P63" t="str">
        <x:f>IF(RAND()&lt;(('Team_Info'!$E$2-COUNTIF($B63:O63,"W"))/('Team_Info'!$E$4-14)),"W","B")</x:f>
        <x:v>B</x:v>
      </x:c>
      <x:c r="Q63" t="str">
        <x:f>IF(RAND()&lt;(('Team_Info'!$E$2-COUNTIF($B63:P63,"W"))/('Team_Info'!$E$4-15)),"W","B")</x:f>
        <x:v>B</x:v>
      </x:c>
      <x:c r="R63" t="str">
        <x:f>IF(RAND()&lt;(('Team_Info'!$E$2-COUNTIF($B63:Q63,"W"))/('Team_Info'!$E$4-16)),"W","B")</x:f>
        <x:v>B</x:v>
      </x:c>
      <x:c r="S63" t="str">
        <x:f>IF(RAND()&lt;(('Team_Info'!$E$2-COUNTIF($B63:R63,"W"))/('Team_Info'!$E$4-17)),"W","B")</x:f>
        <x:v>B</x:v>
      </x:c>
      <x:c r="T63" t="str">
        <x:f>IF(RAND()&lt;(('Team_Info'!$E$2-COUNTIF($B63:S63,"W"))/('Team_Info'!$E$4-18)),"W","B")</x:f>
        <x:v>B</x:v>
      </x:c>
      <x:c r="U63" t="str">
        <x:f>IF(RAND()&lt;(('Team_Info'!$E$2-COUNTIF($B63:T63,"W"))/('Team_Info'!$E$4-19)),"W","B")</x:f>
        <x:v>B</x:v>
      </x:c>
    </x:row>
    <x:row r="64">
      <x:c r="A64" s="1">
        <x:v>63</x:v>
      </x:c>
      <x:c r="B64" t="str">
        <x:f>IF(RAND()&lt;'Team_Info'!$E$5,"W","B")</x:f>
        <x:v>B</x:v>
      </x:c>
      <x:c r="C64" t="str">
        <x:f>IF(RAND()&lt;(('Team_Info'!$E$2-COUNTIF($B64:B64,"W"))/('Team_Info'!$E$4-1)),"W","B")</x:f>
        <x:v>W</x:v>
      </x:c>
      <x:c r="D64" t="str">
        <x:f>IF(RAND()&lt;(('Team_Info'!$E$2-COUNTIF($B64:C64,"W"))/('Team_Info'!$E$4-2)),"W","B")</x:f>
        <x:v>W</x:v>
      </x:c>
      <x:c r="E64" t="str">
        <x:f>IF(RAND()&lt;(('Team_Info'!$E$2-COUNTIF($B64:D64,"W"))/('Team_Info'!$E$4-3)),"W","B")</x:f>
        <x:v>W</x:v>
      </x:c>
      <x:c r="F64" t="str">
        <x:f>IF(RAND()&lt;(('Team_Info'!$E$2-COUNTIF($B64:E64,"W"))/('Team_Info'!$E$4-4)),"W","B")</x:f>
        <x:v>W</x:v>
      </x:c>
      <x:c r="G64" t="str">
        <x:f>IF(RAND()&lt;(('Team_Info'!$E$2-COUNTIF($B64:F64,"W"))/('Team_Info'!$E$4-5)),"W","B")</x:f>
        <x:v>B</x:v>
      </x:c>
      <x:c r="H64" t="str">
        <x:f>IF(RAND()&lt;(('Team_Info'!$E$2-COUNTIF($B64:G64,"W"))/('Team_Info'!$E$4-6)),"W","B")</x:f>
        <x:v>B</x:v>
      </x:c>
      <x:c r="I64" t="str">
        <x:f>IF(RAND()&lt;(('Team_Info'!$E$2-COUNTIF($B64:H64,"W"))/('Team_Info'!$E$4-7)),"W","B")</x:f>
        <x:v>B</x:v>
      </x:c>
      <x:c r="J64" t="str">
        <x:f>IF(RAND()&lt;(('Team_Info'!$E$2-COUNTIF($B64:I64,"W"))/('Team_Info'!$E$4-8)),"W","B")</x:f>
        <x:v>B</x:v>
      </x:c>
      <x:c r="K64" t="str">
        <x:f>IF(RAND()&lt;(('Team_Info'!$E$2-COUNTIF($B64:J64,"W"))/('Team_Info'!$E$4-9)),"W","B")</x:f>
        <x:v>B</x:v>
      </x:c>
      <x:c r="L64" t="str">
        <x:f>IF(RAND()&lt;(('Team_Info'!$E$2-COUNTIF($B64:K64,"W"))/('Team_Info'!$E$4-10)),"W","B")</x:f>
        <x:v>B</x:v>
      </x:c>
      <x:c r="M64" t="str">
        <x:f>IF(RAND()&lt;(('Team_Info'!$E$2-COUNTIF($B64:L64,"W"))/('Team_Info'!$E$4-11)),"W","B")</x:f>
        <x:v>W</x:v>
      </x:c>
      <x:c r="N64" t="str">
        <x:f>IF(RAND()&lt;(('Team_Info'!$E$2-COUNTIF($B64:M64,"W"))/('Team_Info'!$E$4-12)),"W","B")</x:f>
        <x:v>B</x:v>
      </x:c>
      <x:c r="O64" t="str">
        <x:f>IF(RAND()&lt;(('Team_Info'!$E$2-COUNTIF($B64:N64,"W"))/('Team_Info'!$E$4-13)),"W","B")</x:f>
        <x:v>W</x:v>
      </x:c>
      <x:c r="P64" t="str">
        <x:f>IF(RAND()&lt;(('Team_Info'!$E$2-COUNTIF($B64:O64,"W"))/('Team_Info'!$E$4-14)),"W","B")</x:f>
        <x:v>W</x:v>
      </x:c>
      <x:c r="Q64" t="str">
        <x:f>IF(RAND()&lt;(('Team_Info'!$E$2-COUNTIF($B64:P64,"W"))/('Team_Info'!$E$4-15)),"W","B")</x:f>
        <x:v>W</x:v>
      </x:c>
      <x:c r="R64" t="str">
        <x:f>IF(RAND()&lt;(('Team_Info'!$E$2-COUNTIF($B64:Q64,"W"))/('Team_Info'!$E$4-16)),"W","B")</x:f>
        <x:v>B</x:v>
      </x:c>
      <x:c r="S64" t="str">
        <x:f>IF(RAND()&lt;(('Team_Info'!$E$2-COUNTIF($B64:R64,"W"))/('Team_Info'!$E$4-17)),"W","B")</x:f>
        <x:v>W</x:v>
      </x:c>
      <x:c r="T64" t="str">
        <x:f>IF(RAND()&lt;(('Team_Info'!$E$2-COUNTIF($B64:S64,"W"))/('Team_Info'!$E$4-18)),"W","B")</x:f>
        <x:v>W</x:v>
      </x:c>
      <x:c r="U64" t="str">
        <x:f>IF(RAND()&lt;(('Team_Info'!$E$2-COUNTIF($B64:T64,"W"))/('Team_Info'!$E$4-19)),"W","B")</x:f>
        <x:v>B</x:v>
      </x:c>
    </x:row>
    <x:row r="65">
      <x:c r="A65" s="1">
        <x:v>64</x:v>
      </x:c>
      <x:c r="B65" t="str">
        <x:f>IF(RAND()&lt;'Team_Info'!$E$5,"W","B")</x:f>
        <x:v>B</x:v>
      </x:c>
      <x:c r="C65" t="str">
        <x:f>IF(RAND()&lt;(('Team_Info'!$E$2-COUNTIF($B65:B65,"W"))/('Team_Info'!$E$4-1)),"W","B")</x:f>
        <x:v>B</x:v>
      </x:c>
      <x:c r="D65" t="str">
        <x:f>IF(RAND()&lt;(('Team_Info'!$E$2-COUNTIF($B65:C65,"W"))/('Team_Info'!$E$4-2)),"W","B")</x:f>
        <x:v>W</x:v>
      </x:c>
      <x:c r="E65" t="str">
        <x:f>IF(RAND()&lt;(('Team_Info'!$E$2-COUNTIF($B65:D65,"W"))/('Team_Info'!$E$4-3)),"W","B")</x:f>
        <x:v>B</x:v>
      </x:c>
      <x:c r="F65" t="str">
        <x:f>IF(RAND()&lt;(('Team_Info'!$E$2-COUNTIF($B65:E65,"W"))/('Team_Info'!$E$4-4)),"W","B")</x:f>
        <x:v>B</x:v>
      </x:c>
      <x:c r="G65" t="str">
        <x:f>IF(RAND()&lt;(('Team_Info'!$E$2-COUNTIF($B65:F65,"W"))/('Team_Info'!$E$4-5)),"W","B")</x:f>
        <x:v>W</x:v>
      </x:c>
      <x:c r="H65" t="str">
        <x:f>IF(RAND()&lt;(('Team_Info'!$E$2-COUNTIF($B65:G65,"W"))/('Team_Info'!$E$4-6)),"W","B")</x:f>
        <x:v>B</x:v>
      </x:c>
      <x:c r="I65" t="str">
        <x:f>IF(RAND()&lt;(('Team_Info'!$E$2-COUNTIF($B65:H65,"W"))/('Team_Info'!$E$4-7)),"W","B")</x:f>
        <x:v>W</x:v>
      </x:c>
      <x:c r="J65" t="str">
        <x:f>IF(RAND()&lt;(('Team_Info'!$E$2-COUNTIF($B65:I65,"W"))/('Team_Info'!$E$4-8)),"W","B")</x:f>
        <x:v>B</x:v>
      </x:c>
      <x:c r="K65" t="str">
        <x:f>IF(RAND()&lt;(('Team_Info'!$E$2-COUNTIF($B65:J65,"W"))/('Team_Info'!$E$4-9)),"W","B")</x:f>
        <x:v>B</x:v>
      </x:c>
      <x:c r="L65" t="str">
        <x:f>IF(RAND()&lt;(('Team_Info'!$E$2-COUNTIF($B65:K65,"W"))/('Team_Info'!$E$4-10)),"W","B")</x:f>
        <x:v>B</x:v>
      </x:c>
      <x:c r="M65" t="str">
        <x:f>IF(RAND()&lt;(('Team_Info'!$E$2-COUNTIF($B65:L65,"W"))/('Team_Info'!$E$4-11)),"W","B")</x:f>
        <x:v>B</x:v>
      </x:c>
      <x:c r="N65" t="str">
        <x:f>IF(RAND()&lt;(('Team_Info'!$E$2-COUNTIF($B65:M65,"W"))/('Team_Info'!$E$4-12)),"W","B")</x:f>
        <x:v>W</x:v>
      </x:c>
      <x:c r="O65" t="str">
        <x:f>IF(RAND()&lt;(('Team_Info'!$E$2-COUNTIF($B65:N65,"W"))/('Team_Info'!$E$4-13)),"W","B")</x:f>
        <x:v>B</x:v>
      </x:c>
      <x:c r="P65" t="str">
        <x:f>IF(RAND()&lt;(('Team_Info'!$E$2-COUNTIF($B65:O65,"W"))/('Team_Info'!$E$4-14)),"W","B")</x:f>
        <x:v>W</x:v>
      </x:c>
      <x:c r="Q65" t="str">
        <x:f>IF(RAND()&lt;(('Team_Info'!$E$2-COUNTIF($B65:P65,"W"))/('Team_Info'!$E$4-15)),"W","B")</x:f>
        <x:v>B</x:v>
      </x:c>
      <x:c r="R65" t="str">
        <x:f>IF(RAND()&lt;(('Team_Info'!$E$2-COUNTIF($B65:Q65,"W"))/('Team_Info'!$E$4-16)),"W","B")</x:f>
        <x:v>W</x:v>
      </x:c>
      <x:c r="S65" t="str">
        <x:f>IF(RAND()&lt;(('Team_Info'!$E$2-COUNTIF($B65:R65,"W"))/('Team_Info'!$E$4-17)),"W","B")</x:f>
        <x:v>B</x:v>
      </x:c>
      <x:c r="T65" t="str">
        <x:f>IF(RAND()&lt;(('Team_Info'!$E$2-COUNTIF($B65:S65,"W"))/('Team_Info'!$E$4-18)),"W","B")</x:f>
        <x:v>B</x:v>
      </x:c>
      <x:c r="U65" t="str">
        <x:f>IF(RAND()&lt;(('Team_Info'!$E$2-COUNTIF($B65:T65,"W"))/('Team_Info'!$E$4-19)),"W","B")</x:f>
        <x:v>W</x:v>
      </x:c>
    </x:row>
    <x:row r="66">
      <x:c r="A66" s="1">
        <x:v>65</x:v>
      </x:c>
      <x:c r="B66" t="str">
        <x:f>IF(RAND()&lt;'Team_Info'!$E$5,"W","B")</x:f>
        <x:v>B</x:v>
      </x:c>
      <x:c r="C66" t="str">
        <x:f>IF(RAND()&lt;(('Team_Info'!$E$2-COUNTIF($B66:B66,"W"))/('Team_Info'!$E$4-1)),"W","B")</x:f>
        <x:v>W</x:v>
      </x:c>
      <x:c r="D66" t="str">
        <x:f>IF(RAND()&lt;(('Team_Info'!$E$2-COUNTIF($B66:C66,"W"))/('Team_Info'!$E$4-2)),"W","B")</x:f>
        <x:v>W</x:v>
      </x:c>
      <x:c r="E66" t="str">
        <x:f>IF(RAND()&lt;(('Team_Info'!$E$2-COUNTIF($B66:D66,"W"))/('Team_Info'!$E$4-3)),"W","B")</x:f>
        <x:v>B</x:v>
      </x:c>
      <x:c r="F66" t="str">
        <x:f>IF(RAND()&lt;(('Team_Info'!$E$2-COUNTIF($B66:E66,"W"))/('Team_Info'!$E$4-4)),"W","B")</x:f>
        <x:v>W</x:v>
      </x:c>
      <x:c r="G66" t="str">
        <x:f>IF(RAND()&lt;(('Team_Info'!$E$2-COUNTIF($B66:F66,"W"))/('Team_Info'!$E$4-5)),"W","B")</x:f>
        <x:v>W</x:v>
      </x:c>
      <x:c r="H66" t="str">
        <x:f>IF(RAND()&lt;(('Team_Info'!$E$2-COUNTIF($B66:G66,"W"))/('Team_Info'!$E$4-6)),"W","B")</x:f>
        <x:v>W</x:v>
      </x:c>
      <x:c r="I66" t="str">
        <x:f>IF(RAND()&lt;(('Team_Info'!$E$2-COUNTIF($B66:H66,"W"))/('Team_Info'!$E$4-7)),"W","B")</x:f>
        <x:v>B</x:v>
      </x:c>
      <x:c r="J66" t="str">
        <x:f>IF(RAND()&lt;(('Team_Info'!$E$2-COUNTIF($B66:I66,"W"))/('Team_Info'!$E$4-8)),"W","B")</x:f>
        <x:v>B</x:v>
      </x:c>
      <x:c r="K66" t="str">
        <x:f>IF(RAND()&lt;(('Team_Info'!$E$2-COUNTIF($B66:J66,"W"))/('Team_Info'!$E$4-9)),"W","B")</x:f>
        <x:v>B</x:v>
      </x:c>
      <x:c r="L66" t="str">
        <x:f>IF(RAND()&lt;(('Team_Info'!$E$2-COUNTIF($B66:K66,"W"))/('Team_Info'!$E$4-10)),"W","B")</x:f>
        <x:v>B</x:v>
      </x:c>
      <x:c r="M66" t="str">
        <x:f>IF(RAND()&lt;(('Team_Info'!$E$2-COUNTIF($B66:L66,"W"))/('Team_Info'!$E$4-11)),"W","B")</x:f>
        <x:v>B</x:v>
      </x:c>
      <x:c r="N66" t="str">
        <x:f>IF(RAND()&lt;(('Team_Info'!$E$2-COUNTIF($B66:M66,"W"))/('Team_Info'!$E$4-12)),"W","B")</x:f>
        <x:v>W</x:v>
      </x:c>
      <x:c r="O66" t="str">
        <x:f>IF(RAND()&lt;(('Team_Info'!$E$2-COUNTIF($B66:N66,"W"))/('Team_Info'!$E$4-13)),"W","B")</x:f>
        <x:v>W</x:v>
      </x:c>
      <x:c r="P66" t="str">
        <x:f>IF(RAND()&lt;(('Team_Info'!$E$2-COUNTIF($B66:O66,"W"))/('Team_Info'!$E$4-14)),"W","B")</x:f>
        <x:v>B</x:v>
      </x:c>
      <x:c r="Q66" t="str">
        <x:f>IF(RAND()&lt;(('Team_Info'!$E$2-COUNTIF($B66:P66,"W"))/('Team_Info'!$E$4-15)),"W","B")</x:f>
        <x:v>B</x:v>
      </x:c>
      <x:c r="R66" t="str">
        <x:f>IF(RAND()&lt;(('Team_Info'!$E$2-COUNTIF($B66:Q66,"W"))/('Team_Info'!$E$4-16)),"W","B")</x:f>
        <x:v>B</x:v>
      </x:c>
      <x:c r="S66" t="str">
        <x:f>IF(RAND()&lt;(('Team_Info'!$E$2-COUNTIF($B66:R66,"W"))/('Team_Info'!$E$4-17)),"W","B")</x:f>
        <x:v>B</x:v>
      </x:c>
      <x:c r="T66" t="str">
        <x:f>IF(RAND()&lt;(('Team_Info'!$E$2-COUNTIF($B66:S66,"W"))/('Team_Info'!$E$4-18)),"W","B")</x:f>
        <x:v>W</x:v>
      </x:c>
      <x:c r="U66" t="str">
        <x:f>IF(RAND()&lt;(('Team_Info'!$E$2-COUNTIF($B66:T66,"W"))/('Team_Info'!$E$4-19)),"W","B")</x:f>
        <x:v>W</x:v>
      </x:c>
    </x:row>
    <x:row r="67">
      <x:c r="A67" s="1">
        <x:v>66</x:v>
      </x:c>
      <x:c r="B67" t="str">
        <x:f>IF(RAND()&lt;'Team_Info'!$E$5,"W","B")</x:f>
        <x:v>B</x:v>
      </x:c>
      <x:c r="C67" t="str">
        <x:f>IF(RAND()&lt;(('Team_Info'!$E$2-COUNTIF($B67:B67,"W"))/('Team_Info'!$E$4-1)),"W","B")</x:f>
        <x:v>W</x:v>
      </x:c>
      <x:c r="D67" t="str">
        <x:f>IF(RAND()&lt;(('Team_Info'!$E$2-COUNTIF($B67:C67,"W"))/('Team_Info'!$E$4-2)),"W","B")</x:f>
        <x:v>B</x:v>
      </x:c>
      <x:c r="E67" t="str">
        <x:f>IF(RAND()&lt;(('Team_Info'!$E$2-COUNTIF($B67:D67,"W"))/('Team_Info'!$E$4-3)),"W","B")</x:f>
        <x:v>B</x:v>
      </x:c>
      <x:c r="F67" t="str">
        <x:f>IF(RAND()&lt;(('Team_Info'!$E$2-COUNTIF($B67:E67,"W"))/('Team_Info'!$E$4-4)),"W","B")</x:f>
        <x:v>B</x:v>
      </x:c>
      <x:c r="G67" t="str">
        <x:f>IF(RAND()&lt;(('Team_Info'!$E$2-COUNTIF($B67:F67,"W"))/('Team_Info'!$E$4-5)),"W","B")</x:f>
        <x:v>W</x:v>
      </x:c>
      <x:c r="H67" t="str">
        <x:f>IF(RAND()&lt;(('Team_Info'!$E$2-COUNTIF($B67:G67,"W"))/('Team_Info'!$E$4-6)),"W","B")</x:f>
        <x:v>B</x:v>
      </x:c>
      <x:c r="I67" t="str">
        <x:f>IF(RAND()&lt;(('Team_Info'!$E$2-COUNTIF($B67:H67,"W"))/('Team_Info'!$E$4-7)),"W","B")</x:f>
        <x:v>B</x:v>
      </x:c>
      <x:c r="J67" t="str">
        <x:f>IF(RAND()&lt;(('Team_Info'!$E$2-COUNTIF($B67:I67,"W"))/('Team_Info'!$E$4-8)),"W","B")</x:f>
        <x:v>W</x:v>
      </x:c>
      <x:c r="K67" t="str">
        <x:f>IF(RAND()&lt;(('Team_Info'!$E$2-COUNTIF($B67:J67,"W"))/('Team_Info'!$E$4-9)),"W","B")</x:f>
        <x:v>B</x:v>
      </x:c>
      <x:c r="L67" t="str">
        <x:f>IF(RAND()&lt;(('Team_Info'!$E$2-COUNTIF($B67:K67,"W"))/('Team_Info'!$E$4-10)),"W","B")</x:f>
        <x:v>B</x:v>
      </x:c>
      <x:c r="M67" t="str">
        <x:f>IF(RAND()&lt;(('Team_Info'!$E$2-COUNTIF($B67:L67,"W"))/('Team_Info'!$E$4-11)),"W","B")</x:f>
        <x:v>B</x:v>
      </x:c>
      <x:c r="N67" t="str">
        <x:f>IF(RAND()&lt;(('Team_Info'!$E$2-COUNTIF($B67:M67,"W"))/('Team_Info'!$E$4-12)),"W","B")</x:f>
        <x:v>W</x:v>
      </x:c>
      <x:c r="O67" t="str">
        <x:f>IF(RAND()&lt;(('Team_Info'!$E$2-COUNTIF($B67:N67,"W"))/('Team_Info'!$E$4-13)),"W","B")</x:f>
        <x:v>B</x:v>
      </x:c>
      <x:c r="P67" t="str">
        <x:f>IF(RAND()&lt;(('Team_Info'!$E$2-COUNTIF($B67:O67,"W"))/('Team_Info'!$E$4-14)),"W","B")</x:f>
        <x:v>B</x:v>
      </x:c>
      <x:c r="Q67" t="str">
        <x:f>IF(RAND()&lt;(('Team_Info'!$E$2-COUNTIF($B67:P67,"W"))/('Team_Info'!$E$4-15)),"W","B")</x:f>
        <x:v>B</x:v>
      </x:c>
      <x:c r="R67" t="str">
        <x:f>IF(RAND()&lt;(('Team_Info'!$E$2-COUNTIF($B67:Q67,"W"))/('Team_Info'!$E$4-16)),"W","B")</x:f>
        <x:v>W</x:v>
      </x:c>
      <x:c r="S67" t="str">
        <x:f>IF(RAND()&lt;(('Team_Info'!$E$2-COUNTIF($B67:R67,"W"))/('Team_Info'!$E$4-17)),"W","B")</x:f>
        <x:v>W</x:v>
      </x:c>
      <x:c r="T67" t="str">
        <x:f>IF(RAND()&lt;(('Team_Info'!$E$2-COUNTIF($B67:S67,"W"))/('Team_Info'!$E$4-18)),"W","B")</x:f>
        <x:v>W</x:v>
      </x:c>
      <x:c r="U67" t="str">
        <x:f>IF(RAND()&lt;(('Team_Info'!$E$2-COUNTIF($B67:T67,"W"))/('Team_Info'!$E$4-19)),"W","B")</x:f>
        <x:v>W</x:v>
      </x:c>
    </x:row>
    <x:row r="68">
      <x:c r="A68" s="1">
        <x:v>67</x:v>
      </x:c>
      <x:c r="B68" t="str">
        <x:f>IF(RAND()&lt;'Team_Info'!$E$5,"W","B")</x:f>
        <x:v>B</x:v>
      </x:c>
      <x:c r="C68" t="str">
        <x:f>IF(RAND()&lt;(('Team_Info'!$E$2-COUNTIF($B68:B68,"W"))/('Team_Info'!$E$4-1)),"W","B")</x:f>
        <x:v>B</x:v>
      </x:c>
      <x:c r="D68" t="str">
        <x:f>IF(RAND()&lt;(('Team_Info'!$E$2-COUNTIF($B68:C68,"W"))/('Team_Info'!$E$4-2)),"W","B")</x:f>
        <x:v>W</x:v>
      </x:c>
      <x:c r="E68" t="str">
        <x:f>IF(RAND()&lt;(('Team_Info'!$E$2-COUNTIF($B68:D68,"W"))/('Team_Info'!$E$4-3)),"W","B")</x:f>
        <x:v>B</x:v>
      </x:c>
      <x:c r="F68" t="str">
        <x:f>IF(RAND()&lt;(('Team_Info'!$E$2-COUNTIF($B68:E68,"W"))/('Team_Info'!$E$4-4)),"W","B")</x:f>
        <x:v>B</x:v>
      </x:c>
      <x:c r="G68" t="str">
        <x:f>IF(RAND()&lt;(('Team_Info'!$E$2-COUNTIF($B68:F68,"W"))/('Team_Info'!$E$4-5)),"W","B")</x:f>
        <x:v>B</x:v>
      </x:c>
      <x:c r="H68" t="str">
        <x:f>IF(RAND()&lt;(('Team_Info'!$E$2-COUNTIF($B68:G68,"W"))/('Team_Info'!$E$4-6)),"W","B")</x:f>
        <x:v>W</x:v>
      </x:c>
      <x:c r="I68" t="str">
        <x:f>IF(RAND()&lt;(('Team_Info'!$E$2-COUNTIF($B68:H68,"W"))/('Team_Info'!$E$4-7)),"W","B")</x:f>
        <x:v>W</x:v>
      </x:c>
      <x:c r="J68" t="str">
        <x:f>IF(RAND()&lt;(('Team_Info'!$E$2-COUNTIF($B68:I68,"W"))/('Team_Info'!$E$4-8)),"W","B")</x:f>
        <x:v>W</x:v>
      </x:c>
      <x:c r="K68" t="str">
        <x:f>IF(RAND()&lt;(('Team_Info'!$E$2-COUNTIF($B68:J68,"W"))/('Team_Info'!$E$4-9)),"W","B")</x:f>
        <x:v>B</x:v>
      </x:c>
      <x:c r="L68" t="str">
        <x:f>IF(RAND()&lt;(('Team_Info'!$E$2-COUNTIF($B68:K68,"W"))/('Team_Info'!$E$4-10)),"W","B")</x:f>
        <x:v>B</x:v>
      </x:c>
      <x:c r="M68" t="str">
        <x:f>IF(RAND()&lt;(('Team_Info'!$E$2-COUNTIF($B68:L68,"W"))/('Team_Info'!$E$4-11)),"W","B")</x:f>
        <x:v>B</x:v>
      </x:c>
      <x:c r="N68" t="str">
        <x:f>IF(RAND()&lt;(('Team_Info'!$E$2-COUNTIF($B68:M68,"W"))/('Team_Info'!$E$4-12)),"W","B")</x:f>
        <x:v>B</x:v>
      </x:c>
      <x:c r="O68" t="str">
        <x:f>IF(RAND()&lt;(('Team_Info'!$E$2-COUNTIF($B68:N68,"W"))/('Team_Info'!$E$4-13)),"W","B")</x:f>
        <x:v>B</x:v>
      </x:c>
      <x:c r="P68" t="str">
        <x:f>IF(RAND()&lt;(('Team_Info'!$E$2-COUNTIF($B68:O68,"W"))/('Team_Info'!$E$4-14)),"W","B")</x:f>
        <x:v>W</x:v>
      </x:c>
      <x:c r="Q68" t="str">
        <x:f>IF(RAND()&lt;(('Team_Info'!$E$2-COUNTIF($B68:P68,"W"))/('Team_Info'!$E$4-15)),"W","B")</x:f>
        <x:v>W</x:v>
      </x:c>
      <x:c r="R68" t="str">
        <x:f>IF(RAND()&lt;(('Team_Info'!$E$2-COUNTIF($B68:Q68,"W"))/('Team_Info'!$E$4-16)),"W","B")</x:f>
        <x:v>B</x:v>
      </x:c>
      <x:c r="S68" t="str">
        <x:f>IF(RAND()&lt;(('Team_Info'!$E$2-COUNTIF($B68:R68,"W"))/('Team_Info'!$E$4-17)),"W","B")</x:f>
        <x:v>W</x:v>
      </x:c>
      <x:c r="T68" t="str">
        <x:f>IF(RAND()&lt;(('Team_Info'!$E$2-COUNTIF($B68:S68,"W"))/('Team_Info'!$E$4-18)),"W","B")</x:f>
        <x:v>B</x:v>
      </x:c>
      <x:c r="U68" t="str">
        <x:f>IF(RAND()&lt;(('Team_Info'!$E$2-COUNTIF($B68:T68,"W"))/('Team_Info'!$E$4-19)),"W","B")</x:f>
        <x:v>B</x:v>
      </x:c>
    </x:row>
    <x:row r="69">
      <x:c r="A69" s="1">
        <x:v>68</x:v>
      </x:c>
      <x:c r="B69" t="str">
        <x:f>IF(RAND()&lt;'Team_Info'!$E$5,"W","B")</x:f>
        <x:v>B</x:v>
      </x:c>
      <x:c r="C69" t="str">
        <x:f>IF(RAND()&lt;(('Team_Info'!$E$2-COUNTIF($B69:B69,"W"))/('Team_Info'!$E$4-1)),"W","B")</x:f>
        <x:v>W</x:v>
      </x:c>
      <x:c r="D69" t="str">
        <x:f>IF(RAND()&lt;(('Team_Info'!$E$2-COUNTIF($B69:C69,"W"))/('Team_Info'!$E$4-2)),"W","B")</x:f>
        <x:v>B</x:v>
      </x:c>
      <x:c r="E69" t="str">
        <x:f>IF(RAND()&lt;(('Team_Info'!$E$2-COUNTIF($B69:D69,"W"))/('Team_Info'!$E$4-3)),"W","B")</x:f>
        <x:v>B</x:v>
      </x:c>
      <x:c r="F69" t="str">
        <x:f>IF(RAND()&lt;(('Team_Info'!$E$2-COUNTIF($B69:E69,"W"))/('Team_Info'!$E$4-4)),"W","B")</x:f>
        <x:v>B</x:v>
      </x:c>
      <x:c r="G69" t="str">
        <x:f>IF(RAND()&lt;(('Team_Info'!$E$2-COUNTIF($B69:F69,"W"))/('Team_Info'!$E$4-5)),"W","B")</x:f>
        <x:v>B</x:v>
      </x:c>
      <x:c r="H69" t="str">
        <x:f>IF(RAND()&lt;(('Team_Info'!$E$2-COUNTIF($B69:G69,"W"))/('Team_Info'!$E$4-6)),"W","B")</x:f>
        <x:v>B</x:v>
      </x:c>
      <x:c r="I69" t="str">
        <x:f>IF(RAND()&lt;(('Team_Info'!$E$2-COUNTIF($B69:H69,"W"))/('Team_Info'!$E$4-7)),"W","B")</x:f>
        <x:v>B</x:v>
      </x:c>
      <x:c r="J69" t="str">
        <x:f>IF(RAND()&lt;(('Team_Info'!$E$2-COUNTIF($B69:I69,"W"))/('Team_Info'!$E$4-8)),"W","B")</x:f>
        <x:v>W</x:v>
      </x:c>
      <x:c r="K69" t="str">
        <x:f>IF(RAND()&lt;(('Team_Info'!$E$2-COUNTIF($B69:J69,"W"))/('Team_Info'!$E$4-9)),"W","B")</x:f>
        <x:v>B</x:v>
      </x:c>
      <x:c r="L69" t="str">
        <x:f>IF(RAND()&lt;(('Team_Info'!$E$2-COUNTIF($B69:K69,"W"))/('Team_Info'!$E$4-10)),"W","B")</x:f>
        <x:v>B</x:v>
      </x:c>
      <x:c r="M69" t="str">
        <x:f>IF(RAND()&lt;(('Team_Info'!$E$2-COUNTIF($B69:L69,"W"))/('Team_Info'!$E$4-11)),"W","B")</x:f>
        <x:v>W</x:v>
      </x:c>
      <x:c r="N69" t="str">
        <x:f>IF(RAND()&lt;(('Team_Info'!$E$2-COUNTIF($B69:M69,"W"))/('Team_Info'!$E$4-12)),"W","B")</x:f>
        <x:v>B</x:v>
      </x:c>
      <x:c r="O69" t="str">
        <x:f>IF(RAND()&lt;(('Team_Info'!$E$2-COUNTIF($B69:N69,"W"))/('Team_Info'!$E$4-13)),"W","B")</x:f>
        <x:v>B</x:v>
      </x:c>
      <x:c r="P69" t="str">
        <x:f>IF(RAND()&lt;(('Team_Info'!$E$2-COUNTIF($B69:O69,"W"))/('Team_Info'!$E$4-14)),"W","B")</x:f>
        <x:v>B</x:v>
      </x:c>
      <x:c r="Q69" t="str">
        <x:f>IF(RAND()&lt;(('Team_Info'!$E$2-COUNTIF($B69:P69,"W"))/('Team_Info'!$E$4-15)),"W","B")</x:f>
        <x:v>B</x:v>
      </x:c>
      <x:c r="R69" t="str">
        <x:f>IF(RAND()&lt;(('Team_Info'!$E$2-COUNTIF($B69:Q69,"W"))/('Team_Info'!$E$4-16)),"W","B")</x:f>
        <x:v>W</x:v>
      </x:c>
      <x:c r="S69" t="str">
        <x:f>IF(RAND()&lt;(('Team_Info'!$E$2-COUNTIF($B69:R69,"W"))/('Team_Info'!$E$4-17)),"W","B")</x:f>
        <x:v>W</x:v>
      </x:c>
      <x:c r="T69" t="str">
        <x:f>IF(RAND()&lt;(('Team_Info'!$E$2-COUNTIF($B69:S69,"W"))/('Team_Info'!$E$4-18)),"W","B")</x:f>
        <x:v>W</x:v>
      </x:c>
      <x:c r="U69" t="str">
        <x:f>IF(RAND()&lt;(('Team_Info'!$E$2-COUNTIF($B69:T69,"W"))/('Team_Info'!$E$4-19)),"W","B")</x:f>
        <x:v>W</x:v>
      </x:c>
    </x:row>
    <x:row r="70">
      <x:c r="A70" s="1">
        <x:v>69</x:v>
      </x:c>
      <x:c r="B70" t="str">
        <x:f>IF(RAND()&lt;'Team_Info'!$E$5,"W","B")</x:f>
        <x:v>W</x:v>
      </x:c>
      <x:c r="C70" t="str">
        <x:f>IF(RAND()&lt;(('Team_Info'!$E$2-COUNTIF($B70:B70,"W"))/('Team_Info'!$E$4-1)),"W","B")</x:f>
        <x:v>W</x:v>
      </x:c>
      <x:c r="D70" t="str">
        <x:f>IF(RAND()&lt;(('Team_Info'!$E$2-COUNTIF($B70:C70,"W"))/('Team_Info'!$E$4-2)),"W","B")</x:f>
        <x:v>W</x:v>
      </x:c>
      <x:c r="E70" t="str">
        <x:f>IF(RAND()&lt;(('Team_Info'!$E$2-COUNTIF($B70:D70,"W"))/('Team_Info'!$E$4-3)),"W","B")</x:f>
        <x:v>B</x:v>
      </x:c>
      <x:c r="F70" t="str">
        <x:f>IF(RAND()&lt;(('Team_Info'!$E$2-COUNTIF($B70:E70,"W"))/('Team_Info'!$E$4-4)),"W","B")</x:f>
        <x:v>B</x:v>
      </x:c>
      <x:c r="G70" t="str">
        <x:f>IF(RAND()&lt;(('Team_Info'!$E$2-COUNTIF($B70:F70,"W"))/('Team_Info'!$E$4-5)),"W","B")</x:f>
        <x:v>B</x:v>
      </x:c>
      <x:c r="H70" t="str">
        <x:f>IF(RAND()&lt;(('Team_Info'!$E$2-COUNTIF($B70:G70,"W"))/('Team_Info'!$E$4-6)),"W","B")</x:f>
        <x:v>B</x:v>
      </x:c>
      <x:c r="I70" t="str">
        <x:f>IF(RAND()&lt;(('Team_Info'!$E$2-COUNTIF($B70:H70,"W"))/('Team_Info'!$E$4-7)),"W","B")</x:f>
        <x:v>B</x:v>
      </x:c>
      <x:c r="J70" t="str">
        <x:f>IF(RAND()&lt;(('Team_Info'!$E$2-COUNTIF($B70:I70,"W"))/('Team_Info'!$E$4-8)),"W","B")</x:f>
        <x:v>W</x:v>
      </x:c>
      <x:c r="K70" t="str">
        <x:f>IF(RAND()&lt;(('Team_Info'!$E$2-COUNTIF($B70:J70,"W"))/('Team_Info'!$E$4-9)),"W","B")</x:f>
        <x:v>B</x:v>
      </x:c>
      <x:c r="L70" t="str">
        <x:f>IF(RAND()&lt;(('Team_Info'!$E$2-COUNTIF($B70:K70,"W"))/('Team_Info'!$E$4-10)),"W","B")</x:f>
        <x:v>B</x:v>
      </x:c>
      <x:c r="M70" t="str">
        <x:f>IF(RAND()&lt;(('Team_Info'!$E$2-COUNTIF($B70:L70,"W"))/('Team_Info'!$E$4-11)),"W","B")</x:f>
        <x:v>B</x:v>
      </x:c>
      <x:c r="N70" t="str">
        <x:f>IF(RAND()&lt;(('Team_Info'!$E$2-COUNTIF($B70:M70,"W"))/('Team_Info'!$E$4-12)),"W","B")</x:f>
        <x:v>B</x:v>
      </x:c>
      <x:c r="O70" t="str">
        <x:f>IF(RAND()&lt;(('Team_Info'!$E$2-COUNTIF($B70:N70,"W"))/('Team_Info'!$E$4-13)),"W","B")</x:f>
        <x:v>B</x:v>
      </x:c>
      <x:c r="P70" t="str">
        <x:f>IF(RAND()&lt;(('Team_Info'!$E$2-COUNTIF($B70:O70,"W"))/('Team_Info'!$E$4-14)),"W","B")</x:f>
        <x:v>W</x:v>
      </x:c>
      <x:c r="Q70" t="str">
        <x:f>IF(RAND()&lt;(('Team_Info'!$E$2-COUNTIF($B70:P70,"W"))/('Team_Info'!$E$4-15)),"W","B")</x:f>
        <x:v>B</x:v>
      </x:c>
      <x:c r="R70" t="str">
        <x:f>IF(RAND()&lt;(('Team_Info'!$E$2-COUNTIF($B70:Q70,"W"))/('Team_Info'!$E$4-16)),"W","B")</x:f>
        <x:v>W</x:v>
      </x:c>
      <x:c r="S70" t="str">
        <x:f>IF(RAND()&lt;(('Team_Info'!$E$2-COUNTIF($B70:R70,"W"))/('Team_Info'!$E$4-17)),"W","B")</x:f>
        <x:v>B</x:v>
      </x:c>
      <x:c r="T70" t="str">
        <x:f>IF(RAND()&lt;(('Team_Info'!$E$2-COUNTIF($B70:S70,"W"))/('Team_Info'!$E$4-18)),"W","B")</x:f>
        <x:v>B</x:v>
      </x:c>
      <x:c r="U70" t="str">
        <x:f>IF(RAND()&lt;(('Team_Info'!$E$2-COUNTIF($B70:T70,"W"))/('Team_Info'!$E$4-19)),"W","B")</x:f>
        <x:v>B</x:v>
      </x:c>
    </x:row>
    <x:row r="71">
      <x:c r="A71" s="1">
        <x:v>70</x:v>
      </x:c>
      <x:c r="B71" t="str">
        <x:f>IF(RAND()&lt;'Team_Info'!$E$5,"W","B")</x:f>
        <x:v>B</x:v>
      </x:c>
      <x:c r="C71" t="str">
        <x:f>IF(RAND()&lt;(('Team_Info'!$E$2-COUNTIF($B71:B71,"W"))/('Team_Info'!$E$4-1)),"W","B")</x:f>
        <x:v>B</x:v>
      </x:c>
      <x:c r="D71" t="str">
        <x:f>IF(RAND()&lt;(('Team_Info'!$E$2-COUNTIF($B71:C71,"W"))/('Team_Info'!$E$4-2)),"W","B")</x:f>
        <x:v>B</x:v>
      </x:c>
      <x:c r="E71" t="str">
        <x:f>IF(RAND()&lt;(('Team_Info'!$E$2-COUNTIF($B71:D71,"W"))/('Team_Info'!$E$4-3)),"W","B")</x:f>
        <x:v>W</x:v>
      </x:c>
      <x:c r="F71" t="str">
        <x:f>IF(RAND()&lt;(('Team_Info'!$E$2-COUNTIF($B71:E71,"W"))/('Team_Info'!$E$4-4)),"W","B")</x:f>
        <x:v>W</x:v>
      </x:c>
      <x:c r="G71" t="str">
        <x:f>IF(RAND()&lt;(('Team_Info'!$E$2-COUNTIF($B71:F71,"W"))/('Team_Info'!$E$4-5)),"W","B")</x:f>
        <x:v>W</x:v>
      </x:c>
      <x:c r="H71" t="str">
        <x:f>IF(RAND()&lt;(('Team_Info'!$E$2-COUNTIF($B71:G71,"W"))/('Team_Info'!$E$4-6)),"W","B")</x:f>
        <x:v>W</x:v>
      </x:c>
      <x:c r="I71" t="str">
        <x:f>IF(RAND()&lt;(('Team_Info'!$E$2-COUNTIF($B71:H71,"W"))/('Team_Info'!$E$4-7)),"W","B")</x:f>
        <x:v>B</x:v>
      </x:c>
      <x:c r="J71" t="str">
        <x:f>IF(RAND()&lt;(('Team_Info'!$E$2-COUNTIF($B71:I71,"W"))/('Team_Info'!$E$4-8)),"W","B")</x:f>
        <x:v>W</x:v>
      </x:c>
      <x:c r="K71" t="str">
        <x:f>IF(RAND()&lt;(('Team_Info'!$E$2-COUNTIF($B71:J71,"W"))/('Team_Info'!$E$4-9)),"W","B")</x:f>
        <x:v>B</x:v>
      </x:c>
      <x:c r="L71" t="str">
        <x:f>IF(RAND()&lt;(('Team_Info'!$E$2-COUNTIF($B71:K71,"W"))/('Team_Info'!$E$4-10)),"W","B")</x:f>
        <x:v>W</x:v>
      </x:c>
      <x:c r="M71" t="str">
        <x:f>IF(RAND()&lt;(('Team_Info'!$E$2-COUNTIF($B71:L71,"W"))/('Team_Info'!$E$4-11)),"W","B")</x:f>
        <x:v>B</x:v>
      </x:c>
      <x:c r="N71" t="str">
        <x:f>IF(RAND()&lt;(('Team_Info'!$E$2-COUNTIF($B71:M71,"W"))/('Team_Info'!$E$4-12)),"W","B")</x:f>
        <x:v>B</x:v>
      </x:c>
      <x:c r="O71" t="str">
        <x:f>IF(RAND()&lt;(('Team_Info'!$E$2-COUNTIF($B71:N71,"W"))/('Team_Info'!$E$4-13)),"W","B")</x:f>
        <x:v>B</x:v>
      </x:c>
      <x:c r="P71" t="str">
        <x:f>IF(RAND()&lt;(('Team_Info'!$E$2-COUNTIF($B71:O71,"W"))/('Team_Info'!$E$4-14)),"W","B")</x:f>
        <x:v>B</x:v>
      </x:c>
      <x:c r="Q71" t="str">
        <x:f>IF(RAND()&lt;(('Team_Info'!$E$2-COUNTIF($B71:P71,"W"))/('Team_Info'!$E$4-15)),"W","B")</x:f>
        <x:v>W</x:v>
      </x:c>
      <x:c r="R71" t="str">
        <x:f>IF(RAND()&lt;(('Team_Info'!$E$2-COUNTIF($B71:Q71,"W"))/('Team_Info'!$E$4-16)),"W","B")</x:f>
        <x:v>B</x:v>
      </x:c>
      <x:c r="S71" t="str">
        <x:f>IF(RAND()&lt;(('Team_Info'!$E$2-COUNTIF($B71:R71,"W"))/('Team_Info'!$E$4-17)),"W","B")</x:f>
        <x:v>B</x:v>
      </x:c>
      <x:c r="T71" t="str">
        <x:f>IF(RAND()&lt;(('Team_Info'!$E$2-COUNTIF($B71:S71,"W"))/('Team_Info'!$E$4-18)),"W","B")</x:f>
        <x:v>W</x:v>
      </x:c>
      <x:c r="U71" t="str">
        <x:f>IF(RAND()&lt;(('Team_Info'!$E$2-COUNTIF($B71:T71,"W"))/('Team_Info'!$E$4-19)),"W","B")</x:f>
        <x:v>W</x:v>
      </x:c>
    </x:row>
    <x:row r="72">
      <x:c r="A72" s="1">
        <x:v>71</x:v>
      </x:c>
      <x:c r="B72" t="str">
        <x:f>IF(RAND()&lt;'Team_Info'!$E$5,"W","B")</x:f>
        <x:v>W</x:v>
      </x:c>
      <x:c r="C72" t="str">
        <x:f>IF(RAND()&lt;(('Team_Info'!$E$2-COUNTIF($B72:B72,"W"))/('Team_Info'!$E$4-1)),"W","B")</x:f>
        <x:v>B</x:v>
      </x:c>
      <x:c r="D72" t="str">
        <x:f>IF(RAND()&lt;(('Team_Info'!$E$2-COUNTIF($B72:C72,"W"))/('Team_Info'!$E$4-2)),"W","B")</x:f>
        <x:v>W</x:v>
      </x:c>
      <x:c r="E72" t="str">
        <x:f>IF(RAND()&lt;(('Team_Info'!$E$2-COUNTIF($B72:D72,"W"))/('Team_Info'!$E$4-3)),"W","B")</x:f>
        <x:v>B</x:v>
      </x:c>
      <x:c r="F72" t="str">
        <x:f>IF(RAND()&lt;(('Team_Info'!$E$2-COUNTIF($B72:E72,"W"))/('Team_Info'!$E$4-4)),"W","B")</x:f>
        <x:v>W</x:v>
      </x:c>
      <x:c r="G72" t="str">
        <x:f>IF(RAND()&lt;(('Team_Info'!$E$2-COUNTIF($B72:F72,"W"))/('Team_Info'!$E$4-5)),"W","B")</x:f>
        <x:v>B</x:v>
      </x:c>
      <x:c r="H72" t="str">
        <x:f>IF(RAND()&lt;(('Team_Info'!$E$2-COUNTIF($B72:G72,"W"))/('Team_Info'!$E$4-6)),"W","B")</x:f>
        <x:v>W</x:v>
      </x:c>
      <x:c r="I72" t="str">
        <x:f>IF(RAND()&lt;(('Team_Info'!$E$2-COUNTIF($B72:H72,"W"))/('Team_Info'!$E$4-7)),"W","B")</x:f>
        <x:v>W</x:v>
      </x:c>
      <x:c r="J72" t="str">
        <x:f>IF(RAND()&lt;(('Team_Info'!$E$2-COUNTIF($B72:I72,"W"))/('Team_Info'!$E$4-8)),"W","B")</x:f>
        <x:v>B</x:v>
      </x:c>
      <x:c r="K72" t="str">
        <x:f>IF(RAND()&lt;(('Team_Info'!$E$2-COUNTIF($B72:J72,"W"))/('Team_Info'!$E$4-9)),"W","B")</x:f>
        <x:v>W</x:v>
      </x:c>
      <x:c r="L72" t="str">
        <x:f>IF(RAND()&lt;(('Team_Info'!$E$2-COUNTIF($B72:K72,"W"))/('Team_Info'!$E$4-10)),"W","B")</x:f>
        <x:v>B</x:v>
      </x:c>
      <x:c r="M72" t="str">
        <x:f>IF(RAND()&lt;(('Team_Info'!$E$2-COUNTIF($B72:L72,"W"))/('Team_Info'!$E$4-11)),"W","B")</x:f>
        <x:v>W</x:v>
      </x:c>
      <x:c r="N72" t="str">
        <x:f>IF(RAND()&lt;(('Team_Info'!$E$2-COUNTIF($B72:M72,"W"))/('Team_Info'!$E$4-12)),"W","B")</x:f>
        <x:v>W</x:v>
      </x:c>
      <x:c r="O72" t="str">
        <x:f>IF(RAND()&lt;(('Team_Info'!$E$2-COUNTIF($B72:N72,"W"))/('Team_Info'!$E$4-13)),"W","B")</x:f>
        <x:v>B</x:v>
      </x:c>
      <x:c r="P72" t="str">
        <x:f>IF(RAND()&lt;(('Team_Info'!$E$2-COUNTIF($B72:O72,"W"))/('Team_Info'!$E$4-14)),"W","B")</x:f>
        <x:v>W</x:v>
      </x:c>
      <x:c r="Q72" t="str">
        <x:f>IF(RAND()&lt;(('Team_Info'!$E$2-COUNTIF($B72:P72,"W"))/('Team_Info'!$E$4-15)),"W","B")</x:f>
        <x:v>B</x:v>
      </x:c>
      <x:c r="R72" t="str">
        <x:f>IF(RAND()&lt;(('Team_Info'!$E$2-COUNTIF($B72:Q72,"W"))/('Team_Info'!$E$4-16)),"W","B")</x:f>
        <x:v>B</x:v>
      </x:c>
      <x:c r="S72" t="str">
        <x:f>IF(RAND()&lt;(('Team_Info'!$E$2-COUNTIF($B72:R72,"W"))/('Team_Info'!$E$4-17)),"W","B")</x:f>
        <x:v>B</x:v>
      </x:c>
      <x:c r="T72" t="str">
        <x:f>IF(RAND()&lt;(('Team_Info'!$E$2-COUNTIF($B72:S72,"W"))/('Team_Info'!$E$4-18)),"W","B")</x:f>
        <x:v>W</x:v>
      </x:c>
      <x:c r="U72" t="str">
        <x:f>IF(RAND()&lt;(('Team_Info'!$E$2-COUNTIF($B72:T72,"W"))/('Team_Info'!$E$4-19)),"W","B")</x:f>
        <x:v>W</x:v>
      </x:c>
    </x:row>
    <x:row r="73">
      <x:c r="A73" s="1">
        <x:v>72</x:v>
      </x:c>
      <x:c r="B73" t="str">
        <x:f>IF(RAND()&lt;'Team_Info'!$E$5,"W","B")</x:f>
        <x:v>B</x:v>
      </x:c>
      <x:c r="C73" t="str">
        <x:f>IF(RAND()&lt;(('Team_Info'!$E$2-COUNTIF($B73:B73,"W"))/('Team_Info'!$E$4-1)),"W","B")</x:f>
        <x:v>W</x:v>
      </x:c>
      <x:c r="D73" t="str">
        <x:f>IF(RAND()&lt;(('Team_Info'!$E$2-COUNTIF($B73:C73,"W"))/('Team_Info'!$E$4-2)),"W","B")</x:f>
        <x:v>W</x:v>
      </x:c>
      <x:c r="E73" t="str">
        <x:f>IF(RAND()&lt;(('Team_Info'!$E$2-COUNTIF($B73:D73,"W"))/('Team_Info'!$E$4-3)),"W","B")</x:f>
        <x:v>B</x:v>
      </x:c>
      <x:c r="F73" t="str">
        <x:f>IF(RAND()&lt;(('Team_Info'!$E$2-COUNTIF($B73:E73,"W"))/('Team_Info'!$E$4-4)),"W","B")</x:f>
        <x:v>B</x:v>
      </x:c>
      <x:c r="G73" t="str">
        <x:f>IF(RAND()&lt;(('Team_Info'!$E$2-COUNTIF($B73:F73,"W"))/('Team_Info'!$E$4-5)),"W","B")</x:f>
        <x:v>B</x:v>
      </x:c>
      <x:c r="H73" t="str">
        <x:f>IF(RAND()&lt;(('Team_Info'!$E$2-COUNTIF($B73:G73,"W"))/('Team_Info'!$E$4-6)),"W","B")</x:f>
        <x:v>B</x:v>
      </x:c>
      <x:c r="I73" t="str">
        <x:f>IF(RAND()&lt;(('Team_Info'!$E$2-COUNTIF($B73:H73,"W"))/('Team_Info'!$E$4-7)),"W","B")</x:f>
        <x:v>B</x:v>
      </x:c>
      <x:c r="J73" t="str">
        <x:f>IF(RAND()&lt;(('Team_Info'!$E$2-COUNTIF($B73:I73,"W"))/('Team_Info'!$E$4-8)),"W","B")</x:f>
        <x:v>W</x:v>
      </x:c>
      <x:c r="K73" t="str">
        <x:f>IF(RAND()&lt;(('Team_Info'!$E$2-COUNTIF($B73:J73,"W"))/('Team_Info'!$E$4-9)),"W","B")</x:f>
        <x:v>B</x:v>
      </x:c>
      <x:c r="L73" t="str">
        <x:f>IF(RAND()&lt;(('Team_Info'!$E$2-COUNTIF($B73:K73,"W"))/('Team_Info'!$E$4-10)),"W","B")</x:f>
        <x:v>B</x:v>
      </x:c>
      <x:c r="M73" t="str">
        <x:f>IF(RAND()&lt;(('Team_Info'!$E$2-COUNTIF($B73:L73,"W"))/('Team_Info'!$E$4-11)),"W","B")</x:f>
        <x:v>B</x:v>
      </x:c>
      <x:c r="N73" t="str">
        <x:f>IF(RAND()&lt;(('Team_Info'!$E$2-COUNTIF($B73:M73,"W"))/('Team_Info'!$E$4-12)),"W","B")</x:f>
        <x:v>B</x:v>
      </x:c>
      <x:c r="O73" t="str">
        <x:f>IF(RAND()&lt;(('Team_Info'!$E$2-COUNTIF($B73:N73,"W"))/('Team_Info'!$E$4-13)),"W","B")</x:f>
        <x:v>B</x:v>
      </x:c>
      <x:c r="P73" t="str">
        <x:f>IF(RAND()&lt;(('Team_Info'!$E$2-COUNTIF($B73:O73,"W"))/('Team_Info'!$E$4-14)),"W","B")</x:f>
        <x:v>B</x:v>
      </x:c>
      <x:c r="Q73" t="str">
        <x:f>IF(RAND()&lt;(('Team_Info'!$E$2-COUNTIF($B73:P73,"W"))/('Team_Info'!$E$4-15)),"W","B")</x:f>
        <x:v>B</x:v>
      </x:c>
      <x:c r="R73" t="str">
        <x:f>IF(RAND()&lt;(('Team_Info'!$E$2-COUNTIF($B73:Q73,"W"))/('Team_Info'!$E$4-16)),"W","B")</x:f>
        <x:v>B</x:v>
      </x:c>
      <x:c r="S73" t="str">
        <x:f>IF(RAND()&lt;(('Team_Info'!$E$2-COUNTIF($B73:R73,"W"))/('Team_Info'!$E$4-17)),"W","B")</x:f>
        <x:v>B</x:v>
      </x:c>
      <x:c r="T73" t="str">
        <x:f>IF(RAND()&lt;(('Team_Info'!$E$2-COUNTIF($B73:S73,"W"))/('Team_Info'!$E$4-18)),"W","B")</x:f>
        <x:v>B</x:v>
      </x:c>
      <x:c r="U73" t="str">
        <x:f>IF(RAND()&lt;(('Team_Info'!$E$2-COUNTIF($B73:T73,"W"))/('Team_Info'!$E$4-19)),"W","B")</x:f>
        <x:v>B</x:v>
      </x:c>
    </x:row>
    <x:row r="74">
      <x:c r="A74" s="1">
        <x:v>73</x:v>
      </x:c>
      <x:c r="B74" t="str">
        <x:f>IF(RAND()&lt;'Team_Info'!$E$5,"W","B")</x:f>
        <x:v>B</x:v>
      </x:c>
      <x:c r="C74" t="str">
        <x:f>IF(RAND()&lt;(('Team_Info'!$E$2-COUNTIF($B74:B74,"W"))/('Team_Info'!$E$4-1)),"W","B")</x:f>
        <x:v>B</x:v>
      </x:c>
      <x:c r="D74" t="str">
        <x:f>IF(RAND()&lt;(('Team_Info'!$E$2-COUNTIF($B74:C74,"W"))/('Team_Info'!$E$4-2)),"W","B")</x:f>
        <x:v>B</x:v>
      </x:c>
      <x:c r="E74" t="str">
        <x:f>IF(RAND()&lt;(('Team_Info'!$E$2-COUNTIF($B74:D74,"W"))/('Team_Info'!$E$4-3)),"W","B")</x:f>
        <x:v>W</x:v>
      </x:c>
      <x:c r="F74" t="str">
        <x:f>IF(RAND()&lt;(('Team_Info'!$E$2-COUNTIF($B74:E74,"W"))/('Team_Info'!$E$4-4)),"W","B")</x:f>
        <x:v>W</x:v>
      </x:c>
      <x:c r="G74" t="str">
        <x:f>IF(RAND()&lt;(('Team_Info'!$E$2-COUNTIF($B74:F74,"W"))/('Team_Info'!$E$4-5)),"W","B")</x:f>
        <x:v>B</x:v>
      </x:c>
      <x:c r="H74" t="str">
        <x:f>IF(RAND()&lt;(('Team_Info'!$E$2-COUNTIF($B74:G74,"W"))/('Team_Info'!$E$4-6)),"W","B")</x:f>
        <x:v>W</x:v>
      </x:c>
      <x:c r="I74" t="str">
        <x:f>IF(RAND()&lt;(('Team_Info'!$E$2-COUNTIF($B74:H74,"W"))/('Team_Info'!$E$4-7)),"W","B")</x:f>
        <x:v>B</x:v>
      </x:c>
      <x:c r="J74" t="str">
        <x:f>IF(RAND()&lt;(('Team_Info'!$E$2-COUNTIF($B74:I74,"W"))/('Team_Info'!$E$4-8)),"W","B")</x:f>
        <x:v>B</x:v>
      </x:c>
      <x:c r="K74" t="str">
        <x:f>IF(RAND()&lt;(('Team_Info'!$E$2-COUNTIF($B74:J74,"W"))/('Team_Info'!$E$4-9)),"W","B")</x:f>
        <x:v>B</x:v>
      </x:c>
      <x:c r="L74" t="str">
        <x:f>IF(RAND()&lt;(('Team_Info'!$E$2-COUNTIF($B74:K74,"W"))/('Team_Info'!$E$4-10)),"W","B")</x:f>
        <x:v>W</x:v>
      </x:c>
      <x:c r="M74" t="str">
        <x:f>IF(RAND()&lt;(('Team_Info'!$E$2-COUNTIF($B74:L74,"W"))/('Team_Info'!$E$4-11)),"W","B")</x:f>
        <x:v>B</x:v>
      </x:c>
      <x:c r="N74" t="str">
        <x:f>IF(RAND()&lt;(('Team_Info'!$E$2-COUNTIF($B74:M74,"W"))/('Team_Info'!$E$4-12)),"W","B")</x:f>
        <x:v>B</x:v>
      </x:c>
      <x:c r="O74" t="str">
        <x:f>IF(RAND()&lt;(('Team_Info'!$E$2-COUNTIF($B74:N74,"W"))/('Team_Info'!$E$4-13)),"W","B")</x:f>
        <x:v>B</x:v>
      </x:c>
      <x:c r="P74" t="str">
        <x:f>IF(RAND()&lt;(('Team_Info'!$E$2-COUNTIF($B74:O74,"W"))/('Team_Info'!$E$4-14)),"W","B")</x:f>
        <x:v>W</x:v>
      </x:c>
      <x:c r="Q74" t="str">
        <x:f>IF(RAND()&lt;(('Team_Info'!$E$2-COUNTIF($B74:P74,"W"))/('Team_Info'!$E$4-15)),"W","B")</x:f>
        <x:v>W</x:v>
      </x:c>
      <x:c r="R74" t="str">
        <x:f>IF(RAND()&lt;(('Team_Info'!$E$2-COUNTIF($B74:Q74,"W"))/('Team_Info'!$E$4-16)),"W","B")</x:f>
        <x:v>B</x:v>
      </x:c>
      <x:c r="S74" t="str">
        <x:f>IF(RAND()&lt;(('Team_Info'!$E$2-COUNTIF($B74:R74,"W"))/('Team_Info'!$E$4-17)),"W","B")</x:f>
        <x:v>W</x:v>
      </x:c>
      <x:c r="T74" t="str">
        <x:f>IF(RAND()&lt;(('Team_Info'!$E$2-COUNTIF($B74:S74,"W"))/('Team_Info'!$E$4-18)),"W","B")</x:f>
        <x:v>B</x:v>
      </x:c>
      <x:c r="U74" t="str">
        <x:f>IF(RAND()&lt;(('Team_Info'!$E$2-COUNTIF($B74:T74,"W"))/('Team_Info'!$E$4-19)),"W","B")</x:f>
        <x:v>B</x:v>
      </x:c>
    </x:row>
    <x:row r="75">
      <x:c r="A75" s="1">
        <x:v>74</x:v>
      </x:c>
      <x:c r="B75" t="str">
        <x:f>IF(RAND()&lt;'Team_Info'!$E$5,"W","B")</x:f>
        <x:v>W</x:v>
      </x:c>
      <x:c r="C75" t="str">
        <x:f>IF(RAND()&lt;(('Team_Info'!$E$2-COUNTIF($B75:B75,"W"))/('Team_Info'!$E$4-1)),"W","B")</x:f>
        <x:v>W</x:v>
      </x:c>
      <x:c r="D75" t="str">
        <x:f>IF(RAND()&lt;(('Team_Info'!$E$2-COUNTIF($B75:C75,"W"))/('Team_Info'!$E$4-2)),"W","B")</x:f>
        <x:v>B</x:v>
      </x:c>
      <x:c r="E75" t="str">
        <x:f>IF(RAND()&lt;(('Team_Info'!$E$2-COUNTIF($B75:D75,"W"))/('Team_Info'!$E$4-3)),"W","B")</x:f>
        <x:v>W</x:v>
      </x:c>
      <x:c r="F75" t="str">
        <x:f>IF(RAND()&lt;(('Team_Info'!$E$2-COUNTIF($B75:E75,"W"))/('Team_Info'!$E$4-4)),"W","B")</x:f>
        <x:v>W</x:v>
      </x:c>
      <x:c r="G75" t="str">
        <x:f>IF(RAND()&lt;(('Team_Info'!$E$2-COUNTIF($B75:F75,"W"))/('Team_Info'!$E$4-5)),"W","B")</x:f>
        <x:v>B</x:v>
      </x:c>
      <x:c r="H75" t="str">
        <x:f>IF(RAND()&lt;(('Team_Info'!$E$2-COUNTIF($B75:G75,"W"))/('Team_Info'!$E$4-6)),"W","B")</x:f>
        <x:v>W</x:v>
      </x:c>
      <x:c r="I75" t="str">
        <x:f>IF(RAND()&lt;(('Team_Info'!$E$2-COUNTIF($B75:H75,"W"))/('Team_Info'!$E$4-7)),"W","B")</x:f>
        <x:v>W</x:v>
      </x:c>
      <x:c r="J75" t="str">
        <x:f>IF(RAND()&lt;(('Team_Info'!$E$2-COUNTIF($B75:I75,"W"))/('Team_Info'!$E$4-8)),"W","B")</x:f>
        <x:v>W</x:v>
      </x:c>
      <x:c r="K75" t="str">
        <x:f>IF(RAND()&lt;(('Team_Info'!$E$2-COUNTIF($B75:J75,"W"))/('Team_Info'!$E$4-9)),"W","B")</x:f>
        <x:v>B</x:v>
      </x:c>
      <x:c r="L75" t="str">
        <x:f>IF(RAND()&lt;(('Team_Info'!$E$2-COUNTIF($B75:K75,"W"))/('Team_Info'!$E$4-10)),"W","B")</x:f>
        <x:v>B</x:v>
      </x:c>
      <x:c r="M75" t="str">
        <x:f>IF(RAND()&lt;(('Team_Info'!$E$2-COUNTIF($B75:L75,"W"))/('Team_Info'!$E$4-11)),"W","B")</x:f>
        <x:v>B</x:v>
      </x:c>
      <x:c r="N75" t="str">
        <x:f>IF(RAND()&lt;(('Team_Info'!$E$2-COUNTIF($B75:M75,"W"))/('Team_Info'!$E$4-12)),"W","B")</x:f>
        <x:v>B</x:v>
      </x:c>
      <x:c r="O75" t="str">
        <x:f>IF(RAND()&lt;(('Team_Info'!$E$2-COUNTIF($B75:N75,"W"))/('Team_Info'!$E$4-13)),"W","B")</x:f>
        <x:v>W</x:v>
      </x:c>
      <x:c r="P75" t="str">
        <x:f>IF(RAND()&lt;(('Team_Info'!$E$2-COUNTIF($B75:O75,"W"))/('Team_Info'!$E$4-14)),"W","B")</x:f>
        <x:v>W</x:v>
      </x:c>
      <x:c r="Q75" t="str">
        <x:f>IF(RAND()&lt;(('Team_Info'!$E$2-COUNTIF($B75:P75,"W"))/('Team_Info'!$E$4-15)),"W","B")</x:f>
        <x:v>B</x:v>
      </x:c>
      <x:c r="R75" t="str">
        <x:f>IF(RAND()&lt;(('Team_Info'!$E$2-COUNTIF($B75:Q75,"W"))/('Team_Info'!$E$4-16)),"W","B")</x:f>
        <x:v>B</x:v>
      </x:c>
      <x:c r="S75" t="str">
        <x:f>IF(RAND()&lt;(('Team_Info'!$E$2-COUNTIF($B75:R75,"W"))/('Team_Info'!$E$4-17)),"W","B")</x:f>
        <x:v>B</x:v>
      </x:c>
      <x:c r="T75" t="str">
        <x:f>IF(RAND()&lt;(('Team_Info'!$E$2-COUNTIF($B75:S75,"W"))/('Team_Info'!$E$4-18)),"W","B")</x:f>
        <x:v>B</x:v>
      </x:c>
      <x:c r="U75" t="str">
        <x:f>IF(RAND()&lt;(('Team_Info'!$E$2-COUNTIF($B75:T75,"W"))/('Team_Info'!$E$4-19)),"W","B")</x:f>
        <x:v>W</x:v>
      </x:c>
    </x:row>
    <x:row r="76">
      <x:c r="A76" s="1">
        <x:v>75</x:v>
      </x:c>
      <x:c r="B76" t="str">
        <x:f>IF(RAND()&lt;'Team_Info'!$E$5,"W","B")</x:f>
        <x:v>B</x:v>
      </x:c>
      <x:c r="C76" t="str">
        <x:f>IF(RAND()&lt;(('Team_Info'!$E$2-COUNTIF($B76:B76,"W"))/('Team_Info'!$E$4-1)),"W","B")</x:f>
        <x:v>W</x:v>
      </x:c>
      <x:c r="D76" t="str">
        <x:f>IF(RAND()&lt;(('Team_Info'!$E$2-COUNTIF($B76:C76,"W"))/('Team_Info'!$E$4-2)),"W","B")</x:f>
        <x:v>W</x:v>
      </x:c>
      <x:c r="E76" t="str">
        <x:f>IF(RAND()&lt;(('Team_Info'!$E$2-COUNTIF($B76:D76,"W"))/('Team_Info'!$E$4-3)),"W","B")</x:f>
        <x:v>B</x:v>
      </x:c>
      <x:c r="F76" t="str">
        <x:f>IF(RAND()&lt;(('Team_Info'!$E$2-COUNTIF($B76:E76,"W"))/('Team_Info'!$E$4-4)),"W","B")</x:f>
        <x:v>W</x:v>
      </x:c>
      <x:c r="G76" t="str">
        <x:f>IF(RAND()&lt;(('Team_Info'!$E$2-COUNTIF($B76:F76,"W"))/('Team_Info'!$E$4-5)),"W","B")</x:f>
        <x:v>B</x:v>
      </x:c>
      <x:c r="H76" t="str">
        <x:f>IF(RAND()&lt;(('Team_Info'!$E$2-COUNTIF($B76:G76,"W"))/('Team_Info'!$E$4-6)),"W","B")</x:f>
        <x:v>B</x:v>
      </x:c>
      <x:c r="I76" t="str">
        <x:f>IF(RAND()&lt;(('Team_Info'!$E$2-COUNTIF($B76:H76,"W"))/('Team_Info'!$E$4-7)),"W","B")</x:f>
        <x:v>B</x:v>
      </x:c>
      <x:c r="J76" t="str">
        <x:f>IF(RAND()&lt;(('Team_Info'!$E$2-COUNTIF($B76:I76,"W"))/('Team_Info'!$E$4-8)),"W","B")</x:f>
        <x:v>B</x:v>
      </x:c>
      <x:c r="K76" t="str">
        <x:f>IF(RAND()&lt;(('Team_Info'!$E$2-COUNTIF($B76:J76,"W"))/('Team_Info'!$E$4-9)),"W","B")</x:f>
        <x:v>B</x:v>
      </x:c>
      <x:c r="L76" t="str">
        <x:f>IF(RAND()&lt;(('Team_Info'!$E$2-COUNTIF($B76:K76,"W"))/('Team_Info'!$E$4-10)),"W","B")</x:f>
        <x:v>B</x:v>
      </x:c>
      <x:c r="M76" t="str">
        <x:f>IF(RAND()&lt;(('Team_Info'!$E$2-COUNTIF($B76:L76,"W"))/('Team_Info'!$E$4-11)),"W","B")</x:f>
        <x:v>W</x:v>
      </x:c>
      <x:c r="N76" t="str">
        <x:f>IF(RAND()&lt;(('Team_Info'!$E$2-COUNTIF($B76:M76,"W"))/('Team_Info'!$E$4-12)),"W","B")</x:f>
        <x:v>W</x:v>
      </x:c>
      <x:c r="O76" t="str">
        <x:f>IF(RAND()&lt;(('Team_Info'!$E$2-COUNTIF($B76:N76,"W"))/('Team_Info'!$E$4-13)),"W","B")</x:f>
        <x:v>W</x:v>
      </x:c>
      <x:c r="P76" t="str">
        <x:f>IF(RAND()&lt;(('Team_Info'!$E$2-COUNTIF($B76:O76,"W"))/('Team_Info'!$E$4-14)),"W","B")</x:f>
        <x:v>W</x:v>
      </x:c>
      <x:c r="Q76" t="str">
        <x:f>IF(RAND()&lt;(('Team_Info'!$E$2-COUNTIF($B76:P76,"W"))/('Team_Info'!$E$4-15)),"W","B")</x:f>
        <x:v>W</x:v>
      </x:c>
      <x:c r="R76" t="str">
        <x:f>IF(RAND()&lt;(('Team_Info'!$E$2-COUNTIF($B76:Q76,"W"))/('Team_Info'!$E$4-16)),"W","B")</x:f>
        <x:v>B</x:v>
      </x:c>
      <x:c r="S76" t="str">
        <x:f>IF(RAND()&lt;(('Team_Info'!$E$2-COUNTIF($B76:R76,"W"))/('Team_Info'!$E$4-17)),"W","B")</x:f>
        <x:v>B</x:v>
      </x:c>
      <x:c r="T76" t="str">
        <x:f>IF(RAND()&lt;(('Team_Info'!$E$2-COUNTIF($B76:S76,"W"))/('Team_Info'!$E$4-18)),"W","B")</x:f>
        <x:v>W</x:v>
      </x:c>
      <x:c r="U76" t="str">
        <x:f>IF(RAND()&lt;(('Team_Info'!$E$2-COUNTIF($B76:T76,"W"))/('Team_Info'!$E$4-19)),"W","B")</x:f>
        <x:v>W</x:v>
      </x:c>
    </x:row>
    <x:row r="77">
      <x:c r="A77" s="1">
        <x:v>76</x:v>
      </x:c>
      <x:c r="B77" t="str">
        <x:f>IF(RAND()&lt;'Team_Info'!$E$5,"W","B")</x:f>
        <x:v>B</x:v>
      </x:c>
      <x:c r="C77" t="str">
        <x:f>IF(RAND()&lt;(('Team_Info'!$E$2-COUNTIF($B77:B77,"W"))/('Team_Info'!$E$4-1)),"W","B")</x:f>
        <x:v>B</x:v>
      </x:c>
      <x:c r="D77" t="str">
        <x:f>IF(RAND()&lt;(('Team_Info'!$E$2-COUNTIF($B77:C77,"W"))/('Team_Info'!$E$4-2)),"W","B")</x:f>
        <x:v>W</x:v>
      </x:c>
      <x:c r="E77" t="str">
        <x:f>IF(RAND()&lt;(('Team_Info'!$E$2-COUNTIF($B77:D77,"W"))/('Team_Info'!$E$4-3)),"W","B")</x:f>
        <x:v>B</x:v>
      </x:c>
      <x:c r="F77" t="str">
        <x:f>IF(RAND()&lt;(('Team_Info'!$E$2-COUNTIF($B77:E77,"W"))/('Team_Info'!$E$4-4)),"W","B")</x:f>
        <x:v>W</x:v>
      </x:c>
      <x:c r="G77" t="str">
        <x:f>IF(RAND()&lt;(('Team_Info'!$E$2-COUNTIF($B77:F77,"W"))/('Team_Info'!$E$4-5)),"W","B")</x:f>
        <x:v>W</x:v>
      </x:c>
      <x:c r="H77" t="str">
        <x:f>IF(RAND()&lt;(('Team_Info'!$E$2-COUNTIF($B77:G77,"W"))/('Team_Info'!$E$4-6)),"W","B")</x:f>
        <x:v>W</x:v>
      </x:c>
      <x:c r="I77" t="str">
        <x:f>IF(RAND()&lt;(('Team_Info'!$E$2-COUNTIF($B77:H77,"W"))/('Team_Info'!$E$4-7)),"W","B")</x:f>
        <x:v>W</x:v>
      </x:c>
      <x:c r="J77" t="str">
        <x:f>IF(RAND()&lt;(('Team_Info'!$E$2-COUNTIF($B77:I77,"W"))/('Team_Info'!$E$4-8)),"W","B")</x:f>
        <x:v>B</x:v>
      </x:c>
      <x:c r="K77" t="str">
        <x:f>IF(RAND()&lt;(('Team_Info'!$E$2-COUNTIF($B77:J77,"W"))/('Team_Info'!$E$4-9)),"W","B")</x:f>
        <x:v>B</x:v>
      </x:c>
      <x:c r="L77" t="str">
        <x:f>IF(RAND()&lt;(('Team_Info'!$E$2-COUNTIF($B77:K77,"W"))/('Team_Info'!$E$4-10)),"W","B")</x:f>
        <x:v>B</x:v>
      </x:c>
      <x:c r="M77" t="str">
        <x:f>IF(RAND()&lt;(('Team_Info'!$E$2-COUNTIF($B77:L77,"W"))/('Team_Info'!$E$4-11)),"W","B")</x:f>
        <x:v>B</x:v>
      </x:c>
      <x:c r="N77" t="str">
        <x:f>IF(RAND()&lt;(('Team_Info'!$E$2-COUNTIF($B77:M77,"W"))/('Team_Info'!$E$4-12)),"W","B")</x:f>
        <x:v>W</x:v>
      </x:c>
      <x:c r="O77" t="str">
        <x:f>IF(RAND()&lt;(('Team_Info'!$E$2-COUNTIF($B77:N77,"W"))/('Team_Info'!$E$4-13)),"W","B")</x:f>
        <x:v>B</x:v>
      </x:c>
      <x:c r="P77" t="str">
        <x:f>IF(RAND()&lt;(('Team_Info'!$E$2-COUNTIF($B77:O77,"W"))/('Team_Info'!$E$4-14)),"W","B")</x:f>
        <x:v>W</x:v>
      </x:c>
      <x:c r="Q77" t="str">
        <x:f>IF(RAND()&lt;(('Team_Info'!$E$2-COUNTIF($B77:P77,"W"))/('Team_Info'!$E$4-15)),"W","B")</x:f>
        <x:v>B</x:v>
      </x:c>
      <x:c r="R77" t="str">
        <x:f>IF(RAND()&lt;(('Team_Info'!$E$2-COUNTIF($B77:Q77,"W"))/('Team_Info'!$E$4-16)),"W","B")</x:f>
        <x:v>W</x:v>
      </x:c>
      <x:c r="S77" t="str">
        <x:f>IF(RAND()&lt;(('Team_Info'!$E$2-COUNTIF($B77:R77,"W"))/('Team_Info'!$E$4-17)),"W","B")</x:f>
        <x:v>W</x:v>
      </x:c>
      <x:c r="T77" t="str">
        <x:f>IF(RAND()&lt;(('Team_Info'!$E$2-COUNTIF($B77:S77,"W"))/('Team_Info'!$E$4-18)),"W","B")</x:f>
        <x:v>B</x:v>
      </x:c>
      <x:c r="U77" t="str">
        <x:f>IF(RAND()&lt;(('Team_Info'!$E$2-COUNTIF($B77:T77,"W"))/('Team_Info'!$E$4-19)),"W","B")</x:f>
        <x:v>W</x:v>
      </x:c>
    </x:row>
    <x:row r="78">
      <x:c r="A78" s="1">
        <x:v>77</x:v>
      </x:c>
      <x:c r="B78" t="str">
        <x:f>IF(RAND()&lt;'Team_Info'!$E$5,"W","B")</x:f>
        <x:v>B</x:v>
      </x:c>
      <x:c r="C78" t="str">
        <x:f>IF(RAND()&lt;(('Team_Info'!$E$2-COUNTIF($B78:B78,"W"))/('Team_Info'!$E$4-1)),"W","B")</x:f>
        <x:v>B</x:v>
      </x:c>
      <x:c r="D78" t="str">
        <x:f>IF(RAND()&lt;(('Team_Info'!$E$2-COUNTIF($B78:C78,"W"))/('Team_Info'!$E$4-2)),"W","B")</x:f>
        <x:v>W</x:v>
      </x:c>
      <x:c r="E78" t="str">
        <x:f>IF(RAND()&lt;(('Team_Info'!$E$2-COUNTIF($B78:D78,"W"))/('Team_Info'!$E$4-3)),"W","B")</x:f>
        <x:v>B</x:v>
      </x:c>
      <x:c r="F78" t="str">
        <x:f>IF(RAND()&lt;(('Team_Info'!$E$2-COUNTIF($B78:E78,"W"))/('Team_Info'!$E$4-4)),"W","B")</x:f>
        <x:v>B</x:v>
      </x:c>
      <x:c r="G78" t="str">
        <x:f>IF(RAND()&lt;(('Team_Info'!$E$2-COUNTIF($B78:F78,"W"))/('Team_Info'!$E$4-5)),"W","B")</x:f>
        <x:v>B</x:v>
      </x:c>
      <x:c r="H78" t="str">
        <x:f>IF(RAND()&lt;(('Team_Info'!$E$2-COUNTIF($B78:G78,"W"))/('Team_Info'!$E$4-6)),"W","B")</x:f>
        <x:v>B</x:v>
      </x:c>
      <x:c r="I78" t="str">
        <x:f>IF(RAND()&lt;(('Team_Info'!$E$2-COUNTIF($B78:H78,"W"))/('Team_Info'!$E$4-7)),"W","B")</x:f>
        <x:v>B</x:v>
      </x:c>
      <x:c r="J78" t="str">
        <x:f>IF(RAND()&lt;(('Team_Info'!$E$2-COUNTIF($B78:I78,"W"))/('Team_Info'!$E$4-8)),"W","B")</x:f>
        <x:v>B</x:v>
      </x:c>
      <x:c r="K78" t="str">
        <x:f>IF(RAND()&lt;(('Team_Info'!$E$2-COUNTIF($B78:J78,"W"))/('Team_Info'!$E$4-9)),"W","B")</x:f>
        <x:v>W</x:v>
      </x:c>
      <x:c r="L78" t="str">
        <x:f>IF(RAND()&lt;(('Team_Info'!$E$2-COUNTIF($B78:K78,"W"))/('Team_Info'!$E$4-10)),"W","B")</x:f>
        <x:v>B</x:v>
      </x:c>
      <x:c r="M78" t="str">
        <x:f>IF(RAND()&lt;(('Team_Info'!$E$2-COUNTIF($B78:L78,"W"))/('Team_Info'!$E$4-11)),"W","B")</x:f>
        <x:v>B</x:v>
      </x:c>
      <x:c r="N78" t="str">
        <x:f>IF(RAND()&lt;(('Team_Info'!$E$2-COUNTIF($B78:M78,"W"))/('Team_Info'!$E$4-12)),"W","B")</x:f>
        <x:v>W</x:v>
      </x:c>
      <x:c r="O78" t="str">
        <x:f>IF(RAND()&lt;(('Team_Info'!$E$2-COUNTIF($B78:N78,"W"))/('Team_Info'!$E$4-13)),"W","B")</x:f>
        <x:v>B</x:v>
      </x:c>
      <x:c r="P78" t="str">
        <x:f>IF(RAND()&lt;(('Team_Info'!$E$2-COUNTIF($B78:O78,"W"))/('Team_Info'!$E$4-14)),"W","B")</x:f>
        <x:v>W</x:v>
      </x:c>
      <x:c r="Q78" t="str">
        <x:f>IF(RAND()&lt;(('Team_Info'!$E$2-COUNTIF($B78:P78,"W"))/('Team_Info'!$E$4-15)),"W","B")</x:f>
        <x:v>B</x:v>
      </x:c>
      <x:c r="R78" t="str">
        <x:f>IF(RAND()&lt;(('Team_Info'!$E$2-COUNTIF($B78:Q78,"W"))/('Team_Info'!$E$4-16)),"W","B")</x:f>
        <x:v>W</x:v>
      </x:c>
      <x:c r="S78" t="str">
        <x:f>IF(RAND()&lt;(('Team_Info'!$E$2-COUNTIF($B78:R78,"W"))/('Team_Info'!$E$4-17)),"W","B")</x:f>
        <x:v>W</x:v>
      </x:c>
      <x:c r="T78" t="str">
        <x:f>IF(RAND()&lt;(('Team_Info'!$E$2-COUNTIF($B78:S78,"W"))/('Team_Info'!$E$4-18)),"W","B")</x:f>
        <x:v>B</x:v>
      </x:c>
      <x:c r="U78" t="str">
        <x:f>IF(RAND()&lt;(('Team_Info'!$E$2-COUNTIF($B78:T78,"W"))/('Team_Info'!$E$4-19)),"W","B")</x:f>
        <x:v>W</x:v>
      </x:c>
    </x:row>
    <x:row r="79">
      <x:c r="A79" s="1">
        <x:v>78</x:v>
      </x:c>
      <x:c r="B79" t="str">
        <x:f>IF(RAND()&lt;'Team_Info'!$E$5,"W","B")</x:f>
        <x:v>W</x:v>
      </x:c>
      <x:c r="C79" t="str">
        <x:f>IF(RAND()&lt;(('Team_Info'!$E$2-COUNTIF($B79:B79,"W"))/('Team_Info'!$E$4-1)),"W","B")</x:f>
        <x:v>B</x:v>
      </x:c>
      <x:c r="D79" t="str">
        <x:f>IF(RAND()&lt;(('Team_Info'!$E$2-COUNTIF($B79:C79,"W"))/('Team_Info'!$E$4-2)),"W","B")</x:f>
        <x:v>B</x:v>
      </x:c>
      <x:c r="E79" t="str">
        <x:f>IF(RAND()&lt;(('Team_Info'!$E$2-COUNTIF($B79:D79,"W"))/('Team_Info'!$E$4-3)),"W","B")</x:f>
        <x:v>B</x:v>
      </x:c>
      <x:c r="F79" t="str">
        <x:f>IF(RAND()&lt;(('Team_Info'!$E$2-COUNTIF($B79:E79,"W"))/('Team_Info'!$E$4-4)),"W","B")</x:f>
        <x:v>W</x:v>
      </x:c>
      <x:c r="G79" t="str">
        <x:f>IF(RAND()&lt;(('Team_Info'!$E$2-COUNTIF($B79:F79,"W"))/('Team_Info'!$E$4-5)),"W","B")</x:f>
        <x:v>B</x:v>
      </x:c>
      <x:c r="H79" t="str">
        <x:f>IF(RAND()&lt;(('Team_Info'!$E$2-COUNTIF($B79:G79,"W"))/('Team_Info'!$E$4-6)),"W","B")</x:f>
        <x:v>B</x:v>
      </x:c>
      <x:c r="I79" t="str">
        <x:f>IF(RAND()&lt;(('Team_Info'!$E$2-COUNTIF($B79:H79,"W"))/('Team_Info'!$E$4-7)),"W","B")</x:f>
        <x:v>B</x:v>
      </x:c>
      <x:c r="J79" t="str">
        <x:f>IF(RAND()&lt;(('Team_Info'!$E$2-COUNTIF($B79:I79,"W"))/('Team_Info'!$E$4-8)),"W","B")</x:f>
        <x:v>B</x:v>
      </x:c>
      <x:c r="K79" t="str">
        <x:f>IF(RAND()&lt;(('Team_Info'!$E$2-COUNTIF($B79:J79,"W"))/('Team_Info'!$E$4-9)),"W","B")</x:f>
        <x:v>W</x:v>
      </x:c>
      <x:c r="L79" t="str">
        <x:f>IF(RAND()&lt;(('Team_Info'!$E$2-COUNTIF($B79:K79,"W"))/('Team_Info'!$E$4-10)),"W","B")</x:f>
        <x:v>B</x:v>
      </x:c>
      <x:c r="M79" t="str">
        <x:f>IF(RAND()&lt;(('Team_Info'!$E$2-COUNTIF($B79:L79,"W"))/('Team_Info'!$E$4-11)),"W","B")</x:f>
        <x:v>W</x:v>
      </x:c>
      <x:c r="N79" t="str">
        <x:f>IF(RAND()&lt;(('Team_Info'!$E$2-COUNTIF($B79:M79,"W"))/('Team_Info'!$E$4-12)),"W","B")</x:f>
        <x:v>B</x:v>
      </x:c>
      <x:c r="O79" t="str">
        <x:f>IF(RAND()&lt;(('Team_Info'!$E$2-COUNTIF($B79:N79,"W"))/('Team_Info'!$E$4-13)),"W","B")</x:f>
        <x:v>W</x:v>
      </x:c>
      <x:c r="P79" t="str">
        <x:f>IF(RAND()&lt;(('Team_Info'!$E$2-COUNTIF($B79:O79,"W"))/('Team_Info'!$E$4-14)),"W","B")</x:f>
        <x:v>B</x:v>
      </x:c>
      <x:c r="Q79" t="str">
        <x:f>IF(RAND()&lt;(('Team_Info'!$E$2-COUNTIF($B79:P79,"W"))/('Team_Info'!$E$4-15)),"W","B")</x:f>
        <x:v>W</x:v>
      </x:c>
      <x:c r="R79" t="str">
        <x:f>IF(RAND()&lt;(('Team_Info'!$E$2-COUNTIF($B79:Q79,"W"))/('Team_Info'!$E$4-16)),"W","B")</x:f>
        <x:v>B</x:v>
      </x:c>
      <x:c r="S79" t="str">
        <x:f>IF(RAND()&lt;(('Team_Info'!$E$2-COUNTIF($B79:R79,"W"))/('Team_Info'!$E$4-17)),"W","B")</x:f>
        <x:v>W</x:v>
      </x:c>
      <x:c r="T79" t="str">
        <x:f>IF(RAND()&lt;(('Team_Info'!$E$2-COUNTIF($B79:S79,"W"))/('Team_Info'!$E$4-18)),"W","B")</x:f>
        <x:v>B</x:v>
      </x:c>
      <x:c r="U79" t="str">
        <x:f>IF(RAND()&lt;(('Team_Info'!$E$2-COUNTIF($B79:T79,"W"))/('Team_Info'!$E$4-19)),"W","B")</x:f>
        <x:v>B</x:v>
      </x:c>
    </x:row>
    <x:row r="80">
      <x:c r="A80" s="1">
        <x:v>79</x:v>
      </x:c>
      <x:c r="B80" t="str">
        <x:f>IF(RAND()&lt;'Team_Info'!$E$5,"W","B")</x:f>
        <x:v>W</x:v>
      </x:c>
      <x:c r="C80" t="str">
        <x:f>IF(RAND()&lt;(('Team_Info'!$E$2-COUNTIF($B80:B80,"W"))/('Team_Info'!$E$4-1)),"W","B")</x:f>
        <x:v>B</x:v>
      </x:c>
      <x:c r="D80" t="str">
        <x:f>IF(RAND()&lt;(('Team_Info'!$E$2-COUNTIF($B80:C80,"W"))/('Team_Info'!$E$4-2)),"W","B")</x:f>
        <x:v>W</x:v>
      </x:c>
      <x:c r="E80" t="str">
        <x:f>IF(RAND()&lt;(('Team_Info'!$E$2-COUNTIF($B80:D80,"W"))/('Team_Info'!$E$4-3)),"W","B")</x:f>
        <x:v>W</x:v>
      </x:c>
      <x:c r="F80" t="str">
        <x:f>IF(RAND()&lt;(('Team_Info'!$E$2-COUNTIF($B80:E80,"W"))/('Team_Info'!$E$4-4)),"W","B")</x:f>
        <x:v>B</x:v>
      </x:c>
      <x:c r="G80" t="str">
        <x:f>IF(RAND()&lt;(('Team_Info'!$E$2-COUNTIF($B80:F80,"W"))/('Team_Info'!$E$4-5)),"W","B")</x:f>
        <x:v>B</x:v>
      </x:c>
      <x:c r="H80" t="str">
        <x:f>IF(RAND()&lt;(('Team_Info'!$E$2-COUNTIF($B80:G80,"W"))/('Team_Info'!$E$4-6)),"W","B")</x:f>
        <x:v>B</x:v>
      </x:c>
      <x:c r="I80" t="str">
        <x:f>IF(RAND()&lt;(('Team_Info'!$E$2-COUNTIF($B80:H80,"W"))/('Team_Info'!$E$4-7)),"W","B")</x:f>
        <x:v>W</x:v>
      </x:c>
      <x:c r="J80" t="str">
        <x:f>IF(RAND()&lt;(('Team_Info'!$E$2-COUNTIF($B80:I80,"W"))/('Team_Info'!$E$4-8)),"W","B")</x:f>
        <x:v>B</x:v>
      </x:c>
      <x:c r="K80" t="str">
        <x:f>IF(RAND()&lt;(('Team_Info'!$E$2-COUNTIF($B80:J80,"W"))/('Team_Info'!$E$4-9)),"W","B")</x:f>
        <x:v>W</x:v>
      </x:c>
      <x:c r="L80" t="str">
        <x:f>IF(RAND()&lt;(('Team_Info'!$E$2-COUNTIF($B80:K80,"W"))/('Team_Info'!$E$4-10)),"W","B")</x:f>
        <x:v>W</x:v>
      </x:c>
      <x:c r="M80" t="str">
        <x:f>IF(RAND()&lt;(('Team_Info'!$E$2-COUNTIF($B80:L80,"W"))/('Team_Info'!$E$4-11)),"W","B")</x:f>
        <x:v>B</x:v>
      </x:c>
      <x:c r="N80" t="str">
        <x:f>IF(RAND()&lt;(('Team_Info'!$E$2-COUNTIF($B80:M80,"W"))/('Team_Info'!$E$4-12)),"W","B")</x:f>
        <x:v>B</x:v>
      </x:c>
      <x:c r="O80" t="str">
        <x:f>IF(RAND()&lt;(('Team_Info'!$E$2-COUNTIF($B80:N80,"W"))/('Team_Info'!$E$4-13)),"W","B")</x:f>
        <x:v>W</x:v>
      </x:c>
      <x:c r="P80" t="str">
        <x:f>IF(RAND()&lt;(('Team_Info'!$E$2-COUNTIF($B80:O80,"W"))/('Team_Info'!$E$4-14)),"W","B")</x:f>
        <x:v>B</x:v>
      </x:c>
      <x:c r="Q80" t="str">
        <x:f>IF(RAND()&lt;(('Team_Info'!$E$2-COUNTIF($B80:P80,"W"))/('Team_Info'!$E$4-15)),"W","B")</x:f>
        <x:v>W</x:v>
      </x:c>
      <x:c r="R80" t="str">
        <x:f>IF(RAND()&lt;(('Team_Info'!$E$2-COUNTIF($B80:Q80,"W"))/('Team_Info'!$E$4-16)),"W","B")</x:f>
        <x:v>W</x:v>
      </x:c>
      <x:c r="S80" t="str">
        <x:f>IF(RAND()&lt;(('Team_Info'!$E$2-COUNTIF($B80:R80,"W"))/('Team_Info'!$E$4-17)),"W","B")</x:f>
        <x:v>W</x:v>
      </x:c>
      <x:c r="T80" t="str">
        <x:f>IF(RAND()&lt;(('Team_Info'!$E$2-COUNTIF($B80:S80,"W"))/('Team_Info'!$E$4-18)),"W","B")</x:f>
        <x:v>W</x:v>
      </x:c>
      <x:c r="U80" t="str">
        <x:f>IF(RAND()&lt;(('Team_Info'!$E$2-COUNTIF($B80:T80,"W"))/('Team_Info'!$E$4-19)),"W","B")</x:f>
        <x:v>W</x:v>
      </x:c>
    </x:row>
    <x:row r="81">
      <x:c r="A81" s="1">
        <x:v>80</x:v>
      </x:c>
      <x:c r="B81" t="str">
        <x:f>IF(RAND()&lt;'Team_Info'!$E$5,"W","B")</x:f>
        <x:v>W</x:v>
      </x:c>
      <x:c r="C81" t="str">
        <x:f>IF(RAND()&lt;(('Team_Info'!$E$2-COUNTIF($B81:B81,"W"))/('Team_Info'!$E$4-1)),"W","B")</x:f>
        <x:v>B</x:v>
      </x:c>
      <x:c r="D81" t="str">
        <x:f>IF(RAND()&lt;(('Team_Info'!$E$2-COUNTIF($B81:C81,"W"))/('Team_Info'!$E$4-2)),"W","B")</x:f>
        <x:v>W</x:v>
      </x:c>
      <x:c r="E81" t="str">
        <x:f>IF(RAND()&lt;(('Team_Info'!$E$2-COUNTIF($B81:D81,"W"))/('Team_Info'!$E$4-3)),"W","B")</x:f>
        <x:v>W</x:v>
      </x:c>
      <x:c r="F81" t="str">
        <x:f>IF(RAND()&lt;(('Team_Info'!$E$2-COUNTIF($B81:E81,"W"))/('Team_Info'!$E$4-4)),"W","B")</x:f>
        <x:v>W</x:v>
      </x:c>
      <x:c r="G81" t="str">
        <x:f>IF(RAND()&lt;(('Team_Info'!$E$2-COUNTIF($B81:F81,"W"))/('Team_Info'!$E$4-5)),"W","B")</x:f>
        <x:v>B</x:v>
      </x:c>
      <x:c r="H81" t="str">
        <x:f>IF(RAND()&lt;(('Team_Info'!$E$2-COUNTIF($B81:G81,"W"))/('Team_Info'!$E$4-6)),"W","B")</x:f>
        <x:v>W</x:v>
      </x:c>
      <x:c r="I81" t="str">
        <x:f>IF(RAND()&lt;(('Team_Info'!$E$2-COUNTIF($B81:H81,"W"))/('Team_Info'!$E$4-7)),"W","B")</x:f>
        <x:v>B</x:v>
      </x:c>
      <x:c r="J81" t="str">
        <x:f>IF(RAND()&lt;(('Team_Info'!$E$2-COUNTIF($B81:I81,"W"))/('Team_Info'!$E$4-8)),"W","B")</x:f>
        <x:v>B</x:v>
      </x:c>
      <x:c r="K81" t="str">
        <x:f>IF(RAND()&lt;(('Team_Info'!$E$2-COUNTIF($B81:J81,"W"))/('Team_Info'!$E$4-9)),"W","B")</x:f>
        <x:v>B</x:v>
      </x:c>
      <x:c r="L81" t="str">
        <x:f>IF(RAND()&lt;(('Team_Info'!$E$2-COUNTIF($B81:K81,"W"))/('Team_Info'!$E$4-10)),"W","B")</x:f>
        <x:v>B</x:v>
      </x:c>
      <x:c r="M81" t="str">
        <x:f>IF(RAND()&lt;(('Team_Info'!$E$2-COUNTIF($B81:L81,"W"))/('Team_Info'!$E$4-11)),"W","B")</x:f>
        <x:v>W</x:v>
      </x:c>
      <x:c r="N81" t="str">
        <x:f>IF(RAND()&lt;(('Team_Info'!$E$2-COUNTIF($B81:M81,"W"))/('Team_Info'!$E$4-12)),"W","B")</x:f>
        <x:v>B</x:v>
      </x:c>
      <x:c r="O81" t="str">
        <x:f>IF(RAND()&lt;(('Team_Info'!$E$2-COUNTIF($B81:N81,"W"))/('Team_Info'!$E$4-13)),"W","B")</x:f>
        <x:v>W</x:v>
      </x:c>
      <x:c r="P81" t="str">
        <x:f>IF(RAND()&lt;(('Team_Info'!$E$2-COUNTIF($B81:O81,"W"))/('Team_Info'!$E$4-14)),"W","B")</x:f>
        <x:v>W</x:v>
      </x:c>
      <x:c r="Q81" t="str">
        <x:f>IF(RAND()&lt;(('Team_Info'!$E$2-COUNTIF($B81:P81,"W"))/('Team_Info'!$E$4-15)),"W","B")</x:f>
        <x:v>B</x:v>
      </x:c>
      <x:c r="R81" t="str">
        <x:f>IF(RAND()&lt;(('Team_Info'!$E$2-COUNTIF($B81:Q81,"W"))/('Team_Info'!$E$4-16)),"W","B")</x:f>
        <x:v>W</x:v>
      </x:c>
      <x:c r="S81" t="str">
        <x:f>IF(RAND()&lt;(('Team_Info'!$E$2-COUNTIF($B81:R81,"W"))/('Team_Info'!$E$4-17)),"W","B")</x:f>
        <x:v>W</x:v>
      </x:c>
      <x:c r="T81" t="str">
        <x:f>IF(RAND()&lt;(('Team_Info'!$E$2-COUNTIF($B81:S81,"W"))/('Team_Info'!$E$4-18)),"W","B")</x:f>
        <x:v>W</x:v>
      </x:c>
      <x:c r="U81" t="str">
        <x:f>IF(RAND()&lt;(('Team_Info'!$E$2-COUNTIF($B81:T81,"W"))/('Team_Info'!$E$4-19)),"W","B")</x:f>
        <x:v>B</x:v>
      </x:c>
    </x:row>
    <x:row r="82">
      <x:c r="A82" s="1">
        <x:v>81</x:v>
      </x:c>
      <x:c r="B82" t="str">
        <x:f>IF(RAND()&lt;'Team_Info'!$E$5,"W","B")</x:f>
        <x:v>B</x:v>
      </x:c>
      <x:c r="C82" t="str">
        <x:f>IF(RAND()&lt;(('Team_Info'!$E$2-COUNTIF($B82:B82,"W"))/('Team_Info'!$E$4-1)),"W","B")</x:f>
        <x:v>W</x:v>
      </x:c>
      <x:c r="D82" t="str">
        <x:f>IF(RAND()&lt;(('Team_Info'!$E$2-COUNTIF($B82:C82,"W"))/('Team_Info'!$E$4-2)),"W","B")</x:f>
        <x:v>W</x:v>
      </x:c>
      <x:c r="E82" t="str">
        <x:f>IF(RAND()&lt;(('Team_Info'!$E$2-COUNTIF($B82:D82,"W"))/('Team_Info'!$E$4-3)),"W","B")</x:f>
        <x:v>B</x:v>
      </x:c>
      <x:c r="F82" t="str">
        <x:f>IF(RAND()&lt;(('Team_Info'!$E$2-COUNTIF($B82:E82,"W"))/('Team_Info'!$E$4-4)),"W","B")</x:f>
        <x:v>B</x:v>
      </x:c>
      <x:c r="G82" t="str">
        <x:f>IF(RAND()&lt;(('Team_Info'!$E$2-COUNTIF($B82:F82,"W"))/('Team_Info'!$E$4-5)),"W","B")</x:f>
        <x:v>W</x:v>
      </x:c>
      <x:c r="H82" t="str">
        <x:f>IF(RAND()&lt;(('Team_Info'!$E$2-COUNTIF($B82:G82,"W"))/('Team_Info'!$E$4-6)),"W","B")</x:f>
        <x:v>B</x:v>
      </x:c>
      <x:c r="I82" t="str">
        <x:f>IF(RAND()&lt;(('Team_Info'!$E$2-COUNTIF($B82:H82,"W"))/('Team_Info'!$E$4-7)),"W","B")</x:f>
        <x:v>W</x:v>
      </x:c>
      <x:c r="J82" t="str">
        <x:f>IF(RAND()&lt;(('Team_Info'!$E$2-COUNTIF($B82:I82,"W"))/('Team_Info'!$E$4-8)),"W","B")</x:f>
        <x:v>B</x:v>
      </x:c>
      <x:c r="K82" t="str">
        <x:f>IF(RAND()&lt;(('Team_Info'!$E$2-COUNTIF($B82:J82,"W"))/('Team_Info'!$E$4-9)),"W","B")</x:f>
        <x:v>B</x:v>
      </x:c>
      <x:c r="L82" t="str">
        <x:f>IF(RAND()&lt;(('Team_Info'!$E$2-COUNTIF($B82:K82,"W"))/('Team_Info'!$E$4-10)),"W","B")</x:f>
        <x:v>W</x:v>
      </x:c>
      <x:c r="M82" t="str">
        <x:f>IF(RAND()&lt;(('Team_Info'!$E$2-COUNTIF($B82:L82,"W"))/('Team_Info'!$E$4-11)),"W","B")</x:f>
        <x:v>B</x:v>
      </x:c>
      <x:c r="N82" t="str">
        <x:f>IF(RAND()&lt;(('Team_Info'!$E$2-COUNTIF($B82:M82,"W"))/('Team_Info'!$E$4-12)),"W","B")</x:f>
        <x:v>B</x:v>
      </x:c>
      <x:c r="O82" t="str">
        <x:f>IF(RAND()&lt;(('Team_Info'!$E$2-COUNTIF($B82:N82,"W"))/('Team_Info'!$E$4-13)),"W","B")</x:f>
        <x:v>B</x:v>
      </x:c>
      <x:c r="P82" t="str">
        <x:f>IF(RAND()&lt;(('Team_Info'!$E$2-COUNTIF($B82:O82,"W"))/('Team_Info'!$E$4-14)),"W","B")</x:f>
        <x:v>W</x:v>
      </x:c>
      <x:c r="Q82" t="str">
        <x:f>IF(RAND()&lt;(('Team_Info'!$E$2-COUNTIF($B82:P82,"W"))/('Team_Info'!$E$4-15)),"W","B")</x:f>
        <x:v>B</x:v>
      </x:c>
      <x:c r="R82" t="str">
        <x:f>IF(RAND()&lt;(('Team_Info'!$E$2-COUNTIF($B82:Q82,"W"))/('Team_Info'!$E$4-16)),"W","B")</x:f>
        <x:v>B</x:v>
      </x:c>
      <x:c r="S82" t="str">
        <x:f>IF(RAND()&lt;(('Team_Info'!$E$2-COUNTIF($B82:R82,"W"))/('Team_Info'!$E$4-17)),"W","B")</x:f>
        <x:v>B</x:v>
      </x:c>
      <x:c r="T82" t="str">
        <x:f>IF(RAND()&lt;(('Team_Info'!$E$2-COUNTIF($B82:S82,"W"))/('Team_Info'!$E$4-18)),"W","B")</x:f>
        <x:v>B</x:v>
      </x:c>
      <x:c r="U82" t="str">
        <x:f>IF(RAND()&lt;(('Team_Info'!$E$2-COUNTIF($B82:T82,"W"))/('Team_Info'!$E$4-19)),"W","B")</x:f>
        <x:v>W</x:v>
      </x:c>
    </x:row>
    <x:row r="83">
      <x:c r="A83" s="1">
        <x:v>82</x:v>
      </x:c>
      <x:c r="B83" t="str">
        <x:f>IF(RAND()&lt;'Team_Info'!$E$5,"W","B")</x:f>
        <x:v>B</x:v>
      </x:c>
      <x:c r="C83" t="str">
        <x:f>IF(RAND()&lt;(('Team_Info'!$E$2-COUNTIF($B83:B83,"W"))/('Team_Info'!$E$4-1)),"W","B")</x:f>
        <x:v>B</x:v>
      </x:c>
      <x:c r="D83" t="str">
        <x:f>IF(RAND()&lt;(('Team_Info'!$E$2-COUNTIF($B83:C83,"W"))/('Team_Info'!$E$4-2)),"W","B")</x:f>
        <x:v>W</x:v>
      </x:c>
      <x:c r="E83" t="str">
        <x:f>IF(RAND()&lt;(('Team_Info'!$E$2-COUNTIF($B83:D83,"W"))/('Team_Info'!$E$4-3)),"W","B")</x:f>
        <x:v>B</x:v>
      </x:c>
      <x:c r="F83" t="str">
        <x:f>IF(RAND()&lt;(('Team_Info'!$E$2-COUNTIF($B83:E83,"W"))/('Team_Info'!$E$4-4)),"W","B")</x:f>
        <x:v>W</x:v>
      </x:c>
      <x:c r="G83" t="str">
        <x:f>IF(RAND()&lt;(('Team_Info'!$E$2-COUNTIF($B83:F83,"W"))/('Team_Info'!$E$4-5)),"W","B")</x:f>
        <x:v>B</x:v>
      </x:c>
      <x:c r="H83" t="str">
        <x:f>IF(RAND()&lt;(('Team_Info'!$E$2-COUNTIF($B83:G83,"W"))/('Team_Info'!$E$4-6)),"W","B")</x:f>
        <x:v>W</x:v>
      </x:c>
      <x:c r="I83" t="str">
        <x:f>IF(RAND()&lt;(('Team_Info'!$E$2-COUNTIF($B83:H83,"W"))/('Team_Info'!$E$4-7)),"W","B")</x:f>
        <x:v>W</x:v>
      </x:c>
      <x:c r="J83" t="str">
        <x:f>IF(RAND()&lt;(('Team_Info'!$E$2-COUNTIF($B83:I83,"W"))/('Team_Info'!$E$4-8)),"W","B")</x:f>
        <x:v>W</x:v>
      </x:c>
      <x:c r="K83" t="str">
        <x:f>IF(RAND()&lt;(('Team_Info'!$E$2-COUNTIF($B83:J83,"W"))/('Team_Info'!$E$4-9)),"W","B")</x:f>
        <x:v>B</x:v>
      </x:c>
      <x:c r="L83" t="str">
        <x:f>IF(RAND()&lt;(('Team_Info'!$E$2-COUNTIF($B83:K83,"W"))/('Team_Info'!$E$4-10)),"W","B")</x:f>
        <x:v>W</x:v>
      </x:c>
      <x:c r="M83" t="str">
        <x:f>IF(RAND()&lt;(('Team_Info'!$E$2-COUNTIF($B83:L83,"W"))/('Team_Info'!$E$4-11)),"W","B")</x:f>
        <x:v>B</x:v>
      </x:c>
      <x:c r="N83" t="str">
        <x:f>IF(RAND()&lt;(('Team_Info'!$E$2-COUNTIF($B83:M83,"W"))/('Team_Info'!$E$4-12)),"W","B")</x:f>
        <x:v>B</x:v>
      </x:c>
      <x:c r="O83" t="str">
        <x:f>IF(RAND()&lt;(('Team_Info'!$E$2-COUNTIF($B83:N83,"W"))/('Team_Info'!$E$4-13)),"W","B")</x:f>
        <x:v>B</x:v>
      </x:c>
      <x:c r="P83" t="str">
        <x:f>IF(RAND()&lt;(('Team_Info'!$E$2-COUNTIF($B83:O83,"W"))/('Team_Info'!$E$4-14)),"W","B")</x:f>
        <x:v>W</x:v>
      </x:c>
      <x:c r="Q83" t="str">
        <x:f>IF(RAND()&lt;(('Team_Info'!$E$2-COUNTIF($B83:P83,"W"))/('Team_Info'!$E$4-15)),"W","B")</x:f>
        <x:v>B</x:v>
      </x:c>
      <x:c r="R83" t="str">
        <x:f>IF(RAND()&lt;(('Team_Info'!$E$2-COUNTIF($B83:Q83,"W"))/('Team_Info'!$E$4-16)),"W","B")</x:f>
        <x:v>W</x:v>
      </x:c>
      <x:c r="S83" t="str">
        <x:f>IF(RAND()&lt;(('Team_Info'!$E$2-COUNTIF($B83:R83,"W"))/('Team_Info'!$E$4-17)),"W","B")</x:f>
        <x:v>B</x:v>
      </x:c>
      <x:c r="T83" t="str">
        <x:f>IF(RAND()&lt;(('Team_Info'!$E$2-COUNTIF($B83:S83,"W"))/('Team_Info'!$E$4-18)),"W","B")</x:f>
        <x:v>W</x:v>
      </x:c>
      <x:c r="U83" t="str">
        <x:f>IF(RAND()&lt;(('Team_Info'!$E$2-COUNTIF($B83:T83,"W"))/('Team_Info'!$E$4-19)),"W","B")</x:f>
        <x:v>B</x:v>
      </x:c>
    </x:row>
    <x:row r="84">
      <x:c r="A84" s="1">
        <x:v>83</x:v>
      </x:c>
      <x:c r="B84" t="str">
        <x:f>IF(RAND()&lt;'Team_Info'!$E$5,"W","B")</x:f>
        <x:v>B</x:v>
      </x:c>
      <x:c r="C84" t="str">
        <x:f>IF(RAND()&lt;(('Team_Info'!$E$2-COUNTIF($B84:B84,"W"))/('Team_Info'!$E$4-1)),"W","B")</x:f>
        <x:v>B</x:v>
      </x:c>
      <x:c r="D84" t="str">
        <x:f>IF(RAND()&lt;(('Team_Info'!$E$2-COUNTIF($B84:C84,"W"))/('Team_Info'!$E$4-2)),"W","B")</x:f>
        <x:v>B</x:v>
      </x:c>
      <x:c r="E84" t="str">
        <x:f>IF(RAND()&lt;(('Team_Info'!$E$2-COUNTIF($B84:D84,"W"))/('Team_Info'!$E$4-3)),"W","B")</x:f>
        <x:v>B</x:v>
      </x:c>
      <x:c r="F84" t="str">
        <x:f>IF(RAND()&lt;(('Team_Info'!$E$2-COUNTIF($B84:E84,"W"))/('Team_Info'!$E$4-4)),"W","B")</x:f>
        <x:v>B</x:v>
      </x:c>
      <x:c r="G84" t="str">
        <x:f>IF(RAND()&lt;(('Team_Info'!$E$2-COUNTIF($B84:F84,"W"))/('Team_Info'!$E$4-5)),"W","B")</x:f>
        <x:v>W</x:v>
      </x:c>
      <x:c r="H84" t="str">
        <x:f>IF(RAND()&lt;(('Team_Info'!$E$2-COUNTIF($B84:G84,"W"))/('Team_Info'!$E$4-6)),"W","B")</x:f>
        <x:v>B</x:v>
      </x:c>
      <x:c r="I84" t="str">
        <x:f>IF(RAND()&lt;(('Team_Info'!$E$2-COUNTIF($B84:H84,"W"))/('Team_Info'!$E$4-7)),"W","B")</x:f>
        <x:v>B</x:v>
      </x:c>
      <x:c r="J84" t="str">
        <x:f>IF(RAND()&lt;(('Team_Info'!$E$2-COUNTIF($B84:I84,"W"))/('Team_Info'!$E$4-8)),"W","B")</x:f>
        <x:v>B</x:v>
      </x:c>
      <x:c r="K84" t="str">
        <x:f>IF(RAND()&lt;(('Team_Info'!$E$2-COUNTIF($B84:J84,"W"))/('Team_Info'!$E$4-9)),"W","B")</x:f>
        <x:v>B</x:v>
      </x:c>
      <x:c r="L84" t="str">
        <x:f>IF(RAND()&lt;(('Team_Info'!$E$2-COUNTIF($B84:K84,"W"))/('Team_Info'!$E$4-10)),"W","B")</x:f>
        <x:v>W</x:v>
      </x:c>
      <x:c r="M84" t="str">
        <x:f>IF(RAND()&lt;(('Team_Info'!$E$2-COUNTIF($B84:L84,"W"))/('Team_Info'!$E$4-11)),"W","B")</x:f>
        <x:v>B</x:v>
      </x:c>
      <x:c r="N84" t="str">
        <x:f>IF(RAND()&lt;(('Team_Info'!$E$2-COUNTIF($B84:M84,"W"))/('Team_Info'!$E$4-12)),"W","B")</x:f>
        <x:v>B</x:v>
      </x:c>
      <x:c r="O84" t="str">
        <x:f>IF(RAND()&lt;(('Team_Info'!$E$2-COUNTIF($B84:N84,"W"))/('Team_Info'!$E$4-13)),"W","B")</x:f>
        <x:v>B</x:v>
      </x:c>
      <x:c r="P84" t="str">
        <x:f>IF(RAND()&lt;(('Team_Info'!$E$2-COUNTIF($B84:O84,"W"))/('Team_Info'!$E$4-14)),"W","B")</x:f>
        <x:v>B</x:v>
      </x:c>
      <x:c r="Q84" t="str">
        <x:f>IF(RAND()&lt;(('Team_Info'!$E$2-COUNTIF($B84:P84,"W"))/('Team_Info'!$E$4-15)),"W","B")</x:f>
        <x:v>W</x:v>
      </x:c>
      <x:c r="R84" t="str">
        <x:f>IF(RAND()&lt;(('Team_Info'!$E$2-COUNTIF($B84:Q84,"W"))/('Team_Info'!$E$4-16)),"W","B")</x:f>
        <x:v>B</x:v>
      </x:c>
      <x:c r="S84" t="str">
        <x:f>IF(RAND()&lt;(('Team_Info'!$E$2-COUNTIF($B84:R84,"W"))/('Team_Info'!$E$4-17)),"W","B")</x:f>
        <x:v>B</x:v>
      </x:c>
      <x:c r="T84" t="str">
        <x:f>IF(RAND()&lt;(('Team_Info'!$E$2-COUNTIF($B84:S84,"W"))/('Team_Info'!$E$4-18)),"W","B")</x:f>
        <x:v>W</x:v>
      </x:c>
      <x:c r="U84" t="str">
        <x:f>IF(RAND()&lt;(('Team_Info'!$E$2-COUNTIF($B84:T84,"W"))/('Team_Info'!$E$4-19)),"W","B")</x:f>
        <x:v>W</x:v>
      </x:c>
    </x:row>
    <x:row r="85">
      <x:c r="A85" s="1">
        <x:v>84</x:v>
      </x:c>
      <x:c r="B85" t="str">
        <x:f>IF(RAND()&lt;'Team_Info'!$E$5,"W","B")</x:f>
        <x:v>W</x:v>
      </x:c>
      <x:c r="C85" t="str">
        <x:f>IF(RAND()&lt;(('Team_Info'!$E$2-COUNTIF($B85:B85,"W"))/('Team_Info'!$E$4-1)),"W","B")</x:f>
        <x:v>B</x:v>
      </x:c>
      <x:c r="D85" t="str">
        <x:f>IF(RAND()&lt;(('Team_Info'!$E$2-COUNTIF($B85:C85,"W"))/('Team_Info'!$E$4-2)),"W","B")</x:f>
        <x:v>W</x:v>
      </x:c>
      <x:c r="E85" t="str">
        <x:f>IF(RAND()&lt;(('Team_Info'!$E$2-COUNTIF($B85:D85,"W"))/('Team_Info'!$E$4-3)),"W","B")</x:f>
        <x:v>B</x:v>
      </x:c>
      <x:c r="F85" t="str">
        <x:f>IF(RAND()&lt;(('Team_Info'!$E$2-COUNTIF($B85:E85,"W"))/('Team_Info'!$E$4-4)),"W","B")</x:f>
        <x:v>B</x:v>
      </x:c>
      <x:c r="G85" t="str">
        <x:f>IF(RAND()&lt;(('Team_Info'!$E$2-COUNTIF($B85:F85,"W"))/('Team_Info'!$E$4-5)),"W","B")</x:f>
        <x:v>B</x:v>
      </x:c>
      <x:c r="H85" t="str">
        <x:f>IF(RAND()&lt;(('Team_Info'!$E$2-COUNTIF($B85:G85,"W"))/('Team_Info'!$E$4-6)),"W","B")</x:f>
        <x:v>B</x:v>
      </x:c>
      <x:c r="I85" t="str">
        <x:f>IF(RAND()&lt;(('Team_Info'!$E$2-COUNTIF($B85:H85,"W"))/('Team_Info'!$E$4-7)),"W","B")</x:f>
        <x:v>W</x:v>
      </x:c>
      <x:c r="J85" t="str">
        <x:f>IF(RAND()&lt;(('Team_Info'!$E$2-COUNTIF($B85:I85,"W"))/('Team_Info'!$E$4-8)),"W","B")</x:f>
        <x:v>B</x:v>
      </x:c>
      <x:c r="K85" t="str">
        <x:f>IF(RAND()&lt;(('Team_Info'!$E$2-COUNTIF($B85:J85,"W"))/('Team_Info'!$E$4-9)),"W","B")</x:f>
        <x:v>W</x:v>
      </x:c>
      <x:c r="L85" t="str">
        <x:f>IF(RAND()&lt;(('Team_Info'!$E$2-COUNTIF($B85:K85,"W"))/('Team_Info'!$E$4-10)),"W","B")</x:f>
        <x:v>B</x:v>
      </x:c>
      <x:c r="M85" t="str">
        <x:f>IF(RAND()&lt;(('Team_Info'!$E$2-COUNTIF($B85:L85,"W"))/('Team_Info'!$E$4-11)),"W","B")</x:f>
        <x:v>B</x:v>
      </x:c>
      <x:c r="N85" t="str">
        <x:f>IF(RAND()&lt;(('Team_Info'!$E$2-COUNTIF($B85:M85,"W"))/('Team_Info'!$E$4-12)),"W","B")</x:f>
        <x:v>B</x:v>
      </x:c>
      <x:c r="O85" t="str">
        <x:f>IF(RAND()&lt;(('Team_Info'!$E$2-COUNTIF($B85:N85,"W"))/('Team_Info'!$E$4-13)),"W","B")</x:f>
        <x:v>B</x:v>
      </x:c>
      <x:c r="P85" t="str">
        <x:f>IF(RAND()&lt;(('Team_Info'!$E$2-COUNTIF($B85:O85,"W"))/('Team_Info'!$E$4-14)),"W","B")</x:f>
        <x:v>B</x:v>
      </x:c>
      <x:c r="Q85" t="str">
        <x:f>IF(RAND()&lt;(('Team_Info'!$E$2-COUNTIF($B85:P85,"W"))/('Team_Info'!$E$4-15)),"W","B")</x:f>
        <x:v>B</x:v>
      </x:c>
      <x:c r="R85" t="str">
        <x:f>IF(RAND()&lt;(('Team_Info'!$E$2-COUNTIF($B85:Q85,"W"))/('Team_Info'!$E$4-16)),"W","B")</x:f>
        <x:v>B</x:v>
      </x:c>
      <x:c r="S85" t="str">
        <x:f>IF(RAND()&lt;(('Team_Info'!$E$2-COUNTIF($B85:R85,"W"))/('Team_Info'!$E$4-17)),"W","B")</x:f>
        <x:v>W</x:v>
      </x:c>
      <x:c r="T85" t="str">
        <x:f>IF(RAND()&lt;(('Team_Info'!$E$2-COUNTIF($B85:S85,"W"))/('Team_Info'!$E$4-18)),"W","B")</x:f>
        <x:v>W</x:v>
      </x:c>
      <x:c r="U85" t="str">
        <x:f>IF(RAND()&lt;(('Team_Info'!$E$2-COUNTIF($B85:T85,"W"))/('Team_Info'!$E$4-19)),"W","B")</x:f>
        <x:v>B</x:v>
      </x:c>
    </x:row>
    <x:row r="86">
      <x:c r="A86" s="1">
        <x:v>85</x:v>
      </x:c>
      <x:c r="B86" t="str">
        <x:f>IF(RAND()&lt;'Team_Info'!$E$5,"W","B")</x:f>
        <x:v>B</x:v>
      </x:c>
      <x:c r="C86" t="str">
        <x:f>IF(RAND()&lt;(('Team_Info'!$E$2-COUNTIF($B86:B86,"W"))/('Team_Info'!$E$4-1)),"W","B")</x:f>
        <x:v>B</x:v>
      </x:c>
      <x:c r="D86" t="str">
        <x:f>IF(RAND()&lt;(('Team_Info'!$E$2-COUNTIF($B86:C86,"W"))/('Team_Info'!$E$4-2)),"W","B")</x:f>
        <x:v>W</x:v>
      </x:c>
      <x:c r="E86" t="str">
        <x:f>IF(RAND()&lt;(('Team_Info'!$E$2-COUNTIF($B86:D86,"W"))/('Team_Info'!$E$4-3)),"W","B")</x:f>
        <x:v>B</x:v>
      </x:c>
      <x:c r="F86" t="str">
        <x:f>IF(RAND()&lt;(('Team_Info'!$E$2-COUNTIF($B86:E86,"W"))/('Team_Info'!$E$4-4)),"W","B")</x:f>
        <x:v>W</x:v>
      </x:c>
      <x:c r="G86" t="str">
        <x:f>IF(RAND()&lt;(('Team_Info'!$E$2-COUNTIF($B86:F86,"W"))/('Team_Info'!$E$4-5)),"W","B")</x:f>
        <x:v>B</x:v>
      </x:c>
      <x:c r="H86" t="str">
        <x:f>IF(RAND()&lt;(('Team_Info'!$E$2-COUNTIF($B86:G86,"W"))/('Team_Info'!$E$4-6)),"W","B")</x:f>
        <x:v>B</x:v>
      </x:c>
      <x:c r="I86" t="str">
        <x:f>IF(RAND()&lt;(('Team_Info'!$E$2-COUNTIF($B86:H86,"W"))/('Team_Info'!$E$4-7)),"W","B")</x:f>
        <x:v>B</x:v>
      </x:c>
      <x:c r="J86" t="str">
        <x:f>IF(RAND()&lt;(('Team_Info'!$E$2-COUNTIF($B86:I86,"W"))/('Team_Info'!$E$4-8)),"W","B")</x:f>
        <x:v>W</x:v>
      </x:c>
      <x:c r="K86" t="str">
        <x:f>IF(RAND()&lt;(('Team_Info'!$E$2-COUNTIF($B86:J86,"W"))/('Team_Info'!$E$4-9)),"W","B")</x:f>
        <x:v>B</x:v>
      </x:c>
      <x:c r="L86" t="str">
        <x:f>IF(RAND()&lt;(('Team_Info'!$E$2-COUNTIF($B86:K86,"W"))/('Team_Info'!$E$4-10)),"W","B")</x:f>
        <x:v>W</x:v>
      </x:c>
      <x:c r="M86" t="str">
        <x:f>IF(RAND()&lt;(('Team_Info'!$E$2-COUNTIF($B86:L86,"W"))/('Team_Info'!$E$4-11)),"W","B")</x:f>
        <x:v>B</x:v>
      </x:c>
      <x:c r="N86" t="str">
        <x:f>IF(RAND()&lt;(('Team_Info'!$E$2-COUNTIF($B86:M86,"W"))/('Team_Info'!$E$4-12)),"W","B")</x:f>
        <x:v>W</x:v>
      </x:c>
      <x:c r="O86" t="str">
        <x:f>IF(RAND()&lt;(('Team_Info'!$E$2-COUNTIF($B86:N86,"W"))/('Team_Info'!$E$4-13)),"W","B")</x:f>
        <x:v>B</x:v>
      </x:c>
      <x:c r="P86" t="str">
        <x:f>IF(RAND()&lt;(('Team_Info'!$E$2-COUNTIF($B86:O86,"W"))/('Team_Info'!$E$4-14)),"W","B")</x:f>
        <x:v>W</x:v>
      </x:c>
      <x:c r="Q86" t="str">
        <x:f>IF(RAND()&lt;(('Team_Info'!$E$2-COUNTIF($B86:P86,"W"))/('Team_Info'!$E$4-15)),"W","B")</x:f>
        <x:v>W</x:v>
      </x:c>
      <x:c r="R86" t="str">
        <x:f>IF(RAND()&lt;(('Team_Info'!$E$2-COUNTIF($B86:Q86,"W"))/('Team_Info'!$E$4-16)),"W","B")</x:f>
        <x:v>B</x:v>
      </x:c>
      <x:c r="S86" t="str">
        <x:f>IF(RAND()&lt;(('Team_Info'!$E$2-COUNTIF($B86:R86,"W"))/('Team_Info'!$E$4-17)),"W","B")</x:f>
        <x:v>B</x:v>
      </x:c>
      <x:c r="T86" t="str">
        <x:f>IF(RAND()&lt;(('Team_Info'!$E$2-COUNTIF($B86:S86,"W"))/('Team_Info'!$E$4-18)),"W","B")</x:f>
        <x:v>W</x:v>
      </x:c>
      <x:c r="U86" t="str">
        <x:f>IF(RAND()&lt;(('Team_Info'!$E$2-COUNTIF($B86:T86,"W"))/('Team_Info'!$E$4-19)),"W","B")</x:f>
        <x:v>B</x:v>
      </x:c>
    </x:row>
    <x:row r="87">
      <x:c r="A87" s="1">
        <x:v>86</x:v>
      </x:c>
      <x:c r="B87" t="str">
        <x:f>IF(RAND()&lt;'Team_Info'!$E$5,"W","B")</x:f>
        <x:v>W</x:v>
      </x:c>
      <x:c r="C87" t="str">
        <x:f>IF(RAND()&lt;(('Team_Info'!$E$2-COUNTIF($B87:B87,"W"))/('Team_Info'!$E$4-1)),"W","B")</x:f>
        <x:v>B</x:v>
      </x:c>
      <x:c r="D87" t="str">
        <x:f>IF(RAND()&lt;(('Team_Info'!$E$2-COUNTIF($B87:C87,"W"))/('Team_Info'!$E$4-2)),"W","B")</x:f>
        <x:v>W</x:v>
      </x:c>
      <x:c r="E87" t="str">
        <x:f>IF(RAND()&lt;(('Team_Info'!$E$2-COUNTIF($B87:D87,"W"))/('Team_Info'!$E$4-3)),"W","B")</x:f>
        <x:v>B</x:v>
      </x:c>
      <x:c r="F87" t="str">
        <x:f>IF(RAND()&lt;(('Team_Info'!$E$2-COUNTIF($B87:E87,"W"))/('Team_Info'!$E$4-4)),"W","B")</x:f>
        <x:v>W</x:v>
      </x:c>
      <x:c r="G87" t="str">
        <x:f>IF(RAND()&lt;(('Team_Info'!$E$2-COUNTIF($B87:F87,"W"))/('Team_Info'!$E$4-5)),"W","B")</x:f>
        <x:v>B</x:v>
      </x:c>
      <x:c r="H87" t="str">
        <x:f>IF(RAND()&lt;(('Team_Info'!$E$2-COUNTIF($B87:G87,"W"))/('Team_Info'!$E$4-6)),"W","B")</x:f>
        <x:v>B</x:v>
      </x:c>
      <x:c r="I87" t="str">
        <x:f>IF(RAND()&lt;(('Team_Info'!$E$2-COUNTIF($B87:H87,"W"))/('Team_Info'!$E$4-7)),"W","B")</x:f>
        <x:v>W</x:v>
      </x:c>
      <x:c r="J87" t="str">
        <x:f>IF(RAND()&lt;(('Team_Info'!$E$2-COUNTIF($B87:I87,"W"))/('Team_Info'!$E$4-8)),"W","B")</x:f>
        <x:v>B</x:v>
      </x:c>
      <x:c r="K87" t="str">
        <x:f>IF(RAND()&lt;(('Team_Info'!$E$2-COUNTIF($B87:J87,"W"))/('Team_Info'!$E$4-9)),"W","B")</x:f>
        <x:v>W</x:v>
      </x:c>
      <x:c r="L87" t="str">
        <x:f>IF(RAND()&lt;(('Team_Info'!$E$2-COUNTIF($B87:K87,"W"))/('Team_Info'!$E$4-10)),"W","B")</x:f>
        <x:v>W</x:v>
      </x:c>
      <x:c r="M87" t="str">
        <x:f>IF(RAND()&lt;(('Team_Info'!$E$2-COUNTIF($B87:L87,"W"))/('Team_Info'!$E$4-11)),"W","B")</x:f>
        <x:v>B</x:v>
      </x:c>
      <x:c r="N87" t="str">
        <x:f>IF(RAND()&lt;(('Team_Info'!$E$2-COUNTIF($B87:M87,"W"))/('Team_Info'!$E$4-12)),"W","B")</x:f>
        <x:v>B</x:v>
      </x:c>
      <x:c r="O87" t="str">
        <x:f>IF(RAND()&lt;(('Team_Info'!$E$2-COUNTIF($B87:N87,"W"))/('Team_Info'!$E$4-13)),"W","B")</x:f>
        <x:v>B</x:v>
      </x:c>
      <x:c r="P87" t="str">
        <x:f>IF(RAND()&lt;(('Team_Info'!$E$2-COUNTIF($B87:O87,"W"))/('Team_Info'!$E$4-14)),"W","B")</x:f>
        <x:v>B</x:v>
      </x:c>
      <x:c r="Q87" t="str">
        <x:f>IF(RAND()&lt;(('Team_Info'!$E$2-COUNTIF($B87:P87,"W"))/('Team_Info'!$E$4-15)),"W","B")</x:f>
        <x:v>W</x:v>
      </x:c>
      <x:c r="R87" t="str">
        <x:f>IF(RAND()&lt;(('Team_Info'!$E$2-COUNTIF($B87:Q87,"W"))/('Team_Info'!$E$4-16)),"W","B")</x:f>
        <x:v>W</x:v>
      </x:c>
      <x:c r="S87" t="str">
        <x:f>IF(RAND()&lt;(('Team_Info'!$E$2-COUNTIF($B87:R87,"W"))/('Team_Info'!$E$4-17)),"W","B")</x:f>
        <x:v>B</x:v>
      </x:c>
      <x:c r="T87" t="str">
        <x:f>IF(RAND()&lt;(('Team_Info'!$E$2-COUNTIF($B87:S87,"W"))/('Team_Info'!$E$4-18)),"W","B")</x:f>
        <x:v>B</x:v>
      </x:c>
      <x:c r="U87" t="str">
        <x:f>IF(RAND()&lt;(('Team_Info'!$E$2-COUNTIF($B87:T87,"W"))/('Team_Info'!$E$4-19)),"W","B")</x:f>
        <x:v>B</x:v>
      </x:c>
    </x:row>
    <x:row r="88">
      <x:c r="A88" s="1">
        <x:v>87</x:v>
      </x:c>
      <x:c r="B88" t="str">
        <x:f>IF(RAND()&lt;'Team_Info'!$E$5,"W","B")</x:f>
        <x:v>B</x:v>
      </x:c>
      <x:c r="C88" t="str">
        <x:f>IF(RAND()&lt;(('Team_Info'!$E$2-COUNTIF($B88:B88,"W"))/('Team_Info'!$E$4-1)),"W","B")</x:f>
        <x:v>B</x:v>
      </x:c>
      <x:c r="D88" t="str">
        <x:f>IF(RAND()&lt;(('Team_Info'!$E$2-COUNTIF($B88:C88,"W"))/('Team_Info'!$E$4-2)),"W","B")</x:f>
        <x:v>B</x:v>
      </x:c>
      <x:c r="E88" t="str">
        <x:f>IF(RAND()&lt;(('Team_Info'!$E$2-COUNTIF($B88:D88,"W"))/('Team_Info'!$E$4-3)),"W","B")</x:f>
        <x:v>W</x:v>
      </x:c>
      <x:c r="F88" t="str">
        <x:f>IF(RAND()&lt;(('Team_Info'!$E$2-COUNTIF($B88:E88,"W"))/('Team_Info'!$E$4-4)),"W","B")</x:f>
        <x:v>B</x:v>
      </x:c>
      <x:c r="G88" t="str">
        <x:f>IF(RAND()&lt;(('Team_Info'!$E$2-COUNTIF($B88:F88,"W"))/('Team_Info'!$E$4-5)),"W","B")</x:f>
        <x:v>B</x:v>
      </x:c>
      <x:c r="H88" t="str">
        <x:f>IF(RAND()&lt;(('Team_Info'!$E$2-COUNTIF($B88:G88,"W"))/('Team_Info'!$E$4-6)),"W","B")</x:f>
        <x:v>B</x:v>
      </x:c>
      <x:c r="I88" t="str">
        <x:f>IF(RAND()&lt;(('Team_Info'!$E$2-COUNTIF($B88:H88,"W"))/('Team_Info'!$E$4-7)),"W","B")</x:f>
        <x:v>W</x:v>
      </x:c>
      <x:c r="J88" t="str">
        <x:f>IF(RAND()&lt;(('Team_Info'!$E$2-COUNTIF($B88:I88,"W"))/('Team_Info'!$E$4-8)),"W","B")</x:f>
        <x:v>B</x:v>
      </x:c>
      <x:c r="K88" t="str">
        <x:f>IF(RAND()&lt;(('Team_Info'!$E$2-COUNTIF($B88:J88,"W"))/('Team_Info'!$E$4-9)),"W","B")</x:f>
        <x:v>B</x:v>
      </x:c>
      <x:c r="L88" t="str">
        <x:f>IF(RAND()&lt;(('Team_Info'!$E$2-COUNTIF($B88:K88,"W"))/('Team_Info'!$E$4-10)),"W","B")</x:f>
        <x:v>W</x:v>
      </x:c>
      <x:c r="M88" t="str">
        <x:f>IF(RAND()&lt;(('Team_Info'!$E$2-COUNTIF($B88:L88,"W"))/('Team_Info'!$E$4-11)),"W","B")</x:f>
        <x:v>B</x:v>
      </x:c>
      <x:c r="N88" t="str">
        <x:f>IF(RAND()&lt;(('Team_Info'!$E$2-COUNTIF($B88:M88,"W"))/('Team_Info'!$E$4-12)),"W","B")</x:f>
        <x:v>B</x:v>
      </x:c>
      <x:c r="O88" t="str">
        <x:f>IF(RAND()&lt;(('Team_Info'!$E$2-COUNTIF($B88:N88,"W"))/('Team_Info'!$E$4-13)),"W","B")</x:f>
        <x:v>B</x:v>
      </x:c>
      <x:c r="P88" t="str">
        <x:f>IF(RAND()&lt;(('Team_Info'!$E$2-COUNTIF($B88:O88,"W"))/('Team_Info'!$E$4-14)),"W","B")</x:f>
        <x:v>B</x:v>
      </x:c>
      <x:c r="Q88" t="str">
        <x:f>IF(RAND()&lt;(('Team_Info'!$E$2-COUNTIF($B88:P88,"W"))/('Team_Info'!$E$4-15)),"W","B")</x:f>
        <x:v>W</x:v>
      </x:c>
      <x:c r="R88" t="str">
        <x:f>IF(RAND()&lt;(('Team_Info'!$E$2-COUNTIF($B88:Q88,"W"))/('Team_Info'!$E$4-16)),"W","B")</x:f>
        <x:v>B</x:v>
      </x:c>
      <x:c r="S88" t="str">
        <x:f>IF(RAND()&lt;(('Team_Info'!$E$2-COUNTIF($B88:R88,"W"))/('Team_Info'!$E$4-17)),"W","B")</x:f>
        <x:v>B</x:v>
      </x:c>
      <x:c r="T88" t="str">
        <x:f>IF(RAND()&lt;(('Team_Info'!$E$2-COUNTIF($B88:S88,"W"))/('Team_Info'!$E$4-18)),"W","B")</x:f>
        <x:v>B</x:v>
      </x:c>
      <x:c r="U88" t="str">
        <x:f>IF(RAND()&lt;(('Team_Info'!$E$2-COUNTIF($B88:T88,"W"))/('Team_Info'!$E$4-19)),"W","B")</x:f>
        <x:v>B</x:v>
      </x:c>
    </x:row>
    <x:row r="89">
      <x:c r="A89" s="1">
        <x:v>88</x:v>
      </x:c>
      <x:c r="B89" t="str">
        <x:f>IF(RAND()&lt;'Team_Info'!$E$5,"W","B")</x:f>
        <x:v>W</x:v>
      </x:c>
      <x:c r="C89" t="str">
        <x:f>IF(RAND()&lt;(('Team_Info'!$E$2-COUNTIF($B89:B89,"W"))/('Team_Info'!$E$4-1)),"W","B")</x:f>
        <x:v>B</x:v>
      </x:c>
      <x:c r="D89" t="str">
        <x:f>IF(RAND()&lt;(('Team_Info'!$E$2-COUNTIF($B89:C89,"W"))/('Team_Info'!$E$4-2)),"W","B")</x:f>
        <x:v>B</x:v>
      </x:c>
      <x:c r="E89" t="str">
        <x:f>IF(RAND()&lt;(('Team_Info'!$E$2-COUNTIF($B89:D89,"W"))/('Team_Info'!$E$4-3)),"W","B")</x:f>
        <x:v>W</x:v>
      </x:c>
      <x:c r="F89" t="str">
        <x:f>IF(RAND()&lt;(('Team_Info'!$E$2-COUNTIF($B89:E89,"W"))/('Team_Info'!$E$4-4)),"W","B")</x:f>
        <x:v>W</x:v>
      </x:c>
      <x:c r="G89" t="str">
        <x:f>IF(RAND()&lt;(('Team_Info'!$E$2-COUNTIF($B89:F89,"W"))/('Team_Info'!$E$4-5)),"W","B")</x:f>
        <x:v>B</x:v>
      </x:c>
      <x:c r="H89" t="str">
        <x:f>IF(RAND()&lt;(('Team_Info'!$E$2-COUNTIF($B89:G89,"W"))/('Team_Info'!$E$4-6)),"W","B")</x:f>
        <x:v>B</x:v>
      </x:c>
      <x:c r="I89" t="str">
        <x:f>IF(RAND()&lt;(('Team_Info'!$E$2-COUNTIF($B89:H89,"W"))/('Team_Info'!$E$4-7)),"W","B")</x:f>
        <x:v>B</x:v>
      </x:c>
      <x:c r="J89" t="str">
        <x:f>IF(RAND()&lt;(('Team_Info'!$E$2-COUNTIF($B89:I89,"W"))/('Team_Info'!$E$4-8)),"W","B")</x:f>
        <x:v>B</x:v>
      </x:c>
      <x:c r="K89" t="str">
        <x:f>IF(RAND()&lt;(('Team_Info'!$E$2-COUNTIF($B89:J89,"W"))/('Team_Info'!$E$4-9)),"W","B")</x:f>
        <x:v>B</x:v>
      </x:c>
      <x:c r="L89" t="str">
        <x:f>IF(RAND()&lt;(('Team_Info'!$E$2-COUNTIF($B89:K89,"W"))/('Team_Info'!$E$4-10)),"W","B")</x:f>
        <x:v>W</x:v>
      </x:c>
      <x:c r="M89" t="str">
        <x:f>IF(RAND()&lt;(('Team_Info'!$E$2-COUNTIF($B89:L89,"W"))/('Team_Info'!$E$4-11)),"W","B")</x:f>
        <x:v>B</x:v>
      </x:c>
      <x:c r="N89" t="str">
        <x:f>IF(RAND()&lt;(('Team_Info'!$E$2-COUNTIF($B89:M89,"W"))/('Team_Info'!$E$4-12)),"W","B")</x:f>
        <x:v>W</x:v>
      </x:c>
      <x:c r="O89" t="str">
        <x:f>IF(RAND()&lt;(('Team_Info'!$E$2-COUNTIF($B89:N89,"W"))/('Team_Info'!$E$4-13)),"W","B")</x:f>
        <x:v>B</x:v>
      </x:c>
      <x:c r="P89" t="str">
        <x:f>IF(RAND()&lt;(('Team_Info'!$E$2-COUNTIF($B89:O89,"W"))/('Team_Info'!$E$4-14)),"W","B")</x:f>
        <x:v>B</x:v>
      </x:c>
      <x:c r="Q89" t="str">
        <x:f>IF(RAND()&lt;(('Team_Info'!$E$2-COUNTIF($B89:P89,"W"))/('Team_Info'!$E$4-15)),"W","B")</x:f>
        <x:v>B</x:v>
      </x:c>
      <x:c r="R89" t="str">
        <x:f>IF(RAND()&lt;(('Team_Info'!$E$2-COUNTIF($B89:Q89,"W"))/('Team_Info'!$E$4-16)),"W","B")</x:f>
        <x:v>W</x:v>
      </x:c>
      <x:c r="S89" t="str">
        <x:f>IF(RAND()&lt;(('Team_Info'!$E$2-COUNTIF($B89:R89,"W"))/('Team_Info'!$E$4-17)),"W","B")</x:f>
        <x:v>W</x:v>
      </x:c>
      <x:c r="T89" t="str">
        <x:f>IF(RAND()&lt;(('Team_Info'!$E$2-COUNTIF($B89:S89,"W"))/('Team_Info'!$E$4-18)),"W","B")</x:f>
        <x:v>B</x:v>
      </x:c>
      <x:c r="U89" t="str">
        <x:f>IF(RAND()&lt;(('Team_Info'!$E$2-COUNTIF($B89:T89,"W"))/('Team_Info'!$E$4-19)),"W","B")</x:f>
        <x:v>B</x:v>
      </x:c>
    </x:row>
    <x:row r="90">
      <x:c r="A90" s="1">
        <x:v>89</x:v>
      </x:c>
      <x:c r="B90" t="str">
        <x:f>IF(RAND()&lt;'Team_Info'!$E$5,"W","B")</x:f>
        <x:v>B</x:v>
      </x:c>
      <x:c r="C90" t="str">
        <x:f>IF(RAND()&lt;(('Team_Info'!$E$2-COUNTIF($B90:B90,"W"))/('Team_Info'!$E$4-1)),"W","B")</x:f>
        <x:v>B</x:v>
      </x:c>
      <x:c r="D90" t="str">
        <x:f>IF(RAND()&lt;(('Team_Info'!$E$2-COUNTIF($B90:C90,"W"))/('Team_Info'!$E$4-2)),"W","B")</x:f>
        <x:v>W</x:v>
      </x:c>
      <x:c r="E90" t="str">
        <x:f>IF(RAND()&lt;(('Team_Info'!$E$2-COUNTIF($B90:D90,"W"))/('Team_Info'!$E$4-3)),"W","B")</x:f>
        <x:v>W</x:v>
      </x:c>
      <x:c r="F90" t="str">
        <x:f>IF(RAND()&lt;(('Team_Info'!$E$2-COUNTIF($B90:E90,"W"))/('Team_Info'!$E$4-4)),"W","B")</x:f>
        <x:v>W</x:v>
      </x:c>
      <x:c r="G90" t="str">
        <x:f>IF(RAND()&lt;(('Team_Info'!$E$2-COUNTIF($B90:F90,"W"))/('Team_Info'!$E$4-5)),"W","B")</x:f>
        <x:v>B</x:v>
      </x:c>
      <x:c r="H90" t="str">
        <x:f>IF(RAND()&lt;(('Team_Info'!$E$2-COUNTIF($B90:G90,"W"))/('Team_Info'!$E$4-6)),"W","B")</x:f>
        <x:v>B</x:v>
      </x:c>
      <x:c r="I90" t="str">
        <x:f>IF(RAND()&lt;(('Team_Info'!$E$2-COUNTIF($B90:H90,"W"))/('Team_Info'!$E$4-7)),"W","B")</x:f>
        <x:v>B</x:v>
      </x:c>
      <x:c r="J90" t="str">
        <x:f>IF(RAND()&lt;(('Team_Info'!$E$2-COUNTIF($B90:I90,"W"))/('Team_Info'!$E$4-8)),"W","B")</x:f>
        <x:v>B</x:v>
      </x:c>
      <x:c r="K90" t="str">
        <x:f>IF(RAND()&lt;(('Team_Info'!$E$2-COUNTIF($B90:J90,"W"))/('Team_Info'!$E$4-9)),"W","B")</x:f>
        <x:v>B</x:v>
      </x:c>
      <x:c r="L90" t="str">
        <x:f>IF(RAND()&lt;(('Team_Info'!$E$2-COUNTIF($B90:K90,"W"))/('Team_Info'!$E$4-10)),"W","B")</x:f>
        <x:v>B</x:v>
      </x:c>
      <x:c r="M90" t="str">
        <x:f>IF(RAND()&lt;(('Team_Info'!$E$2-COUNTIF($B90:L90,"W"))/('Team_Info'!$E$4-11)),"W","B")</x:f>
        <x:v>W</x:v>
      </x:c>
      <x:c r="N90" t="str">
        <x:f>IF(RAND()&lt;(('Team_Info'!$E$2-COUNTIF($B90:M90,"W"))/('Team_Info'!$E$4-12)),"W","B")</x:f>
        <x:v>B</x:v>
      </x:c>
      <x:c r="O90" t="str">
        <x:f>IF(RAND()&lt;(('Team_Info'!$E$2-COUNTIF($B90:N90,"W"))/('Team_Info'!$E$4-13)),"W","B")</x:f>
        <x:v>B</x:v>
      </x:c>
      <x:c r="P90" t="str">
        <x:f>IF(RAND()&lt;(('Team_Info'!$E$2-COUNTIF($B90:O90,"W"))/('Team_Info'!$E$4-14)),"W","B")</x:f>
        <x:v>B</x:v>
      </x:c>
      <x:c r="Q90" t="str">
        <x:f>IF(RAND()&lt;(('Team_Info'!$E$2-COUNTIF($B90:P90,"W"))/('Team_Info'!$E$4-15)),"W","B")</x:f>
        <x:v>W</x:v>
      </x:c>
      <x:c r="R90" t="str">
        <x:f>IF(RAND()&lt;(('Team_Info'!$E$2-COUNTIF($B90:Q90,"W"))/('Team_Info'!$E$4-16)),"W","B")</x:f>
        <x:v>B</x:v>
      </x:c>
      <x:c r="S90" t="str">
        <x:f>IF(RAND()&lt;(('Team_Info'!$E$2-COUNTIF($B90:R90,"W"))/('Team_Info'!$E$4-17)),"W","B")</x:f>
        <x:v>W</x:v>
      </x:c>
      <x:c r="T90" t="str">
        <x:f>IF(RAND()&lt;(('Team_Info'!$E$2-COUNTIF($B90:S90,"W"))/('Team_Info'!$E$4-18)),"W","B")</x:f>
        <x:v>W</x:v>
      </x:c>
      <x:c r="U90" t="str">
        <x:f>IF(RAND()&lt;(('Team_Info'!$E$2-COUNTIF($B90:T90,"W"))/('Team_Info'!$E$4-19)),"W","B")</x:f>
        <x:v>B</x:v>
      </x:c>
    </x:row>
    <x:row r="91">
      <x:c r="A91" s="1">
        <x:v>90</x:v>
      </x:c>
      <x:c r="B91" t="str">
        <x:f>IF(RAND()&lt;'Team_Info'!$E$5,"W","B")</x:f>
        <x:v>B</x:v>
      </x:c>
      <x:c r="C91" t="str">
        <x:f>IF(RAND()&lt;(('Team_Info'!$E$2-COUNTIF($B91:B91,"W"))/('Team_Info'!$E$4-1)),"W","B")</x:f>
        <x:v>B</x:v>
      </x:c>
      <x:c r="D91" t="str">
        <x:f>IF(RAND()&lt;(('Team_Info'!$E$2-COUNTIF($B91:C91,"W"))/('Team_Info'!$E$4-2)),"W","B")</x:f>
        <x:v>B</x:v>
      </x:c>
      <x:c r="E91" t="str">
        <x:f>IF(RAND()&lt;(('Team_Info'!$E$2-COUNTIF($B91:D91,"W"))/('Team_Info'!$E$4-3)),"W","B")</x:f>
        <x:v>B</x:v>
      </x:c>
      <x:c r="F91" t="str">
        <x:f>IF(RAND()&lt;(('Team_Info'!$E$2-COUNTIF($B91:E91,"W"))/('Team_Info'!$E$4-4)),"W","B")</x:f>
        <x:v>B</x:v>
      </x:c>
      <x:c r="G91" t="str">
        <x:f>IF(RAND()&lt;(('Team_Info'!$E$2-COUNTIF($B91:F91,"W"))/('Team_Info'!$E$4-5)),"W","B")</x:f>
        <x:v>B</x:v>
      </x:c>
      <x:c r="H91" t="str">
        <x:f>IF(RAND()&lt;(('Team_Info'!$E$2-COUNTIF($B91:G91,"W"))/('Team_Info'!$E$4-6)),"W","B")</x:f>
        <x:v>B</x:v>
      </x:c>
      <x:c r="I91" t="str">
        <x:f>IF(RAND()&lt;(('Team_Info'!$E$2-COUNTIF($B91:H91,"W"))/('Team_Info'!$E$4-7)),"W","B")</x:f>
        <x:v>B</x:v>
      </x:c>
      <x:c r="J91" t="str">
        <x:f>IF(RAND()&lt;(('Team_Info'!$E$2-COUNTIF($B91:I91,"W"))/('Team_Info'!$E$4-8)),"W","B")</x:f>
        <x:v>W</x:v>
      </x:c>
      <x:c r="K91" t="str">
        <x:f>IF(RAND()&lt;(('Team_Info'!$E$2-COUNTIF($B91:J91,"W"))/('Team_Info'!$E$4-9)),"W","B")</x:f>
        <x:v>W</x:v>
      </x:c>
      <x:c r="L91" t="str">
        <x:f>IF(RAND()&lt;(('Team_Info'!$E$2-COUNTIF($B91:K91,"W"))/('Team_Info'!$E$4-10)),"W","B")</x:f>
        <x:v>B</x:v>
      </x:c>
      <x:c r="M91" t="str">
        <x:f>IF(RAND()&lt;(('Team_Info'!$E$2-COUNTIF($B91:L91,"W"))/('Team_Info'!$E$4-11)),"W","B")</x:f>
        <x:v>W</x:v>
      </x:c>
      <x:c r="N91" t="str">
        <x:f>IF(RAND()&lt;(('Team_Info'!$E$2-COUNTIF($B91:M91,"W"))/('Team_Info'!$E$4-12)),"W","B")</x:f>
        <x:v>B</x:v>
      </x:c>
      <x:c r="O91" t="str">
        <x:f>IF(RAND()&lt;(('Team_Info'!$E$2-COUNTIF($B91:N91,"W"))/('Team_Info'!$E$4-13)),"W","B")</x:f>
        <x:v>W</x:v>
      </x:c>
      <x:c r="P91" t="str">
        <x:f>IF(RAND()&lt;(('Team_Info'!$E$2-COUNTIF($B91:O91,"W"))/('Team_Info'!$E$4-14)),"W","B")</x:f>
        <x:v>B</x:v>
      </x:c>
      <x:c r="Q91" t="str">
        <x:f>IF(RAND()&lt;(('Team_Info'!$E$2-COUNTIF($B91:P91,"W"))/('Team_Info'!$E$4-15)),"W","B")</x:f>
        <x:v>B</x:v>
      </x:c>
      <x:c r="R91" t="str">
        <x:f>IF(RAND()&lt;(('Team_Info'!$E$2-COUNTIF($B91:Q91,"W"))/('Team_Info'!$E$4-16)),"W","B")</x:f>
        <x:v>B</x:v>
      </x:c>
      <x:c r="S91" t="str">
        <x:f>IF(RAND()&lt;(('Team_Info'!$E$2-COUNTIF($B91:R91,"W"))/('Team_Info'!$E$4-17)),"W","B")</x:f>
        <x:v>W</x:v>
      </x:c>
      <x:c r="T91" t="str">
        <x:f>IF(RAND()&lt;(('Team_Info'!$E$2-COUNTIF($B91:S91,"W"))/('Team_Info'!$E$4-18)),"W","B")</x:f>
        <x:v>W</x:v>
      </x:c>
      <x:c r="U91" t="str">
        <x:f>IF(RAND()&lt;(('Team_Info'!$E$2-COUNTIF($B91:T91,"W"))/('Team_Info'!$E$4-19)),"W","B")</x:f>
        <x:v>B</x:v>
      </x:c>
    </x:row>
    <x:row r="92">
      <x:c r="A92" s="1">
        <x:v>91</x:v>
      </x:c>
      <x:c r="B92" t="str">
        <x:f>IF(RAND()&lt;'Team_Info'!$E$5,"W","B")</x:f>
        <x:v>B</x:v>
      </x:c>
      <x:c r="C92" t="str">
        <x:f>IF(RAND()&lt;(('Team_Info'!$E$2-COUNTIF($B92:B92,"W"))/('Team_Info'!$E$4-1)),"W","B")</x:f>
        <x:v>B</x:v>
      </x:c>
      <x:c r="D92" t="str">
        <x:f>IF(RAND()&lt;(('Team_Info'!$E$2-COUNTIF($B92:C92,"W"))/('Team_Info'!$E$4-2)),"W","B")</x:f>
        <x:v>B</x:v>
      </x:c>
      <x:c r="E92" t="str">
        <x:f>IF(RAND()&lt;(('Team_Info'!$E$2-COUNTIF($B92:D92,"W"))/('Team_Info'!$E$4-3)),"W","B")</x:f>
        <x:v>B</x:v>
      </x:c>
      <x:c r="F92" t="str">
        <x:f>IF(RAND()&lt;(('Team_Info'!$E$2-COUNTIF($B92:E92,"W"))/('Team_Info'!$E$4-4)),"W","B")</x:f>
        <x:v>B</x:v>
      </x:c>
      <x:c r="G92" t="str">
        <x:f>IF(RAND()&lt;(('Team_Info'!$E$2-COUNTIF($B92:F92,"W"))/('Team_Info'!$E$4-5)),"W","B")</x:f>
        <x:v>B</x:v>
      </x:c>
      <x:c r="H92" t="str">
        <x:f>IF(RAND()&lt;(('Team_Info'!$E$2-COUNTIF($B92:G92,"W"))/('Team_Info'!$E$4-6)),"W","B")</x:f>
        <x:v>B</x:v>
      </x:c>
      <x:c r="I92" t="str">
        <x:f>IF(RAND()&lt;(('Team_Info'!$E$2-COUNTIF($B92:H92,"W"))/('Team_Info'!$E$4-7)),"W","B")</x:f>
        <x:v>W</x:v>
      </x:c>
      <x:c r="J92" t="str">
        <x:f>IF(RAND()&lt;(('Team_Info'!$E$2-COUNTIF($B92:I92,"W"))/('Team_Info'!$E$4-8)),"W","B")</x:f>
        <x:v>B</x:v>
      </x:c>
      <x:c r="K92" t="str">
        <x:f>IF(RAND()&lt;(('Team_Info'!$E$2-COUNTIF($B92:J92,"W"))/('Team_Info'!$E$4-9)),"W","B")</x:f>
        <x:v>W</x:v>
      </x:c>
      <x:c r="L92" t="str">
        <x:f>IF(RAND()&lt;(('Team_Info'!$E$2-COUNTIF($B92:K92,"W"))/('Team_Info'!$E$4-10)),"W","B")</x:f>
        <x:v>W</x:v>
      </x:c>
      <x:c r="M92" t="str">
        <x:f>IF(RAND()&lt;(('Team_Info'!$E$2-COUNTIF($B92:L92,"W"))/('Team_Info'!$E$4-11)),"W","B")</x:f>
        <x:v>W</x:v>
      </x:c>
      <x:c r="N92" t="str">
        <x:f>IF(RAND()&lt;(('Team_Info'!$E$2-COUNTIF($B92:M92,"W"))/('Team_Info'!$E$4-12)),"W","B")</x:f>
        <x:v>B</x:v>
      </x:c>
      <x:c r="O92" t="str">
        <x:f>IF(RAND()&lt;(('Team_Info'!$E$2-COUNTIF($B92:N92,"W"))/('Team_Info'!$E$4-13)),"W","B")</x:f>
        <x:v>B</x:v>
      </x:c>
      <x:c r="P92" t="str">
        <x:f>IF(RAND()&lt;(('Team_Info'!$E$2-COUNTIF($B92:O92,"W"))/('Team_Info'!$E$4-14)),"W","B")</x:f>
        <x:v>B</x:v>
      </x:c>
      <x:c r="Q92" t="str">
        <x:f>IF(RAND()&lt;(('Team_Info'!$E$2-COUNTIF($B92:P92,"W"))/('Team_Info'!$E$4-15)),"W","B")</x:f>
        <x:v>B</x:v>
      </x:c>
      <x:c r="R92" t="str">
        <x:f>IF(RAND()&lt;(('Team_Info'!$E$2-COUNTIF($B92:Q92,"W"))/('Team_Info'!$E$4-16)),"W","B")</x:f>
        <x:v>W</x:v>
      </x:c>
      <x:c r="S92" t="str">
        <x:f>IF(RAND()&lt;(('Team_Info'!$E$2-COUNTIF($B92:R92,"W"))/('Team_Info'!$E$4-17)),"W","B")</x:f>
        <x:v>B</x:v>
      </x:c>
      <x:c r="T92" t="str">
        <x:f>IF(RAND()&lt;(('Team_Info'!$E$2-COUNTIF($B92:S92,"W"))/('Team_Info'!$E$4-18)),"W","B")</x:f>
        <x:v>B</x:v>
      </x:c>
      <x:c r="U92" t="str">
        <x:f>IF(RAND()&lt;(('Team_Info'!$E$2-COUNTIF($B92:T92,"W"))/('Team_Info'!$E$4-19)),"W","B")</x:f>
        <x:v>B</x:v>
      </x:c>
    </x:row>
    <x:row r="93">
      <x:c r="A93" s="1">
        <x:v>92</x:v>
      </x:c>
      <x:c r="B93" t="str">
        <x:f>IF(RAND()&lt;'Team_Info'!$E$5,"W","B")</x:f>
        <x:v>B</x:v>
      </x:c>
      <x:c r="C93" t="str">
        <x:f>IF(RAND()&lt;(('Team_Info'!$E$2-COUNTIF($B93:B93,"W"))/('Team_Info'!$E$4-1)),"W","B")</x:f>
        <x:v>B</x:v>
      </x:c>
      <x:c r="D93" t="str">
        <x:f>IF(RAND()&lt;(('Team_Info'!$E$2-COUNTIF($B93:C93,"W"))/('Team_Info'!$E$4-2)),"W","B")</x:f>
        <x:v>W</x:v>
      </x:c>
      <x:c r="E93" t="str">
        <x:f>IF(RAND()&lt;(('Team_Info'!$E$2-COUNTIF($B93:D93,"W"))/('Team_Info'!$E$4-3)),"W","B")</x:f>
        <x:v>B</x:v>
      </x:c>
      <x:c r="F93" t="str">
        <x:f>IF(RAND()&lt;(('Team_Info'!$E$2-COUNTIF($B93:E93,"W"))/('Team_Info'!$E$4-4)),"W","B")</x:f>
        <x:v>W</x:v>
      </x:c>
      <x:c r="G93" t="str">
        <x:f>IF(RAND()&lt;(('Team_Info'!$E$2-COUNTIF($B93:F93,"W"))/('Team_Info'!$E$4-5)),"W","B")</x:f>
        <x:v>B</x:v>
      </x:c>
      <x:c r="H93" t="str">
        <x:f>IF(RAND()&lt;(('Team_Info'!$E$2-COUNTIF($B93:G93,"W"))/('Team_Info'!$E$4-6)),"W","B")</x:f>
        <x:v>W</x:v>
      </x:c>
      <x:c r="I93" t="str">
        <x:f>IF(RAND()&lt;(('Team_Info'!$E$2-COUNTIF($B93:H93,"W"))/('Team_Info'!$E$4-7)),"W","B")</x:f>
        <x:v>B</x:v>
      </x:c>
      <x:c r="J93" t="str">
        <x:f>IF(RAND()&lt;(('Team_Info'!$E$2-COUNTIF($B93:I93,"W"))/('Team_Info'!$E$4-8)),"W","B")</x:f>
        <x:v>B</x:v>
      </x:c>
      <x:c r="K93" t="str">
        <x:f>IF(RAND()&lt;(('Team_Info'!$E$2-COUNTIF($B93:J93,"W"))/('Team_Info'!$E$4-9)),"W","B")</x:f>
        <x:v>B</x:v>
      </x:c>
      <x:c r="L93" t="str">
        <x:f>IF(RAND()&lt;(('Team_Info'!$E$2-COUNTIF($B93:K93,"W"))/('Team_Info'!$E$4-10)),"W","B")</x:f>
        <x:v>B</x:v>
      </x:c>
      <x:c r="M93" t="str">
        <x:f>IF(RAND()&lt;(('Team_Info'!$E$2-COUNTIF($B93:L93,"W"))/('Team_Info'!$E$4-11)),"W","B")</x:f>
        <x:v>B</x:v>
      </x:c>
      <x:c r="N93" t="str">
        <x:f>IF(RAND()&lt;(('Team_Info'!$E$2-COUNTIF($B93:M93,"W"))/('Team_Info'!$E$4-12)),"W","B")</x:f>
        <x:v>W</x:v>
      </x:c>
      <x:c r="O93" t="str">
        <x:f>IF(RAND()&lt;(('Team_Info'!$E$2-COUNTIF($B93:N93,"W"))/('Team_Info'!$E$4-13)),"W","B")</x:f>
        <x:v>B</x:v>
      </x:c>
      <x:c r="P93" t="str">
        <x:f>IF(RAND()&lt;(('Team_Info'!$E$2-COUNTIF($B93:O93,"W"))/('Team_Info'!$E$4-14)),"W","B")</x:f>
        <x:v>B</x:v>
      </x:c>
      <x:c r="Q93" t="str">
        <x:f>IF(RAND()&lt;(('Team_Info'!$E$2-COUNTIF($B93:P93,"W"))/('Team_Info'!$E$4-15)),"W","B")</x:f>
        <x:v>B</x:v>
      </x:c>
      <x:c r="R93" t="str">
        <x:f>IF(RAND()&lt;(('Team_Info'!$E$2-COUNTIF($B93:Q93,"W"))/('Team_Info'!$E$4-16)),"W","B")</x:f>
        <x:v>B</x:v>
      </x:c>
      <x:c r="S93" t="str">
        <x:f>IF(RAND()&lt;(('Team_Info'!$E$2-COUNTIF($B93:R93,"W"))/('Team_Info'!$E$4-17)),"W","B")</x:f>
        <x:v>W</x:v>
      </x:c>
      <x:c r="T93" t="str">
        <x:f>IF(RAND()&lt;(('Team_Info'!$E$2-COUNTIF($B93:S93,"W"))/('Team_Info'!$E$4-18)),"W","B")</x:f>
        <x:v>B</x:v>
      </x:c>
      <x:c r="U93" t="str">
        <x:f>IF(RAND()&lt;(('Team_Info'!$E$2-COUNTIF($B93:T93,"W"))/('Team_Info'!$E$4-19)),"W","B")</x:f>
        <x:v>W</x:v>
      </x:c>
    </x:row>
    <x:row r="94">
      <x:c r="A94" s="1">
        <x:v>93</x:v>
      </x:c>
      <x:c r="B94" t="str">
        <x:f>IF(RAND()&lt;'Team_Info'!$E$5,"W","B")</x:f>
        <x:v>W</x:v>
      </x:c>
      <x:c r="C94" t="str">
        <x:f>IF(RAND()&lt;(('Team_Info'!$E$2-COUNTIF($B94:B94,"W"))/('Team_Info'!$E$4-1)),"W","B")</x:f>
        <x:v>B</x:v>
      </x:c>
      <x:c r="D94" t="str">
        <x:f>IF(RAND()&lt;(('Team_Info'!$E$2-COUNTIF($B94:C94,"W"))/('Team_Info'!$E$4-2)),"W","B")</x:f>
        <x:v>W</x:v>
      </x:c>
      <x:c r="E94" t="str">
        <x:f>IF(RAND()&lt;(('Team_Info'!$E$2-COUNTIF($B94:D94,"W"))/('Team_Info'!$E$4-3)),"W","B")</x:f>
        <x:v>B</x:v>
      </x:c>
      <x:c r="F94" t="str">
        <x:f>IF(RAND()&lt;(('Team_Info'!$E$2-COUNTIF($B94:E94,"W"))/('Team_Info'!$E$4-4)),"W","B")</x:f>
        <x:v>B</x:v>
      </x:c>
      <x:c r="G94" t="str">
        <x:f>IF(RAND()&lt;(('Team_Info'!$E$2-COUNTIF($B94:F94,"W"))/('Team_Info'!$E$4-5)),"W","B")</x:f>
        <x:v>W</x:v>
      </x:c>
      <x:c r="H94" t="str">
        <x:f>IF(RAND()&lt;(('Team_Info'!$E$2-COUNTIF($B94:G94,"W"))/('Team_Info'!$E$4-6)),"W","B")</x:f>
        <x:v>B</x:v>
      </x:c>
      <x:c r="I94" t="str">
        <x:f>IF(RAND()&lt;(('Team_Info'!$E$2-COUNTIF($B94:H94,"W"))/('Team_Info'!$E$4-7)),"W","B")</x:f>
        <x:v>B</x:v>
      </x:c>
      <x:c r="J94" t="str">
        <x:f>IF(RAND()&lt;(('Team_Info'!$E$2-COUNTIF($B94:I94,"W"))/('Team_Info'!$E$4-8)),"W","B")</x:f>
        <x:v>B</x:v>
      </x:c>
      <x:c r="K94" t="str">
        <x:f>IF(RAND()&lt;(('Team_Info'!$E$2-COUNTIF($B94:J94,"W"))/('Team_Info'!$E$4-9)),"W","B")</x:f>
        <x:v>B</x:v>
      </x:c>
      <x:c r="L94" t="str">
        <x:f>IF(RAND()&lt;(('Team_Info'!$E$2-COUNTIF($B94:K94,"W"))/('Team_Info'!$E$4-10)),"W","B")</x:f>
        <x:v>B</x:v>
      </x:c>
      <x:c r="M94" t="str">
        <x:f>IF(RAND()&lt;(('Team_Info'!$E$2-COUNTIF($B94:L94,"W"))/('Team_Info'!$E$4-11)),"W","B")</x:f>
        <x:v>B</x:v>
      </x:c>
      <x:c r="N94" t="str">
        <x:f>IF(RAND()&lt;(('Team_Info'!$E$2-COUNTIF($B94:M94,"W"))/('Team_Info'!$E$4-12)),"W","B")</x:f>
        <x:v>B</x:v>
      </x:c>
      <x:c r="O94" t="str">
        <x:f>IF(RAND()&lt;(('Team_Info'!$E$2-COUNTIF($B94:N94,"W"))/('Team_Info'!$E$4-13)),"W","B")</x:f>
        <x:v>B</x:v>
      </x:c>
      <x:c r="P94" t="str">
        <x:f>IF(RAND()&lt;(('Team_Info'!$E$2-COUNTIF($B94:O94,"W"))/('Team_Info'!$E$4-14)),"W","B")</x:f>
        <x:v>B</x:v>
      </x:c>
      <x:c r="Q94" t="str">
        <x:f>IF(RAND()&lt;(('Team_Info'!$E$2-COUNTIF($B94:P94,"W"))/('Team_Info'!$E$4-15)),"W","B")</x:f>
        <x:v>B</x:v>
      </x:c>
      <x:c r="R94" t="str">
        <x:f>IF(RAND()&lt;(('Team_Info'!$E$2-COUNTIF($B94:Q94,"W"))/('Team_Info'!$E$4-16)),"W","B")</x:f>
        <x:v>B</x:v>
      </x:c>
      <x:c r="S94" t="str">
        <x:f>IF(RAND()&lt;(('Team_Info'!$E$2-COUNTIF($B94:R94,"W"))/('Team_Info'!$E$4-17)),"W","B")</x:f>
        <x:v>B</x:v>
      </x:c>
      <x:c r="T94" t="str">
        <x:f>IF(RAND()&lt;(('Team_Info'!$E$2-COUNTIF($B94:S94,"W"))/('Team_Info'!$E$4-18)),"W","B")</x:f>
        <x:v>B</x:v>
      </x:c>
      <x:c r="U94" t="str">
        <x:f>IF(RAND()&lt;(('Team_Info'!$E$2-COUNTIF($B94:T94,"W"))/('Team_Info'!$E$4-19)),"W","B")</x:f>
        <x:v>W</x:v>
      </x:c>
    </x:row>
    <x:row r="95">
      <x:c r="A95" s="1">
        <x:v>94</x:v>
      </x:c>
      <x:c r="B95" t="str">
        <x:f>IF(RAND()&lt;'Team_Info'!$E$5,"W","B")</x:f>
        <x:v>W</x:v>
      </x:c>
      <x:c r="C95" t="str">
        <x:f>IF(RAND()&lt;(('Team_Info'!$E$2-COUNTIF($B95:B95,"W"))/('Team_Info'!$E$4-1)),"W","B")</x:f>
        <x:v>B</x:v>
      </x:c>
      <x:c r="D95" t="str">
        <x:f>IF(RAND()&lt;(('Team_Info'!$E$2-COUNTIF($B95:C95,"W"))/('Team_Info'!$E$4-2)),"W","B")</x:f>
        <x:v>B</x:v>
      </x:c>
      <x:c r="E95" t="str">
        <x:f>IF(RAND()&lt;(('Team_Info'!$E$2-COUNTIF($B95:D95,"W"))/('Team_Info'!$E$4-3)),"W","B")</x:f>
        <x:v>B</x:v>
      </x:c>
      <x:c r="F95" t="str">
        <x:f>IF(RAND()&lt;(('Team_Info'!$E$2-COUNTIF($B95:E95,"W"))/('Team_Info'!$E$4-4)),"W","B")</x:f>
        <x:v>W</x:v>
      </x:c>
      <x:c r="G95" t="str">
        <x:f>IF(RAND()&lt;(('Team_Info'!$E$2-COUNTIF($B95:F95,"W"))/('Team_Info'!$E$4-5)),"W","B")</x:f>
        <x:v>B</x:v>
      </x:c>
      <x:c r="H95" t="str">
        <x:f>IF(RAND()&lt;(('Team_Info'!$E$2-COUNTIF($B95:G95,"W"))/('Team_Info'!$E$4-6)),"W","B")</x:f>
        <x:v>B</x:v>
      </x:c>
      <x:c r="I95" t="str">
        <x:f>IF(RAND()&lt;(('Team_Info'!$E$2-COUNTIF($B95:H95,"W"))/('Team_Info'!$E$4-7)),"W","B")</x:f>
        <x:v>W</x:v>
      </x:c>
      <x:c r="J95" t="str">
        <x:f>IF(RAND()&lt;(('Team_Info'!$E$2-COUNTIF($B95:I95,"W"))/('Team_Info'!$E$4-8)),"W","B")</x:f>
        <x:v>B</x:v>
      </x:c>
      <x:c r="K95" t="str">
        <x:f>IF(RAND()&lt;(('Team_Info'!$E$2-COUNTIF($B95:J95,"W"))/('Team_Info'!$E$4-9)),"W","B")</x:f>
        <x:v>W</x:v>
      </x:c>
      <x:c r="L95" t="str">
        <x:f>IF(RAND()&lt;(('Team_Info'!$E$2-COUNTIF($B95:K95,"W"))/('Team_Info'!$E$4-10)),"W","B")</x:f>
        <x:v>B</x:v>
      </x:c>
      <x:c r="M95" t="str">
        <x:f>IF(RAND()&lt;(('Team_Info'!$E$2-COUNTIF($B95:L95,"W"))/('Team_Info'!$E$4-11)),"W","B")</x:f>
        <x:v>W</x:v>
      </x:c>
      <x:c r="N95" t="str">
        <x:f>IF(RAND()&lt;(('Team_Info'!$E$2-COUNTIF($B95:M95,"W"))/('Team_Info'!$E$4-12)),"W","B")</x:f>
        <x:v>W</x:v>
      </x:c>
      <x:c r="O95" t="str">
        <x:f>IF(RAND()&lt;(('Team_Info'!$E$2-COUNTIF($B95:N95,"W"))/('Team_Info'!$E$4-13)),"W","B")</x:f>
        <x:v>W</x:v>
      </x:c>
      <x:c r="P95" t="str">
        <x:f>IF(RAND()&lt;(('Team_Info'!$E$2-COUNTIF($B95:O95,"W"))/('Team_Info'!$E$4-14)),"W","B")</x:f>
        <x:v>B</x:v>
      </x:c>
      <x:c r="Q95" t="str">
        <x:f>IF(RAND()&lt;(('Team_Info'!$E$2-COUNTIF($B95:P95,"W"))/('Team_Info'!$E$4-15)),"W","B")</x:f>
        <x:v>W</x:v>
      </x:c>
      <x:c r="R95" t="str">
        <x:f>IF(RAND()&lt;(('Team_Info'!$E$2-COUNTIF($B95:Q95,"W"))/('Team_Info'!$E$4-16)),"W","B")</x:f>
        <x:v>B</x:v>
      </x:c>
      <x:c r="S95" t="str">
        <x:f>IF(RAND()&lt;(('Team_Info'!$E$2-COUNTIF($B95:R95,"W"))/('Team_Info'!$E$4-17)),"W","B")</x:f>
        <x:v>B</x:v>
      </x:c>
      <x:c r="T95" t="str">
        <x:f>IF(RAND()&lt;(('Team_Info'!$E$2-COUNTIF($B95:S95,"W"))/('Team_Info'!$E$4-18)),"W","B")</x:f>
        <x:v>B</x:v>
      </x:c>
      <x:c r="U95" t="str">
        <x:f>IF(RAND()&lt;(('Team_Info'!$E$2-COUNTIF($B95:T95,"W"))/('Team_Info'!$E$4-19)),"W","B")</x:f>
        <x:v>B</x:v>
      </x:c>
    </x:row>
    <x:row r="96">
      <x:c r="A96" s="1">
        <x:v>95</x:v>
      </x:c>
      <x:c r="B96" t="str">
        <x:f>IF(RAND()&lt;'Team_Info'!$E$5,"W","B")</x:f>
        <x:v>W</x:v>
      </x:c>
      <x:c r="C96" t="str">
        <x:f>IF(RAND()&lt;(('Team_Info'!$E$2-COUNTIF($B96:B96,"W"))/('Team_Info'!$E$4-1)),"W","B")</x:f>
        <x:v>B</x:v>
      </x:c>
      <x:c r="D96" t="str">
        <x:f>IF(RAND()&lt;(('Team_Info'!$E$2-COUNTIF($B96:C96,"W"))/('Team_Info'!$E$4-2)),"W","B")</x:f>
        <x:v>B</x:v>
      </x:c>
      <x:c r="E96" t="str">
        <x:f>IF(RAND()&lt;(('Team_Info'!$E$2-COUNTIF($B96:D96,"W"))/('Team_Info'!$E$4-3)),"W","B")</x:f>
        <x:v>B</x:v>
      </x:c>
      <x:c r="F96" t="str">
        <x:f>IF(RAND()&lt;(('Team_Info'!$E$2-COUNTIF($B96:E96,"W"))/('Team_Info'!$E$4-4)),"W","B")</x:f>
        <x:v>W</x:v>
      </x:c>
      <x:c r="G96" t="str">
        <x:f>IF(RAND()&lt;(('Team_Info'!$E$2-COUNTIF($B96:F96,"W"))/('Team_Info'!$E$4-5)),"W","B")</x:f>
        <x:v>W</x:v>
      </x:c>
      <x:c r="H96" t="str">
        <x:f>IF(RAND()&lt;(('Team_Info'!$E$2-COUNTIF($B96:G96,"W"))/('Team_Info'!$E$4-6)),"W","B")</x:f>
        <x:v>W</x:v>
      </x:c>
      <x:c r="I96" t="str">
        <x:f>IF(RAND()&lt;(('Team_Info'!$E$2-COUNTIF($B96:H96,"W"))/('Team_Info'!$E$4-7)),"W","B")</x:f>
        <x:v>B</x:v>
      </x:c>
      <x:c r="J96" t="str">
        <x:f>IF(RAND()&lt;(('Team_Info'!$E$2-COUNTIF($B96:I96,"W"))/('Team_Info'!$E$4-8)),"W","B")</x:f>
        <x:v>B</x:v>
      </x:c>
      <x:c r="K96" t="str">
        <x:f>IF(RAND()&lt;(('Team_Info'!$E$2-COUNTIF($B96:J96,"W"))/('Team_Info'!$E$4-9)),"W","B")</x:f>
        <x:v>W</x:v>
      </x:c>
      <x:c r="L96" t="str">
        <x:f>IF(RAND()&lt;(('Team_Info'!$E$2-COUNTIF($B96:K96,"W"))/('Team_Info'!$E$4-10)),"W","B")</x:f>
        <x:v>W</x:v>
      </x:c>
      <x:c r="M96" t="str">
        <x:f>IF(RAND()&lt;(('Team_Info'!$E$2-COUNTIF($B96:L96,"W"))/('Team_Info'!$E$4-11)),"W","B")</x:f>
        <x:v>W</x:v>
      </x:c>
      <x:c r="N96" t="str">
        <x:f>IF(RAND()&lt;(('Team_Info'!$E$2-COUNTIF($B96:M96,"W"))/('Team_Info'!$E$4-12)),"W","B")</x:f>
        <x:v>B</x:v>
      </x:c>
      <x:c r="O96" t="str">
        <x:f>IF(RAND()&lt;(('Team_Info'!$E$2-COUNTIF($B96:N96,"W"))/('Team_Info'!$E$4-13)),"W","B")</x:f>
        <x:v>W</x:v>
      </x:c>
      <x:c r="P96" t="str">
        <x:f>IF(RAND()&lt;(('Team_Info'!$E$2-COUNTIF($B96:O96,"W"))/('Team_Info'!$E$4-14)),"W","B")</x:f>
        <x:v>W</x:v>
      </x:c>
      <x:c r="Q96" t="str">
        <x:f>IF(RAND()&lt;(('Team_Info'!$E$2-COUNTIF($B96:P96,"W"))/('Team_Info'!$E$4-15)),"W","B")</x:f>
        <x:v>W</x:v>
      </x:c>
      <x:c r="R96" t="str">
        <x:f>IF(RAND()&lt;(('Team_Info'!$E$2-COUNTIF($B96:Q96,"W"))/('Team_Info'!$E$4-16)),"W","B")</x:f>
        <x:v>B</x:v>
      </x:c>
      <x:c r="S96" t="str">
        <x:f>IF(RAND()&lt;(('Team_Info'!$E$2-COUNTIF($B96:R96,"W"))/('Team_Info'!$E$4-17)),"W","B")</x:f>
        <x:v>W</x:v>
      </x:c>
      <x:c r="T96" t="str">
        <x:f>IF(RAND()&lt;(('Team_Info'!$E$2-COUNTIF($B96:S96,"W"))/('Team_Info'!$E$4-18)),"W","B")</x:f>
        <x:v>W</x:v>
      </x:c>
      <x:c r="U96" t="str">
        <x:f>IF(RAND()&lt;(('Team_Info'!$E$2-COUNTIF($B96:T96,"W"))/('Team_Info'!$E$4-19)),"W","B")</x:f>
        <x:v>B</x:v>
      </x:c>
    </x:row>
    <x:row r="97">
      <x:c r="A97" s="1">
        <x:v>96</x:v>
      </x:c>
      <x:c r="B97" t="str">
        <x:f>IF(RAND()&lt;'Team_Info'!$E$5,"W","B")</x:f>
        <x:v>B</x:v>
      </x:c>
      <x:c r="C97" t="str">
        <x:f>IF(RAND()&lt;(('Team_Info'!$E$2-COUNTIF($B97:B97,"W"))/('Team_Info'!$E$4-1)),"W","B")</x:f>
        <x:v>W</x:v>
      </x:c>
      <x:c r="D97" t="str">
        <x:f>IF(RAND()&lt;(('Team_Info'!$E$2-COUNTIF($B97:C97,"W"))/('Team_Info'!$E$4-2)),"W","B")</x:f>
        <x:v>W</x:v>
      </x:c>
      <x:c r="E97" t="str">
        <x:f>IF(RAND()&lt;(('Team_Info'!$E$2-COUNTIF($B97:D97,"W"))/('Team_Info'!$E$4-3)),"W","B")</x:f>
        <x:v>W</x:v>
      </x:c>
      <x:c r="F97" t="str">
        <x:f>IF(RAND()&lt;(('Team_Info'!$E$2-COUNTIF($B97:E97,"W"))/('Team_Info'!$E$4-4)),"W","B")</x:f>
        <x:v>W</x:v>
      </x:c>
      <x:c r="G97" t="str">
        <x:f>IF(RAND()&lt;(('Team_Info'!$E$2-COUNTIF($B97:F97,"W"))/('Team_Info'!$E$4-5)),"W","B")</x:f>
        <x:v>B</x:v>
      </x:c>
      <x:c r="H97" t="str">
        <x:f>IF(RAND()&lt;(('Team_Info'!$E$2-COUNTIF($B97:G97,"W"))/('Team_Info'!$E$4-6)),"W","B")</x:f>
        <x:v>B</x:v>
      </x:c>
      <x:c r="I97" t="str">
        <x:f>IF(RAND()&lt;(('Team_Info'!$E$2-COUNTIF($B97:H97,"W"))/('Team_Info'!$E$4-7)),"W","B")</x:f>
        <x:v>B</x:v>
      </x:c>
      <x:c r="J97" t="str">
        <x:f>IF(RAND()&lt;(('Team_Info'!$E$2-COUNTIF($B97:I97,"W"))/('Team_Info'!$E$4-8)),"W","B")</x:f>
        <x:v>W</x:v>
      </x:c>
      <x:c r="K97" t="str">
        <x:f>IF(RAND()&lt;(('Team_Info'!$E$2-COUNTIF($B97:J97,"W"))/('Team_Info'!$E$4-9)),"W","B")</x:f>
        <x:v>B</x:v>
      </x:c>
      <x:c r="L97" t="str">
        <x:f>IF(RAND()&lt;(('Team_Info'!$E$2-COUNTIF($B97:K97,"W"))/('Team_Info'!$E$4-10)),"W","B")</x:f>
        <x:v>W</x:v>
      </x:c>
      <x:c r="M97" t="str">
        <x:f>IF(RAND()&lt;(('Team_Info'!$E$2-COUNTIF($B97:L97,"W"))/('Team_Info'!$E$4-11)),"W","B")</x:f>
        <x:v>B</x:v>
      </x:c>
      <x:c r="N97" t="str">
        <x:f>IF(RAND()&lt;(('Team_Info'!$E$2-COUNTIF($B97:M97,"W"))/('Team_Info'!$E$4-12)),"W","B")</x:f>
        <x:v>W</x:v>
      </x:c>
      <x:c r="O97" t="str">
        <x:f>IF(RAND()&lt;(('Team_Info'!$E$2-COUNTIF($B97:N97,"W"))/('Team_Info'!$E$4-13)),"W","B")</x:f>
        <x:v>B</x:v>
      </x:c>
      <x:c r="P97" t="str">
        <x:f>IF(RAND()&lt;(('Team_Info'!$E$2-COUNTIF($B97:O97,"W"))/('Team_Info'!$E$4-14)),"W","B")</x:f>
        <x:v>B</x:v>
      </x:c>
      <x:c r="Q97" t="str">
        <x:f>IF(RAND()&lt;(('Team_Info'!$E$2-COUNTIF($B97:P97,"W"))/('Team_Info'!$E$4-15)),"W","B")</x:f>
        <x:v>B</x:v>
      </x:c>
      <x:c r="R97" t="str">
        <x:f>IF(RAND()&lt;(('Team_Info'!$E$2-COUNTIF($B97:Q97,"W"))/('Team_Info'!$E$4-16)),"W","B")</x:f>
        <x:v>W</x:v>
      </x:c>
      <x:c r="S97" t="str">
        <x:f>IF(RAND()&lt;(('Team_Info'!$E$2-COUNTIF($B97:R97,"W"))/('Team_Info'!$E$4-17)),"W","B")</x:f>
        <x:v>B</x:v>
      </x:c>
      <x:c r="T97" t="str">
        <x:f>IF(RAND()&lt;(('Team_Info'!$E$2-COUNTIF($B97:S97,"W"))/('Team_Info'!$E$4-18)),"W","B")</x:f>
        <x:v>W</x:v>
      </x:c>
      <x:c r="U97" t="str">
        <x:f>IF(RAND()&lt;(('Team_Info'!$E$2-COUNTIF($B97:T97,"W"))/('Team_Info'!$E$4-19)),"W","B")</x:f>
        <x:v>B</x:v>
      </x:c>
    </x:row>
    <x:row r="98">
      <x:c r="A98" s="1">
        <x:v>97</x:v>
      </x:c>
      <x:c r="B98" t="str">
        <x:f>IF(RAND()&lt;'Team_Info'!$E$5,"W","B")</x:f>
        <x:v>B</x:v>
      </x:c>
      <x:c r="C98" t="str">
        <x:f>IF(RAND()&lt;(('Team_Info'!$E$2-COUNTIF($B98:B98,"W"))/('Team_Info'!$E$4-1)),"W","B")</x:f>
        <x:v>B</x:v>
      </x:c>
      <x:c r="D98" t="str">
        <x:f>IF(RAND()&lt;(('Team_Info'!$E$2-COUNTIF($B98:C98,"W"))/('Team_Info'!$E$4-2)),"W","B")</x:f>
        <x:v>B</x:v>
      </x:c>
      <x:c r="E98" t="str">
        <x:f>IF(RAND()&lt;(('Team_Info'!$E$2-COUNTIF($B98:D98,"W"))/('Team_Info'!$E$4-3)),"W","B")</x:f>
        <x:v>W</x:v>
      </x:c>
      <x:c r="F98" t="str">
        <x:f>IF(RAND()&lt;(('Team_Info'!$E$2-COUNTIF($B98:E98,"W"))/('Team_Info'!$E$4-4)),"W","B")</x:f>
        <x:v>B</x:v>
      </x:c>
      <x:c r="G98" t="str">
        <x:f>IF(RAND()&lt;(('Team_Info'!$E$2-COUNTIF($B98:F98,"W"))/('Team_Info'!$E$4-5)),"W","B")</x:f>
        <x:v>B</x:v>
      </x:c>
      <x:c r="H98" t="str">
        <x:f>IF(RAND()&lt;(('Team_Info'!$E$2-COUNTIF($B98:G98,"W"))/('Team_Info'!$E$4-6)),"W","B")</x:f>
        <x:v>W</x:v>
      </x:c>
      <x:c r="I98" t="str">
        <x:f>IF(RAND()&lt;(('Team_Info'!$E$2-COUNTIF($B98:H98,"W"))/('Team_Info'!$E$4-7)),"W","B")</x:f>
        <x:v>B</x:v>
      </x:c>
      <x:c r="J98" t="str">
        <x:f>IF(RAND()&lt;(('Team_Info'!$E$2-COUNTIF($B98:I98,"W"))/('Team_Info'!$E$4-8)),"W","B")</x:f>
        <x:v>W</x:v>
      </x:c>
      <x:c r="K98" t="str">
        <x:f>IF(RAND()&lt;(('Team_Info'!$E$2-COUNTIF($B98:J98,"W"))/('Team_Info'!$E$4-9)),"W","B")</x:f>
        <x:v>B</x:v>
      </x:c>
      <x:c r="L98" t="str">
        <x:f>IF(RAND()&lt;(('Team_Info'!$E$2-COUNTIF($B98:K98,"W"))/('Team_Info'!$E$4-10)),"W","B")</x:f>
        <x:v>B</x:v>
      </x:c>
      <x:c r="M98" t="str">
        <x:f>IF(RAND()&lt;(('Team_Info'!$E$2-COUNTIF($B98:L98,"W"))/('Team_Info'!$E$4-11)),"W","B")</x:f>
        <x:v>B</x:v>
      </x:c>
      <x:c r="N98" t="str">
        <x:f>IF(RAND()&lt;(('Team_Info'!$E$2-COUNTIF($B98:M98,"W"))/('Team_Info'!$E$4-12)),"W","B")</x:f>
        <x:v>B</x:v>
      </x:c>
      <x:c r="O98" t="str">
        <x:f>IF(RAND()&lt;(('Team_Info'!$E$2-COUNTIF($B98:N98,"W"))/('Team_Info'!$E$4-13)),"W","B")</x:f>
        <x:v>B</x:v>
      </x:c>
      <x:c r="P98" t="str">
        <x:f>IF(RAND()&lt;(('Team_Info'!$E$2-COUNTIF($B98:O98,"W"))/('Team_Info'!$E$4-14)),"W","B")</x:f>
        <x:v>W</x:v>
      </x:c>
      <x:c r="Q98" t="str">
        <x:f>IF(RAND()&lt;(('Team_Info'!$E$2-COUNTIF($B98:P98,"W"))/('Team_Info'!$E$4-15)),"W","B")</x:f>
        <x:v>B</x:v>
      </x:c>
      <x:c r="R98" t="str">
        <x:f>IF(RAND()&lt;(('Team_Info'!$E$2-COUNTIF($B98:Q98,"W"))/('Team_Info'!$E$4-16)),"W","B")</x:f>
        <x:v>W</x:v>
      </x:c>
      <x:c r="S98" t="str">
        <x:f>IF(RAND()&lt;(('Team_Info'!$E$2-COUNTIF($B98:R98,"W"))/('Team_Info'!$E$4-17)),"W","B")</x:f>
        <x:v>W</x:v>
      </x:c>
      <x:c r="T98" t="str">
        <x:f>IF(RAND()&lt;(('Team_Info'!$E$2-COUNTIF($B98:S98,"W"))/('Team_Info'!$E$4-18)),"W","B")</x:f>
        <x:v>B</x:v>
      </x:c>
      <x:c r="U98" t="str">
        <x:f>IF(RAND()&lt;(('Team_Info'!$E$2-COUNTIF($B98:T98,"W"))/('Team_Info'!$E$4-19)),"W","B")</x:f>
        <x:v>B</x:v>
      </x:c>
    </x:row>
    <x:row r="99">
      <x:c r="A99" s="1">
        <x:v>98</x:v>
      </x:c>
      <x:c r="B99" t="str">
        <x:f>IF(RAND()&lt;'Team_Info'!$E$5,"W","B")</x:f>
        <x:v>B</x:v>
      </x:c>
      <x:c r="C99" t="str">
        <x:f>IF(RAND()&lt;(('Team_Info'!$E$2-COUNTIF($B99:B99,"W"))/('Team_Info'!$E$4-1)),"W","B")</x:f>
        <x:v>B</x:v>
      </x:c>
      <x:c r="D99" t="str">
        <x:f>IF(RAND()&lt;(('Team_Info'!$E$2-COUNTIF($B99:C99,"W"))/('Team_Info'!$E$4-2)),"W","B")</x:f>
        <x:v>B</x:v>
      </x:c>
      <x:c r="E99" t="str">
        <x:f>IF(RAND()&lt;(('Team_Info'!$E$2-COUNTIF($B99:D99,"W"))/('Team_Info'!$E$4-3)),"W","B")</x:f>
        <x:v>B</x:v>
      </x:c>
      <x:c r="F99" t="str">
        <x:f>IF(RAND()&lt;(('Team_Info'!$E$2-COUNTIF($B99:E99,"W"))/('Team_Info'!$E$4-4)),"W","B")</x:f>
        <x:v>B</x:v>
      </x:c>
      <x:c r="G99" t="str">
        <x:f>IF(RAND()&lt;(('Team_Info'!$E$2-COUNTIF($B99:F99,"W"))/('Team_Info'!$E$4-5)),"W","B")</x:f>
        <x:v>B</x:v>
      </x:c>
      <x:c r="H99" t="str">
        <x:f>IF(RAND()&lt;(('Team_Info'!$E$2-COUNTIF($B99:G99,"W"))/('Team_Info'!$E$4-6)),"W","B")</x:f>
        <x:v>B</x:v>
      </x:c>
      <x:c r="I99" t="str">
        <x:f>IF(RAND()&lt;(('Team_Info'!$E$2-COUNTIF($B99:H99,"W"))/('Team_Info'!$E$4-7)),"W","B")</x:f>
        <x:v>W</x:v>
      </x:c>
      <x:c r="J99" t="str">
        <x:f>IF(RAND()&lt;(('Team_Info'!$E$2-COUNTIF($B99:I99,"W"))/('Team_Info'!$E$4-8)),"W","B")</x:f>
        <x:v>B</x:v>
      </x:c>
      <x:c r="K99" t="str">
        <x:f>IF(RAND()&lt;(('Team_Info'!$E$2-COUNTIF($B99:J99,"W"))/('Team_Info'!$E$4-9)),"W","B")</x:f>
        <x:v>W</x:v>
      </x:c>
      <x:c r="L99" t="str">
        <x:f>IF(RAND()&lt;(('Team_Info'!$E$2-COUNTIF($B99:K99,"W"))/('Team_Info'!$E$4-10)),"W","B")</x:f>
        <x:v>B</x:v>
      </x:c>
      <x:c r="M99" t="str">
        <x:f>IF(RAND()&lt;(('Team_Info'!$E$2-COUNTIF($B99:L99,"W"))/('Team_Info'!$E$4-11)),"W","B")</x:f>
        <x:v>W</x:v>
      </x:c>
      <x:c r="N99" t="str">
        <x:f>IF(RAND()&lt;(('Team_Info'!$E$2-COUNTIF($B99:M99,"W"))/('Team_Info'!$E$4-12)),"W","B")</x:f>
        <x:v>W</x:v>
      </x:c>
      <x:c r="O99" t="str">
        <x:f>IF(RAND()&lt;(('Team_Info'!$E$2-COUNTIF($B99:N99,"W"))/('Team_Info'!$E$4-13)),"W","B")</x:f>
        <x:v>W</x:v>
      </x:c>
      <x:c r="P99" t="str">
        <x:f>IF(RAND()&lt;(('Team_Info'!$E$2-COUNTIF($B99:O99,"W"))/('Team_Info'!$E$4-14)),"W","B")</x:f>
        <x:v>B</x:v>
      </x:c>
      <x:c r="Q99" t="str">
        <x:f>IF(RAND()&lt;(('Team_Info'!$E$2-COUNTIF($B99:P99,"W"))/('Team_Info'!$E$4-15)),"W","B")</x:f>
        <x:v>W</x:v>
      </x:c>
      <x:c r="R99" t="str">
        <x:f>IF(RAND()&lt;(('Team_Info'!$E$2-COUNTIF($B99:Q99,"W"))/('Team_Info'!$E$4-16)),"W","B")</x:f>
        <x:v>B</x:v>
      </x:c>
      <x:c r="S99" t="str">
        <x:f>IF(RAND()&lt;(('Team_Info'!$E$2-COUNTIF($B99:R99,"W"))/('Team_Info'!$E$4-17)),"W","B")</x:f>
        <x:v>W</x:v>
      </x:c>
      <x:c r="T99" t="str">
        <x:f>IF(RAND()&lt;(('Team_Info'!$E$2-COUNTIF($B99:S99,"W"))/('Team_Info'!$E$4-18)),"W","B")</x:f>
        <x:v>W</x:v>
      </x:c>
      <x:c r="U99" t="str">
        <x:f>IF(RAND()&lt;(('Team_Info'!$E$2-COUNTIF($B99:T99,"W"))/('Team_Info'!$E$4-19)),"W","B")</x:f>
        <x:v>B</x:v>
      </x:c>
    </x:row>
    <x:row r="100">
      <x:c r="A100" s="1">
        <x:v>99</x:v>
      </x:c>
      <x:c r="B100" t="str">
        <x:f>IF(RAND()&lt;'Team_Info'!$E$5,"W","B")</x:f>
        <x:v>B</x:v>
      </x:c>
      <x:c r="C100" t="str">
        <x:f>IF(RAND()&lt;(('Team_Info'!$E$2-COUNTIF($B100:B100,"W"))/('Team_Info'!$E$4-1)),"W","B")</x:f>
        <x:v>B</x:v>
      </x:c>
      <x:c r="D100" t="str">
        <x:f>IF(RAND()&lt;(('Team_Info'!$E$2-COUNTIF($B100:C100,"W"))/('Team_Info'!$E$4-2)),"W","B")</x:f>
        <x:v>B</x:v>
      </x:c>
      <x:c r="E100" t="str">
        <x:f>IF(RAND()&lt;(('Team_Info'!$E$2-COUNTIF($B100:D100,"W"))/('Team_Info'!$E$4-3)),"W","B")</x:f>
        <x:v>B</x:v>
      </x:c>
      <x:c r="F100" t="str">
        <x:f>IF(RAND()&lt;(('Team_Info'!$E$2-COUNTIF($B100:E100,"W"))/('Team_Info'!$E$4-4)),"W","B")</x:f>
        <x:v>B</x:v>
      </x:c>
      <x:c r="G100" t="str">
        <x:f>IF(RAND()&lt;(('Team_Info'!$E$2-COUNTIF($B100:F100,"W"))/('Team_Info'!$E$4-5)),"W","B")</x:f>
        <x:v>B</x:v>
      </x:c>
      <x:c r="H100" t="str">
        <x:f>IF(RAND()&lt;(('Team_Info'!$E$2-COUNTIF($B100:G100,"W"))/('Team_Info'!$E$4-6)),"W","B")</x:f>
        <x:v>W</x:v>
      </x:c>
      <x:c r="I100" t="str">
        <x:f>IF(RAND()&lt;(('Team_Info'!$E$2-COUNTIF($B100:H100,"W"))/('Team_Info'!$E$4-7)),"W","B")</x:f>
        <x:v>B</x:v>
      </x:c>
      <x:c r="J100" t="str">
        <x:f>IF(RAND()&lt;(('Team_Info'!$E$2-COUNTIF($B100:I100,"W"))/('Team_Info'!$E$4-8)),"W","B")</x:f>
        <x:v>W</x:v>
      </x:c>
      <x:c r="K100" t="str">
        <x:f>IF(RAND()&lt;(('Team_Info'!$E$2-COUNTIF($B100:J100,"W"))/('Team_Info'!$E$4-9)),"W","B")</x:f>
        <x:v>B</x:v>
      </x:c>
      <x:c r="L100" t="str">
        <x:f>IF(RAND()&lt;(('Team_Info'!$E$2-COUNTIF($B100:K100,"W"))/('Team_Info'!$E$4-10)),"W","B")</x:f>
        <x:v>W</x:v>
      </x:c>
      <x:c r="M100" t="str">
        <x:f>IF(RAND()&lt;(('Team_Info'!$E$2-COUNTIF($B100:L100,"W"))/('Team_Info'!$E$4-11)),"W","B")</x:f>
        <x:v>B</x:v>
      </x:c>
      <x:c r="N100" t="str">
        <x:f>IF(RAND()&lt;(('Team_Info'!$E$2-COUNTIF($B100:M100,"W"))/('Team_Info'!$E$4-12)),"W","B")</x:f>
        <x:v>B</x:v>
      </x:c>
      <x:c r="O100" t="str">
        <x:f>IF(RAND()&lt;(('Team_Info'!$E$2-COUNTIF($B100:N100,"W"))/('Team_Info'!$E$4-13)),"W","B")</x:f>
        <x:v>B</x:v>
      </x:c>
      <x:c r="P100" t="str">
        <x:f>IF(RAND()&lt;(('Team_Info'!$E$2-COUNTIF($B100:O100,"W"))/('Team_Info'!$E$4-14)),"W","B")</x:f>
        <x:v>B</x:v>
      </x:c>
      <x:c r="Q100" t="str">
        <x:f>IF(RAND()&lt;(('Team_Info'!$E$2-COUNTIF($B100:P100,"W"))/('Team_Info'!$E$4-15)),"W","B")</x:f>
        <x:v>W</x:v>
      </x:c>
      <x:c r="R100" t="str">
        <x:f>IF(RAND()&lt;(('Team_Info'!$E$2-COUNTIF($B100:Q100,"W"))/('Team_Info'!$E$4-16)),"W","B")</x:f>
        <x:v>W</x:v>
      </x:c>
      <x:c r="S100" t="str">
        <x:f>IF(RAND()&lt;(('Team_Info'!$E$2-COUNTIF($B100:R100,"W"))/('Team_Info'!$E$4-17)),"W","B")</x:f>
        <x:v>B</x:v>
      </x:c>
      <x:c r="T100" t="str">
        <x:f>IF(RAND()&lt;(('Team_Info'!$E$2-COUNTIF($B100:S100,"W"))/('Team_Info'!$E$4-18)),"W","B")</x:f>
        <x:v>B</x:v>
      </x:c>
      <x:c r="U100" t="str">
        <x:f>IF(RAND()&lt;(('Team_Info'!$E$2-COUNTIF($B100:T100,"W"))/('Team_Info'!$E$4-19)),"W","B")</x:f>
        <x:v>W</x:v>
      </x:c>
    </x:row>
    <x:row r="101">
      <x:c r="A101" s="1">
        <x:v>100</x:v>
      </x:c>
      <x:c r="B101" t="str">
        <x:f>IF(RAND()&lt;'Team_Info'!$E$5,"W","B")</x:f>
        <x:v>W</x:v>
      </x:c>
      <x:c r="C101" t="str">
        <x:f>IF(RAND()&lt;(('Team_Info'!$E$2-COUNTIF($B101:B101,"W"))/('Team_Info'!$E$4-1)),"W","B")</x:f>
        <x:v>B</x:v>
      </x:c>
      <x:c r="D101" t="str">
        <x:f>IF(RAND()&lt;(('Team_Info'!$E$2-COUNTIF($B101:C101,"W"))/('Team_Info'!$E$4-2)),"W","B")</x:f>
        <x:v>B</x:v>
      </x:c>
      <x:c r="E101" t="str">
        <x:f>IF(RAND()&lt;(('Team_Info'!$E$2-COUNTIF($B101:D101,"W"))/('Team_Info'!$E$4-3)),"W","B")</x:f>
        <x:v>B</x:v>
      </x:c>
      <x:c r="F101" t="str">
        <x:f>IF(RAND()&lt;(('Team_Info'!$E$2-COUNTIF($B101:E101,"W"))/('Team_Info'!$E$4-4)),"W","B")</x:f>
        <x:v>B</x:v>
      </x:c>
      <x:c r="G101" t="str">
        <x:f>IF(RAND()&lt;(('Team_Info'!$E$2-COUNTIF($B101:F101,"W"))/('Team_Info'!$E$4-5)),"W","B")</x:f>
        <x:v>B</x:v>
      </x:c>
      <x:c r="H101" t="str">
        <x:f>IF(RAND()&lt;(('Team_Info'!$E$2-COUNTIF($B101:G101,"W"))/('Team_Info'!$E$4-6)),"W","B")</x:f>
        <x:v>B</x:v>
      </x:c>
      <x:c r="I101" t="str">
        <x:f>IF(RAND()&lt;(('Team_Info'!$E$2-COUNTIF($B101:H101,"W"))/('Team_Info'!$E$4-7)),"W","B")</x:f>
        <x:v>B</x:v>
      </x:c>
      <x:c r="J101" t="str">
        <x:f>IF(RAND()&lt;(('Team_Info'!$E$2-COUNTIF($B101:I101,"W"))/('Team_Info'!$E$4-8)),"W","B")</x:f>
        <x:v>B</x:v>
      </x:c>
      <x:c r="K101" t="str">
        <x:f>IF(RAND()&lt;(('Team_Info'!$E$2-COUNTIF($B101:J101,"W"))/('Team_Info'!$E$4-9)),"W","B")</x:f>
        <x:v>B</x:v>
      </x:c>
      <x:c r="L101" t="str">
        <x:f>IF(RAND()&lt;(('Team_Info'!$E$2-COUNTIF($B101:K101,"W"))/('Team_Info'!$E$4-10)),"W","B")</x:f>
        <x:v>W</x:v>
      </x:c>
      <x:c r="M101" t="str">
        <x:f>IF(RAND()&lt;(('Team_Info'!$E$2-COUNTIF($B101:L101,"W"))/('Team_Info'!$E$4-11)),"W","B")</x:f>
        <x:v>B</x:v>
      </x:c>
      <x:c r="N101" t="str">
        <x:f>IF(RAND()&lt;(('Team_Info'!$E$2-COUNTIF($B101:M101,"W"))/('Team_Info'!$E$4-12)),"W","B")</x:f>
        <x:v>W</x:v>
      </x:c>
      <x:c r="O101" t="str">
        <x:f>IF(RAND()&lt;(('Team_Info'!$E$2-COUNTIF($B101:N101,"W"))/('Team_Info'!$E$4-13)),"W","B")</x:f>
        <x:v>W</x:v>
      </x:c>
      <x:c r="P101" t="str">
        <x:f>IF(RAND()&lt;(('Team_Info'!$E$2-COUNTIF($B101:O101,"W"))/('Team_Info'!$E$4-14)),"W","B")</x:f>
        <x:v>B</x:v>
      </x:c>
      <x:c r="Q101" t="str">
        <x:f>IF(RAND()&lt;(('Team_Info'!$E$2-COUNTIF($B101:P101,"W"))/('Team_Info'!$E$4-15)),"W","B")</x:f>
        <x:v>B</x:v>
      </x:c>
      <x:c r="R101" t="str">
        <x:f>IF(RAND()&lt;(('Team_Info'!$E$2-COUNTIF($B101:Q101,"W"))/('Team_Info'!$E$4-16)),"W","B")</x:f>
        <x:v>B</x:v>
      </x:c>
      <x:c r="S101" t="str">
        <x:f>IF(RAND()&lt;(('Team_Info'!$E$2-COUNTIF($B101:R101,"W"))/('Team_Info'!$E$4-17)),"W","B")</x:f>
        <x:v>B</x:v>
      </x:c>
      <x:c r="T101" t="str">
        <x:f>IF(RAND()&lt;(('Team_Info'!$E$2-COUNTIF($B101:S101,"W"))/('Team_Info'!$E$4-18)),"W","B")</x:f>
        <x:v>B</x:v>
      </x:c>
      <x:c r="U101" t="str">
        <x:f>IF(RAND()&lt;(('Team_Info'!$E$2-COUNTIF($B101:T101,"W"))/('Team_Info'!$E$4-19)),"W","B")</x:f>
        <x:v>B</x:v>
      </x:c>
    </x:row>
    <x:row r="102">
      <x:c r="A102" s="1">
        <x:v>101</x:v>
      </x:c>
      <x:c r="B102" t="str">
        <x:f>IF(RAND()&lt;'Team_Info'!$E$5,"W","B")</x:f>
        <x:v>W</x:v>
      </x:c>
      <x:c r="C102" t="str">
        <x:f>IF(RAND()&lt;(('Team_Info'!$E$2-COUNTIF($B102:B102,"W"))/('Team_Info'!$E$4-1)),"W","B")</x:f>
        <x:v>B</x:v>
      </x:c>
      <x:c r="D102" t="str">
        <x:f>IF(RAND()&lt;(('Team_Info'!$E$2-COUNTIF($B102:C102,"W"))/('Team_Info'!$E$4-2)),"W","B")</x:f>
        <x:v>B</x:v>
      </x:c>
      <x:c r="E102" t="str">
        <x:f>IF(RAND()&lt;(('Team_Info'!$E$2-COUNTIF($B102:D102,"W"))/('Team_Info'!$E$4-3)),"W","B")</x:f>
        <x:v>B</x:v>
      </x:c>
      <x:c r="F102" t="str">
        <x:f>IF(RAND()&lt;(('Team_Info'!$E$2-COUNTIF($B102:E102,"W"))/('Team_Info'!$E$4-4)),"W","B")</x:f>
        <x:v>W</x:v>
      </x:c>
      <x:c r="G102" t="str">
        <x:f>IF(RAND()&lt;(('Team_Info'!$E$2-COUNTIF($B102:F102,"W"))/('Team_Info'!$E$4-5)),"W","B")</x:f>
        <x:v>B</x:v>
      </x:c>
      <x:c r="H102" t="str">
        <x:f>IF(RAND()&lt;(('Team_Info'!$E$2-COUNTIF($B102:G102,"W"))/('Team_Info'!$E$4-6)),"W","B")</x:f>
        <x:v>B</x:v>
      </x:c>
      <x:c r="I102" t="str">
        <x:f>IF(RAND()&lt;(('Team_Info'!$E$2-COUNTIF($B102:H102,"W"))/('Team_Info'!$E$4-7)),"W","B")</x:f>
        <x:v>B</x:v>
      </x:c>
      <x:c r="J102" t="str">
        <x:f>IF(RAND()&lt;(('Team_Info'!$E$2-COUNTIF($B102:I102,"W"))/('Team_Info'!$E$4-8)),"W","B")</x:f>
        <x:v>W</x:v>
      </x:c>
      <x:c r="K102" t="str">
        <x:f>IF(RAND()&lt;(('Team_Info'!$E$2-COUNTIF($B102:J102,"W"))/('Team_Info'!$E$4-9)),"W","B")</x:f>
        <x:v>B</x:v>
      </x:c>
      <x:c r="L102" t="str">
        <x:f>IF(RAND()&lt;(('Team_Info'!$E$2-COUNTIF($B102:K102,"W"))/('Team_Info'!$E$4-10)),"W","B")</x:f>
        <x:v>B</x:v>
      </x:c>
      <x:c r="M102" t="str">
        <x:f>IF(RAND()&lt;(('Team_Info'!$E$2-COUNTIF($B102:L102,"W"))/('Team_Info'!$E$4-11)),"W","B")</x:f>
        <x:v>B</x:v>
      </x:c>
      <x:c r="N102" t="str">
        <x:f>IF(RAND()&lt;(('Team_Info'!$E$2-COUNTIF($B102:M102,"W"))/('Team_Info'!$E$4-12)),"W","B")</x:f>
        <x:v>B</x:v>
      </x:c>
      <x:c r="O102" t="str">
        <x:f>IF(RAND()&lt;(('Team_Info'!$E$2-COUNTIF($B102:N102,"W"))/('Team_Info'!$E$4-13)),"W","B")</x:f>
        <x:v>W</x:v>
      </x:c>
      <x:c r="P102" t="str">
        <x:f>IF(RAND()&lt;(('Team_Info'!$E$2-COUNTIF($B102:O102,"W"))/('Team_Info'!$E$4-14)),"W","B")</x:f>
        <x:v>B</x:v>
      </x:c>
      <x:c r="Q102" t="str">
        <x:f>IF(RAND()&lt;(('Team_Info'!$E$2-COUNTIF($B102:P102,"W"))/('Team_Info'!$E$4-15)),"W","B")</x:f>
        <x:v>B</x:v>
      </x:c>
      <x:c r="R102" t="str">
        <x:f>IF(RAND()&lt;(('Team_Info'!$E$2-COUNTIF($B102:Q102,"W"))/('Team_Info'!$E$4-16)),"W","B")</x:f>
        <x:v>W</x:v>
      </x:c>
      <x:c r="S102" t="str">
        <x:f>IF(RAND()&lt;(('Team_Info'!$E$2-COUNTIF($B102:R102,"W"))/('Team_Info'!$E$4-17)),"W","B")</x:f>
        <x:v>B</x:v>
      </x:c>
      <x:c r="T102" t="str">
        <x:f>IF(RAND()&lt;(('Team_Info'!$E$2-COUNTIF($B102:S102,"W"))/('Team_Info'!$E$4-18)),"W","B")</x:f>
        <x:v>B</x:v>
      </x:c>
      <x:c r="U102" t="str">
        <x:f>IF(RAND()&lt;(('Team_Info'!$E$2-COUNTIF($B102:T102,"W"))/('Team_Info'!$E$4-19)),"W","B")</x:f>
        <x:v>B</x:v>
      </x:c>
    </x:row>
    <x:row r="103">
      <x:c r="A103" s="1">
        <x:v>102</x:v>
      </x:c>
      <x:c r="B103" t="str">
        <x:f>IF(RAND()&lt;'Team_Info'!$E$5,"W","B")</x:f>
        <x:v>W</x:v>
      </x:c>
      <x:c r="C103" t="str">
        <x:f>IF(RAND()&lt;(('Team_Info'!$E$2-COUNTIF($B103:B103,"W"))/('Team_Info'!$E$4-1)),"W","B")</x:f>
        <x:v>W</x:v>
      </x:c>
      <x:c r="D103" t="str">
        <x:f>IF(RAND()&lt;(('Team_Info'!$E$2-COUNTIF($B103:C103,"W"))/('Team_Info'!$E$4-2)),"W","B")</x:f>
        <x:v>W</x:v>
      </x:c>
      <x:c r="E103" t="str">
        <x:f>IF(RAND()&lt;(('Team_Info'!$E$2-COUNTIF($B103:D103,"W"))/('Team_Info'!$E$4-3)),"W","B")</x:f>
        <x:v>W</x:v>
      </x:c>
      <x:c r="F103" t="str">
        <x:f>IF(RAND()&lt;(('Team_Info'!$E$2-COUNTIF($B103:E103,"W"))/('Team_Info'!$E$4-4)),"W","B")</x:f>
        <x:v>W</x:v>
      </x:c>
      <x:c r="G103" t="str">
        <x:f>IF(RAND()&lt;(('Team_Info'!$E$2-COUNTIF($B103:F103,"W"))/('Team_Info'!$E$4-5)),"W","B")</x:f>
        <x:v>W</x:v>
      </x:c>
      <x:c r="H103" t="str">
        <x:f>IF(RAND()&lt;(('Team_Info'!$E$2-COUNTIF($B103:G103,"W"))/('Team_Info'!$E$4-6)),"W","B")</x:f>
        <x:v>W</x:v>
      </x:c>
      <x:c r="I103" t="str">
        <x:f>IF(RAND()&lt;(('Team_Info'!$E$2-COUNTIF($B103:H103,"W"))/('Team_Info'!$E$4-7)),"W","B")</x:f>
        <x:v>W</x:v>
      </x:c>
      <x:c r="J103" t="str">
        <x:f>IF(RAND()&lt;(('Team_Info'!$E$2-COUNTIF($B103:I103,"W"))/('Team_Info'!$E$4-8)),"W","B")</x:f>
        <x:v>B</x:v>
      </x:c>
      <x:c r="K103" t="str">
        <x:f>IF(RAND()&lt;(('Team_Info'!$E$2-COUNTIF($B103:J103,"W"))/('Team_Info'!$E$4-9)),"W","B")</x:f>
        <x:v>W</x:v>
      </x:c>
      <x:c r="L103" t="str">
        <x:f>IF(RAND()&lt;(('Team_Info'!$E$2-COUNTIF($B103:K103,"W"))/('Team_Info'!$E$4-10)),"W","B")</x:f>
        <x:v>W</x:v>
      </x:c>
      <x:c r="M103" t="str">
        <x:f>IF(RAND()&lt;(('Team_Info'!$E$2-COUNTIF($B103:L103,"W"))/('Team_Info'!$E$4-11)),"W","B")</x:f>
        <x:v>B</x:v>
      </x:c>
      <x:c r="N103" t="str">
        <x:f>IF(RAND()&lt;(('Team_Info'!$E$2-COUNTIF($B103:M103,"W"))/('Team_Info'!$E$4-12)),"W","B")</x:f>
        <x:v>B</x:v>
      </x:c>
      <x:c r="O103" t="str">
        <x:f>IF(RAND()&lt;(('Team_Info'!$E$2-COUNTIF($B103:N103,"W"))/('Team_Info'!$E$4-13)),"W","B")</x:f>
        <x:v>W</x:v>
      </x:c>
      <x:c r="P103" t="str">
        <x:f>IF(RAND()&lt;(('Team_Info'!$E$2-COUNTIF($B103:O103,"W"))/('Team_Info'!$E$4-14)),"W","B")</x:f>
        <x:v>B</x:v>
      </x:c>
      <x:c r="Q103" t="str">
        <x:f>IF(RAND()&lt;(('Team_Info'!$E$2-COUNTIF($B103:P103,"W"))/('Team_Info'!$E$4-15)),"W","B")</x:f>
        <x:v>B</x:v>
      </x:c>
      <x:c r="R103" t="str">
        <x:f>IF(RAND()&lt;(('Team_Info'!$E$2-COUNTIF($B103:Q103,"W"))/('Team_Info'!$E$4-16)),"W","B")</x:f>
        <x:v>B</x:v>
      </x:c>
      <x:c r="S103" t="str">
        <x:f>IF(RAND()&lt;(('Team_Info'!$E$2-COUNTIF($B103:R103,"W"))/('Team_Info'!$E$4-17)),"W","B")</x:f>
        <x:v>W</x:v>
      </x:c>
      <x:c r="T103" t="str">
        <x:f>IF(RAND()&lt;(('Team_Info'!$E$2-COUNTIF($B103:S103,"W"))/('Team_Info'!$E$4-18)),"W","B")</x:f>
        <x:v>W</x:v>
      </x:c>
      <x:c r="U103" t="str">
        <x:f>IF(RAND()&lt;(('Team_Info'!$E$2-COUNTIF($B103:T103,"W"))/('Team_Info'!$E$4-19)),"W","B")</x:f>
        <x:v>B</x:v>
      </x:c>
    </x:row>
    <x:row r="104">
      <x:c r="A104" s="1">
        <x:v>103</x:v>
      </x:c>
      <x:c r="B104" t="str">
        <x:f>IF(RAND()&lt;'Team_Info'!$E$5,"W","B")</x:f>
        <x:v>B</x:v>
      </x:c>
      <x:c r="C104" t="str">
        <x:f>IF(RAND()&lt;(('Team_Info'!$E$2-COUNTIF($B104:B104,"W"))/('Team_Info'!$E$4-1)),"W","B")</x:f>
        <x:v>B</x:v>
      </x:c>
      <x:c r="D104" t="str">
        <x:f>IF(RAND()&lt;(('Team_Info'!$E$2-COUNTIF($B104:C104,"W"))/('Team_Info'!$E$4-2)),"W","B")</x:f>
        <x:v>B</x:v>
      </x:c>
      <x:c r="E104" t="str">
        <x:f>IF(RAND()&lt;(('Team_Info'!$E$2-COUNTIF($B104:D104,"W"))/('Team_Info'!$E$4-3)),"W","B")</x:f>
        <x:v>B</x:v>
      </x:c>
      <x:c r="F104" t="str">
        <x:f>IF(RAND()&lt;(('Team_Info'!$E$2-COUNTIF($B104:E104,"W"))/('Team_Info'!$E$4-4)),"W","B")</x:f>
        <x:v>B</x:v>
      </x:c>
      <x:c r="G104" t="str">
        <x:f>IF(RAND()&lt;(('Team_Info'!$E$2-COUNTIF($B104:F104,"W"))/('Team_Info'!$E$4-5)),"W","B")</x:f>
        <x:v>W</x:v>
      </x:c>
      <x:c r="H104" t="str">
        <x:f>IF(RAND()&lt;(('Team_Info'!$E$2-COUNTIF($B104:G104,"W"))/('Team_Info'!$E$4-6)),"W","B")</x:f>
        <x:v>W</x:v>
      </x:c>
      <x:c r="I104" t="str">
        <x:f>IF(RAND()&lt;(('Team_Info'!$E$2-COUNTIF($B104:H104,"W"))/('Team_Info'!$E$4-7)),"W","B")</x:f>
        <x:v>B</x:v>
      </x:c>
      <x:c r="J104" t="str">
        <x:f>IF(RAND()&lt;(('Team_Info'!$E$2-COUNTIF($B104:I104,"W"))/('Team_Info'!$E$4-8)),"W","B")</x:f>
        <x:v>W</x:v>
      </x:c>
      <x:c r="K104" t="str">
        <x:f>IF(RAND()&lt;(('Team_Info'!$E$2-COUNTIF($B104:J104,"W"))/('Team_Info'!$E$4-9)),"W","B")</x:f>
        <x:v>B</x:v>
      </x:c>
      <x:c r="L104" t="str">
        <x:f>IF(RAND()&lt;(('Team_Info'!$E$2-COUNTIF($B104:K104,"W"))/('Team_Info'!$E$4-10)),"W","B")</x:f>
        <x:v>W</x:v>
      </x:c>
      <x:c r="M104" t="str">
        <x:f>IF(RAND()&lt;(('Team_Info'!$E$2-COUNTIF($B104:L104,"W"))/('Team_Info'!$E$4-11)),"W","B")</x:f>
        <x:v>B</x:v>
      </x:c>
      <x:c r="N104" t="str">
        <x:f>IF(RAND()&lt;(('Team_Info'!$E$2-COUNTIF($B104:M104,"W"))/('Team_Info'!$E$4-12)),"W","B")</x:f>
        <x:v>W</x:v>
      </x:c>
      <x:c r="O104" t="str">
        <x:f>IF(RAND()&lt;(('Team_Info'!$E$2-COUNTIF($B104:N104,"W"))/('Team_Info'!$E$4-13)),"W","B")</x:f>
        <x:v>B</x:v>
      </x:c>
      <x:c r="P104" t="str">
        <x:f>IF(RAND()&lt;(('Team_Info'!$E$2-COUNTIF($B104:O104,"W"))/('Team_Info'!$E$4-14)),"W","B")</x:f>
        <x:v>B</x:v>
      </x:c>
      <x:c r="Q104" t="str">
        <x:f>IF(RAND()&lt;(('Team_Info'!$E$2-COUNTIF($B104:P104,"W"))/('Team_Info'!$E$4-15)),"W","B")</x:f>
        <x:v>B</x:v>
      </x:c>
      <x:c r="R104" t="str">
        <x:f>IF(RAND()&lt;(('Team_Info'!$E$2-COUNTIF($B104:Q104,"W"))/('Team_Info'!$E$4-16)),"W","B")</x:f>
        <x:v>W</x:v>
      </x:c>
      <x:c r="S104" t="str">
        <x:f>IF(RAND()&lt;(('Team_Info'!$E$2-COUNTIF($B104:R104,"W"))/('Team_Info'!$E$4-17)),"W","B")</x:f>
        <x:v>B</x:v>
      </x:c>
      <x:c r="T104" t="str">
        <x:f>IF(RAND()&lt;(('Team_Info'!$E$2-COUNTIF($B104:S104,"W"))/('Team_Info'!$E$4-18)),"W","B")</x:f>
        <x:v>B</x:v>
      </x:c>
      <x:c r="U104" t="str">
        <x:f>IF(RAND()&lt;(('Team_Info'!$E$2-COUNTIF($B104:T104,"W"))/('Team_Info'!$E$4-19)),"W","B")</x:f>
        <x:v>W</x:v>
      </x:c>
    </x:row>
    <x:row r="105">
      <x:c r="A105" s="1">
        <x:v>104</x:v>
      </x:c>
      <x:c r="B105" t="str">
        <x:f>IF(RAND()&lt;'Team_Info'!$E$5,"W","B")</x:f>
        <x:v>B</x:v>
      </x:c>
      <x:c r="C105" t="str">
        <x:f>IF(RAND()&lt;(('Team_Info'!$E$2-COUNTIF($B105:B105,"W"))/('Team_Info'!$E$4-1)),"W","B")</x:f>
        <x:v>B</x:v>
      </x:c>
      <x:c r="D105" t="str">
        <x:f>IF(RAND()&lt;(('Team_Info'!$E$2-COUNTIF($B105:C105,"W"))/('Team_Info'!$E$4-2)),"W","B")</x:f>
        <x:v>W</x:v>
      </x:c>
      <x:c r="E105" t="str">
        <x:f>IF(RAND()&lt;(('Team_Info'!$E$2-COUNTIF($B105:D105,"W"))/('Team_Info'!$E$4-3)),"W","B")</x:f>
        <x:v>W</x:v>
      </x:c>
      <x:c r="F105" t="str">
        <x:f>IF(RAND()&lt;(('Team_Info'!$E$2-COUNTIF($B105:E105,"W"))/('Team_Info'!$E$4-4)),"W","B")</x:f>
        <x:v>W</x:v>
      </x:c>
      <x:c r="G105" t="str">
        <x:f>IF(RAND()&lt;(('Team_Info'!$E$2-COUNTIF($B105:F105,"W"))/('Team_Info'!$E$4-5)),"W","B")</x:f>
        <x:v>B</x:v>
      </x:c>
      <x:c r="H105" t="str">
        <x:f>IF(RAND()&lt;(('Team_Info'!$E$2-COUNTIF($B105:G105,"W"))/('Team_Info'!$E$4-6)),"W","B")</x:f>
        <x:v>B</x:v>
      </x:c>
      <x:c r="I105" t="str">
        <x:f>IF(RAND()&lt;(('Team_Info'!$E$2-COUNTIF($B105:H105,"W"))/('Team_Info'!$E$4-7)),"W","B")</x:f>
        <x:v>B</x:v>
      </x:c>
      <x:c r="J105" t="str">
        <x:f>IF(RAND()&lt;(('Team_Info'!$E$2-COUNTIF($B105:I105,"W"))/('Team_Info'!$E$4-8)),"W","B")</x:f>
        <x:v>W</x:v>
      </x:c>
      <x:c r="K105" t="str">
        <x:f>IF(RAND()&lt;(('Team_Info'!$E$2-COUNTIF($B105:J105,"W"))/('Team_Info'!$E$4-9)),"W","B")</x:f>
        <x:v>B</x:v>
      </x:c>
      <x:c r="L105" t="str">
        <x:f>IF(RAND()&lt;(('Team_Info'!$E$2-COUNTIF($B105:K105,"W"))/('Team_Info'!$E$4-10)),"W","B")</x:f>
        <x:v>W</x:v>
      </x:c>
      <x:c r="M105" t="str">
        <x:f>IF(RAND()&lt;(('Team_Info'!$E$2-COUNTIF($B105:L105,"W"))/('Team_Info'!$E$4-11)),"W","B")</x:f>
        <x:v>W</x:v>
      </x:c>
      <x:c r="N105" t="str">
        <x:f>IF(RAND()&lt;(('Team_Info'!$E$2-COUNTIF($B105:M105,"W"))/('Team_Info'!$E$4-12)),"W","B")</x:f>
        <x:v>B</x:v>
      </x:c>
      <x:c r="O105" t="str">
        <x:f>IF(RAND()&lt;(('Team_Info'!$E$2-COUNTIF($B105:N105,"W"))/('Team_Info'!$E$4-13)),"W","B")</x:f>
        <x:v>B</x:v>
      </x:c>
      <x:c r="P105" t="str">
        <x:f>IF(RAND()&lt;(('Team_Info'!$E$2-COUNTIF($B105:O105,"W"))/('Team_Info'!$E$4-14)),"W","B")</x:f>
        <x:v>B</x:v>
      </x:c>
      <x:c r="Q105" t="str">
        <x:f>IF(RAND()&lt;(('Team_Info'!$E$2-COUNTIF($B105:P105,"W"))/('Team_Info'!$E$4-15)),"W","B")</x:f>
        <x:v>B</x:v>
      </x:c>
      <x:c r="R105" t="str">
        <x:f>IF(RAND()&lt;(('Team_Info'!$E$2-COUNTIF($B105:Q105,"W"))/('Team_Info'!$E$4-16)),"W","B")</x:f>
        <x:v>B</x:v>
      </x:c>
      <x:c r="S105" t="str">
        <x:f>IF(RAND()&lt;(('Team_Info'!$E$2-COUNTIF($B105:R105,"W"))/('Team_Info'!$E$4-17)),"W","B")</x:f>
        <x:v>B</x:v>
      </x:c>
      <x:c r="T105" t="str">
        <x:f>IF(RAND()&lt;(('Team_Info'!$E$2-COUNTIF($B105:S105,"W"))/('Team_Info'!$E$4-18)),"W","B")</x:f>
        <x:v>B</x:v>
      </x:c>
      <x:c r="U105" t="str">
        <x:f>IF(RAND()&lt;(('Team_Info'!$E$2-COUNTIF($B105:T105,"W"))/('Team_Info'!$E$4-19)),"W","B")</x:f>
        <x:v>B</x:v>
      </x:c>
    </x:row>
    <x:row r="106">
      <x:c r="A106" s="1">
        <x:v>105</x:v>
      </x:c>
      <x:c r="B106" t="str">
        <x:f>IF(RAND()&lt;'Team_Info'!$E$5,"W","B")</x:f>
        <x:v>B</x:v>
      </x:c>
      <x:c r="C106" t="str">
        <x:f>IF(RAND()&lt;(('Team_Info'!$E$2-COUNTIF($B106:B106,"W"))/('Team_Info'!$E$4-1)),"W","B")</x:f>
        <x:v>B</x:v>
      </x:c>
      <x:c r="D106" t="str">
        <x:f>IF(RAND()&lt;(('Team_Info'!$E$2-COUNTIF($B106:C106,"W"))/('Team_Info'!$E$4-2)),"W","B")</x:f>
        <x:v>B</x:v>
      </x:c>
      <x:c r="E106" t="str">
        <x:f>IF(RAND()&lt;(('Team_Info'!$E$2-COUNTIF($B106:D106,"W"))/('Team_Info'!$E$4-3)),"W","B")</x:f>
        <x:v>B</x:v>
      </x:c>
      <x:c r="F106" t="str">
        <x:f>IF(RAND()&lt;(('Team_Info'!$E$2-COUNTIF($B106:E106,"W"))/('Team_Info'!$E$4-4)),"W","B")</x:f>
        <x:v>W</x:v>
      </x:c>
      <x:c r="G106" t="str">
        <x:f>IF(RAND()&lt;(('Team_Info'!$E$2-COUNTIF($B106:F106,"W"))/('Team_Info'!$E$4-5)),"W","B")</x:f>
        <x:v>B</x:v>
      </x:c>
      <x:c r="H106" t="str">
        <x:f>IF(RAND()&lt;(('Team_Info'!$E$2-COUNTIF($B106:G106,"W"))/('Team_Info'!$E$4-6)),"W","B")</x:f>
        <x:v>W</x:v>
      </x:c>
      <x:c r="I106" t="str">
        <x:f>IF(RAND()&lt;(('Team_Info'!$E$2-COUNTIF($B106:H106,"W"))/('Team_Info'!$E$4-7)),"W","B")</x:f>
        <x:v>W</x:v>
      </x:c>
      <x:c r="J106" t="str">
        <x:f>IF(RAND()&lt;(('Team_Info'!$E$2-COUNTIF($B106:I106,"W"))/('Team_Info'!$E$4-8)),"W","B")</x:f>
        <x:v>B</x:v>
      </x:c>
      <x:c r="K106" t="str">
        <x:f>IF(RAND()&lt;(('Team_Info'!$E$2-COUNTIF($B106:J106,"W"))/('Team_Info'!$E$4-9)),"W","B")</x:f>
        <x:v>B</x:v>
      </x:c>
      <x:c r="L106" t="str">
        <x:f>IF(RAND()&lt;(('Team_Info'!$E$2-COUNTIF($B106:K106,"W"))/('Team_Info'!$E$4-10)),"W","B")</x:f>
        <x:v>B</x:v>
      </x:c>
      <x:c r="M106" t="str">
        <x:f>IF(RAND()&lt;(('Team_Info'!$E$2-COUNTIF($B106:L106,"W"))/('Team_Info'!$E$4-11)),"W","B")</x:f>
        <x:v>W</x:v>
      </x:c>
      <x:c r="N106" t="str">
        <x:f>IF(RAND()&lt;(('Team_Info'!$E$2-COUNTIF($B106:M106,"W"))/('Team_Info'!$E$4-12)),"W","B")</x:f>
        <x:v>B</x:v>
      </x:c>
      <x:c r="O106" t="str">
        <x:f>IF(RAND()&lt;(('Team_Info'!$E$2-COUNTIF($B106:N106,"W"))/('Team_Info'!$E$4-13)),"W","B")</x:f>
        <x:v>B</x:v>
      </x:c>
      <x:c r="P106" t="str">
        <x:f>IF(RAND()&lt;(('Team_Info'!$E$2-COUNTIF($B106:O106,"W"))/('Team_Info'!$E$4-14)),"W","B")</x:f>
        <x:v>B</x:v>
      </x:c>
      <x:c r="Q106" t="str">
        <x:f>IF(RAND()&lt;(('Team_Info'!$E$2-COUNTIF($B106:P106,"W"))/('Team_Info'!$E$4-15)),"W","B")</x:f>
        <x:v>B</x:v>
      </x:c>
      <x:c r="R106" t="str">
        <x:f>IF(RAND()&lt;(('Team_Info'!$E$2-COUNTIF($B106:Q106,"W"))/('Team_Info'!$E$4-16)),"W","B")</x:f>
        <x:v>B</x:v>
      </x:c>
      <x:c r="S106" t="str">
        <x:f>IF(RAND()&lt;(('Team_Info'!$E$2-COUNTIF($B106:R106,"W"))/('Team_Info'!$E$4-17)),"W","B")</x:f>
        <x:v>B</x:v>
      </x:c>
      <x:c r="T106" t="str">
        <x:f>IF(RAND()&lt;(('Team_Info'!$E$2-COUNTIF($B106:S106,"W"))/('Team_Info'!$E$4-18)),"W","B")</x:f>
        <x:v>B</x:v>
      </x:c>
      <x:c r="U106" t="str">
        <x:f>IF(RAND()&lt;(('Team_Info'!$E$2-COUNTIF($B106:T106,"W"))/('Team_Info'!$E$4-19)),"W","B")</x:f>
        <x:v>B</x:v>
      </x:c>
    </x:row>
    <x:row r="107">
      <x:c r="A107" s="1">
        <x:v>106</x:v>
      </x:c>
      <x:c r="B107" t="str">
        <x:f>IF(RAND()&lt;'Team_Info'!$E$5,"W","B")</x:f>
        <x:v>W</x:v>
      </x:c>
      <x:c r="C107" t="str">
        <x:f>IF(RAND()&lt;(('Team_Info'!$E$2-COUNTIF($B107:B107,"W"))/('Team_Info'!$E$4-1)),"W","B")</x:f>
        <x:v>W</x:v>
      </x:c>
      <x:c r="D107" t="str">
        <x:f>IF(RAND()&lt;(('Team_Info'!$E$2-COUNTIF($B107:C107,"W"))/('Team_Info'!$E$4-2)),"W","B")</x:f>
        <x:v>W</x:v>
      </x:c>
      <x:c r="E107" t="str">
        <x:f>IF(RAND()&lt;(('Team_Info'!$E$2-COUNTIF($B107:D107,"W"))/('Team_Info'!$E$4-3)),"W","B")</x:f>
        <x:v>B</x:v>
      </x:c>
      <x:c r="F107" t="str">
        <x:f>IF(RAND()&lt;(('Team_Info'!$E$2-COUNTIF($B107:E107,"W"))/('Team_Info'!$E$4-4)),"W","B")</x:f>
        <x:v>B</x:v>
      </x:c>
      <x:c r="G107" t="str">
        <x:f>IF(RAND()&lt;(('Team_Info'!$E$2-COUNTIF($B107:F107,"W"))/('Team_Info'!$E$4-5)),"W","B")</x:f>
        <x:v>B</x:v>
      </x:c>
      <x:c r="H107" t="str">
        <x:f>IF(RAND()&lt;(('Team_Info'!$E$2-COUNTIF($B107:G107,"W"))/('Team_Info'!$E$4-6)),"W","B")</x:f>
        <x:v>B</x:v>
      </x:c>
      <x:c r="I107" t="str">
        <x:f>IF(RAND()&lt;(('Team_Info'!$E$2-COUNTIF($B107:H107,"W"))/('Team_Info'!$E$4-7)),"W","B")</x:f>
        <x:v>B</x:v>
      </x:c>
      <x:c r="J107" t="str">
        <x:f>IF(RAND()&lt;(('Team_Info'!$E$2-COUNTIF($B107:I107,"W"))/('Team_Info'!$E$4-8)),"W","B")</x:f>
        <x:v>W</x:v>
      </x:c>
      <x:c r="K107" t="str">
        <x:f>IF(RAND()&lt;(('Team_Info'!$E$2-COUNTIF($B107:J107,"W"))/('Team_Info'!$E$4-9)),"W","B")</x:f>
        <x:v>B</x:v>
      </x:c>
      <x:c r="L107" t="str">
        <x:f>IF(RAND()&lt;(('Team_Info'!$E$2-COUNTIF($B107:K107,"W"))/('Team_Info'!$E$4-10)),"W","B")</x:f>
        <x:v>W</x:v>
      </x:c>
      <x:c r="M107" t="str">
        <x:f>IF(RAND()&lt;(('Team_Info'!$E$2-COUNTIF($B107:L107,"W"))/('Team_Info'!$E$4-11)),"W","B")</x:f>
        <x:v>B</x:v>
      </x:c>
      <x:c r="N107" t="str">
        <x:f>IF(RAND()&lt;(('Team_Info'!$E$2-COUNTIF($B107:M107,"W"))/('Team_Info'!$E$4-12)),"W","B")</x:f>
        <x:v>W</x:v>
      </x:c>
      <x:c r="O107" t="str">
        <x:f>IF(RAND()&lt;(('Team_Info'!$E$2-COUNTIF($B107:N107,"W"))/('Team_Info'!$E$4-13)),"W","B")</x:f>
        <x:v>W</x:v>
      </x:c>
      <x:c r="P107" t="str">
        <x:f>IF(RAND()&lt;(('Team_Info'!$E$2-COUNTIF($B107:O107,"W"))/('Team_Info'!$E$4-14)),"W","B")</x:f>
        <x:v>B</x:v>
      </x:c>
      <x:c r="Q107" t="str">
        <x:f>IF(RAND()&lt;(('Team_Info'!$E$2-COUNTIF($B107:P107,"W"))/('Team_Info'!$E$4-15)),"W","B")</x:f>
        <x:v>W</x:v>
      </x:c>
      <x:c r="R107" t="str">
        <x:f>IF(RAND()&lt;(('Team_Info'!$E$2-COUNTIF($B107:Q107,"W"))/('Team_Info'!$E$4-16)),"W","B")</x:f>
        <x:v>B</x:v>
      </x:c>
      <x:c r="S107" t="str">
        <x:f>IF(RAND()&lt;(('Team_Info'!$E$2-COUNTIF($B107:R107,"W"))/('Team_Info'!$E$4-17)),"W","B")</x:f>
        <x:v>W</x:v>
      </x:c>
      <x:c r="T107" t="str">
        <x:f>IF(RAND()&lt;(('Team_Info'!$E$2-COUNTIF($B107:S107,"W"))/('Team_Info'!$E$4-18)),"W","B")</x:f>
        <x:v>B</x:v>
      </x:c>
      <x:c r="U107" t="str">
        <x:f>IF(RAND()&lt;(('Team_Info'!$E$2-COUNTIF($B107:T107,"W"))/('Team_Info'!$E$4-19)),"W","B")</x:f>
        <x:v>B</x:v>
      </x:c>
    </x:row>
    <x:row r="108">
      <x:c r="A108" s="1">
        <x:v>107</x:v>
      </x:c>
      <x:c r="B108" t="str">
        <x:f>IF(RAND()&lt;'Team_Info'!$E$5,"W","B")</x:f>
        <x:v>B</x:v>
      </x:c>
      <x:c r="C108" t="str">
        <x:f>IF(RAND()&lt;(('Team_Info'!$E$2-COUNTIF($B108:B108,"W"))/('Team_Info'!$E$4-1)),"W","B")</x:f>
        <x:v>B</x:v>
      </x:c>
      <x:c r="D108" t="str">
        <x:f>IF(RAND()&lt;(('Team_Info'!$E$2-COUNTIF($B108:C108,"W"))/('Team_Info'!$E$4-2)),"W","B")</x:f>
        <x:v>W</x:v>
      </x:c>
      <x:c r="E108" t="str">
        <x:f>IF(RAND()&lt;(('Team_Info'!$E$2-COUNTIF($B108:D108,"W"))/('Team_Info'!$E$4-3)),"W","B")</x:f>
        <x:v>B</x:v>
      </x:c>
      <x:c r="F108" t="str">
        <x:f>IF(RAND()&lt;(('Team_Info'!$E$2-COUNTIF($B108:E108,"W"))/('Team_Info'!$E$4-4)),"W","B")</x:f>
        <x:v>W</x:v>
      </x:c>
      <x:c r="G108" t="str">
        <x:f>IF(RAND()&lt;(('Team_Info'!$E$2-COUNTIF($B108:F108,"W"))/('Team_Info'!$E$4-5)),"W","B")</x:f>
        <x:v>B</x:v>
      </x:c>
      <x:c r="H108" t="str">
        <x:f>IF(RAND()&lt;(('Team_Info'!$E$2-COUNTIF($B108:G108,"W"))/('Team_Info'!$E$4-6)),"W","B")</x:f>
        <x:v>B</x:v>
      </x:c>
      <x:c r="I108" t="str">
        <x:f>IF(RAND()&lt;(('Team_Info'!$E$2-COUNTIF($B108:H108,"W"))/('Team_Info'!$E$4-7)),"W","B")</x:f>
        <x:v>B</x:v>
      </x:c>
      <x:c r="J108" t="str">
        <x:f>IF(RAND()&lt;(('Team_Info'!$E$2-COUNTIF($B108:I108,"W"))/('Team_Info'!$E$4-8)),"W","B")</x:f>
        <x:v>W</x:v>
      </x:c>
      <x:c r="K108" t="str">
        <x:f>IF(RAND()&lt;(('Team_Info'!$E$2-COUNTIF($B108:J108,"W"))/('Team_Info'!$E$4-9)),"W","B")</x:f>
        <x:v>B</x:v>
      </x:c>
      <x:c r="L108" t="str">
        <x:f>IF(RAND()&lt;(('Team_Info'!$E$2-COUNTIF($B108:K108,"W"))/('Team_Info'!$E$4-10)),"W","B")</x:f>
        <x:v>B</x:v>
      </x:c>
      <x:c r="M108" t="str">
        <x:f>IF(RAND()&lt;(('Team_Info'!$E$2-COUNTIF($B108:L108,"W"))/('Team_Info'!$E$4-11)),"W","B")</x:f>
        <x:v>B</x:v>
      </x:c>
      <x:c r="N108" t="str">
        <x:f>IF(RAND()&lt;(('Team_Info'!$E$2-COUNTIF($B108:M108,"W"))/('Team_Info'!$E$4-12)),"W","B")</x:f>
        <x:v>B</x:v>
      </x:c>
      <x:c r="O108" t="str">
        <x:f>IF(RAND()&lt;(('Team_Info'!$E$2-COUNTIF($B108:N108,"W"))/('Team_Info'!$E$4-13)),"W","B")</x:f>
        <x:v>W</x:v>
      </x:c>
      <x:c r="P108" t="str">
        <x:f>IF(RAND()&lt;(('Team_Info'!$E$2-COUNTIF($B108:O108,"W"))/('Team_Info'!$E$4-14)),"W","B")</x:f>
        <x:v>B</x:v>
      </x:c>
      <x:c r="Q108" t="str">
        <x:f>IF(RAND()&lt;(('Team_Info'!$E$2-COUNTIF($B108:P108,"W"))/('Team_Info'!$E$4-15)),"W","B")</x:f>
        <x:v>B</x:v>
      </x:c>
      <x:c r="R108" t="str">
        <x:f>IF(RAND()&lt;(('Team_Info'!$E$2-COUNTIF($B108:Q108,"W"))/('Team_Info'!$E$4-16)),"W","B")</x:f>
        <x:v>B</x:v>
      </x:c>
      <x:c r="S108" t="str">
        <x:f>IF(RAND()&lt;(('Team_Info'!$E$2-COUNTIF($B108:R108,"W"))/('Team_Info'!$E$4-17)),"W","B")</x:f>
        <x:v>B</x:v>
      </x:c>
      <x:c r="T108" t="str">
        <x:f>IF(RAND()&lt;(('Team_Info'!$E$2-COUNTIF($B108:S108,"W"))/('Team_Info'!$E$4-18)),"W","B")</x:f>
        <x:v>B</x:v>
      </x:c>
      <x:c r="U108" t="str">
        <x:f>IF(RAND()&lt;(('Team_Info'!$E$2-COUNTIF($B108:T108,"W"))/('Team_Info'!$E$4-19)),"W","B")</x:f>
        <x:v>B</x:v>
      </x:c>
    </x:row>
    <x:row r="109">
      <x:c r="A109" s="1">
        <x:v>108</x:v>
      </x:c>
      <x:c r="B109" t="str">
        <x:f>IF(RAND()&lt;'Team_Info'!$E$5,"W","B")</x:f>
        <x:v>W</x:v>
      </x:c>
      <x:c r="C109" t="str">
        <x:f>IF(RAND()&lt;(('Team_Info'!$E$2-COUNTIF($B109:B109,"W"))/('Team_Info'!$E$4-1)),"W","B")</x:f>
        <x:v>B</x:v>
      </x:c>
      <x:c r="D109" t="str">
        <x:f>IF(RAND()&lt;(('Team_Info'!$E$2-COUNTIF($B109:C109,"W"))/('Team_Info'!$E$4-2)),"W","B")</x:f>
        <x:v>W</x:v>
      </x:c>
      <x:c r="E109" t="str">
        <x:f>IF(RAND()&lt;(('Team_Info'!$E$2-COUNTIF($B109:D109,"W"))/('Team_Info'!$E$4-3)),"W","B")</x:f>
        <x:v>B</x:v>
      </x:c>
      <x:c r="F109" t="str">
        <x:f>IF(RAND()&lt;(('Team_Info'!$E$2-COUNTIF($B109:E109,"W"))/('Team_Info'!$E$4-4)),"W","B")</x:f>
        <x:v>B</x:v>
      </x:c>
      <x:c r="G109" t="str">
        <x:f>IF(RAND()&lt;(('Team_Info'!$E$2-COUNTIF($B109:F109,"W"))/('Team_Info'!$E$4-5)),"W","B")</x:f>
        <x:v>B</x:v>
      </x:c>
      <x:c r="H109" t="str">
        <x:f>IF(RAND()&lt;(('Team_Info'!$E$2-COUNTIF($B109:G109,"W"))/('Team_Info'!$E$4-6)),"W","B")</x:f>
        <x:v>W</x:v>
      </x:c>
      <x:c r="I109" t="str">
        <x:f>IF(RAND()&lt;(('Team_Info'!$E$2-COUNTIF($B109:H109,"W"))/('Team_Info'!$E$4-7)),"W","B")</x:f>
        <x:v>W</x:v>
      </x:c>
      <x:c r="J109" t="str">
        <x:f>IF(RAND()&lt;(('Team_Info'!$E$2-COUNTIF($B109:I109,"W"))/('Team_Info'!$E$4-8)),"W","B")</x:f>
        <x:v>W</x:v>
      </x:c>
      <x:c r="K109" t="str">
        <x:f>IF(RAND()&lt;(('Team_Info'!$E$2-COUNTIF($B109:J109,"W"))/('Team_Info'!$E$4-9)),"W","B")</x:f>
        <x:v>B</x:v>
      </x:c>
      <x:c r="L109" t="str">
        <x:f>IF(RAND()&lt;(('Team_Info'!$E$2-COUNTIF($B109:K109,"W"))/('Team_Info'!$E$4-10)),"W","B")</x:f>
        <x:v>B</x:v>
      </x:c>
      <x:c r="M109" t="str">
        <x:f>IF(RAND()&lt;(('Team_Info'!$E$2-COUNTIF($B109:L109,"W"))/('Team_Info'!$E$4-11)),"W","B")</x:f>
        <x:v>B</x:v>
      </x:c>
      <x:c r="N109" t="str">
        <x:f>IF(RAND()&lt;(('Team_Info'!$E$2-COUNTIF($B109:M109,"W"))/('Team_Info'!$E$4-12)),"W","B")</x:f>
        <x:v>B</x:v>
      </x:c>
      <x:c r="O109" t="str">
        <x:f>IF(RAND()&lt;(('Team_Info'!$E$2-COUNTIF($B109:N109,"W"))/('Team_Info'!$E$4-13)),"W","B")</x:f>
        <x:v>B</x:v>
      </x:c>
      <x:c r="P109" t="str">
        <x:f>IF(RAND()&lt;(('Team_Info'!$E$2-COUNTIF($B109:O109,"W"))/('Team_Info'!$E$4-14)),"W","B")</x:f>
        <x:v>W</x:v>
      </x:c>
      <x:c r="Q109" t="str">
        <x:f>IF(RAND()&lt;(('Team_Info'!$E$2-COUNTIF($B109:P109,"W"))/('Team_Info'!$E$4-15)),"W","B")</x:f>
        <x:v>B</x:v>
      </x:c>
      <x:c r="R109" t="str">
        <x:f>IF(RAND()&lt;(('Team_Info'!$E$2-COUNTIF($B109:Q109,"W"))/('Team_Info'!$E$4-16)),"W","B")</x:f>
        <x:v>B</x:v>
      </x:c>
      <x:c r="S109" t="str">
        <x:f>IF(RAND()&lt;(('Team_Info'!$E$2-COUNTIF($B109:R109,"W"))/('Team_Info'!$E$4-17)),"W","B")</x:f>
        <x:v>W</x:v>
      </x:c>
      <x:c r="T109" t="str">
        <x:f>IF(RAND()&lt;(('Team_Info'!$E$2-COUNTIF($B109:S109,"W"))/('Team_Info'!$E$4-18)),"W","B")</x:f>
        <x:v>B</x:v>
      </x:c>
      <x:c r="U109" t="str">
        <x:f>IF(RAND()&lt;(('Team_Info'!$E$2-COUNTIF($B109:T109,"W"))/('Team_Info'!$E$4-19)),"W","B")</x:f>
        <x:v>W</x:v>
      </x:c>
    </x:row>
    <x:row r="110">
      <x:c r="A110" s="1">
        <x:v>109</x:v>
      </x:c>
      <x:c r="B110" t="str">
        <x:f>IF(RAND()&lt;'Team_Info'!$E$5,"W","B")</x:f>
        <x:v>W</x:v>
      </x:c>
      <x:c r="C110" t="str">
        <x:f>IF(RAND()&lt;(('Team_Info'!$E$2-COUNTIF($B110:B110,"W"))/('Team_Info'!$E$4-1)),"W","B")</x:f>
        <x:v>B</x:v>
      </x:c>
      <x:c r="D110" t="str">
        <x:f>IF(RAND()&lt;(('Team_Info'!$E$2-COUNTIF($B110:C110,"W"))/('Team_Info'!$E$4-2)),"W","B")</x:f>
        <x:v>B</x:v>
      </x:c>
      <x:c r="E110" t="str">
        <x:f>IF(RAND()&lt;(('Team_Info'!$E$2-COUNTIF($B110:D110,"W"))/('Team_Info'!$E$4-3)),"W","B")</x:f>
        <x:v>B</x:v>
      </x:c>
      <x:c r="F110" t="str">
        <x:f>IF(RAND()&lt;(('Team_Info'!$E$2-COUNTIF($B110:E110,"W"))/('Team_Info'!$E$4-4)),"W","B")</x:f>
        <x:v>W</x:v>
      </x:c>
      <x:c r="G110" t="str">
        <x:f>IF(RAND()&lt;(('Team_Info'!$E$2-COUNTIF($B110:F110,"W"))/('Team_Info'!$E$4-5)),"W","B")</x:f>
        <x:v>B</x:v>
      </x:c>
      <x:c r="H110" t="str">
        <x:f>IF(RAND()&lt;(('Team_Info'!$E$2-COUNTIF($B110:G110,"W"))/('Team_Info'!$E$4-6)),"W","B")</x:f>
        <x:v>W</x:v>
      </x:c>
      <x:c r="I110" t="str">
        <x:f>IF(RAND()&lt;(('Team_Info'!$E$2-COUNTIF($B110:H110,"W"))/('Team_Info'!$E$4-7)),"W","B")</x:f>
        <x:v>W</x:v>
      </x:c>
      <x:c r="J110" t="str">
        <x:f>IF(RAND()&lt;(('Team_Info'!$E$2-COUNTIF($B110:I110,"W"))/('Team_Info'!$E$4-8)),"W","B")</x:f>
        <x:v>B</x:v>
      </x:c>
      <x:c r="K110" t="str">
        <x:f>IF(RAND()&lt;(('Team_Info'!$E$2-COUNTIF($B110:J110,"W"))/('Team_Info'!$E$4-9)),"W","B")</x:f>
        <x:v>W</x:v>
      </x:c>
      <x:c r="L110" t="str">
        <x:f>IF(RAND()&lt;(('Team_Info'!$E$2-COUNTIF($B110:K110,"W"))/('Team_Info'!$E$4-10)),"W","B")</x:f>
        <x:v>B</x:v>
      </x:c>
      <x:c r="M110" t="str">
        <x:f>IF(RAND()&lt;(('Team_Info'!$E$2-COUNTIF($B110:L110,"W"))/('Team_Info'!$E$4-11)),"W","B")</x:f>
        <x:v>B</x:v>
      </x:c>
      <x:c r="N110" t="str">
        <x:f>IF(RAND()&lt;(('Team_Info'!$E$2-COUNTIF($B110:M110,"W"))/('Team_Info'!$E$4-12)),"W","B")</x:f>
        <x:v>B</x:v>
      </x:c>
      <x:c r="O110" t="str">
        <x:f>IF(RAND()&lt;(('Team_Info'!$E$2-COUNTIF($B110:N110,"W"))/('Team_Info'!$E$4-13)),"W","B")</x:f>
        <x:v>W</x:v>
      </x:c>
      <x:c r="P110" t="str">
        <x:f>IF(RAND()&lt;(('Team_Info'!$E$2-COUNTIF($B110:O110,"W"))/('Team_Info'!$E$4-14)),"W","B")</x:f>
        <x:v>B</x:v>
      </x:c>
      <x:c r="Q110" t="str">
        <x:f>IF(RAND()&lt;(('Team_Info'!$E$2-COUNTIF($B110:P110,"W"))/('Team_Info'!$E$4-15)),"W","B")</x:f>
        <x:v>W</x:v>
      </x:c>
      <x:c r="R110" t="str">
        <x:f>IF(RAND()&lt;(('Team_Info'!$E$2-COUNTIF($B110:Q110,"W"))/('Team_Info'!$E$4-16)),"W","B")</x:f>
        <x:v>B</x:v>
      </x:c>
      <x:c r="S110" t="str">
        <x:f>IF(RAND()&lt;(('Team_Info'!$E$2-COUNTIF($B110:R110,"W"))/('Team_Info'!$E$4-17)),"W","B")</x:f>
        <x:v>W</x:v>
      </x:c>
      <x:c r="T110" t="str">
        <x:f>IF(RAND()&lt;(('Team_Info'!$E$2-COUNTIF($B110:S110,"W"))/('Team_Info'!$E$4-18)),"W","B")</x:f>
        <x:v>B</x:v>
      </x:c>
      <x:c r="U110" t="str">
        <x:f>IF(RAND()&lt;(('Team_Info'!$E$2-COUNTIF($B110:T110,"W"))/('Team_Info'!$E$4-19)),"W","B")</x:f>
        <x:v>B</x:v>
      </x:c>
    </x:row>
    <x:row r="111">
      <x:c r="A111" s="1">
        <x:v>110</x:v>
      </x:c>
      <x:c r="B111" t="str">
        <x:f>IF(RAND()&lt;'Team_Info'!$E$5,"W","B")</x:f>
        <x:v>W</x:v>
      </x:c>
      <x:c r="C111" t="str">
        <x:f>IF(RAND()&lt;(('Team_Info'!$E$2-COUNTIF($B111:B111,"W"))/('Team_Info'!$E$4-1)),"W","B")</x:f>
        <x:v>B</x:v>
      </x:c>
      <x:c r="D111" t="str">
        <x:f>IF(RAND()&lt;(('Team_Info'!$E$2-COUNTIF($B111:C111,"W"))/('Team_Info'!$E$4-2)),"W","B")</x:f>
        <x:v>B</x:v>
      </x:c>
      <x:c r="E111" t="str">
        <x:f>IF(RAND()&lt;(('Team_Info'!$E$2-COUNTIF($B111:D111,"W"))/('Team_Info'!$E$4-3)),"W","B")</x:f>
        <x:v>B</x:v>
      </x:c>
      <x:c r="F111" t="str">
        <x:f>IF(RAND()&lt;(('Team_Info'!$E$2-COUNTIF($B111:E111,"W"))/('Team_Info'!$E$4-4)),"W","B")</x:f>
        <x:v>B</x:v>
      </x:c>
      <x:c r="G111" t="str">
        <x:f>IF(RAND()&lt;(('Team_Info'!$E$2-COUNTIF($B111:F111,"W"))/('Team_Info'!$E$4-5)),"W","B")</x:f>
        <x:v>B</x:v>
      </x:c>
      <x:c r="H111" t="str">
        <x:f>IF(RAND()&lt;(('Team_Info'!$E$2-COUNTIF($B111:G111,"W"))/('Team_Info'!$E$4-6)),"W","B")</x:f>
        <x:v>W</x:v>
      </x:c>
      <x:c r="I111" t="str">
        <x:f>IF(RAND()&lt;(('Team_Info'!$E$2-COUNTIF($B111:H111,"W"))/('Team_Info'!$E$4-7)),"W","B")</x:f>
        <x:v>W</x:v>
      </x:c>
      <x:c r="J111" t="str">
        <x:f>IF(RAND()&lt;(('Team_Info'!$E$2-COUNTIF($B111:I111,"W"))/('Team_Info'!$E$4-8)),"W","B")</x:f>
        <x:v>B</x:v>
      </x:c>
      <x:c r="K111" t="str">
        <x:f>IF(RAND()&lt;(('Team_Info'!$E$2-COUNTIF($B111:J111,"W"))/('Team_Info'!$E$4-9)),"W","B")</x:f>
        <x:v>W</x:v>
      </x:c>
      <x:c r="L111" t="str">
        <x:f>IF(RAND()&lt;(('Team_Info'!$E$2-COUNTIF($B111:K111,"W"))/('Team_Info'!$E$4-10)),"W","B")</x:f>
        <x:v>B</x:v>
      </x:c>
      <x:c r="M111" t="str">
        <x:f>IF(RAND()&lt;(('Team_Info'!$E$2-COUNTIF($B111:L111,"W"))/('Team_Info'!$E$4-11)),"W","B")</x:f>
        <x:v>W</x:v>
      </x:c>
      <x:c r="N111" t="str">
        <x:f>IF(RAND()&lt;(('Team_Info'!$E$2-COUNTIF($B111:M111,"W"))/('Team_Info'!$E$4-12)),"W","B")</x:f>
        <x:v>B</x:v>
      </x:c>
      <x:c r="O111" t="str">
        <x:f>IF(RAND()&lt;(('Team_Info'!$E$2-COUNTIF($B111:N111,"W"))/('Team_Info'!$E$4-13)),"W","B")</x:f>
        <x:v>B</x:v>
      </x:c>
      <x:c r="P111" t="str">
        <x:f>IF(RAND()&lt;(('Team_Info'!$E$2-COUNTIF($B111:O111,"W"))/('Team_Info'!$E$4-14)),"W","B")</x:f>
        <x:v>W</x:v>
      </x:c>
      <x:c r="Q111" t="str">
        <x:f>IF(RAND()&lt;(('Team_Info'!$E$2-COUNTIF($B111:P111,"W"))/('Team_Info'!$E$4-15)),"W","B")</x:f>
        <x:v>B</x:v>
      </x:c>
      <x:c r="R111" t="str">
        <x:f>IF(RAND()&lt;(('Team_Info'!$E$2-COUNTIF($B111:Q111,"W"))/('Team_Info'!$E$4-16)),"W","B")</x:f>
        <x:v>B</x:v>
      </x:c>
      <x:c r="S111" t="str">
        <x:f>IF(RAND()&lt;(('Team_Info'!$E$2-COUNTIF($B111:R111,"W"))/('Team_Info'!$E$4-17)),"W","B")</x:f>
        <x:v>B</x:v>
      </x:c>
      <x:c r="T111" t="str">
        <x:f>IF(RAND()&lt;(('Team_Info'!$E$2-COUNTIF($B111:S111,"W"))/('Team_Info'!$E$4-18)),"W","B")</x:f>
        <x:v>W</x:v>
      </x:c>
      <x:c r="U111" t="str">
        <x:f>IF(RAND()&lt;(('Team_Info'!$E$2-COUNTIF($B111:T111,"W"))/('Team_Info'!$E$4-19)),"W","B")</x:f>
        <x:v>B</x:v>
      </x:c>
    </x:row>
    <x:row r="112">
      <x:c r="A112" s="1">
        <x:v>111</x:v>
      </x:c>
      <x:c r="B112" t="str">
        <x:f>IF(RAND()&lt;'Team_Info'!$E$5,"W","B")</x:f>
        <x:v>B</x:v>
      </x:c>
      <x:c r="C112" t="str">
        <x:f>IF(RAND()&lt;(('Team_Info'!$E$2-COUNTIF($B112:B112,"W"))/('Team_Info'!$E$4-1)),"W","B")</x:f>
        <x:v>B</x:v>
      </x:c>
      <x:c r="D112" t="str">
        <x:f>IF(RAND()&lt;(('Team_Info'!$E$2-COUNTIF($B112:C112,"W"))/('Team_Info'!$E$4-2)),"W","B")</x:f>
        <x:v>W</x:v>
      </x:c>
      <x:c r="E112" t="str">
        <x:f>IF(RAND()&lt;(('Team_Info'!$E$2-COUNTIF($B112:D112,"W"))/('Team_Info'!$E$4-3)),"W","B")</x:f>
        <x:v>B</x:v>
      </x:c>
      <x:c r="F112" t="str">
        <x:f>IF(RAND()&lt;(('Team_Info'!$E$2-COUNTIF($B112:E112,"W"))/('Team_Info'!$E$4-4)),"W","B")</x:f>
        <x:v>B</x:v>
      </x:c>
      <x:c r="G112" t="str">
        <x:f>IF(RAND()&lt;(('Team_Info'!$E$2-COUNTIF($B112:F112,"W"))/('Team_Info'!$E$4-5)),"W","B")</x:f>
        <x:v>B</x:v>
      </x:c>
      <x:c r="H112" t="str">
        <x:f>IF(RAND()&lt;(('Team_Info'!$E$2-COUNTIF($B112:G112,"W"))/('Team_Info'!$E$4-6)),"W","B")</x:f>
        <x:v>B</x:v>
      </x:c>
      <x:c r="I112" t="str">
        <x:f>IF(RAND()&lt;(('Team_Info'!$E$2-COUNTIF($B112:H112,"W"))/('Team_Info'!$E$4-7)),"W","B")</x:f>
        <x:v>W</x:v>
      </x:c>
      <x:c r="J112" t="str">
        <x:f>IF(RAND()&lt;(('Team_Info'!$E$2-COUNTIF($B112:I112,"W"))/('Team_Info'!$E$4-8)),"W","B")</x:f>
        <x:v>B</x:v>
      </x:c>
      <x:c r="K112" t="str">
        <x:f>IF(RAND()&lt;(('Team_Info'!$E$2-COUNTIF($B112:J112,"W"))/('Team_Info'!$E$4-9)),"W","B")</x:f>
        <x:v>B</x:v>
      </x:c>
      <x:c r="L112" t="str">
        <x:f>IF(RAND()&lt;(('Team_Info'!$E$2-COUNTIF($B112:K112,"W"))/('Team_Info'!$E$4-10)),"W","B")</x:f>
        <x:v>B</x:v>
      </x:c>
      <x:c r="M112" t="str">
        <x:f>IF(RAND()&lt;(('Team_Info'!$E$2-COUNTIF($B112:L112,"W"))/('Team_Info'!$E$4-11)),"W","B")</x:f>
        <x:v>W</x:v>
      </x:c>
      <x:c r="N112" t="str">
        <x:f>IF(RAND()&lt;(('Team_Info'!$E$2-COUNTIF($B112:M112,"W"))/('Team_Info'!$E$4-12)),"W","B")</x:f>
        <x:v>B</x:v>
      </x:c>
      <x:c r="O112" t="str">
        <x:f>IF(RAND()&lt;(('Team_Info'!$E$2-COUNTIF($B112:N112,"W"))/('Team_Info'!$E$4-13)),"W","B")</x:f>
        <x:v>W</x:v>
      </x:c>
      <x:c r="P112" t="str">
        <x:f>IF(RAND()&lt;(('Team_Info'!$E$2-COUNTIF($B112:O112,"W"))/('Team_Info'!$E$4-14)),"W","B")</x:f>
        <x:v>B</x:v>
      </x:c>
      <x:c r="Q112" t="str">
        <x:f>IF(RAND()&lt;(('Team_Info'!$E$2-COUNTIF($B112:P112,"W"))/('Team_Info'!$E$4-15)),"W","B")</x:f>
        <x:v>B</x:v>
      </x:c>
      <x:c r="R112" t="str">
        <x:f>IF(RAND()&lt;(('Team_Info'!$E$2-COUNTIF($B112:Q112,"W"))/('Team_Info'!$E$4-16)),"W","B")</x:f>
        <x:v>B</x:v>
      </x:c>
      <x:c r="S112" t="str">
        <x:f>IF(RAND()&lt;(('Team_Info'!$E$2-COUNTIF($B112:R112,"W"))/('Team_Info'!$E$4-17)),"W","B")</x:f>
        <x:v>W</x:v>
      </x:c>
      <x:c r="T112" t="str">
        <x:f>IF(RAND()&lt;(('Team_Info'!$E$2-COUNTIF($B112:S112,"W"))/('Team_Info'!$E$4-18)),"W","B")</x:f>
        <x:v>B</x:v>
      </x:c>
      <x:c r="U112" t="str">
        <x:f>IF(RAND()&lt;(('Team_Info'!$E$2-COUNTIF($B112:T112,"W"))/('Team_Info'!$E$4-19)),"W","B")</x:f>
        <x:v>B</x:v>
      </x:c>
    </x:row>
    <x:row r="113">
      <x:c r="A113" s="1">
        <x:v>112</x:v>
      </x:c>
      <x:c r="B113" t="str">
        <x:f>IF(RAND()&lt;'Team_Info'!$E$5,"W","B")</x:f>
        <x:v>B</x:v>
      </x:c>
      <x:c r="C113" t="str">
        <x:f>IF(RAND()&lt;(('Team_Info'!$E$2-COUNTIF($B113:B113,"W"))/('Team_Info'!$E$4-1)),"W","B")</x:f>
        <x:v>W</x:v>
      </x:c>
      <x:c r="D113" t="str">
        <x:f>IF(RAND()&lt;(('Team_Info'!$E$2-COUNTIF($B113:C113,"W"))/('Team_Info'!$E$4-2)),"W","B")</x:f>
        <x:v>W</x:v>
      </x:c>
      <x:c r="E113" t="str">
        <x:f>IF(RAND()&lt;(('Team_Info'!$E$2-COUNTIF($B113:D113,"W"))/('Team_Info'!$E$4-3)),"W","B")</x:f>
        <x:v>B</x:v>
      </x:c>
      <x:c r="F113" t="str">
        <x:f>IF(RAND()&lt;(('Team_Info'!$E$2-COUNTIF($B113:E113,"W"))/('Team_Info'!$E$4-4)),"W","B")</x:f>
        <x:v>B</x:v>
      </x:c>
      <x:c r="G113" t="str">
        <x:f>IF(RAND()&lt;(('Team_Info'!$E$2-COUNTIF($B113:F113,"W"))/('Team_Info'!$E$4-5)),"W","B")</x:f>
        <x:v>W</x:v>
      </x:c>
      <x:c r="H113" t="str">
        <x:f>IF(RAND()&lt;(('Team_Info'!$E$2-COUNTIF($B113:G113,"W"))/('Team_Info'!$E$4-6)),"W","B")</x:f>
        <x:v>B</x:v>
      </x:c>
      <x:c r="I113" t="str">
        <x:f>IF(RAND()&lt;(('Team_Info'!$E$2-COUNTIF($B113:H113,"W"))/('Team_Info'!$E$4-7)),"W","B")</x:f>
        <x:v>W</x:v>
      </x:c>
      <x:c r="J113" t="str">
        <x:f>IF(RAND()&lt;(('Team_Info'!$E$2-COUNTIF($B113:I113,"W"))/('Team_Info'!$E$4-8)),"W","B")</x:f>
        <x:v>W</x:v>
      </x:c>
      <x:c r="K113" t="str">
        <x:f>IF(RAND()&lt;(('Team_Info'!$E$2-COUNTIF($B113:J113,"W"))/('Team_Info'!$E$4-9)),"W","B")</x:f>
        <x:v>B</x:v>
      </x:c>
      <x:c r="L113" t="str">
        <x:f>IF(RAND()&lt;(('Team_Info'!$E$2-COUNTIF($B113:K113,"W"))/('Team_Info'!$E$4-10)),"W","B")</x:f>
        <x:v>B</x:v>
      </x:c>
      <x:c r="M113" t="str">
        <x:f>IF(RAND()&lt;(('Team_Info'!$E$2-COUNTIF($B113:L113,"W"))/('Team_Info'!$E$4-11)),"W","B")</x:f>
        <x:v>B</x:v>
      </x:c>
      <x:c r="N113" t="str">
        <x:f>IF(RAND()&lt;(('Team_Info'!$E$2-COUNTIF($B113:M113,"W"))/('Team_Info'!$E$4-12)),"W","B")</x:f>
        <x:v>W</x:v>
      </x:c>
      <x:c r="O113" t="str">
        <x:f>IF(RAND()&lt;(('Team_Info'!$E$2-COUNTIF($B113:N113,"W"))/('Team_Info'!$E$4-13)),"W","B")</x:f>
        <x:v>B</x:v>
      </x:c>
      <x:c r="P113" t="str">
        <x:f>IF(RAND()&lt;(('Team_Info'!$E$2-COUNTIF($B113:O113,"W"))/('Team_Info'!$E$4-14)),"W","B")</x:f>
        <x:v>B</x:v>
      </x:c>
      <x:c r="Q113" t="str">
        <x:f>IF(RAND()&lt;(('Team_Info'!$E$2-COUNTIF($B113:P113,"W"))/('Team_Info'!$E$4-15)),"W","B")</x:f>
        <x:v>B</x:v>
      </x:c>
      <x:c r="R113" t="str">
        <x:f>IF(RAND()&lt;(('Team_Info'!$E$2-COUNTIF($B113:Q113,"W"))/('Team_Info'!$E$4-16)),"W","B")</x:f>
        <x:v>B</x:v>
      </x:c>
      <x:c r="S113" t="str">
        <x:f>IF(RAND()&lt;(('Team_Info'!$E$2-COUNTIF($B113:R113,"W"))/('Team_Info'!$E$4-17)),"W","B")</x:f>
        <x:v>W</x:v>
      </x:c>
      <x:c r="T113" t="str">
        <x:f>IF(RAND()&lt;(('Team_Info'!$E$2-COUNTIF($B113:S113,"W"))/('Team_Info'!$E$4-18)),"W","B")</x:f>
        <x:v>W</x:v>
      </x:c>
      <x:c r="U113" t="str">
        <x:f>IF(RAND()&lt;(('Team_Info'!$E$2-COUNTIF($B113:T113,"W"))/('Team_Info'!$E$4-19)),"W","B")</x:f>
        <x:v>W</x:v>
      </x:c>
    </x:row>
    <x:row r="114">
      <x:c r="A114" s="1">
        <x:v>113</x:v>
      </x:c>
      <x:c r="B114" t="str">
        <x:f>IF(RAND()&lt;'Team_Info'!$E$5,"W","B")</x:f>
        <x:v>B</x:v>
      </x:c>
      <x:c r="C114" t="str">
        <x:f>IF(RAND()&lt;(('Team_Info'!$E$2-COUNTIF($B114:B114,"W"))/('Team_Info'!$E$4-1)),"W","B")</x:f>
        <x:v>W</x:v>
      </x:c>
      <x:c r="D114" t="str">
        <x:f>IF(RAND()&lt;(('Team_Info'!$E$2-COUNTIF($B114:C114,"W"))/('Team_Info'!$E$4-2)),"W","B")</x:f>
        <x:v>W</x:v>
      </x:c>
      <x:c r="E114" t="str">
        <x:f>IF(RAND()&lt;(('Team_Info'!$E$2-COUNTIF($B114:D114,"W"))/('Team_Info'!$E$4-3)),"W","B")</x:f>
        <x:v>W</x:v>
      </x:c>
      <x:c r="F114" t="str">
        <x:f>IF(RAND()&lt;(('Team_Info'!$E$2-COUNTIF($B114:E114,"W"))/('Team_Info'!$E$4-4)),"W","B")</x:f>
        <x:v>W</x:v>
      </x:c>
      <x:c r="G114" t="str">
        <x:f>IF(RAND()&lt;(('Team_Info'!$E$2-COUNTIF($B114:F114,"W"))/('Team_Info'!$E$4-5)),"W","B")</x:f>
        <x:v>B</x:v>
      </x:c>
      <x:c r="H114" t="str">
        <x:f>IF(RAND()&lt;(('Team_Info'!$E$2-COUNTIF($B114:G114,"W"))/('Team_Info'!$E$4-6)),"W","B")</x:f>
        <x:v>W</x:v>
      </x:c>
      <x:c r="I114" t="str">
        <x:f>IF(RAND()&lt;(('Team_Info'!$E$2-COUNTIF($B114:H114,"W"))/('Team_Info'!$E$4-7)),"W","B")</x:f>
        <x:v>W</x:v>
      </x:c>
      <x:c r="J114" t="str">
        <x:f>IF(RAND()&lt;(('Team_Info'!$E$2-COUNTIF($B114:I114,"W"))/('Team_Info'!$E$4-8)),"W","B")</x:f>
        <x:v>B</x:v>
      </x:c>
      <x:c r="K114" t="str">
        <x:f>IF(RAND()&lt;(('Team_Info'!$E$2-COUNTIF($B114:J114,"W"))/('Team_Info'!$E$4-9)),"W","B")</x:f>
        <x:v>B</x:v>
      </x:c>
      <x:c r="L114" t="str">
        <x:f>IF(RAND()&lt;(('Team_Info'!$E$2-COUNTIF($B114:K114,"W"))/('Team_Info'!$E$4-10)),"W","B")</x:f>
        <x:v>W</x:v>
      </x:c>
      <x:c r="M114" t="str">
        <x:f>IF(RAND()&lt;(('Team_Info'!$E$2-COUNTIF($B114:L114,"W"))/('Team_Info'!$E$4-11)),"W","B")</x:f>
        <x:v>W</x:v>
      </x:c>
      <x:c r="N114" t="str">
        <x:f>IF(RAND()&lt;(('Team_Info'!$E$2-COUNTIF($B114:M114,"W"))/('Team_Info'!$E$4-12)),"W","B")</x:f>
        <x:v>B</x:v>
      </x:c>
      <x:c r="O114" t="str">
        <x:f>IF(RAND()&lt;(('Team_Info'!$E$2-COUNTIF($B114:N114,"W"))/('Team_Info'!$E$4-13)),"W","B")</x:f>
        <x:v>B</x:v>
      </x:c>
      <x:c r="P114" t="str">
        <x:f>IF(RAND()&lt;(('Team_Info'!$E$2-COUNTIF($B114:O114,"W"))/('Team_Info'!$E$4-14)),"W","B")</x:f>
        <x:v>B</x:v>
      </x:c>
      <x:c r="Q114" t="str">
        <x:f>IF(RAND()&lt;(('Team_Info'!$E$2-COUNTIF($B114:P114,"W"))/('Team_Info'!$E$4-15)),"W","B")</x:f>
        <x:v>B</x:v>
      </x:c>
      <x:c r="R114" t="str">
        <x:f>IF(RAND()&lt;(('Team_Info'!$E$2-COUNTIF($B114:Q114,"W"))/('Team_Info'!$E$4-16)),"W","B")</x:f>
        <x:v>B</x:v>
      </x:c>
      <x:c r="S114" t="str">
        <x:f>IF(RAND()&lt;(('Team_Info'!$E$2-COUNTIF($B114:R114,"W"))/('Team_Info'!$E$4-17)),"W","B")</x:f>
        <x:v>W</x:v>
      </x:c>
      <x:c r="T114" t="str">
        <x:f>IF(RAND()&lt;(('Team_Info'!$E$2-COUNTIF($B114:S114,"W"))/('Team_Info'!$E$4-18)),"W","B")</x:f>
        <x:v>B</x:v>
      </x:c>
      <x:c r="U114" t="str">
        <x:f>IF(RAND()&lt;(('Team_Info'!$E$2-COUNTIF($B114:T114,"W"))/('Team_Info'!$E$4-19)),"W","B")</x:f>
        <x:v>B</x:v>
      </x:c>
    </x:row>
    <x:row r="115">
      <x:c r="A115" s="1">
        <x:v>114</x:v>
      </x:c>
      <x:c r="B115" t="str">
        <x:f>IF(RAND()&lt;'Team_Info'!$E$5,"W","B")</x:f>
        <x:v>W</x:v>
      </x:c>
      <x:c r="C115" t="str">
        <x:f>IF(RAND()&lt;(('Team_Info'!$E$2-COUNTIF($B115:B115,"W"))/('Team_Info'!$E$4-1)),"W","B")</x:f>
        <x:v>W</x:v>
      </x:c>
      <x:c r="D115" t="str">
        <x:f>IF(RAND()&lt;(('Team_Info'!$E$2-COUNTIF($B115:C115,"W"))/('Team_Info'!$E$4-2)),"W","B")</x:f>
        <x:v>B</x:v>
      </x:c>
      <x:c r="E115" t="str">
        <x:f>IF(RAND()&lt;(('Team_Info'!$E$2-COUNTIF($B115:D115,"W"))/('Team_Info'!$E$4-3)),"W","B")</x:f>
        <x:v>B</x:v>
      </x:c>
      <x:c r="F115" t="str">
        <x:f>IF(RAND()&lt;(('Team_Info'!$E$2-COUNTIF($B115:E115,"W"))/('Team_Info'!$E$4-4)),"W","B")</x:f>
        <x:v>W</x:v>
      </x:c>
      <x:c r="G115" t="str">
        <x:f>IF(RAND()&lt;(('Team_Info'!$E$2-COUNTIF($B115:F115,"W"))/('Team_Info'!$E$4-5)),"W","B")</x:f>
        <x:v>B</x:v>
      </x:c>
      <x:c r="H115" t="str">
        <x:f>IF(RAND()&lt;(('Team_Info'!$E$2-COUNTIF($B115:G115,"W"))/('Team_Info'!$E$4-6)),"W","B")</x:f>
        <x:v>W</x:v>
      </x:c>
      <x:c r="I115" t="str">
        <x:f>IF(RAND()&lt;(('Team_Info'!$E$2-COUNTIF($B115:H115,"W"))/('Team_Info'!$E$4-7)),"W","B")</x:f>
        <x:v>W</x:v>
      </x:c>
      <x:c r="J115" t="str">
        <x:f>IF(RAND()&lt;(('Team_Info'!$E$2-COUNTIF($B115:I115,"W"))/('Team_Info'!$E$4-8)),"W","B")</x:f>
        <x:v>B</x:v>
      </x:c>
      <x:c r="K115" t="str">
        <x:f>IF(RAND()&lt;(('Team_Info'!$E$2-COUNTIF($B115:J115,"W"))/('Team_Info'!$E$4-9)),"W","B")</x:f>
        <x:v>B</x:v>
      </x:c>
      <x:c r="L115" t="str">
        <x:f>IF(RAND()&lt;(('Team_Info'!$E$2-COUNTIF($B115:K115,"W"))/('Team_Info'!$E$4-10)),"W","B")</x:f>
        <x:v>B</x:v>
      </x:c>
      <x:c r="M115" t="str">
        <x:f>IF(RAND()&lt;(('Team_Info'!$E$2-COUNTIF($B115:L115,"W"))/('Team_Info'!$E$4-11)),"W","B")</x:f>
        <x:v>B</x:v>
      </x:c>
      <x:c r="N115" t="str">
        <x:f>IF(RAND()&lt;(('Team_Info'!$E$2-COUNTIF($B115:M115,"W"))/('Team_Info'!$E$4-12)),"W","B")</x:f>
        <x:v>B</x:v>
      </x:c>
      <x:c r="O115" t="str">
        <x:f>IF(RAND()&lt;(('Team_Info'!$E$2-COUNTIF($B115:N115,"W"))/('Team_Info'!$E$4-13)),"W","B")</x:f>
        <x:v>W</x:v>
      </x:c>
      <x:c r="P115" t="str">
        <x:f>IF(RAND()&lt;(('Team_Info'!$E$2-COUNTIF($B115:O115,"W"))/('Team_Info'!$E$4-14)),"W","B")</x:f>
        <x:v>B</x:v>
      </x:c>
      <x:c r="Q115" t="str">
        <x:f>IF(RAND()&lt;(('Team_Info'!$E$2-COUNTIF($B115:P115,"W"))/('Team_Info'!$E$4-15)),"W","B")</x:f>
        <x:v>B</x:v>
      </x:c>
      <x:c r="R115" t="str">
        <x:f>IF(RAND()&lt;(('Team_Info'!$E$2-COUNTIF($B115:Q115,"W"))/('Team_Info'!$E$4-16)),"W","B")</x:f>
        <x:v>B</x:v>
      </x:c>
      <x:c r="S115" t="str">
        <x:f>IF(RAND()&lt;(('Team_Info'!$E$2-COUNTIF($B115:R115,"W"))/('Team_Info'!$E$4-17)),"W","B")</x:f>
        <x:v>B</x:v>
      </x:c>
      <x:c r="T115" t="str">
        <x:f>IF(RAND()&lt;(('Team_Info'!$E$2-COUNTIF($B115:S115,"W"))/('Team_Info'!$E$4-18)),"W","B")</x:f>
        <x:v>W</x:v>
      </x:c>
      <x:c r="U115" t="str">
        <x:f>IF(RAND()&lt;(('Team_Info'!$E$2-COUNTIF($B115:T115,"W"))/('Team_Info'!$E$4-19)),"W","B")</x:f>
        <x:v>B</x:v>
      </x:c>
    </x:row>
    <x:row r="116">
      <x:c r="A116" s="1">
        <x:v>115</x:v>
      </x:c>
      <x:c r="B116" t="str">
        <x:f>IF(RAND()&lt;'Team_Info'!$E$5,"W","B")</x:f>
        <x:v>B</x:v>
      </x:c>
      <x:c r="C116" t="str">
        <x:f>IF(RAND()&lt;(('Team_Info'!$E$2-COUNTIF($B116:B116,"W"))/('Team_Info'!$E$4-1)),"W","B")</x:f>
        <x:v>W</x:v>
      </x:c>
      <x:c r="D116" t="str">
        <x:f>IF(RAND()&lt;(('Team_Info'!$E$2-COUNTIF($B116:C116,"W"))/('Team_Info'!$E$4-2)),"W","B")</x:f>
        <x:v>B</x:v>
      </x:c>
      <x:c r="E116" t="str">
        <x:f>IF(RAND()&lt;(('Team_Info'!$E$2-COUNTIF($B116:D116,"W"))/('Team_Info'!$E$4-3)),"W","B")</x:f>
        <x:v>W</x:v>
      </x:c>
      <x:c r="F116" t="str">
        <x:f>IF(RAND()&lt;(('Team_Info'!$E$2-COUNTIF($B116:E116,"W"))/('Team_Info'!$E$4-4)),"W","B")</x:f>
        <x:v>B</x:v>
      </x:c>
      <x:c r="G116" t="str">
        <x:f>IF(RAND()&lt;(('Team_Info'!$E$2-COUNTIF($B116:F116,"W"))/('Team_Info'!$E$4-5)),"W","B")</x:f>
        <x:v>B</x:v>
      </x:c>
      <x:c r="H116" t="str">
        <x:f>IF(RAND()&lt;(('Team_Info'!$E$2-COUNTIF($B116:G116,"W"))/('Team_Info'!$E$4-6)),"W","B")</x:f>
        <x:v>W</x:v>
      </x:c>
      <x:c r="I116" t="str">
        <x:f>IF(RAND()&lt;(('Team_Info'!$E$2-COUNTIF($B116:H116,"W"))/('Team_Info'!$E$4-7)),"W","B")</x:f>
        <x:v>B</x:v>
      </x:c>
      <x:c r="J116" t="str">
        <x:f>IF(RAND()&lt;(('Team_Info'!$E$2-COUNTIF($B116:I116,"W"))/('Team_Info'!$E$4-8)),"W","B")</x:f>
        <x:v>W</x:v>
      </x:c>
      <x:c r="K116" t="str">
        <x:f>IF(RAND()&lt;(('Team_Info'!$E$2-COUNTIF($B116:J116,"W"))/('Team_Info'!$E$4-9)),"W","B")</x:f>
        <x:v>W</x:v>
      </x:c>
      <x:c r="L116" t="str">
        <x:f>IF(RAND()&lt;(('Team_Info'!$E$2-COUNTIF($B116:K116,"W"))/('Team_Info'!$E$4-10)),"W","B")</x:f>
        <x:v>W</x:v>
      </x:c>
      <x:c r="M116" t="str">
        <x:f>IF(RAND()&lt;(('Team_Info'!$E$2-COUNTIF($B116:L116,"W"))/('Team_Info'!$E$4-11)),"W","B")</x:f>
        <x:v>B</x:v>
      </x:c>
      <x:c r="N116" t="str">
        <x:f>IF(RAND()&lt;(('Team_Info'!$E$2-COUNTIF($B116:M116,"W"))/('Team_Info'!$E$4-12)),"W","B")</x:f>
        <x:v>W</x:v>
      </x:c>
      <x:c r="O116" t="str">
        <x:f>IF(RAND()&lt;(('Team_Info'!$E$2-COUNTIF($B116:N116,"W"))/('Team_Info'!$E$4-13)),"W","B")</x:f>
        <x:v>B</x:v>
      </x:c>
      <x:c r="P116" t="str">
        <x:f>IF(RAND()&lt;(('Team_Info'!$E$2-COUNTIF($B116:O116,"W"))/('Team_Info'!$E$4-14)),"W","B")</x:f>
        <x:v>W</x:v>
      </x:c>
      <x:c r="Q116" t="str">
        <x:f>IF(RAND()&lt;(('Team_Info'!$E$2-COUNTIF($B116:P116,"W"))/('Team_Info'!$E$4-15)),"W","B")</x:f>
        <x:v>W</x:v>
      </x:c>
      <x:c r="R116" t="str">
        <x:f>IF(RAND()&lt;(('Team_Info'!$E$2-COUNTIF($B116:Q116,"W"))/('Team_Info'!$E$4-16)),"W","B")</x:f>
        <x:v>B</x:v>
      </x:c>
      <x:c r="S116" t="str">
        <x:f>IF(RAND()&lt;(('Team_Info'!$E$2-COUNTIF($B116:R116,"W"))/('Team_Info'!$E$4-17)),"W","B")</x:f>
        <x:v>W</x:v>
      </x:c>
      <x:c r="T116" t="str">
        <x:f>IF(RAND()&lt;(('Team_Info'!$E$2-COUNTIF($B116:S116,"W"))/('Team_Info'!$E$4-18)),"W","B")</x:f>
        <x:v>W</x:v>
      </x:c>
      <x:c r="U116" t="str">
        <x:f>IF(RAND()&lt;(('Team_Info'!$E$2-COUNTIF($B116:T116,"W"))/('Team_Info'!$E$4-19)),"W","B")</x:f>
        <x:v>W</x:v>
      </x:c>
    </x:row>
    <x:row r="117">
      <x:c r="A117" s="1">
        <x:v>116</x:v>
      </x:c>
      <x:c r="B117" t="str">
        <x:f>IF(RAND()&lt;'Team_Info'!$E$5,"W","B")</x:f>
        <x:v>B</x:v>
      </x:c>
      <x:c r="C117" t="str">
        <x:f>IF(RAND()&lt;(('Team_Info'!$E$2-COUNTIF($B117:B117,"W"))/('Team_Info'!$E$4-1)),"W","B")</x:f>
        <x:v>B</x:v>
      </x:c>
      <x:c r="D117" t="str">
        <x:f>IF(RAND()&lt;(('Team_Info'!$E$2-COUNTIF($B117:C117,"W"))/('Team_Info'!$E$4-2)),"W","B")</x:f>
        <x:v>B</x:v>
      </x:c>
      <x:c r="E117" t="str">
        <x:f>IF(RAND()&lt;(('Team_Info'!$E$2-COUNTIF($B117:D117,"W"))/('Team_Info'!$E$4-3)),"W","B")</x:f>
        <x:v>B</x:v>
      </x:c>
      <x:c r="F117" t="str">
        <x:f>IF(RAND()&lt;(('Team_Info'!$E$2-COUNTIF($B117:E117,"W"))/('Team_Info'!$E$4-4)),"W","B")</x:f>
        <x:v>B</x:v>
      </x:c>
      <x:c r="G117" t="str">
        <x:f>IF(RAND()&lt;(('Team_Info'!$E$2-COUNTIF($B117:F117,"W"))/('Team_Info'!$E$4-5)),"W","B")</x:f>
        <x:v>B</x:v>
      </x:c>
      <x:c r="H117" t="str">
        <x:f>IF(RAND()&lt;(('Team_Info'!$E$2-COUNTIF($B117:G117,"W"))/('Team_Info'!$E$4-6)),"W","B")</x:f>
        <x:v>B</x:v>
      </x:c>
      <x:c r="I117" t="str">
        <x:f>IF(RAND()&lt;(('Team_Info'!$E$2-COUNTIF($B117:H117,"W"))/('Team_Info'!$E$4-7)),"W","B")</x:f>
        <x:v>B</x:v>
      </x:c>
      <x:c r="J117" t="str">
        <x:f>IF(RAND()&lt;(('Team_Info'!$E$2-COUNTIF($B117:I117,"W"))/('Team_Info'!$E$4-8)),"W","B")</x:f>
        <x:v>B</x:v>
      </x:c>
      <x:c r="K117" t="str">
        <x:f>IF(RAND()&lt;(('Team_Info'!$E$2-COUNTIF($B117:J117,"W"))/('Team_Info'!$E$4-9)),"W","B")</x:f>
        <x:v>B</x:v>
      </x:c>
      <x:c r="L117" t="str">
        <x:f>IF(RAND()&lt;(('Team_Info'!$E$2-COUNTIF($B117:K117,"W"))/('Team_Info'!$E$4-10)),"W","B")</x:f>
        <x:v>B</x:v>
      </x:c>
      <x:c r="M117" t="str">
        <x:f>IF(RAND()&lt;(('Team_Info'!$E$2-COUNTIF($B117:L117,"W"))/('Team_Info'!$E$4-11)),"W","B")</x:f>
        <x:v>B</x:v>
      </x:c>
      <x:c r="N117" t="str">
        <x:f>IF(RAND()&lt;(('Team_Info'!$E$2-COUNTIF($B117:M117,"W"))/('Team_Info'!$E$4-12)),"W","B")</x:f>
        <x:v>B</x:v>
      </x:c>
      <x:c r="O117" t="str">
        <x:f>IF(RAND()&lt;(('Team_Info'!$E$2-COUNTIF($B117:N117,"W"))/('Team_Info'!$E$4-13)),"W","B")</x:f>
        <x:v>W</x:v>
      </x:c>
      <x:c r="P117" t="str">
        <x:f>IF(RAND()&lt;(('Team_Info'!$E$2-COUNTIF($B117:O117,"W"))/('Team_Info'!$E$4-14)),"W","B")</x:f>
        <x:v>B</x:v>
      </x:c>
      <x:c r="Q117" t="str">
        <x:f>IF(RAND()&lt;(('Team_Info'!$E$2-COUNTIF($B117:P117,"W"))/('Team_Info'!$E$4-15)),"W","B")</x:f>
        <x:v>W</x:v>
      </x:c>
      <x:c r="R117" t="str">
        <x:f>IF(RAND()&lt;(('Team_Info'!$E$2-COUNTIF($B117:Q117,"W"))/('Team_Info'!$E$4-16)),"W","B")</x:f>
        <x:v>B</x:v>
      </x:c>
      <x:c r="S117" t="str">
        <x:f>IF(RAND()&lt;(('Team_Info'!$E$2-COUNTIF($B117:R117,"W"))/('Team_Info'!$E$4-17)),"W","B")</x:f>
        <x:v>B</x:v>
      </x:c>
      <x:c r="T117" t="str">
        <x:f>IF(RAND()&lt;(('Team_Info'!$E$2-COUNTIF($B117:S117,"W"))/('Team_Info'!$E$4-18)),"W","B")</x:f>
        <x:v>B</x:v>
      </x:c>
      <x:c r="U117" t="str">
        <x:f>IF(RAND()&lt;(('Team_Info'!$E$2-COUNTIF($B117:T117,"W"))/('Team_Info'!$E$4-19)),"W","B")</x:f>
        <x:v>B</x:v>
      </x:c>
    </x:row>
    <x:row r="118">
      <x:c r="A118" s="1">
        <x:v>117</x:v>
      </x:c>
      <x:c r="B118" t="str">
        <x:f>IF(RAND()&lt;'Team_Info'!$E$5,"W","B")</x:f>
        <x:v>B</x:v>
      </x:c>
      <x:c r="C118" t="str">
        <x:f>IF(RAND()&lt;(('Team_Info'!$E$2-COUNTIF($B118:B118,"W"))/('Team_Info'!$E$4-1)),"W","B")</x:f>
        <x:v>B</x:v>
      </x:c>
      <x:c r="D118" t="str">
        <x:f>IF(RAND()&lt;(('Team_Info'!$E$2-COUNTIF($B118:C118,"W"))/('Team_Info'!$E$4-2)),"W","B")</x:f>
        <x:v>B</x:v>
      </x:c>
      <x:c r="E118" t="str">
        <x:f>IF(RAND()&lt;(('Team_Info'!$E$2-COUNTIF($B118:D118,"W"))/('Team_Info'!$E$4-3)),"W","B")</x:f>
        <x:v>W</x:v>
      </x:c>
      <x:c r="F118" t="str">
        <x:f>IF(RAND()&lt;(('Team_Info'!$E$2-COUNTIF($B118:E118,"W"))/('Team_Info'!$E$4-4)),"W","B")</x:f>
        <x:v>B</x:v>
      </x:c>
      <x:c r="G118" t="str">
        <x:f>IF(RAND()&lt;(('Team_Info'!$E$2-COUNTIF($B118:F118,"W"))/('Team_Info'!$E$4-5)),"W","B")</x:f>
        <x:v>W</x:v>
      </x:c>
      <x:c r="H118" t="str">
        <x:f>IF(RAND()&lt;(('Team_Info'!$E$2-COUNTIF($B118:G118,"W"))/('Team_Info'!$E$4-6)),"W","B")</x:f>
        <x:v>W</x:v>
      </x:c>
      <x:c r="I118" t="str">
        <x:f>IF(RAND()&lt;(('Team_Info'!$E$2-COUNTIF($B118:H118,"W"))/('Team_Info'!$E$4-7)),"W","B")</x:f>
        <x:v>W</x:v>
      </x:c>
      <x:c r="J118" t="str">
        <x:f>IF(RAND()&lt;(('Team_Info'!$E$2-COUNTIF($B118:I118,"W"))/('Team_Info'!$E$4-8)),"W","B")</x:f>
        <x:v>B</x:v>
      </x:c>
      <x:c r="K118" t="str">
        <x:f>IF(RAND()&lt;(('Team_Info'!$E$2-COUNTIF($B118:J118,"W"))/('Team_Info'!$E$4-9)),"W","B")</x:f>
        <x:v>B</x:v>
      </x:c>
      <x:c r="L118" t="str">
        <x:f>IF(RAND()&lt;(('Team_Info'!$E$2-COUNTIF($B118:K118,"W"))/('Team_Info'!$E$4-10)),"W","B")</x:f>
        <x:v>W</x:v>
      </x:c>
      <x:c r="M118" t="str">
        <x:f>IF(RAND()&lt;(('Team_Info'!$E$2-COUNTIF($B118:L118,"W"))/('Team_Info'!$E$4-11)),"W","B")</x:f>
        <x:v>W</x:v>
      </x:c>
      <x:c r="N118" t="str">
        <x:f>IF(RAND()&lt;(('Team_Info'!$E$2-COUNTIF($B118:M118,"W"))/('Team_Info'!$E$4-12)),"W","B")</x:f>
        <x:v>B</x:v>
      </x:c>
      <x:c r="O118" t="str">
        <x:f>IF(RAND()&lt;(('Team_Info'!$E$2-COUNTIF($B118:N118,"W"))/('Team_Info'!$E$4-13)),"W","B")</x:f>
        <x:v>W</x:v>
      </x:c>
      <x:c r="P118" t="str">
        <x:f>IF(RAND()&lt;(('Team_Info'!$E$2-COUNTIF($B118:O118,"W"))/('Team_Info'!$E$4-14)),"W","B")</x:f>
        <x:v>B</x:v>
      </x:c>
      <x:c r="Q118" t="str">
        <x:f>IF(RAND()&lt;(('Team_Info'!$E$2-COUNTIF($B118:P118,"W"))/('Team_Info'!$E$4-15)),"W","B")</x:f>
        <x:v>B</x:v>
      </x:c>
      <x:c r="R118" t="str">
        <x:f>IF(RAND()&lt;(('Team_Info'!$E$2-COUNTIF($B118:Q118,"W"))/('Team_Info'!$E$4-16)),"W","B")</x:f>
        <x:v>B</x:v>
      </x:c>
      <x:c r="S118" t="str">
        <x:f>IF(RAND()&lt;(('Team_Info'!$E$2-COUNTIF($B118:R118,"W"))/('Team_Info'!$E$4-17)),"W","B")</x:f>
        <x:v>B</x:v>
      </x:c>
      <x:c r="T118" t="str">
        <x:f>IF(RAND()&lt;(('Team_Info'!$E$2-COUNTIF($B118:S118,"W"))/('Team_Info'!$E$4-18)),"W","B")</x:f>
        <x:v>W</x:v>
      </x:c>
      <x:c r="U118" t="str">
        <x:f>IF(RAND()&lt;(('Team_Info'!$E$2-COUNTIF($B118:T118,"W"))/('Team_Info'!$E$4-19)),"W","B")</x:f>
        <x:v>W</x:v>
      </x:c>
    </x:row>
    <x:row r="119">
      <x:c r="A119" s="1">
        <x:v>118</x:v>
      </x:c>
      <x:c r="B119" t="str">
        <x:f>IF(RAND()&lt;'Team_Info'!$E$5,"W","B")</x:f>
        <x:v>B</x:v>
      </x:c>
      <x:c r="C119" t="str">
        <x:f>IF(RAND()&lt;(('Team_Info'!$E$2-COUNTIF($B119:B119,"W"))/('Team_Info'!$E$4-1)),"W","B")</x:f>
        <x:v>B</x:v>
      </x:c>
      <x:c r="D119" t="str">
        <x:f>IF(RAND()&lt;(('Team_Info'!$E$2-COUNTIF($B119:C119,"W"))/('Team_Info'!$E$4-2)),"W","B")</x:f>
        <x:v>W</x:v>
      </x:c>
      <x:c r="E119" t="str">
        <x:f>IF(RAND()&lt;(('Team_Info'!$E$2-COUNTIF($B119:D119,"W"))/('Team_Info'!$E$4-3)),"W","B")</x:f>
        <x:v>B</x:v>
      </x:c>
      <x:c r="F119" t="str">
        <x:f>IF(RAND()&lt;(('Team_Info'!$E$2-COUNTIF($B119:E119,"W"))/('Team_Info'!$E$4-4)),"W","B")</x:f>
        <x:v>B</x:v>
      </x:c>
      <x:c r="G119" t="str">
        <x:f>IF(RAND()&lt;(('Team_Info'!$E$2-COUNTIF($B119:F119,"W"))/('Team_Info'!$E$4-5)),"W","B")</x:f>
        <x:v>B</x:v>
      </x:c>
      <x:c r="H119" t="str">
        <x:f>IF(RAND()&lt;(('Team_Info'!$E$2-COUNTIF($B119:G119,"W"))/('Team_Info'!$E$4-6)),"W","B")</x:f>
        <x:v>B</x:v>
      </x:c>
      <x:c r="I119" t="str">
        <x:f>IF(RAND()&lt;(('Team_Info'!$E$2-COUNTIF($B119:H119,"W"))/('Team_Info'!$E$4-7)),"W","B")</x:f>
        <x:v>B</x:v>
      </x:c>
      <x:c r="J119" t="str">
        <x:f>IF(RAND()&lt;(('Team_Info'!$E$2-COUNTIF($B119:I119,"W"))/('Team_Info'!$E$4-8)),"W","B")</x:f>
        <x:v>B</x:v>
      </x:c>
      <x:c r="K119" t="str">
        <x:f>IF(RAND()&lt;(('Team_Info'!$E$2-COUNTIF($B119:J119,"W"))/('Team_Info'!$E$4-9)),"W","B")</x:f>
        <x:v>W</x:v>
      </x:c>
      <x:c r="L119" t="str">
        <x:f>IF(RAND()&lt;(('Team_Info'!$E$2-COUNTIF($B119:K119,"W"))/('Team_Info'!$E$4-10)),"W","B")</x:f>
        <x:v>B</x:v>
      </x:c>
      <x:c r="M119" t="str">
        <x:f>IF(RAND()&lt;(('Team_Info'!$E$2-COUNTIF($B119:L119,"W"))/('Team_Info'!$E$4-11)),"W","B")</x:f>
        <x:v>B</x:v>
      </x:c>
      <x:c r="N119" t="str">
        <x:f>IF(RAND()&lt;(('Team_Info'!$E$2-COUNTIF($B119:M119,"W"))/('Team_Info'!$E$4-12)),"W","B")</x:f>
        <x:v>W</x:v>
      </x:c>
      <x:c r="O119" t="str">
        <x:f>IF(RAND()&lt;(('Team_Info'!$E$2-COUNTIF($B119:N119,"W"))/('Team_Info'!$E$4-13)),"W","B")</x:f>
        <x:v>B</x:v>
      </x:c>
      <x:c r="P119" t="str">
        <x:f>IF(RAND()&lt;(('Team_Info'!$E$2-COUNTIF($B119:O119,"W"))/('Team_Info'!$E$4-14)),"W","B")</x:f>
        <x:v>B</x:v>
      </x:c>
      <x:c r="Q119" t="str">
        <x:f>IF(RAND()&lt;(('Team_Info'!$E$2-COUNTIF($B119:P119,"W"))/('Team_Info'!$E$4-15)),"W","B")</x:f>
        <x:v>B</x:v>
      </x:c>
      <x:c r="R119" t="str">
        <x:f>IF(RAND()&lt;(('Team_Info'!$E$2-COUNTIF($B119:Q119,"W"))/('Team_Info'!$E$4-16)),"W","B")</x:f>
        <x:v>B</x:v>
      </x:c>
      <x:c r="S119" t="str">
        <x:f>IF(RAND()&lt;(('Team_Info'!$E$2-COUNTIF($B119:R119,"W"))/('Team_Info'!$E$4-17)),"W","B")</x:f>
        <x:v>B</x:v>
      </x:c>
      <x:c r="T119" t="str">
        <x:f>IF(RAND()&lt;(('Team_Info'!$E$2-COUNTIF($B119:S119,"W"))/('Team_Info'!$E$4-18)),"W","B")</x:f>
        <x:v>B</x:v>
      </x:c>
      <x:c r="U119" t="str">
        <x:f>IF(RAND()&lt;(('Team_Info'!$E$2-COUNTIF($B119:T119,"W"))/('Team_Info'!$E$4-19)),"W","B")</x:f>
        <x:v>W</x:v>
      </x:c>
    </x:row>
    <x:row r="120">
      <x:c r="A120" s="1">
        <x:v>119</x:v>
      </x:c>
      <x:c r="B120" t="str">
        <x:f>IF(RAND()&lt;'Team_Info'!$E$5,"W","B")</x:f>
        <x:v>W</x:v>
      </x:c>
      <x:c r="C120" t="str">
        <x:f>IF(RAND()&lt;(('Team_Info'!$E$2-COUNTIF($B120:B120,"W"))/('Team_Info'!$E$4-1)),"W","B")</x:f>
        <x:v>W</x:v>
      </x:c>
      <x:c r="D120" t="str">
        <x:f>IF(RAND()&lt;(('Team_Info'!$E$2-COUNTIF($B120:C120,"W"))/('Team_Info'!$E$4-2)),"W","B")</x:f>
        <x:v>B</x:v>
      </x:c>
      <x:c r="E120" t="str">
        <x:f>IF(RAND()&lt;(('Team_Info'!$E$2-COUNTIF($B120:D120,"W"))/('Team_Info'!$E$4-3)),"W","B")</x:f>
        <x:v>B</x:v>
      </x:c>
      <x:c r="F120" t="str">
        <x:f>IF(RAND()&lt;(('Team_Info'!$E$2-COUNTIF($B120:E120,"W"))/('Team_Info'!$E$4-4)),"W","B")</x:f>
        <x:v>B</x:v>
      </x:c>
      <x:c r="G120" t="str">
        <x:f>IF(RAND()&lt;(('Team_Info'!$E$2-COUNTIF($B120:F120,"W"))/('Team_Info'!$E$4-5)),"W","B")</x:f>
        <x:v>W</x:v>
      </x:c>
      <x:c r="H120" t="str">
        <x:f>IF(RAND()&lt;(('Team_Info'!$E$2-COUNTIF($B120:G120,"W"))/('Team_Info'!$E$4-6)),"W","B")</x:f>
        <x:v>W</x:v>
      </x:c>
      <x:c r="I120" t="str">
        <x:f>IF(RAND()&lt;(('Team_Info'!$E$2-COUNTIF($B120:H120,"W"))/('Team_Info'!$E$4-7)),"W","B")</x:f>
        <x:v>B</x:v>
      </x:c>
      <x:c r="J120" t="str">
        <x:f>IF(RAND()&lt;(('Team_Info'!$E$2-COUNTIF($B120:I120,"W"))/('Team_Info'!$E$4-8)),"W","B")</x:f>
        <x:v>B</x:v>
      </x:c>
      <x:c r="K120" t="str">
        <x:f>IF(RAND()&lt;(('Team_Info'!$E$2-COUNTIF($B120:J120,"W"))/('Team_Info'!$E$4-9)),"W","B")</x:f>
        <x:v>W</x:v>
      </x:c>
      <x:c r="L120" t="str">
        <x:f>IF(RAND()&lt;(('Team_Info'!$E$2-COUNTIF($B120:K120,"W"))/('Team_Info'!$E$4-10)),"W","B")</x:f>
        <x:v>B</x:v>
      </x:c>
      <x:c r="M120" t="str">
        <x:f>IF(RAND()&lt;(('Team_Info'!$E$2-COUNTIF($B120:L120,"W"))/('Team_Info'!$E$4-11)),"W","B")</x:f>
        <x:v>B</x:v>
      </x:c>
      <x:c r="N120" t="str">
        <x:f>IF(RAND()&lt;(('Team_Info'!$E$2-COUNTIF($B120:M120,"W"))/('Team_Info'!$E$4-12)),"W","B")</x:f>
        <x:v>W</x:v>
      </x:c>
      <x:c r="O120" t="str">
        <x:f>IF(RAND()&lt;(('Team_Info'!$E$2-COUNTIF($B120:N120,"W"))/('Team_Info'!$E$4-13)),"W","B")</x:f>
        <x:v>B</x:v>
      </x:c>
      <x:c r="P120" t="str">
        <x:f>IF(RAND()&lt;(('Team_Info'!$E$2-COUNTIF($B120:O120,"W"))/('Team_Info'!$E$4-14)),"W","B")</x:f>
        <x:v>B</x:v>
      </x:c>
      <x:c r="Q120" t="str">
        <x:f>IF(RAND()&lt;(('Team_Info'!$E$2-COUNTIF($B120:P120,"W"))/('Team_Info'!$E$4-15)),"W","B")</x:f>
        <x:v>B</x:v>
      </x:c>
      <x:c r="R120" t="str">
        <x:f>IF(RAND()&lt;(('Team_Info'!$E$2-COUNTIF($B120:Q120,"W"))/('Team_Info'!$E$4-16)),"W","B")</x:f>
        <x:v>B</x:v>
      </x:c>
      <x:c r="S120" t="str">
        <x:f>IF(RAND()&lt;(('Team_Info'!$E$2-COUNTIF($B120:R120,"W"))/('Team_Info'!$E$4-17)),"W","B")</x:f>
        <x:v>W</x:v>
      </x:c>
      <x:c r="T120" t="str">
        <x:f>IF(RAND()&lt;(('Team_Info'!$E$2-COUNTIF($B120:S120,"W"))/('Team_Info'!$E$4-18)),"W","B")</x:f>
        <x:v>B</x:v>
      </x:c>
      <x:c r="U120" t="str">
        <x:f>IF(RAND()&lt;(('Team_Info'!$E$2-COUNTIF($B120:T120,"W"))/('Team_Info'!$E$4-19)),"W","B")</x:f>
        <x:v>W</x:v>
      </x:c>
    </x:row>
    <x:row r="121">
      <x:c r="A121" s="1">
        <x:v>120</x:v>
      </x:c>
      <x:c r="B121" t="str">
        <x:f>IF(RAND()&lt;'Team_Info'!$E$5,"W","B")</x:f>
        <x:v>B</x:v>
      </x:c>
      <x:c r="C121" t="str">
        <x:f>IF(RAND()&lt;(('Team_Info'!$E$2-COUNTIF($B121:B121,"W"))/('Team_Info'!$E$4-1)),"W","B")</x:f>
        <x:v>B</x:v>
      </x:c>
      <x:c r="D121" t="str">
        <x:f>IF(RAND()&lt;(('Team_Info'!$E$2-COUNTIF($B121:C121,"W"))/('Team_Info'!$E$4-2)),"W","B")</x:f>
        <x:v>W</x:v>
      </x:c>
      <x:c r="E121" t="str">
        <x:f>IF(RAND()&lt;(('Team_Info'!$E$2-COUNTIF($B121:D121,"W"))/('Team_Info'!$E$4-3)),"W","B")</x:f>
        <x:v>B</x:v>
      </x:c>
      <x:c r="F121" t="str">
        <x:f>IF(RAND()&lt;(('Team_Info'!$E$2-COUNTIF($B121:E121,"W"))/('Team_Info'!$E$4-4)),"W","B")</x:f>
        <x:v>B</x:v>
      </x:c>
      <x:c r="G121" t="str">
        <x:f>IF(RAND()&lt;(('Team_Info'!$E$2-COUNTIF($B121:F121,"W"))/('Team_Info'!$E$4-5)),"W","B")</x:f>
        <x:v>B</x:v>
      </x:c>
      <x:c r="H121" t="str">
        <x:f>IF(RAND()&lt;(('Team_Info'!$E$2-COUNTIF($B121:G121,"W"))/('Team_Info'!$E$4-6)),"W","B")</x:f>
        <x:v>W</x:v>
      </x:c>
      <x:c r="I121" t="str">
        <x:f>IF(RAND()&lt;(('Team_Info'!$E$2-COUNTIF($B121:H121,"W"))/('Team_Info'!$E$4-7)),"W","B")</x:f>
        <x:v>B</x:v>
      </x:c>
      <x:c r="J121" t="str">
        <x:f>IF(RAND()&lt;(('Team_Info'!$E$2-COUNTIF($B121:I121,"W"))/('Team_Info'!$E$4-8)),"W","B")</x:f>
        <x:v>W</x:v>
      </x:c>
      <x:c r="K121" t="str">
        <x:f>IF(RAND()&lt;(('Team_Info'!$E$2-COUNTIF($B121:J121,"W"))/('Team_Info'!$E$4-9)),"W","B")</x:f>
        <x:v>B</x:v>
      </x:c>
      <x:c r="L121" t="str">
        <x:f>IF(RAND()&lt;(('Team_Info'!$E$2-COUNTIF($B121:K121,"W"))/('Team_Info'!$E$4-10)),"W","B")</x:f>
        <x:v>B</x:v>
      </x:c>
      <x:c r="M121" t="str">
        <x:f>IF(RAND()&lt;(('Team_Info'!$E$2-COUNTIF($B121:L121,"W"))/('Team_Info'!$E$4-11)),"W","B")</x:f>
        <x:v>W</x:v>
      </x:c>
      <x:c r="N121" t="str">
        <x:f>IF(RAND()&lt;(('Team_Info'!$E$2-COUNTIF($B121:M121,"W"))/('Team_Info'!$E$4-12)),"W","B")</x:f>
        <x:v>B</x:v>
      </x:c>
      <x:c r="O121" t="str">
        <x:f>IF(RAND()&lt;(('Team_Info'!$E$2-COUNTIF($B121:N121,"W"))/('Team_Info'!$E$4-13)),"W","B")</x:f>
        <x:v>B</x:v>
      </x:c>
      <x:c r="P121" t="str">
        <x:f>IF(RAND()&lt;(('Team_Info'!$E$2-COUNTIF($B121:O121,"W"))/('Team_Info'!$E$4-14)),"W","B")</x:f>
        <x:v>B</x:v>
      </x:c>
      <x:c r="Q121" t="str">
        <x:f>IF(RAND()&lt;(('Team_Info'!$E$2-COUNTIF($B121:P121,"W"))/('Team_Info'!$E$4-15)),"W","B")</x:f>
        <x:v>W</x:v>
      </x:c>
      <x:c r="R121" t="str">
        <x:f>IF(RAND()&lt;(('Team_Info'!$E$2-COUNTIF($B121:Q121,"W"))/('Team_Info'!$E$4-16)),"W","B")</x:f>
        <x:v>B</x:v>
      </x:c>
      <x:c r="S121" t="str">
        <x:f>IF(RAND()&lt;(('Team_Info'!$E$2-COUNTIF($B121:R121,"W"))/('Team_Info'!$E$4-17)),"W","B")</x:f>
        <x:v>B</x:v>
      </x:c>
      <x:c r="T121" t="str">
        <x:f>IF(RAND()&lt;(('Team_Info'!$E$2-COUNTIF($B121:S121,"W"))/('Team_Info'!$E$4-18)),"W","B")</x:f>
        <x:v>W</x:v>
      </x:c>
      <x:c r="U121" t="str">
        <x:f>IF(RAND()&lt;(('Team_Info'!$E$2-COUNTIF($B121:T121,"W"))/('Team_Info'!$E$4-19)),"W","B")</x:f>
        <x:v>B</x:v>
      </x:c>
    </x:row>
    <x:row r="122">
      <x:c r="A122" s="1">
        <x:v>121</x:v>
      </x:c>
      <x:c r="B122" t="str">
        <x:f>IF(RAND()&lt;'Team_Info'!$E$5,"W","B")</x:f>
        <x:v>B</x:v>
      </x:c>
      <x:c r="C122" t="str">
        <x:f>IF(RAND()&lt;(('Team_Info'!$E$2-COUNTIF($B122:B122,"W"))/('Team_Info'!$E$4-1)),"W","B")</x:f>
        <x:v>W</x:v>
      </x:c>
      <x:c r="D122" t="str">
        <x:f>IF(RAND()&lt;(('Team_Info'!$E$2-COUNTIF($B122:C122,"W"))/('Team_Info'!$E$4-2)),"W","B")</x:f>
        <x:v>B</x:v>
      </x:c>
      <x:c r="E122" t="str">
        <x:f>IF(RAND()&lt;(('Team_Info'!$E$2-COUNTIF($B122:D122,"W"))/('Team_Info'!$E$4-3)),"W","B")</x:f>
        <x:v>W</x:v>
      </x:c>
      <x:c r="F122" t="str">
        <x:f>IF(RAND()&lt;(('Team_Info'!$E$2-COUNTIF($B122:E122,"W"))/('Team_Info'!$E$4-4)),"W","B")</x:f>
        <x:v>B</x:v>
      </x:c>
      <x:c r="G122" t="str">
        <x:f>IF(RAND()&lt;(('Team_Info'!$E$2-COUNTIF($B122:F122,"W"))/('Team_Info'!$E$4-5)),"W","B")</x:f>
        <x:v>B</x:v>
      </x:c>
      <x:c r="H122" t="str">
        <x:f>IF(RAND()&lt;(('Team_Info'!$E$2-COUNTIF($B122:G122,"W"))/('Team_Info'!$E$4-6)),"W","B")</x:f>
        <x:v>W</x:v>
      </x:c>
      <x:c r="I122" t="str">
        <x:f>IF(RAND()&lt;(('Team_Info'!$E$2-COUNTIF($B122:H122,"W"))/('Team_Info'!$E$4-7)),"W","B")</x:f>
        <x:v>W</x:v>
      </x:c>
      <x:c r="J122" t="str">
        <x:f>IF(RAND()&lt;(('Team_Info'!$E$2-COUNTIF($B122:I122,"W"))/('Team_Info'!$E$4-8)),"W","B")</x:f>
        <x:v>B</x:v>
      </x:c>
      <x:c r="K122" t="str">
        <x:f>IF(RAND()&lt;(('Team_Info'!$E$2-COUNTIF($B122:J122,"W"))/('Team_Info'!$E$4-9)),"W","B")</x:f>
        <x:v>B</x:v>
      </x:c>
      <x:c r="L122" t="str">
        <x:f>IF(RAND()&lt;(('Team_Info'!$E$2-COUNTIF($B122:K122,"W"))/('Team_Info'!$E$4-10)),"W","B")</x:f>
        <x:v>B</x:v>
      </x:c>
      <x:c r="M122" t="str">
        <x:f>IF(RAND()&lt;(('Team_Info'!$E$2-COUNTIF($B122:L122,"W"))/('Team_Info'!$E$4-11)),"W","B")</x:f>
        <x:v>W</x:v>
      </x:c>
      <x:c r="N122" t="str">
        <x:f>IF(RAND()&lt;(('Team_Info'!$E$2-COUNTIF($B122:M122,"W"))/('Team_Info'!$E$4-12)),"W","B")</x:f>
        <x:v>B</x:v>
      </x:c>
      <x:c r="O122" t="str">
        <x:f>IF(RAND()&lt;(('Team_Info'!$E$2-COUNTIF($B122:N122,"W"))/('Team_Info'!$E$4-13)),"W","B")</x:f>
        <x:v>B</x:v>
      </x:c>
      <x:c r="P122" t="str">
        <x:f>IF(RAND()&lt;(('Team_Info'!$E$2-COUNTIF($B122:O122,"W"))/('Team_Info'!$E$4-14)),"W","B")</x:f>
        <x:v>B</x:v>
      </x:c>
      <x:c r="Q122" t="str">
        <x:f>IF(RAND()&lt;(('Team_Info'!$E$2-COUNTIF($B122:P122,"W"))/('Team_Info'!$E$4-15)),"W","B")</x:f>
        <x:v>W</x:v>
      </x:c>
      <x:c r="R122" t="str">
        <x:f>IF(RAND()&lt;(('Team_Info'!$E$2-COUNTIF($B122:Q122,"W"))/('Team_Info'!$E$4-16)),"W","B")</x:f>
        <x:v>B</x:v>
      </x:c>
      <x:c r="S122" t="str">
        <x:f>IF(RAND()&lt;(('Team_Info'!$E$2-COUNTIF($B122:R122,"W"))/('Team_Info'!$E$4-17)),"W","B")</x:f>
        <x:v>W</x:v>
      </x:c>
      <x:c r="T122" t="str">
        <x:f>IF(RAND()&lt;(('Team_Info'!$E$2-COUNTIF($B122:S122,"W"))/('Team_Info'!$E$4-18)),"W","B")</x:f>
        <x:v>W</x:v>
      </x:c>
      <x:c r="U122" t="str">
        <x:f>IF(RAND()&lt;(('Team_Info'!$E$2-COUNTIF($B122:T122,"W"))/('Team_Info'!$E$4-19)),"W","B")</x:f>
        <x:v>W</x:v>
      </x:c>
    </x:row>
    <x:row r="123">
      <x:c r="A123" s="1">
        <x:v>122</x:v>
      </x:c>
      <x:c r="B123" t="str">
        <x:f>IF(RAND()&lt;'Team_Info'!$E$5,"W","B")</x:f>
        <x:v>B</x:v>
      </x:c>
      <x:c r="C123" t="str">
        <x:f>IF(RAND()&lt;(('Team_Info'!$E$2-COUNTIF($B123:B123,"W"))/('Team_Info'!$E$4-1)),"W","B")</x:f>
        <x:v>W</x:v>
      </x:c>
      <x:c r="D123" t="str">
        <x:f>IF(RAND()&lt;(('Team_Info'!$E$2-COUNTIF($B123:C123,"W"))/('Team_Info'!$E$4-2)),"W","B")</x:f>
        <x:v>B</x:v>
      </x:c>
      <x:c r="E123" t="str">
        <x:f>IF(RAND()&lt;(('Team_Info'!$E$2-COUNTIF($B123:D123,"W"))/('Team_Info'!$E$4-3)),"W","B")</x:f>
        <x:v>B</x:v>
      </x:c>
      <x:c r="F123" t="str">
        <x:f>IF(RAND()&lt;(('Team_Info'!$E$2-COUNTIF($B123:E123,"W"))/('Team_Info'!$E$4-4)),"W","B")</x:f>
        <x:v>B</x:v>
      </x:c>
      <x:c r="G123" t="str">
        <x:f>IF(RAND()&lt;(('Team_Info'!$E$2-COUNTIF($B123:F123,"W"))/('Team_Info'!$E$4-5)),"W","B")</x:f>
        <x:v>B</x:v>
      </x:c>
      <x:c r="H123" t="str">
        <x:f>IF(RAND()&lt;(('Team_Info'!$E$2-COUNTIF($B123:G123,"W"))/('Team_Info'!$E$4-6)),"W","B")</x:f>
        <x:v>B</x:v>
      </x:c>
      <x:c r="I123" t="str">
        <x:f>IF(RAND()&lt;(('Team_Info'!$E$2-COUNTIF($B123:H123,"W"))/('Team_Info'!$E$4-7)),"W","B")</x:f>
        <x:v>W</x:v>
      </x:c>
      <x:c r="J123" t="str">
        <x:f>IF(RAND()&lt;(('Team_Info'!$E$2-COUNTIF($B123:I123,"W"))/('Team_Info'!$E$4-8)),"W","B")</x:f>
        <x:v>B</x:v>
      </x:c>
      <x:c r="K123" t="str">
        <x:f>IF(RAND()&lt;(('Team_Info'!$E$2-COUNTIF($B123:J123,"W"))/('Team_Info'!$E$4-9)),"W","B")</x:f>
        <x:v>W</x:v>
      </x:c>
      <x:c r="L123" t="str">
        <x:f>IF(RAND()&lt;(('Team_Info'!$E$2-COUNTIF($B123:K123,"W"))/('Team_Info'!$E$4-10)),"W","B")</x:f>
        <x:v>B</x:v>
      </x:c>
      <x:c r="M123" t="str">
        <x:f>IF(RAND()&lt;(('Team_Info'!$E$2-COUNTIF($B123:L123,"W"))/('Team_Info'!$E$4-11)),"W","B")</x:f>
        <x:v>B</x:v>
      </x:c>
      <x:c r="N123" t="str">
        <x:f>IF(RAND()&lt;(('Team_Info'!$E$2-COUNTIF($B123:M123,"W"))/('Team_Info'!$E$4-12)),"W","B")</x:f>
        <x:v>B</x:v>
      </x:c>
      <x:c r="O123" t="str">
        <x:f>IF(RAND()&lt;(('Team_Info'!$E$2-COUNTIF($B123:N123,"W"))/('Team_Info'!$E$4-13)),"W","B")</x:f>
        <x:v>W</x:v>
      </x:c>
      <x:c r="P123" t="str">
        <x:f>IF(RAND()&lt;(('Team_Info'!$E$2-COUNTIF($B123:O123,"W"))/('Team_Info'!$E$4-14)),"W","B")</x:f>
        <x:v>W</x:v>
      </x:c>
      <x:c r="Q123" t="str">
        <x:f>IF(RAND()&lt;(('Team_Info'!$E$2-COUNTIF($B123:P123,"W"))/('Team_Info'!$E$4-15)),"W","B")</x:f>
        <x:v>W</x:v>
      </x:c>
      <x:c r="R123" t="str">
        <x:f>IF(RAND()&lt;(('Team_Info'!$E$2-COUNTIF($B123:Q123,"W"))/('Team_Info'!$E$4-16)),"W","B")</x:f>
        <x:v>B</x:v>
      </x:c>
      <x:c r="S123" t="str">
        <x:f>IF(RAND()&lt;(('Team_Info'!$E$2-COUNTIF($B123:R123,"W"))/('Team_Info'!$E$4-17)),"W","B")</x:f>
        <x:v>W</x:v>
      </x:c>
      <x:c r="T123" t="str">
        <x:f>IF(RAND()&lt;(('Team_Info'!$E$2-COUNTIF($B123:S123,"W"))/('Team_Info'!$E$4-18)),"W","B")</x:f>
        <x:v>W</x:v>
      </x:c>
      <x:c r="U123" t="str">
        <x:f>IF(RAND()&lt;(('Team_Info'!$E$2-COUNTIF($B123:T123,"W"))/('Team_Info'!$E$4-19)),"W","B")</x:f>
        <x:v>W</x:v>
      </x:c>
    </x:row>
    <x:row r="124">
      <x:c r="A124" s="1">
        <x:v>123</x:v>
      </x:c>
      <x:c r="B124" t="str">
        <x:f>IF(RAND()&lt;'Team_Info'!$E$5,"W","B")</x:f>
        <x:v>B</x:v>
      </x:c>
      <x:c r="C124" t="str">
        <x:f>IF(RAND()&lt;(('Team_Info'!$E$2-COUNTIF($B124:B124,"W"))/('Team_Info'!$E$4-1)),"W","B")</x:f>
        <x:v>W</x:v>
      </x:c>
      <x:c r="D124" t="str">
        <x:f>IF(RAND()&lt;(('Team_Info'!$E$2-COUNTIF($B124:C124,"W"))/('Team_Info'!$E$4-2)),"W","B")</x:f>
        <x:v>W</x:v>
      </x:c>
      <x:c r="E124" t="str">
        <x:f>IF(RAND()&lt;(('Team_Info'!$E$2-COUNTIF($B124:D124,"W"))/('Team_Info'!$E$4-3)),"W","B")</x:f>
        <x:v>W</x:v>
      </x:c>
      <x:c r="F124" t="str">
        <x:f>IF(RAND()&lt;(('Team_Info'!$E$2-COUNTIF($B124:E124,"W"))/('Team_Info'!$E$4-4)),"W","B")</x:f>
        <x:v>B</x:v>
      </x:c>
      <x:c r="G124" t="str">
        <x:f>IF(RAND()&lt;(('Team_Info'!$E$2-COUNTIF($B124:F124,"W"))/('Team_Info'!$E$4-5)),"W","B")</x:f>
        <x:v>W</x:v>
      </x:c>
      <x:c r="H124" t="str">
        <x:f>IF(RAND()&lt;(('Team_Info'!$E$2-COUNTIF($B124:G124,"W"))/('Team_Info'!$E$4-6)),"W","B")</x:f>
        <x:v>B</x:v>
      </x:c>
      <x:c r="I124" t="str">
        <x:f>IF(RAND()&lt;(('Team_Info'!$E$2-COUNTIF($B124:H124,"W"))/('Team_Info'!$E$4-7)),"W","B")</x:f>
        <x:v>B</x:v>
      </x:c>
      <x:c r="J124" t="str">
        <x:f>IF(RAND()&lt;(('Team_Info'!$E$2-COUNTIF($B124:I124,"W"))/('Team_Info'!$E$4-8)),"W","B")</x:f>
        <x:v>W</x:v>
      </x:c>
      <x:c r="K124" t="str">
        <x:f>IF(RAND()&lt;(('Team_Info'!$E$2-COUNTIF($B124:J124,"W"))/('Team_Info'!$E$4-9)),"W","B")</x:f>
        <x:v>B</x:v>
      </x:c>
      <x:c r="L124" t="str">
        <x:f>IF(RAND()&lt;(('Team_Info'!$E$2-COUNTIF($B124:K124,"W"))/('Team_Info'!$E$4-10)),"W","B")</x:f>
        <x:v>B</x:v>
      </x:c>
      <x:c r="M124" t="str">
        <x:f>IF(RAND()&lt;(('Team_Info'!$E$2-COUNTIF($B124:L124,"W"))/('Team_Info'!$E$4-11)),"W","B")</x:f>
        <x:v>B</x:v>
      </x:c>
      <x:c r="N124" t="str">
        <x:f>IF(RAND()&lt;(('Team_Info'!$E$2-COUNTIF($B124:M124,"W"))/('Team_Info'!$E$4-12)),"W","B")</x:f>
        <x:v>W</x:v>
      </x:c>
      <x:c r="O124" t="str">
        <x:f>IF(RAND()&lt;(('Team_Info'!$E$2-COUNTIF($B124:N124,"W"))/('Team_Info'!$E$4-13)),"W","B")</x:f>
        <x:v>W</x:v>
      </x:c>
      <x:c r="P124" t="str">
        <x:f>IF(RAND()&lt;(('Team_Info'!$E$2-COUNTIF($B124:O124,"W"))/('Team_Info'!$E$4-14)),"W","B")</x:f>
        <x:v>B</x:v>
      </x:c>
      <x:c r="Q124" t="str">
        <x:f>IF(RAND()&lt;(('Team_Info'!$E$2-COUNTIF($B124:P124,"W"))/('Team_Info'!$E$4-15)),"W","B")</x:f>
        <x:v>B</x:v>
      </x:c>
      <x:c r="R124" t="str">
        <x:f>IF(RAND()&lt;(('Team_Info'!$E$2-COUNTIF($B124:Q124,"W"))/('Team_Info'!$E$4-16)),"W","B")</x:f>
        <x:v>B</x:v>
      </x:c>
      <x:c r="S124" t="str">
        <x:f>IF(RAND()&lt;(('Team_Info'!$E$2-COUNTIF($B124:R124,"W"))/('Team_Info'!$E$4-17)),"W","B")</x:f>
        <x:v>B</x:v>
      </x:c>
      <x:c r="T124" t="str">
        <x:f>IF(RAND()&lt;(('Team_Info'!$E$2-COUNTIF($B124:S124,"W"))/('Team_Info'!$E$4-18)),"W","B")</x:f>
        <x:v>B</x:v>
      </x:c>
      <x:c r="U124" t="str">
        <x:f>IF(RAND()&lt;(('Team_Info'!$E$2-COUNTIF($B124:T124,"W"))/('Team_Info'!$E$4-19)),"W","B")</x:f>
        <x:v>B</x:v>
      </x:c>
    </x:row>
    <x:row r="125">
      <x:c r="A125" s="1">
        <x:v>124</x:v>
      </x:c>
      <x:c r="B125" t="str">
        <x:f>IF(RAND()&lt;'Team_Info'!$E$5,"W","B")</x:f>
        <x:v>B</x:v>
      </x:c>
      <x:c r="C125" t="str">
        <x:f>IF(RAND()&lt;(('Team_Info'!$E$2-COUNTIF($B125:B125,"W"))/('Team_Info'!$E$4-1)),"W","B")</x:f>
        <x:v>B</x:v>
      </x:c>
      <x:c r="D125" t="str">
        <x:f>IF(RAND()&lt;(('Team_Info'!$E$2-COUNTIF($B125:C125,"W"))/('Team_Info'!$E$4-2)),"W","B")</x:f>
        <x:v>B</x:v>
      </x:c>
      <x:c r="E125" t="str">
        <x:f>IF(RAND()&lt;(('Team_Info'!$E$2-COUNTIF($B125:D125,"W"))/('Team_Info'!$E$4-3)),"W","B")</x:f>
        <x:v>B</x:v>
      </x:c>
      <x:c r="F125" t="str">
        <x:f>IF(RAND()&lt;(('Team_Info'!$E$2-COUNTIF($B125:E125,"W"))/('Team_Info'!$E$4-4)),"W","B")</x:f>
        <x:v>B</x:v>
      </x:c>
      <x:c r="G125" t="str">
        <x:f>IF(RAND()&lt;(('Team_Info'!$E$2-COUNTIF($B125:F125,"W"))/('Team_Info'!$E$4-5)),"W","B")</x:f>
        <x:v>B</x:v>
      </x:c>
      <x:c r="H125" t="str">
        <x:f>IF(RAND()&lt;(('Team_Info'!$E$2-COUNTIF($B125:G125,"W"))/('Team_Info'!$E$4-6)),"W","B")</x:f>
        <x:v>B</x:v>
      </x:c>
      <x:c r="I125" t="str">
        <x:f>IF(RAND()&lt;(('Team_Info'!$E$2-COUNTIF($B125:H125,"W"))/('Team_Info'!$E$4-7)),"W","B")</x:f>
        <x:v>W</x:v>
      </x:c>
      <x:c r="J125" t="str">
        <x:f>IF(RAND()&lt;(('Team_Info'!$E$2-COUNTIF($B125:I125,"W"))/('Team_Info'!$E$4-8)),"W","B")</x:f>
        <x:v>B</x:v>
      </x:c>
      <x:c r="K125" t="str">
        <x:f>IF(RAND()&lt;(('Team_Info'!$E$2-COUNTIF($B125:J125,"W"))/('Team_Info'!$E$4-9)),"W","B")</x:f>
        <x:v>W</x:v>
      </x:c>
      <x:c r="L125" t="str">
        <x:f>IF(RAND()&lt;(('Team_Info'!$E$2-COUNTIF($B125:K125,"W"))/('Team_Info'!$E$4-10)),"W","B")</x:f>
        <x:v>W</x:v>
      </x:c>
      <x:c r="M125" t="str">
        <x:f>IF(RAND()&lt;(('Team_Info'!$E$2-COUNTIF($B125:L125,"W"))/('Team_Info'!$E$4-11)),"W","B")</x:f>
        <x:v>B</x:v>
      </x:c>
      <x:c r="N125" t="str">
        <x:f>IF(RAND()&lt;(('Team_Info'!$E$2-COUNTIF($B125:M125,"W"))/('Team_Info'!$E$4-12)),"W","B")</x:f>
        <x:v>W</x:v>
      </x:c>
      <x:c r="O125" t="str">
        <x:f>IF(RAND()&lt;(('Team_Info'!$E$2-COUNTIF($B125:N125,"W"))/('Team_Info'!$E$4-13)),"W","B")</x:f>
        <x:v>B</x:v>
      </x:c>
      <x:c r="P125" t="str">
        <x:f>IF(RAND()&lt;(('Team_Info'!$E$2-COUNTIF($B125:O125,"W"))/('Team_Info'!$E$4-14)),"W","B")</x:f>
        <x:v>B</x:v>
      </x:c>
      <x:c r="Q125" t="str">
        <x:f>IF(RAND()&lt;(('Team_Info'!$E$2-COUNTIF($B125:P125,"W"))/('Team_Info'!$E$4-15)),"W","B")</x:f>
        <x:v>W</x:v>
      </x:c>
      <x:c r="R125" t="str">
        <x:f>IF(RAND()&lt;(('Team_Info'!$E$2-COUNTIF($B125:Q125,"W"))/('Team_Info'!$E$4-16)),"W","B")</x:f>
        <x:v>W</x:v>
      </x:c>
      <x:c r="S125" t="str">
        <x:f>IF(RAND()&lt;(('Team_Info'!$E$2-COUNTIF($B125:R125,"W"))/('Team_Info'!$E$4-17)),"W","B")</x:f>
        <x:v>B</x:v>
      </x:c>
      <x:c r="T125" t="str">
        <x:f>IF(RAND()&lt;(('Team_Info'!$E$2-COUNTIF($B125:S125,"W"))/('Team_Info'!$E$4-18)),"W","B")</x:f>
        <x:v>B</x:v>
      </x:c>
      <x:c r="U125" t="str">
        <x:f>IF(RAND()&lt;(('Team_Info'!$E$2-COUNTIF($B125:T125,"W"))/('Team_Info'!$E$4-19)),"W","B")</x:f>
        <x:v>B</x:v>
      </x:c>
    </x:row>
    <x:row r="126">
      <x:c r="A126" s="1">
        <x:v>125</x:v>
      </x:c>
      <x:c r="B126" t="str">
        <x:f>IF(RAND()&lt;'Team_Info'!$E$5,"W","B")</x:f>
        <x:v>W</x:v>
      </x:c>
      <x:c r="C126" t="str">
        <x:f>IF(RAND()&lt;(('Team_Info'!$E$2-COUNTIF($B126:B126,"W"))/('Team_Info'!$E$4-1)),"W","B")</x:f>
        <x:v>B</x:v>
      </x:c>
      <x:c r="D126" t="str">
        <x:f>IF(RAND()&lt;(('Team_Info'!$E$2-COUNTIF($B126:C126,"W"))/('Team_Info'!$E$4-2)),"W","B")</x:f>
        <x:v>W</x:v>
      </x:c>
      <x:c r="E126" t="str">
        <x:f>IF(RAND()&lt;(('Team_Info'!$E$2-COUNTIF($B126:D126,"W"))/('Team_Info'!$E$4-3)),"W","B")</x:f>
        <x:v>W</x:v>
      </x:c>
      <x:c r="F126" t="str">
        <x:f>IF(RAND()&lt;(('Team_Info'!$E$2-COUNTIF($B126:E126,"W"))/('Team_Info'!$E$4-4)),"W","B")</x:f>
        <x:v>W</x:v>
      </x:c>
      <x:c r="G126" t="str">
        <x:f>IF(RAND()&lt;(('Team_Info'!$E$2-COUNTIF($B126:F126,"W"))/('Team_Info'!$E$4-5)),"W","B")</x:f>
        <x:v>W</x:v>
      </x:c>
      <x:c r="H126" t="str">
        <x:f>IF(RAND()&lt;(('Team_Info'!$E$2-COUNTIF($B126:G126,"W"))/('Team_Info'!$E$4-6)),"W","B")</x:f>
        <x:v>B</x:v>
      </x:c>
      <x:c r="I126" t="str">
        <x:f>IF(RAND()&lt;(('Team_Info'!$E$2-COUNTIF($B126:H126,"W"))/('Team_Info'!$E$4-7)),"W","B")</x:f>
        <x:v>B</x:v>
      </x:c>
      <x:c r="J126" t="str">
        <x:f>IF(RAND()&lt;(('Team_Info'!$E$2-COUNTIF($B126:I126,"W"))/('Team_Info'!$E$4-8)),"W","B")</x:f>
        <x:v>W</x:v>
      </x:c>
      <x:c r="K126" t="str">
        <x:f>IF(RAND()&lt;(('Team_Info'!$E$2-COUNTIF($B126:J126,"W"))/('Team_Info'!$E$4-9)),"W","B")</x:f>
        <x:v>B</x:v>
      </x:c>
      <x:c r="L126" t="str">
        <x:f>IF(RAND()&lt;(('Team_Info'!$E$2-COUNTIF($B126:K126,"W"))/('Team_Info'!$E$4-10)),"W","B")</x:f>
        <x:v>B</x:v>
      </x:c>
      <x:c r="M126" t="str">
        <x:f>IF(RAND()&lt;(('Team_Info'!$E$2-COUNTIF($B126:L126,"W"))/('Team_Info'!$E$4-11)),"W","B")</x:f>
        <x:v>B</x:v>
      </x:c>
      <x:c r="N126" t="str">
        <x:f>IF(RAND()&lt;(('Team_Info'!$E$2-COUNTIF($B126:M126,"W"))/('Team_Info'!$E$4-12)),"W","B")</x:f>
        <x:v>B</x:v>
      </x:c>
      <x:c r="O126" t="str">
        <x:f>IF(RAND()&lt;(('Team_Info'!$E$2-COUNTIF($B126:N126,"W"))/('Team_Info'!$E$4-13)),"W","B")</x:f>
        <x:v>B</x:v>
      </x:c>
      <x:c r="P126" t="str">
        <x:f>IF(RAND()&lt;(('Team_Info'!$E$2-COUNTIF($B126:O126,"W"))/('Team_Info'!$E$4-14)),"W","B")</x:f>
        <x:v>W</x:v>
      </x:c>
      <x:c r="Q126" t="str">
        <x:f>IF(RAND()&lt;(('Team_Info'!$E$2-COUNTIF($B126:P126,"W"))/('Team_Info'!$E$4-15)),"W","B")</x:f>
        <x:v>W</x:v>
      </x:c>
      <x:c r="R126" t="str">
        <x:f>IF(RAND()&lt;(('Team_Info'!$E$2-COUNTIF($B126:Q126,"W"))/('Team_Info'!$E$4-16)),"W","B")</x:f>
        <x:v>W</x:v>
      </x:c>
      <x:c r="S126" t="str">
        <x:f>IF(RAND()&lt;(('Team_Info'!$E$2-COUNTIF($B126:R126,"W"))/('Team_Info'!$E$4-17)),"W","B")</x:f>
        <x:v>B</x:v>
      </x:c>
      <x:c r="T126" t="str">
        <x:f>IF(RAND()&lt;(('Team_Info'!$E$2-COUNTIF($B126:S126,"W"))/('Team_Info'!$E$4-18)),"W","B")</x:f>
        <x:v>B</x:v>
      </x:c>
      <x:c r="U126" t="str">
        <x:f>IF(RAND()&lt;(('Team_Info'!$E$2-COUNTIF($B126:T126,"W"))/('Team_Info'!$E$4-19)),"W","B")</x:f>
        <x:v>B</x:v>
      </x:c>
    </x:row>
    <x:row r="127">
      <x:c r="A127" s="1">
        <x:v>126</x:v>
      </x:c>
      <x:c r="B127" t="str">
        <x:f>IF(RAND()&lt;'Team_Info'!$E$5,"W","B")</x:f>
        <x:v>B</x:v>
      </x:c>
      <x:c r="C127" t="str">
        <x:f>IF(RAND()&lt;(('Team_Info'!$E$2-COUNTIF($B127:B127,"W"))/('Team_Info'!$E$4-1)),"W","B")</x:f>
        <x:v>W</x:v>
      </x:c>
      <x:c r="D127" t="str">
        <x:f>IF(RAND()&lt;(('Team_Info'!$E$2-COUNTIF($B127:C127,"W"))/('Team_Info'!$E$4-2)),"W","B")</x:f>
        <x:v>B</x:v>
      </x:c>
      <x:c r="E127" t="str">
        <x:f>IF(RAND()&lt;(('Team_Info'!$E$2-COUNTIF($B127:D127,"W"))/('Team_Info'!$E$4-3)),"W","B")</x:f>
        <x:v>B</x:v>
      </x:c>
      <x:c r="F127" t="str">
        <x:f>IF(RAND()&lt;(('Team_Info'!$E$2-COUNTIF($B127:E127,"W"))/('Team_Info'!$E$4-4)),"W","B")</x:f>
        <x:v>B</x:v>
      </x:c>
      <x:c r="G127" t="str">
        <x:f>IF(RAND()&lt;(('Team_Info'!$E$2-COUNTIF($B127:F127,"W"))/('Team_Info'!$E$4-5)),"W","B")</x:f>
        <x:v>B</x:v>
      </x:c>
      <x:c r="H127" t="str">
        <x:f>IF(RAND()&lt;(('Team_Info'!$E$2-COUNTIF($B127:G127,"W"))/('Team_Info'!$E$4-6)),"W","B")</x:f>
        <x:v>B</x:v>
      </x:c>
      <x:c r="I127" t="str">
        <x:f>IF(RAND()&lt;(('Team_Info'!$E$2-COUNTIF($B127:H127,"W"))/('Team_Info'!$E$4-7)),"W","B")</x:f>
        <x:v>B</x:v>
      </x:c>
      <x:c r="J127" t="str">
        <x:f>IF(RAND()&lt;(('Team_Info'!$E$2-COUNTIF($B127:I127,"W"))/('Team_Info'!$E$4-8)),"W","B")</x:f>
        <x:v>W</x:v>
      </x:c>
      <x:c r="K127" t="str">
        <x:f>IF(RAND()&lt;(('Team_Info'!$E$2-COUNTIF($B127:J127,"W"))/('Team_Info'!$E$4-9)),"W","B")</x:f>
        <x:v>B</x:v>
      </x:c>
      <x:c r="L127" t="str">
        <x:f>IF(RAND()&lt;(('Team_Info'!$E$2-COUNTIF($B127:K127,"W"))/('Team_Info'!$E$4-10)),"W","B")</x:f>
        <x:v>B</x:v>
      </x:c>
      <x:c r="M127" t="str">
        <x:f>IF(RAND()&lt;(('Team_Info'!$E$2-COUNTIF($B127:L127,"W"))/('Team_Info'!$E$4-11)),"W","B")</x:f>
        <x:v>B</x:v>
      </x:c>
      <x:c r="N127" t="str">
        <x:f>IF(RAND()&lt;(('Team_Info'!$E$2-COUNTIF($B127:M127,"W"))/('Team_Info'!$E$4-12)),"W","B")</x:f>
        <x:v>W</x:v>
      </x:c>
      <x:c r="O127" t="str">
        <x:f>IF(RAND()&lt;(('Team_Info'!$E$2-COUNTIF($B127:N127,"W"))/('Team_Info'!$E$4-13)),"W","B")</x:f>
        <x:v>W</x:v>
      </x:c>
      <x:c r="P127" t="str">
        <x:f>IF(RAND()&lt;(('Team_Info'!$E$2-COUNTIF($B127:O127,"W"))/('Team_Info'!$E$4-14)),"W","B")</x:f>
        <x:v>B</x:v>
      </x:c>
      <x:c r="Q127" t="str">
        <x:f>IF(RAND()&lt;(('Team_Info'!$E$2-COUNTIF($B127:P127,"W"))/('Team_Info'!$E$4-15)),"W","B")</x:f>
        <x:v>W</x:v>
      </x:c>
      <x:c r="R127" t="str">
        <x:f>IF(RAND()&lt;(('Team_Info'!$E$2-COUNTIF($B127:Q127,"W"))/('Team_Info'!$E$4-16)),"W","B")</x:f>
        <x:v>B</x:v>
      </x:c>
      <x:c r="S127" t="str">
        <x:f>IF(RAND()&lt;(('Team_Info'!$E$2-COUNTIF($B127:R127,"W"))/('Team_Info'!$E$4-17)),"W","B")</x:f>
        <x:v>B</x:v>
      </x:c>
      <x:c r="T127" t="str">
        <x:f>IF(RAND()&lt;(('Team_Info'!$E$2-COUNTIF($B127:S127,"W"))/('Team_Info'!$E$4-18)),"W","B")</x:f>
        <x:v>W</x:v>
      </x:c>
      <x:c r="U127" t="str">
        <x:f>IF(RAND()&lt;(('Team_Info'!$E$2-COUNTIF($B127:T127,"W"))/('Team_Info'!$E$4-19)),"W","B")</x:f>
        <x:v>W</x:v>
      </x:c>
    </x:row>
    <x:row r="128">
      <x:c r="A128" s="1">
        <x:v>127</x:v>
      </x:c>
      <x:c r="B128" t="str">
        <x:f>IF(RAND()&lt;'Team_Info'!$E$5,"W","B")</x:f>
        <x:v>B</x:v>
      </x:c>
      <x:c r="C128" t="str">
        <x:f>IF(RAND()&lt;(('Team_Info'!$E$2-COUNTIF($B128:B128,"W"))/('Team_Info'!$E$4-1)),"W","B")</x:f>
        <x:v>B</x:v>
      </x:c>
      <x:c r="D128" t="str">
        <x:f>IF(RAND()&lt;(('Team_Info'!$E$2-COUNTIF($B128:C128,"W"))/('Team_Info'!$E$4-2)),"W","B")</x:f>
        <x:v>B</x:v>
      </x:c>
      <x:c r="E128" t="str">
        <x:f>IF(RAND()&lt;(('Team_Info'!$E$2-COUNTIF($B128:D128,"W"))/('Team_Info'!$E$4-3)),"W","B")</x:f>
        <x:v>B</x:v>
      </x:c>
      <x:c r="F128" t="str">
        <x:f>IF(RAND()&lt;(('Team_Info'!$E$2-COUNTIF($B128:E128,"W"))/('Team_Info'!$E$4-4)),"W","B")</x:f>
        <x:v>B</x:v>
      </x:c>
      <x:c r="G128" t="str">
        <x:f>IF(RAND()&lt;(('Team_Info'!$E$2-COUNTIF($B128:F128,"W"))/('Team_Info'!$E$4-5)),"W","B")</x:f>
        <x:v>B</x:v>
      </x:c>
      <x:c r="H128" t="str">
        <x:f>IF(RAND()&lt;(('Team_Info'!$E$2-COUNTIF($B128:G128,"W"))/('Team_Info'!$E$4-6)),"W","B")</x:f>
        <x:v>B</x:v>
      </x:c>
      <x:c r="I128" t="str">
        <x:f>IF(RAND()&lt;(('Team_Info'!$E$2-COUNTIF($B128:H128,"W"))/('Team_Info'!$E$4-7)),"W","B")</x:f>
        <x:v>B</x:v>
      </x:c>
      <x:c r="J128" t="str">
        <x:f>IF(RAND()&lt;(('Team_Info'!$E$2-COUNTIF($B128:I128,"W"))/('Team_Info'!$E$4-8)),"W","B")</x:f>
        <x:v>B</x:v>
      </x:c>
      <x:c r="K128" t="str">
        <x:f>IF(RAND()&lt;(('Team_Info'!$E$2-COUNTIF($B128:J128,"W"))/('Team_Info'!$E$4-9)),"W","B")</x:f>
        <x:v>B</x:v>
      </x:c>
      <x:c r="L128" t="str">
        <x:f>IF(RAND()&lt;(('Team_Info'!$E$2-COUNTIF($B128:K128,"W"))/('Team_Info'!$E$4-10)),"W","B")</x:f>
        <x:v>B</x:v>
      </x:c>
      <x:c r="M128" t="str">
        <x:f>IF(RAND()&lt;(('Team_Info'!$E$2-COUNTIF($B128:L128,"W"))/('Team_Info'!$E$4-11)),"W","B")</x:f>
        <x:v>B</x:v>
      </x:c>
      <x:c r="N128" t="str">
        <x:f>IF(RAND()&lt;(('Team_Info'!$E$2-COUNTIF($B128:M128,"W"))/('Team_Info'!$E$4-12)),"W","B")</x:f>
        <x:v>B</x:v>
      </x:c>
      <x:c r="O128" t="str">
        <x:f>IF(RAND()&lt;(('Team_Info'!$E$2-COUNTIF($B128:N128,"W"))/('Team_Info'!$E$4-13)),"W","B")</x:f>
        <x:v>B</x:v>
      </x:c>
      <x:c r="P128" t="str">
        <x:f>IF(RAND()&lt;(('Team_Info'!$E$2-COUNTIF($B128:O128,"W"))/('Team_Info'!$E$4-14)),"W","B")</x:f>
        <x:v>W</x:v>
      </x:c>
      <x:c r="Q128" t="str">
        <x:f>IF(RAND()&lt;(('Team_Info'!$E$2-COUNTIF($B128:P128,"W"))/('Team_Info'!$E$4-15)),"W","B")</x:f>
        <x:v>B</x:v>
      </x:c>
      <x:c r="R128" t="str">
        <x:f>IF(RAND()&lt;(('Team_Info'!$E$2-COUNTIF($B128:Q128,"W"))/('Team_Info'!$E$4-16)),"W","B")</x:f>
        <x:v>B</x:v>
      </x:c>
      <x:c r="S128" t="str">
        <x:f>IF(RAND()&lt;(('Team_Info'!$E$2-COUNTIF($B128:R128,"W"))/('Team_Info'!$E$4-17)),"W","B")</x:f>
        <x:v>B</x:v>
      </x:c>
      <x:c r="T128" t="str">
        <x:f>IF(RAND()&lt;(('Team_Info'!$E$2-COUNTIF($B128:S128,"W"))/('Team_Info'!$E$4-18)),"W","B")</x:f>
        <x:v>B</x:v>
      </x:c>
      <x:c r="U128" t="str">
        <x:f>IF(RAND()&lt;(('Team_Info'!$E$2-COUNTIF($B128:T128,"W"))/('Team_Info'!$E$4-19)),"W","B")</x:f>
        <x:v>W</x:v>
      </x:c>
    </x:row>
    <x:row r="129">
      <x:c r="A129" s="1">
        <x:v>128</x:v>
      </x:c>
      <x:c r="B129" t="str">
        <x:f>IF(RAND()&lt;'Team_Info'!$E$5,"W","B")</x:f>
        <x:v>B</x:v>
      </x:c>
      <x:c r="C129" t="str">
        <x:f>IF(RAND()&lt;(('Team_Info'!$E$2-COUNTIF($B129:B129,"W"))/('Team_Info'!$E$4-1)),"W","B")</x:f>
        <x:v>B</x:v>
      </x:c>
      <x:c r="D129" t="str">
        <x:f>IF(RAND()&lt;(('Team_Info'!$E$2-COUNTIF($B129:C129,"W"))/('Team_Info'!$E$4-2)),"W","B")</x:f>
        <x:v>B</x:v>
      </x:c>
      <x:c r="E129" t="str">
        <x:f>IF(RAND()&lt;(('Team_Info'!$E$2-COUNTIF($B129:D129,"W"))/('Team_Info'!$E$4-3)),"W","B")</x:f>
        <x:v>B</x:v>
      </x:c>
      <x:c r="F129" t="str">
        <x:f>IF(RAND()&lt;(('Team_Info'!$E$2-COUNTIF($B129:E129,"W"))/('Team_Info'!$E$4-4)),"W","B")</x:f>
        <x:v>B</x:v>
      </x:c>
      <x:c r="G129" t="str">
        <x:f>IF(RAND()&lt;(('Team_Info'!$E$2-COUNTIF($B129:F129,"W"))/('Team_Info'!$E$4-5)),"W","B")</x:f>
        <x:v>B</x:v>
      </x:c>
      <x:c r="H129" t="str">
        <x:f>IF(RAND()&lt;(('Team_Info'!$E$2-COUNTIF($B129:G129,"W"))/('Team_Info'!$E$4-6)),"W","B")</x:f>
        <x:v>W</x:v>
      </x:c>
      <x:c r="I129" t="str">
        <x:f>IF(RAND()&lt;(('Team_Info'!$E$2-COUNTIF($B129:H129,"W"))/('Team_Info'!$E$4-7)),"W","B")</x:f>
        <x:v>B</x:v>
      </x:c>
      <x:c r="J129" t="str">
        <x:f>IF(RAND()&lt;(('Team_Info'!$E$2-COUNTIF($B129:I129,"W"))/('Team_Info'!$E$4-8)),"W","B")</x:f>
        <x:v>B</x:v>
      </x:c>
      <x:c r="K129" t="str">
        <x:f>IF(RAND()&lt;(('Team_Info'!$E$2-COUNTIF($B129:J129,"W"))/('Team_Info'!$E$4-9)),"W","B")</x:f>
        <x:v>B</x:v>
      </x:c>
      <x:c r="L129" t="str">
        <x:f>IF(RAND()&lt;(('Team_Info'!$E$2-COUNTIF($B129:K129,"W"))/('Team_Info'!$E$4-10)),"W","B")</x:f>
        <x:v>W</x:v>
      </x:c>
      <x:c r="M129" t="str">
        <x:f>IF(RAND()&lt;(('Team_Info'!$E$2-COUNTIF($B129:L129,"W"))/('Team_Info'!$E$4-11)),"W","B")</x:f>
        <x:v>B</x:v>
      </x:c>
      <x:c r="N129" t="str">
        <x:f>IF(RAND()&lt;(('Team_Info'!$E$2-COUNTIF($B129:M129,"W"))/('Team_Info'!$E$4-12)),"W","B")</x:f>
        <x:v>W</x:v>
      </x:c>
      <x:c r="O129" t="str">
        <x:f>IF(RAND()&lt;(('Team_Info'!$E$2-COUNTIF($B129:N129,"W"))/('Team_Info'!$E$4-13)),"W","B")</x:f>
        <x:v>B</x:v>
      </x:c>
      <x:c r="P129" t="str">
        <x:f>IF(RAND()&lt;(('Team_Info'!$E$2-COUNTIF($B129:O129,"W"))/('Team_Info'!$E$4-14)),"W","B")</x:f>
        <x:v>B</x:v>
      </x:c>
      <x:c r="Q129" t="str">
        <x:f>IF(RAND()&lt;(('Team_Info'!$E$2-COUNTIF($B129:P129,"W"))/('Team_Info'!$E$4-15)),"W","B")</x:f>
        <x:v>B</x:v>
      </x:c>
      <x:c r="R129" t="str">
        <x:f>IF(RAND()&lt;(('Team_Info'!$E$2-COUNTIF($B129:Q129,"W"))/('Team_Info'!$E$4-16)),"W","B")</x:f>
        <x:v>B</x:v>
      </x:c>
      <x:c r="S129" t="str">
        <x:f>IF(RAND()&lt;(('Team_Info'!$E$2-COUNTIF($B129:R129,"W"))/('Team_Info'!$E$4-17)),"W","B")</x:f>
        <x:v>W</x:v>
      </x:c>
      <x:c r="T129" t="str">
        <x:f>IF(RAND()&lt;(('Team_Info'!$E$2-COUNTIF($B129:S129,"W"))/('Team_Info'!$E$4-18)),"W","B")</x:f>
        <x:v>B</x:v>
      </x:c>
      <x:c r="U129" t="str">
        <x:f>IF(RAND()&lt;(('Team_Info'!$E$2-COUNTIF($B129:T129,"W"))/('Team_Info'!$E$4-19)),"W","B")</x:f>
        <x:v>B</x:v>
      </x:c>
    </x:row>
    <x:row r="130">
      <x:c r="A130" s="1">
        <x:v>129</x:v>
      </x:c>
      <x:c r="B130" t="str">
        <x:f>IF(RAND()&lt;'Team_Info'!$E$5,"W","B")</x:f>
        <x:v>B</x:v>
      </x:c>
      <x:c r="C130" t="str">
        <x:f>IF(RAND()&lt;(('Team_Info'!$E$2-COUNTIF($B130:B130,"W"))/('Team_Info'!$E$4-1)),"W","B")</x:f>
        <x:v>W</x:v>
      </x:c>
      <x:c r="D130" t="str">
        <x:f>IF(RAND()&lt;(('Team_Info'!$E$2-COUNTIF($B130:C130,"W"))/('Team_Info'!$E$4-2)),"W","B")</x:f>
        <x:v>B</x:v>
      </x:c>
      <x:c r="E130" t="str">
        <x:f>IF(RAND()&lt;(('Team_Info'!$E$2-COUNTIF($B130:D130,"W"))/('Team_Info'!$E$4-3)),"W","B")</x:f>
        <x:v>B</x:v>
      </x:c>
      <x:c r="F130" t="str">
        <x:f>IF(RAND()&lt;(('Team_Info'!$E$2-COUNTIF($B130:E130,"W"))/('Team_Info'!$E$4-4)),"W","B")</x:f>
        <x:v>W</x:v>
      </x:c>
      <x:c r="G130" t="str">
        <x:f>IF(RAND()&lt;(('Team_Info'!$E$2-COUNTIF($B130:F130,"W"))/('Team_Info'!$E$4-5)),"W","B")</x:f>
        <x:v>B</x:v>
      </x:c>
      <x:c r="H130" t="str">
        <x:f>IF(RAND()&lt;(('Team_Info'!$E$2-COUNTIF($B130:G130,"W"))/('Team_Info'!$E$4-6)),"W","B")</x:f>
        <x:v>W</x:v>
      </x:c>
      <x:c r="I130" t="str">
        <x:f>IF(RAND()&lt;(('Team_Info'!$E$2-COUNTIF($B130:H130,"W"))/('Team_Info'!$E$4-7)),"W","B")</x:f>
        <x:v>W</x:v>
      </x:c>
      <x:c r="J130" t="str">
        <x:f>IF(RAND()&lt;(('Team_Info'!$E$2-COUNTIF($B130:I130,"W"))/('Team_Info'!$E$4-8)),"W","B")</x:f>
        <x:v>B</x:v>
      </x:c>
      <x:c r="K130" t="str">
        <x:f>IF(RAND()&lt;(('Team_Info'!$E$2-COUNTIF($B130:J130,"W"))/('Team_Info'!$E$4-9)),"W","B")</x:f>
        <x:v>W</x:v>
      </x:c>
      <x:c r="L130" t="str">
        <x:f>IF(RAND()&lt;(('Team_Info'!$E$2-COUNTIF($B130:K130,"W"))/('Team_Info'!$E$4-10)),"W","B")</x:f>
        <x:v>B</x:v>
      </x:c>
      <x:c r="M130" t="str">
        <x:f>IF(RAND()&lt;(('Team_Info'!$E$2-COUNTIF($B130:L130,"W"))/('Team_Info'!$E$4-11)),"W","B")</x:f>
        <x:v>B</x:v>
      </x:c>
      <x:c r="N130" t="str">
        <x:f>IF(RAND()&lt;(('Team_Info'!$E$2-COUNTIF($B130:M130,"W"))/('Team_Info'!$E$4-12)),"W","B")</x:f>
        <x:v>W</x:v>
      </x:c>
      <x:c r="O130" t="str">
        <x:f>IF(RAND()&lt;(('Team_Info'!$E$2-COUNTIF($B130:N130,"W"))/('Team_Info'!$E$4-13)),"W","B")</x:f>
        <x:v>B</x:v>
      </x:c>
      <x:c r="P130" t="str">
        <x:f>IF(RAND()&lt;(('Team_Info'!$E$2-COUNTIF($B130:O130,"W"))/('Team_Info'!$E$4-14)),"W","B")</x:f>
        <x:v>B</x:v>
      </x:c>
      <x:c r="Q130" t="str">
        <x:f>IF(RAND()&lt;(('Team_Info'!$E$2-COUNTIF($B130:P130,"W"))/('Team_Info'!$E$4-15)),"W","B")</x:f>
        <x:v>B</x:v>
      </x:c>
      <x:c r="R130" t="str">
        <x:f>IF(RAND()&lt;(('Team_Info'!$E$2-COUNTIF($B130:Q130,"W"))/('Team_Info'!$E$4-16)),"W","B")</x:f>
        <x:v>B</x:v>
      </x:c>
      <x:c r="S130" t="str">
        <x:f>IF(RAND()&lt;(('Team_Info'!$E$2-COUNTIF($B130:R130,"W"))/('Team_Info'!$E$4-17)),"W","B")</x:f>
        <x:v>W</x:v>
      </x:c>
      <x:c r="T130" t="str">
        <x:f>IF(RAND()&lt;(('Team_Info'!$E$2-COUNTIF($B130:S130,"W"))/('Team_Info'!$E$4-18)),"W","B")</x:f>
        <x:v>B</x:v>
      </x:c>
      <x:c r="U130" t="str">
        <x:f>IF(RAND()&lt;(('Team_Info'!$E$2-COUNTIF($B130:T130,"W"))/('Team_Info'!$E$4-19)),"W","B")</x:f>
        <x:v>W</x:v>
      </x:c>
    </x:row>
    <x:row r="131">
      <x:c r="A131" s="1">
        <x:v>130</x:v>
      </x:c>
      <x:c r="B131" t="str">
        <x:f>IF(RAND()&lt;'Team_Info'!$E$5,"W","B")</x:f>
        <x:v>B</x:v>
      </x:c>
      <x:c r="C131" t="str">
        <x:f>IF(RAND()&lt;(('Team_Info'!$E$2-COUNTIF($B131:B131,"W"))/('Team_Info'!$E$4-1)),"W","B")</x:f>
        <x:v>B</x:v>
      </x:c>
      <x:c r="D131" t="str">
        <x:f>IF(RAND()&lt;(('Team_Info'!$E$2-COUNTIF($B131:C131,"W"))/('Team_Info'!$E$4-2)),"W","B")</x:f>
        <x:v>W</x:v>
      </x:c>
      <x:c r="E131" t="str">
        <x:f>IF(RAND()&lt;(('Team_Info'!$E$2-COUNTIF($B131:D131,"W"))/('Team_Info'!$E$4-3)),"W","B")</x:f>
        <x:v>W</x:v>
      </x:c>
      <x:c r="F131" t="str">
        <x:f>IF(RAND()&lt;(('Team_Info'!$E$2-COUNTIF($B131:E131,"W"))/('Team_Info'!$E$4-4)),"W","B")</x:f>
        <x:v>B</x:v>
      </x:c>
      <x:c r="G131" t="str">
        <x:f>IF(RAND()&lt;(('Team_Info'!$E$2-COUNTIF($B131:F131,"W"))/('Team_Info'!$E$4-5)),"W","B")</x:f>
        <x:v>B</x:v>
      </x:c>
      <x:c r="H131" t="str">
        <x:f>IF(RAND()&lt;(('Team_Info'!$E$2-COUNTIF($B131:G131,"W"))/('Team_Info'!$E$4-6)),"W","B")</x:f>
        <x:v>B</x:v>
      </x:c>
      <x:c r="I131" t="str">
        <x:f>IF(RAND()&lt;(('Team_Info'!$E$2-COUNTIF($B131:H131,"W"))/('Team_Info'!$E$4-7)),"W","B")</x:f>
        <x:v>W</x:v>
      </x:c>
      <x:c r="J131" t="str">
        <x:f>IF(RAND()&lt;(('Team_Info'!$E$2-COUNTIF($B131:I131,"W"))/('Team_Info'!$E$4-8)),"W","B")</x:f>
        <x:v>W</x:v>
      </x:c>
      <x:c r="K131" t="str">
        <x:f>IF(RAND()&lt;(('Team_Info'!$E$2-COUNTIF($B131:J131,"W"))/('Team_Info'!$E$4-9)),"W","B")</x:f>
        <x:v>B</x:v>
      </x:c>
      <x:c r="L131" t="str">
        <x:f>IF(RAND()&lt;(('Team_Info'!$E$2-COUNTIF($B131:K131,"W"))/('Team_Info'!$E$4-10)),"W","B")</x:f>
        <x:v>W</x:v>
      </x:c>
      <x:c r="M131" t="str">
        <x:f>IF(RAND()&lt;(('Team_Info'!$E$2-COUNTIF($B131:L131,"W"))/('Team_Info'!$E$4-11)),"W","B")</x:f>
        <x:v>W</x:v>
      </x:c>
      <x:c r="N131" t="str">
        <x:f>IF(RAND()&lt;(('Team_Info'!$E$2-COUNTIF($B131:M131,"W"))/('Team_Info'!$E$4-12)),"W","B")</x:f>
        <x:v>B</x:v>
      </x:c>
      <x:c r="O131" t="str">
        <x:f>IF(RAND()&lt;(('Team_Info'!$E$2-COUNTIF($B131:N131,"W"))/('Team_Info'!$E$4-13)),"W","B")</x:f>
        <x:v>W</x:v>
      </x:c>
      <x:c r="P131" t="str">
        <x:f>IF(RAND()&lt;(('Team_Info'!$E$2-COUNTIF($B131:O131,"W"))/('Team_Info'!$E$4-14)),"W","B")</x:f>
        <x:v>W</x:v>
      </x:c>
      <x:c r="Q131" t="str">
        <x:f>IF(RAND()&lt;(('Team_Info'!$E$2-COUNTIF($B131:P131,"W"))/('Team_Info'!$E$4-15)),"W","B")</x:f>
        <x:v>W</x:v>
      </x:c>
      <x:c r="R131" t="str">
        <x:f>IF(RAND()&lt;(('Team_Info'!$E$2-COUNTIF($B131:Q131,"W"))/('Team_Info'!$E$4-16)),"W","B")</x:f>
        <x:v>W</x:v>
      </x:c>
      <x:c r="S131" t="str">
        <x:f>IF(RAND()&lt;(('Team_Info'!$E$2-COUNTIF($B131:R131,"W"))/('Team_Info'!$E$4-17)),"W","B")</x:f>
        <x:v>B</x:v>
      </x:c>
      <x:c r="T131" t="str">
        <x:f>IF(RAND()&lt;(('Team_Info'!$E$2-COUNTIF($B131:S131,"W"))/('Team_Info'!$E$4-18)),"W","B")</x:f>
        <x:v>B</x:v>
      </x:c>
      <x:c r="U131" t="str">
        <x:f>IF(RAND()&lt;(('Team_Info'!$E$2-COUNTIF($B131:T131,"W"))/('Team_Info'!$E$4-19)),"W","B")</x:f>
        <x:v>W</x:v>
      </x:c>
    </x:row>
    <x:row r="132">
      <x:c r="A132" s="1">
        <x:v>131</x:v>
      </x:c>
      <x:c r="B132" t="str">
        <x:f>IF(RAND()&lt;'Team_Info'!$E$5,"W","B")</x:f>
        <x:v>B</x:v>
      </x:c>
      <x:c r="C132" t="str">
        <x:f>IF(RAND()&lt;(('Team_Info'!$E$2-COUNTIF($B132:B132,"W"))/('Team_Info'!$E$4-1)),"W","B")</x:f>
        <x:v>B</x:v>
      </x:c>
      <x:c r="D132" t="str">
        <x:f>IF(RAND()&lt;(('Team_Info'!$E$2-COUNTIF($B132:C132,"W"))/('Team_Info'!$E$4-2)),"W","B")</x:f>
        <x:v>B</x:v>
      </x:c>
      <x:c r="E132" t="str">
        <x:f>IF(RAND()&lt;(('Team_Info'!$E$2-COUNTIF($B132:D132,"W"))/('Team_Info'!$E$4-3)),"W","B")</x:f>
        <x:v>B</x:v>
      </x:c>
      <x:c r="F132" t="str">
        <x:f>IF(RAND()&lt;(('Team_Info'!$E$2-COUNTIF($B132:E132,"W"))/('Team_Info'!$E$4-4)),"W","B")</x:f>
        <x:v>B</x:v>
      </x:c>
      <x:c r="G132" t="str">
        <x:f>IF(RAND()&lt;(('Team_Info'!$E$2-COUNTIF($B132:F132,"W"))/('Team_Info'!$E$4-5)),"W","B")</x:f>
        <x:v>B</x:v>
      </x:c>
      <x:c r="H132" t="str">
        <x:f>IF(RAND()&lt;(('Team_Info'!$E$2-COUNTIF($B132:G132,"W"))/('Team_Info'!$E$4-6)),"W","B")</x:f>
        <x:v>B</x:v>
      </x:c>
      <x:c r="I132" t="str">
        <x:f>IF(RAND()&lt;(('Team_Info'!$E$2-COUNTIF($B132:H132,"W"))/('Team_Info'!$E$4-7)),"W","B")</x:f>
        <x:v>W</x:v>
      </x:c>
      <x:c r="J132" t="str">
        <x:f>IF(RAND()&lt;(('Team_Info'!$E$2-COUNTIF($B132:I132,"W"))/('Team_Info'!$E$4-8)),"W","B")</x:f>
        <x:v>W</x:v>
      </x:c>
      <x:c r="K132" t="str">
        <x:f>IF(RAND()&lt;(('Team_Info'!$E$2-COUNTIF($B132:J132,"W"))/('Team_Info'!$E$4-9)),"W","B")</x:f>
        <x:v>B</x:v>
      </x:c>
      <x:c r="L132" t="str">
        <x:f>IF(RAND()&lt;(('Team_Info'!$E$2-COUNTIF($B132:K132,"W"))/('Team_Info'!$E$4-10)),"W","B")</x:f>
        <x:v>B</x:v>
      </x:c>
      <x:c r="M132" t="str">
        <x:f>IF(RAND()&lt;(('Team_Info'!$E$2-COUNTIF($B132:L132,"W"))/('Team_Info'!$E$4-11)),"W","B")</x:f>
        <x:v>W</x:v>
      </x:c>
      <x:c r="N132" t="str">
        <x:f>IF(RAND()&lt;(('Team_Info'!$E$2-COUNTIF($B132:M132,"W"))/('Team_Info'!$E$4-12)),"W","B")</x:f>
        <x:v>B</x:v>
      </x:c>
      <x:c r="O132" t="str">
        <x:f>IF(RAND()&lt;(('Team_Info'!$E$2-COUNTIF($B132:N132,"W"))/('Team_Info'!$E$4-13)),"W","B")</x:f>
        <x:v>B</x:v>
      </x:c>
      <x:c r="P132" t="str">
        <x:f>IF(RAND()&lt;(('Team_Info'!$E$2-COUNTIF($B132:O132,"W"))/('Team_Info'!$E$4-14)),"W","B")</x:f>
        <x:v>B</x:v>
      </x:c>
      <x:c r="Q132" t="str">
        <x:f>IF(RAND()&lt;(('Team_Info'!$E$2-COUNTIF($B132:P132,"W"))/('Team_Info'!$E$4-15)),"W","B")</x:f>
        <x:v>B</x:v>
      </x:c>
      <x:c r="R132" t="str">
        <x:f>IF(RAND()&lt;(('Team_Info'!$E$2-COUNTIF($B132:Q132,"W"))/('Team_Info'!$E$4-16)),"W","B")</x:f>
        <x:v>W</x:v>
      </x:c>
      <x:c r="S132" t="str">
        <x:f>IF(RAND()&lt;(('Team_Info'!$E$2-COUNTIF($B132:R132,"W"))/('Team_Info'!$E$4-17)),"W","B")</x:f>
        <x:v>B</x:v>
      </x:c>
      <x:c r="T132" t="str">
        <x:f>IF(RAND()&lt;(('Team_Info'!$E$2-COUNTIF($B132:S132,"W"))/('Team_Info'!$E$4-18)),"W","B")</x:f>
        <x:v>W</x:v>
      </x:c>
      <x:c r="U132" t="str">
        <x:f>IF(RAND()&lt;(('Team_Info'!$E$2-COUNTIF($B132:T132,"W"))/('Team_Info'!$E$4-19)),"W","B")</x:f>
        <x:v>B</x:v>
      </x:c>
    </x:row>
    <x:row r="133">
      <x:c r="A133" s="1">
        <x:v>132</x:v>
      </x:c>
      <x:c r="B133" t="str">
        <x:f>IF(RAND()&lt;'Team_Info'!$E$5,"W","B")</x:f>
        <x:v>W</x:v>
      </x:c>
      <x:c r="C133" t="str">
        <x:f>IF(RAND()&lt;(('Team_Info'!$E$2-COUNTIF($B133:B133,"W"))/('Team_Info'!$E$4-1)),"W","B")</x:f>
        <x:v>W</x:v>
      </x:c>
      <x:c r="D133" t="str">
        <x:f>IF(RAND()&lt;(('Team_Info'!$E$2-COUNTIF($B133:C133,"W"))/('Team_Info'!$E$4-2)),"W","B")</x:f>
        <x:v>B</x:v>
      </x:c>
      <x:c r="E133" t="str">
        <x:f>IF(RAND()&lt;(('Team_Info'!$E$2-COUNTIF($B133:D133,"W"))/('Team_Info'!$E$4-3)),"W","B")</x:f>
        <x:v>W</x:v>
      </x:c>
      <x:c r="F133" t="str">
        <x:f>IF(RAND()&lt;(('Team_Info'!$E$2-COUNTIF($B133:E133,"W"))/('Team_Info'!$E$4-4)),"W","B")</x:f>
        <x:v>W</x:v>
      </x:c>
      <x:c r="G133" t="str">
        <x:f>IF(RAND()&lt;(('Team_Info'!$E$2-COUNTIF($B133:F133,"W"))/('Team_Info'!$E$4-5)),"W","B")</x:f>
        <x:v>W</x:v>
      </x:c>
      <x:c r="H133" t="str">
        <x:f>IF(RAND()&lt;(('Team_Info'!$E$2-COUNTIF($B133:G133,"W"))/('Team_Info'!$E$4-6)),"W","B")</x:f>
        <x:v>B</x:v>
      </x:c>
      <x:c r="I133" t="str">
        <x:f>IF(RAND()&lt;(('Team_Info'!$E$2-COUNTIF($B133:H133,"W"))/('Team_Info'!$E$4-7)),"W","B")</x:f>
        <x:v>B</x:v>
      </x:c>
      <x:c r="J133" t="str">
        <x:f>IF(RAND()&lt;(('Team_Info'!$E$2-COUNTIF($B133:I133,"W"))/('Team_Info'!$E$4-8)),"W","B")</x:f>
        <x:v>B</x:v>
      </x:c>
      <x:c r="K133" t="str">
        <x:f>IF(RAND()&lt;(('Team_Info'!$E$2-COUNTIF($B133:J133,"W"))/('Team_Info'!$E$4-9)),"W","B")</x:f>
        <x:v>B</x:v>
      </x:c>
      <x:c r="L133" t="str">
        <x:f>IF(RAND()&lt;(('Team_Info'!$E$2-COUNTIF($B133:K133,"W"))/('Team_Info'!$E$4-10)),"W","B")</x:f>
        <x:v>B</x:v>
      </x:c>
      <x:c r="M133" t="str">
        <x:f>IF(RAND()&lt;(('Team_Info'!$E$2-COUNTIF($B133:L133,"W"))/('Team_Info'!$E$4-11)),"W","B")</x:f>
        <x:v>W</x:v>
      </x:c>
      <x:c r="N133" t="str">
        <x:f>IF(RAND()&lt;(('Team_Info'!$E$2-COUNTIF($B133:M133,"W"))/('Team_Info'!$E$4-12)),"W","B")</x:f>
        <x:v>B</x:v>
      </x:c>
      <x:c r="O133" t="str">
        <x:f>IF(RAND()&lt;(('Team_Info'!$E$2-COUNTIF($B133:N133,"W"))/('Team_Info'!$E$4-13)),"W","B")</x:f>
        <x:v>W</x:v>
      </x:c>
      <x:c r="P133" t="str">
        <x:f>IF(RAND()&lt;(('Team_Info'!$E$2-COUNTIF($B133:O133,"W"))/('Team_Info'!$E$4-14)),"W","B")</x:f>
        <x:v>W</x:v>
      </x:c>
      <x:c r="Q133" t="str">
        <x:f>IF(RAND()&lt;(('Team_Info'!$E$2-COUNTIF($B133:P133,"W"))/('Team_Info'!$E$4-15)),"W","B")</x:f>
        <x:v>B</x:v>
      </x:c>
      <x:c r="R133" t="str">
        <x:f>IF(RAND()&lt;(('Team_Info'!$E$2-COUNTIF($B133:Q133,"W"))/('Team_Info'!$E$4-16)),"W","B")</x:f>
        <x:v>W</x:v>
      </x:c>
      <x:c r="S133" t="str">
        <x:f>IF(RAND()&lt;(('Team_Info'!$E$2-COUNTIF($B133:R133,"W"))/('Team_Info'!$E$4-17)),"W","B")</x:f>
        <x:v>B</x:v>
      </x:c>
      <x:c r="T133" t="str">
        <x:f>IF(RAND()&lt;(('Team_Info'!$E$2-COUNTIF($B133:S133,"W"))/('Team_Info'!$E$4-18)),"W","B")</x:f>
        <x:v>W</x:v>
      </x:c>
      <x:c r="U133" t="str">
        <x:f>IF(RAND()&lt;(('Team_Info'!$E$2-COUNTIF($B133:T133,"W"))/('Team_Info'!$E$4-19)),"W","B")</x:f>
        <x:v>B</x:v>
      </x:c>
    </x:row>
    <x:row r="134">
      <x:c r="A134" s="1">
        <x:v>133</x:v>
      </x:c>
      <x:c r="B134" t="str">
        <x:f>IF(RAND()&lt;'Team_Info'!$E$5,"W","B")</x:f>
        <x:v>B</x:v>
      </x:c>
      <x:c r="C134" t="str">
        <x:f>IF(RAND()&lt;(('Team_Info'!$E$2-COUNTIF($B134:B134,"W"))/('Team_Info'!$E$4-1)),"W","B")</x:f>
        <x:v>W</x:v>
      </x:c>
      <x:c r="D134" t="str">
        <x:f>IF(RAND()&lt;(('Team_Info'!$E$2-COUNTIF($B134:C134,"W"))/('Team_Info'!$E$4-2)),"W","B")</x:f>
        <x:v>B</x:v>
      </x:c>
      <x:c r="E134" t="str">
        <x:f>IF(RAND()&lt;(('Team_Info'!$E$2-COUNTIF($B134:D134,"W"))/('Team_Info'!$E$4-3)),"W","B")</x:f>
        <x:v>B</x:v>
      </x:c>
      <x:c r="F134" t="str">
        <x:f>IF(RAND()&lt;(('Team_Info'!$E$2-COUNTIF($B134:E134,"W"))/('Team_Info'!$E$4-4)),"W","B")</x:f>
        <x:v>B</x:v>
      </x:c>
      <x:c r="G134" t="str">
        <x:f>IF(RAND()&lt;(('Team_Info'!$E$2-COUNTIF($B134:F134,"W"))/('Team_Info'!$E$4-5)),"W","B")</x:f>
        <x:v>B</x:v>
      </x:c>
      <x:c r="H134" t="str">
        <x:f>IF(RAND()&lt;(('Team_Info'!$E$2-COUNTIF($B134:G134,"W"))/('Team_Info'!$E$4-6)),"W","B")</x:f>
        <x:v>B</x:v>
      </x:c>
      <x:c r="I134" t="str">
        <x:f>IF(RAND()&lt;(('Team_Info'!$E$2-COUNTIF($B134:H134,"W"))/('Team_Info'!$E$4-7)),"W","B")</x:f>
        <x:v>W</x:v>
      </x:c>
      <x:c r="J134" t="str">
        <x:f>IF(RAND()&lt;(('Team_Info'!$E$2-COUNTIF($B134:I134,"W"))/('Team_Info'!$E$4-8)),"W","B")</x:f>
        <x:v>W</x:v>
      </x:c>
      <x:c r="K134" t="str">
        <x:f>IF(RAND()&lt;(('Team_Info'!$E$2-COUNTIF($B134:J134,"W"))/('Team_Info'!$E$4-9)),"W","B")</x:f>
        <x:v>W</x:v>
      </x:c>
      <x:c r="L134" t="str">
        <x:f>IF(RAND()&lt;(('Team_Info'!$E$2-COUNTIF($B134:K134,"W"))/('Team_Info'!$E$4-10)),"W","B")</x:f>
        <x:v>B</x:v>
      </x:c>
      <x:c r="M134" t="str">
        <x:f>IF(RAND()&lt;(('Team_Info'!$E$2-COUNTIF($B134:L134,"W"))/('Team_Info'!$E$4-11)),"W","B")</x:f>
        <x:v>W</x:v>
      </x:c>
      <x:c r="N134" t="str">
        <x:f>IF(RAND()&lt;(('Team_Info'!$E$2-COUNTIF($B134:M134,"W"))/('Team_Info'!$E$4-12)),"W","B")</x:f>
        <x:v>B</x:v>
      </x:c>
      <x:c r="O134" t="str">
        <x:f>IF(RAND()&lt;(('Team_Info'!$E$2-COUNTIF($B134:N134,"W"))/('Team_Info'!$E$4-13)),"W","B")</x:f>
        <x:v>W</x:v>
      </x:c>
      <x:c r="P134" t="str">
        <x:f>IF(RAND()&lt;(('Team_Info'!$E$2-COUNTIF($B134:O134,"W"))/('Team_Info'!$E$4-14)),"W","B")</x:f>
        <x:v>B</x:v>
      </x:c>
      <x:c r="Q134" t="str">
        <x:f>IF(RAND()&lt;(('Team_Info'!$E$2-COUNTIF($B134:P134,"W"))/('Team_Info'!$E$4-15)),"W","B")</x:f>
        <x:v>W</x:v>
      </x:c>
      <x:c r="R134" t="str">
        <x:f>IF(RAND()&lt;(('Team_Info'!$E$2-COUNTIF($B134:Q134,"W"))/('Team_Info'!$E$4-16)),"W","B")</x:f>
        <x:v>B</x:v>
      </x:c>
      <x:c r="S134" t="str">
        <x:f>IF(RAND()&lt;(('Team_Info'!$E$2-COUNTIF($B134:R134,"W"))/('Team_Info'!$E$4-17)),"W","B")</x:f>
        <x:v>W</x:v>
      </x:c>
      <x:c r="T134" t="str">
        <x:f>IF(RAND()&lt;(('Team_Info'!$E$2-COUNTIF($B134:S134,"W"))/('Team_Info'!$E$4-18)),"W","B")</x:f>
        <x:v>W</x:v>
      </x:c>
      <x:c r="U134" t="str">
        <x:f>IF(RAND()&lt;(('Team_Info'!$E$2-COUNTIF($B134:T134,"W"))/('Team_Info'!$E$4-19)),"W","B")</x:f>
        <x:v>B</x:v>
      </x:c>
    </x:row>
    <x:row r="135">
      <x:c r="A135" s="1">
        <x:v>134</x:v>
      </x:c>
      <x:c r="B135" t="str">
        <x:f>IF(RAND()&lt;'Team_Info'!$E$5,"W","B")</x:f>
        <x:v>B</x:v>
      </x:c>
      <x:c r="C135" t="str">
        <x:f>IF(RAND()&lt;(('Team_Info'!$E$2-COUNTIF($B135:B135,"W"))/('Team_Info'!$E$4-1)),"W","B")</x:f>
        <x:v>W</x:v>
      </x:c>
      <x:c r="D135" t="str">
        <x:f>IF(RAND()&lt;(('Team_Info'!$E$2-COUNTIF($B135:C135,"W"))/('Team_Info'!$E$4-2)),"W","B")</x:f>
        <x:v>B</x:v>
      </x:c>
      <x:c r="E135" t="str">
        <x:f>IF(RAND()&lt;(('Team_Info'!$E$2-COUNTIF($B135:D135,"W"))/('Team_Info'!$E$4-3)),"W","B")</x:f>
        <x:v>B</x:v>
      </x:c>
      <x:c r="F135" t="str">
        <x:f>IF(RAND()&lt;(('Team_Info'!$E$2-COUNTIF($B135:E135,"W"))/('Team_Info'!$E$4-4)),"W","B")</x:f>
        <x:v>B</x:v>
      </x:c>
      <x:c r="G135" t="str">
        <x:f>IF(RAND()&lt;(('Team_Info'!$E$2-COUNTIF($B135:F135,"W"))/('Team_Info'!$E$4-5)),"W","B")</x:f>
        <x:v>B</x:v>
      </x:c>
      <x:c r="H135" t="str">
        <x:f>IF(RAND()&lt;(('Team_Info'!$E$2-COUNTIF($B135:G135,"W"))/('Team_Info'!$E$4-6)),"W","B")</x:f>
        <x:v>B</x:v>
      </x:c>
      <x:c r="I135" t="str">
        <x:f>IF(RAND()&lt;(('Team_Info'!$E$2-COUNTIF($B135:H135,"W"))/('Team_Info'!$E$4-7)),"W","B")</x:f>
        <x:v>B</x:v>
      </x:c>
      <x:c r="J135" t="str">
        <x:f>IF(RAND()&lt;(('Team_Info'!$E$2-COUNTIF($B135:I135,"W"))/('Team_Info'!$E$4-8)),"W","B")</x:f>
        <x:v>W</x:v>
      </x:c>
      <x:c r="K135" t="str">
        <x:f>IF(RAND()&lt;(('Team_Info'!$E$2-COUNTIF($B135:J135,"W"))/('Team_Info'!$E$4-9)),"W","B")</x:f>
        <x:v>B</x:v>
      </x:c>
      <x:c r="L135" t="str">
        <x:f>IF(RAND()&lt;(('Team_Info'!$E$2-COUNTIF($B135:K135,"W"))/('Team_Info'!$E$4-10)),"W","B")</x:f>
        <x:v>W</x:v>
      </x:c>
      <x:c r="M135" t="str">
        <x:f>IF(RAND()&lt;(('Team_Info'!$E$2-COUNTIF($B135:L135,"W"))/('Team_Info'!$E$4-11)),"W","B")</x:f>
        <x:v>B</x:v>
      </x:c>
      <x:c r="N135" t="str">
        <x:f>IF(RAND()&lt;(('Team_Info'!$E$2-COUNTIF($B135:M135,"W"))/('Team_Info'!$E$4-12)),"W","B")</x:f>
        <x:v>W</x:v>
      </x:c>
      <x:c r="O135" t="str">
        <x:f>IF(RAND()&lt;(('Team_Info'!$E$2-COUNTIF($B135:N135,"W"))/('Team_Info'!$E$4-13)),"W","B")</x:f>
        <x:v>B</x:v>
      </x:c>
      <x:c r="P135" t="str">
        <x:f>IF(RAND()&lt;(('Team_Info'!$E$2-COUNTIF($B135:O135,"W"))/('Team_Info'!$E$4-14)),"W","B")</x:f>
        <x:v>B</x:v>
      </x:c>
      <x:c r="Q135" t="str">
        <x:f>IF(RAND()&lt;(('Team_Info'!$E$2-COUNTIF($B135:P135,"W"))/('Team_Info'!$E$4-15)),"W","B")</x:f>
        <x:v>W</x:v>
      </x:c>
      <x:c r="R135" t="str">
        <x:f>IF(RAND()&lt;(('Team_Info'!$E$2-COUNTIF($B135:Q135,"W"))/('Team_Info'!$E$4-16)),"W","B")</x:f>
        <x:v>B</x:v>
      </x:c>
      <x:c r="S135" t="str">
        <x:f>IF(RAND()&lt;(('Team_Info'!$E$2-COUNTIF($B135:R135,"W"))/('Team_Info'!$E$4-17)),"W","B")</x:f>
        <x:v>W</x:v>
      </x:c>
      <x:c r="T135" t="str">
        <x:f>IF(RAND()&lt;(('Team_Info'!$E$2-COUNTIF($B135:S135,"W"))/('Team_Info'!$E$4-18)),"W","B")</x:f>
        <x:v>B</x:v>
      </x:c>
      <x:c r="U135" t="str">
        <x:f>IF(RAND()&lt;(('Team_Info'!$E$2-COUNTIF($B135:T135,"W"))/('Team_Info'!$E$4-19)),"W","B")</x:f>
        <x:v>W</x:v>
      </x:c>
    </x:row>
    <x:row r="136">
      <x:c r="A136" s="1">
        <x:v>135</x:v>
      </x:c>
      <x:c r="B136" t="str">
        <x:f>IF(RAND()&lt;'Team_Info'!$E$5,"W","B")</x:f>
        <x:v>B</x:v>
      </x:c>
      <x:c r="C136" t="str">
        <x:f>IF(RAND()&lt;(('Team_Info'!$E$2-COUNTIF($B136:B136,"W"))/('Team_Info'!$E$4-1)),"W","B")</x:f>
        <x:v>B</x:v>
      </x:c>
      <x:c r="D136" t="str">
        <x:f>IF(RAND()&lt;(('Team_Info'!$E$2-COUNTIF($B136:C136,"W"))/('Team_Info'!$E$4-2)),"W","B")</x:f>
        <x:v>B</x:v>
      </x:c>
      <x:c r="E136" t="str">
        <x:f>IF(RAND()&lt;(('Team_Info'!$E$2-COUNTIF($B136:D136,"W"))/('Team_Info'!$E$4-3)),"W","B")</x:f>
        <x:v>B</x:v>
      </x:c>
      <x:c r="F136" t="str">
        <x:f>IF(RAND()&lt;(('Team_Info'!$E$2-COUNTIF($B136:E136,"W"))/('Team_Info'!$E$4-4)),"W","B")</x:f>
        <x:v>B</x:v>
      </x:c>
      <x:c r="G136" t="str">
        <x:f>IF(RAND()&lt;(('Team_Info'!$E$2-COUNTIF($B136:F136,"W"))/('Team_Info'!$E$4-5)),"W","B")</x:f>
        <x:v>B</x:v>
      </x:c>
      <x:c r="H136" t="str">
        <x:f>IF(RAND()&lt;(('Team_Info'!$E$2-COUNTIF($B136:G136,"W"))/('Team_Info'!$E$4-6)),"W","B")</x:f>
        <x:v>W</x:v>
      </x:c>
      <x:c r="I136" t="str">
        <x:f>IF(RAND()&lt;(('Team_Info'!$E$2-COUNTIF($B136:H136,"W"))/('Team_Info'!$E$4-7)),"W","B")</x:f>
        <x:v>B</x:v>
      </x:c>
      <x:c r="J136" t="str">
        <x:f>IF(RAND()&lt;(('Team_Info'!$E$2-COUNTIF($B136:I136,"W"))/('Team_Info'!$E$4-8)),"W","B")</x:f>
        <x:v>B</x:v>
      </x:c>
      <x:c r="K136" t="str">
        <x:f>IF(RAND()&lt;(('Team_Info'!$E$2-COUNTIF($B136:J136,"W"))/('Team_Info'!$E$4-9)),"W","B")</x:f>
        <x:v>B</x:v>
      </x:c>
      <x:c r="L136" t="str">
        <x:f>IF(RAND()&lt;(('Team_Info'!$E$2-COUNTIF($B136:K136,"W"))/('Team_Info'!$E$4-10)),"W","B")</x:f>
        <x:v>B</x:v>
      </x:c>
      <x:c r="M136" t="str">
        <x:f>IF(RAND()&lt;(('Team_Info'!$E$2-COUNTIF($B136:L136,"W"))/('Team_Info'!$E$4-11)),"W","B")</x:f>
        <x:v>B</x:v>
      </x:c>
      <x:c r="N136" t="str">
        <x:f>IF(RAND()&lt;(('Team_Info'!$E$2-COUNTIF($B136:M136,"W"))/('Team_Info'!$E$4-12)),"W","B")</x:f>
        <x:v>W</x:v>
      </x:c>
      <x:c r="O136" t="str">
        <x:f>IF(RAND()&lt;(('Team_Info'!$E$2-COUNTIF($B136:N136,"W"))/('Team_Info'!$E$4-13)),"W","B")</x:f>
        <x:v>B</x:v>
      </x:c>
      <x:c r="P136" t="str">
        <x:f>IF(RAND()&lt;(('Team_Info'!$E$2-COUNTIF($B136:O136,"W"))/('Team_Info'!$E$4-14)),"W","B")</x:f>
        <x:v>B</x:v>
      </x:c>
      <x:c r="Q136" t="str">
        <x:f>IF(RAND()&lt;(('Team_Info'!$E$2-COUNTIF($B136:P136,"W"))/('Team_Info'!$E$4-15)),"W","B")</x:f>
        <x:v>B</x:v>
      </x:c>
      <x:c r="R136" t="str">
        <x:f>IF(RAND()&lt;(('Team_Info'!$E$2-COUNTIF($B136:Q136,"W"))/('Team_Info'!$E$4-16)),"W","B")</x:f>
        <x:v>B</x:v>
      </x:c>
      <x:c r="S136" t="str">
        <x:f>IF(RAND()&lt;(('Team_Info'!$E$2-COUNTIF($B136:R136,"W"))/('Team_Info'!$E$4-17)),"W","B")</x:f>
        <x:v>W</x:v>
      </x:c>
      <x:c r="T136" t="str">
        <x:f>IF(RAND()&lt;(('Team_Info'!$E$2-COUNTIF($B136:S136,"W"))/('Team_Info'!$E$4-18)),"W","B")</x:f>
        <x:v>W</x:v>
      </x:c>
      <x:c r="U136" t="str">
        <x:f>IF(RAND()&lt;(('Team_Info'!$E$2-COUNTIF($B136:T136,"W"))/('Team_Info'!$E$4-19)),"W","B")</x:f>
        <x:v>B</x:v>
      </x:c>
    </x:row>
    <x:row r="137">
      <x:c r="A137" s="1">
        <x:v>136</x:v>
      </x:c>
      <x:c r="B137" t="str">
        <x:f>IF(RAND()&lt;'Team_Info'!$E$5,"W","B")</x:f>
        <x:v>B</x:v>
      </x:c>
      <x:c r="C137" t="str">
        <x:f>IF(RAND()&lt;(('Team_Info'!$E$2-COUNTIF($B137:B137,"W"))/('Team_Info'!$E$4-1)),"W","B")</x:f>
        <x:v>B</x:v>
      </x:c>
      <x:c r="D137" t="str">
        <x:f>IF(RAND()&lt;(('Team_Info'!$E$2-COUNTIF($B137:C137,"W"))/('Team_Info'!$E$4-2)),"W","B")</x:f>
        <x:v>B</x:v>
      </x:c>
      <x:c r="E137" t="str">
        <x:f>IF(RAND()&lt;(('Team_Info'!$E$2-COUNTIF($B137:D137,"W"))/('Team_Info'!$E$4-3)),"W","B")</x:f>
        <x:v>W</x:v>
      </x:c>
      <x:c r="F137" t="str">
        <x:f>IF(RAND()&lt;(('Team_Info'!$E$2-COUNTIF($B137:E137,"W"))/('Team_Info'!$E$4-4)),"W","B")</x:f>
        <x:v>W</x:v>
      </x:c>
      <x:c r="G137" t="str">
        <x:f>IF(RAND()&lt;(('Team_Info'!$E$2-COUNTIF($B137:F137,"W"))/('Team_Info'!$E$4-5)),"W","B")</x:f>
        <x:v>W</x:v>
      </x:c>
      <x:c r="H137" t="str">
        <x:f>IF(RAND()&lt;(('Team_Info'!$E$2-COUNTIF($B137:G137,"W"))/('Team_Info'!$E$4-6)),"W","B")</x:f>
        <x:v>B</x:v>
      </x:c>
      <x:c r="I137" t="str">
        <x:f>IF(RAND()&lt;(('Team_Info'!$E$2-COUNTIF($B137:H137,"W"))/('Team_Info'!$E$4-7)),"W","B")</x:f>
        <x:v>B</x:v>
      </x:c>
      <x:c r="J137" t="str">
        <x:f>IF(RAND()&lt;(('Team_Info'!$E$2-COUNTIF($B137:I137,"W"))/('Team_Info'!$E$4-8)),"W","B")</x:f>
        <x:v>W</x:v>
      </x:c>
      <x:c r="K137" t="str">
        <x:f>IF(RAND()&lt;(('Team_Info'!$E$2-COUNTIF($B137:J137,"W"))/('Team_Info'!$E$4-9)),"W","B")</x:f>
        <x:v>B</x:v>
      </x:c>
      <x:c r="L137" t="str">
        <x:f>IF(RAND()&lt;(('Team_Info'!$E$2-COUNTIF($B137:K137,"W"))/('Team_Info'!$E$4-10)),"W","B")</x:f>
        <x:v>B</x:v>
      </x:c>
      <x:c r="M137" t="str">
        <x:f>IF(RAND()&lt;(('Team_Info'!$E$2-COUNTIF($B137:L137,"W"))/('Team_Info'!$E$4-11)),"W","B")</x:f>
        <x:v>B</x:v>
      </x:c>
      <x:c r="N137" t="str">
        <x:f>IF(RAND()&lt;(('Team_Info'!$E$2-COUNTIF($B137:M137,"W"))/('Team_Info'!$E$4-12)),"W","B")</x:f>
        <x:v>W</x:v>
      </x:c>
      <x:c r="O137" t="str">
        <x:f>IF(RAND()&lt;(('Team_Info'!$E$2-COUNTIF($B137:N137,"W"))/('Team_Info'!$E$4-13)),"W","B")</x:f>
        <x:v>W</x:v>
      </x:c>
      <x:c r="P137" t="str">
        <x:f>IF(RAND()&lt;(('Team_Info'!$E$2-COUNTIF($B137:O137,"W"))/('Team_Info'!$E$4-14)),"W","B")</x:f>
        <x:v>B</x:v>
      </x:c>
      <x:c r="Q137" t="str">
        <x:f>IF(RAND()&lt;(('Team_Info'!$E$2-COUNTIF($B137:P137,"W"))/('Team_Info'!$E$4-15)),"W","B")</x:f>
        <x:v>B</x:v>
      </x:c>
      <x:c r="R137" t="str">
        <x:f>IF(RAND()&lt;(('Team_Info'!$E$2-COUNTIF($B137:Q137,"W"))/('Team_Info'!$E$4-16)),"W","B")</x:f>
        <x:v>B</x:v>
      </x:c>
      <x:c r="S137" t="str">
        <x:f>IF(RAND()&lt;(('Team_Info'!$E$2-COUNTIF($B137:R137,"W"))/('Team_Info'!$E$4-17)),"W","B")</x:f>
        <x:v>W</x:v>
      </x:c>
      <x:c r="T137" t="str">
        <x:f>IF(RAND()&lt;(('Team_Info'!$E$2-COUNTIF($B137:S137,"W"))/('Team_Info'!$E$4-18)),"W","B")</x:f>
        <x:v>B</x:v>
      </x:c>
      <x:c r="U137" t="str">
        <x:f>IF(RAND()&lt;(('Team_Info'!$E$2-COUNTIF($B137:T137,"W"))/('Team_Info'!$E$4-19)),"W","B")</x:f>
        <x:v>B</x:v>
      </x:c>
    </x:row>
    <x:row r="138">
      <x:c r="A138" s="1">
        <x:v>137</x:v>
      </x:c>
      <x:c r="B138" t="str">
        <x:f>IF(RAND()&lt;'Team_Info'!$E$5,"W","B")</x:f>
        <x:v>B</x:v>
      </x:c>
      <x:c r="C138" t="str">
        <x:f>IF(RAND()&lt;(('Team_Info'!$E$2-COUNTIF($B138:B138,"W"))/('Team_Info'!$E$4-1)),"W","B")</x:f>
        <x:v>B</x:v>
      </x:c>
      <x:c r="D138" t="str">
        <x:f>IF(RAND()&lt;(('Team_Info'!$E$2-COUNTIF($B138:C138,"W"))/('Team_Info'!$E$4-2)),"W","B")</x:f>
        <x:v>B</x:v>
      </x:c>
      <x:c r="E138" t="str">
        <x:f>IF(RAND()&lt;(('Team_Info'!$E$2-COUNTIF($B138:D138,"W"))/('Team_Info'!$E$4-3)),"W","B")</x:f>
        <x:v>B</x:v>
      </x:c>
      <x:c r="F138" t="str">
        <x:f>IF(RAND()&lt;(('Team_Info'!$E$2-COUNTIF($B138:E138,"W"))/('Team_Info'!$E$4-4)),"W","B")</x:f>
        <x:v>W</x:v>
      </x:c>
      <x:c r="G138" t="str">
        <x:f>IF(RAND()&lt;(('Team_Info'!$E$2-COUNTIF($B138:F138,"W"))/('Team_Info'!$E$4-5)),"W","B")</x:f>
        <x:v>W</x:v>
      </x:c>
      <x:c r="H138" t="str">
        <x:f>IF(RAND()&lt;(('Team_Info'!$E$2-COUNTIF($B138:G138,"W"))/('Team_Info'!$E$4-6)),"W","B")</x:f>
        <x:v>B</x:v>
      </x:c>
      <x:c r="I138" t="str">
        <x:f>IF(RAND()&lt;(('Team_Info'!$E$2-COUNTIF($B138:H138,"W"))/('Team_Info'!$E$4-7)),"W","B")</x:f>
        <x:v>W</x:v>
      </x:c>
      <x:c r="J138" t="str">
        <x:f>IF(RAND()&lt;(('Team_Info'!$E$2-COUNTIF($B138:I138,"W"))/('Team_Info'!$E$4-8)),"W","B")</x:f>
        <x:v>W</x:v>
      </x:c>
      <x:c r="K138" t="str">
        <x:f>IF(RAND()&lt;(('Team_Info'!$E$2-COUNTIF($B138:J138,"W"))/('Team_Info'!$E$4-9)),"W","B")</x:f>
        <x:v>B</x:v>
      </x:c>
      <x:c r="L138" t="str">
        <x:f>IF(RAND()&lt;(('Team_Info'!$E$2-COUNTIF($B138:K138,"W"))/('Team_Info'!$E$4-10)),"W","B")</x:f>
        <x:v>B</x:v>
      </x:c>
      <x:c r="M138" t="str">
        <x:f>IF(RAND()&lt;(('Team_Info'!$E$2-COUNTIF($B138:L138,"W"))/('Team_Info'!$E$4-11)),"W","B")</x:f>
        <x:v>B</x:v>
      </x:c>
      <x:c r="N138" t="str">
        <x:f>IF(RAND()&lt;(('Team_Info'!$E$2-COUNTIF($B138:M138,"W"))/('Team_Info'!$E$4-12)),"W","B")</x:f>
        <x:v>W</x:v>
      </x:c>
      <x:c r="O138" t="str">
        <x:f>IF(RAND()&lt;(('Team_Info'!$E$2-COUNTIF($B138:N138,"W"))/('Team_Info'!$E$4-13)),"W","B")</x:f>
        <x:v>B</x:v>
      </x:c>
      <x:c r="P138" t="str">
        <x:f>IF(RAND()&lt;(('Team_Info'!$E$2-COUNTIF($B138:O138,"W"))/('Team_Info'!$E$4-14)),"W","B")</x:f>
        <x:v>W</x:v>
      </x:c>
      <x:c r="Q138" t="str">
        <x:f>IF(RAND()&lt;(('Team_Info'!$E$2-COUNTIF($B138:P138,"W"))/('Team_Info'!$E$4-15)),"W","B")</x:f>
        <x:v>B</x:v>
      </x:c>
      <x:c r="R138" t="str">
        <x:f>IF(RAND()&lt;(('Team_Info'!$E$2-COUNTIF($B138:Q138,"W"))/('Team_Info'!$E$4-16)),"W","B")</x:f>
        <x:v>W</x:v>
      </x:c>
      <x:c r="S138" t="str">
        <x:f>IF(RAND()&lt;(('Team_Info'!$E$2-COUNTIF($B138:R138,"W"))/('Team_Info'!$E$4-17)),"W","B")</x:f>
        <x:v>B</x:v>
      </x:c>
      <x:c r="T138" t="str">
        <x:f>IF(RAND()&lt;(('Team_Info'!$E$2-COUNTIF($B138:S138,"W"))/('Team_Info'!$E$4-18)),"W","B")</x:f>
        <x:v>B</x:v>
      </x:c>
      <x:c r="U138" t="str">
        <x:f>IF(RAND()&lt;(('Team_Info'!$E$2-COUNTIF($B138:T138,"W"))/('Team_Info'!$E$4-19)),"W","B")</x:f>
        <x:v>W</x:v>
      </x:c>
    </x:row>
    <x:row r="139">
      <x:c r="A139" s="1">
        <x:v>138</x:v>
      </x:c>
      <x:c r="B139" t="str">
        <x:f>IF(RAND()&lt;'Team_Info'!$E$5,"W","B")</x:f>
        <x:v>B</x:v>
      </x:c>
      <x:c r="C139" t="str">
        <x:f>IF(RAND()&lt;(('Team_Info'!$E$2-COUNTIF($B139:B139,"W"))/('Team_Info'!$E$4-1)),"W","B")</x:f>
        <x:v>W</x:v>
      </x:c>
      <x:c r="D139" t="str">
        <x:f>IF(RAND()&lt;(('Team_Info'!$E$2-COUNTIF($B139:C139,"W"))/('Team_Info'!$E$4-2)),"W","B")</x:f>
        <x:v>W</x:v>
      </x:c>
      <x:c r="E139" t="str">
        <x:f>IF(RAND()&lt;(('Team_Info'!$E$2-COUNTIF($B139:D139,"W"))/('Team_Info'!$E$4-3)),"W","B")</x:f>
        <x:v>W</x:v>
      </x:c>
      <x:c r="F139" t="str">
        <x:f>IF(RAND()&lt;(('Team_Info'!$E$2-COUNTIF($B139:E139,"W"))/('Team_Info'!$E$4-4)),"W","B")</x:f>
        <x:v>W</x:v>
      </x:c>
      <x:c r="G139" t="str">
        <x:f>IF(RAND()&lt;(('Team_Info'!$E$2-COUNTIF($B139:F139,"W"))/('Team_Info'!$E$4-5)),"W","B")</x:f>
        <x:v>B</x:v>
      </x:c>
      <x:c r="H139" t="str">
        <x:f>IF(RAND()&lt;(('Team_Info'!$E$2-COUNTIF($B139:G139,"W"))/('Team_Info'!$E$4-6)),"W","B")</x:f>
        <x:v>B</x:v>
      </x:c>
      <x:c r="I139" t="str">
        <x:f>IF(RAND()&lt;(('Team_Info'!$E$2-COUNTIF($B139:H139,"W"))/('Team_Info'!$E$4-7)),"W","B")</x:f>
        <x:v>B</x:v>
      </x:c>
      <x:c r="J139" t="str">
        <x:f>IF(RAND()&lt;(('Team_Info'!$E$2-COUNTIF($B139:I139,"W"))/('Team_Info'!$E$4-8)),"W","B")</x:f>
        <x:v>B</x:v>
      </x:c>
      <x:c r="K139" t="str">
        <x:f>IF(RAND()&lt;(('Team_Info'!$E$2-COUNTIF($B139:J139,"W"))/('Team_Info'!$E$4-9)),"W","B")</x:f>
        <x:v>W</x:v>
      </x:c>
      <x:c r="L139" t="str">
        <x:f>IF(RAND()&lt;(('Team_Info'!$E$2-COUNTIF($B139:K139,"W"))/('Team_Info'!$E$4-10)),"W","B")</x:f>
        <x:v>B</x:v>
      </x:c>
      <x:c r="M139" t="str">
        <x:f>IF(RAND()&lt;(('Team_Info'!$E$2-COUNTIF($B139:L139,"W"))/('Team_Info'!$E$4-11)),"W","B")</x:f>
        <x:v>B</x:v>
      </x:c>
      <x:c r="N139" t="str">
        <x:f>IF(RAND()&lt;(('Team_Info'!$E$2-COUNTIF($B139:M139,"W"))/('Team_Info'!$E$4-12)),"W","B")</x:f>
        <x:v>B</x:v>
      </x:c>
      <x:c r="O139" t="str">
        <x:f>IF(RAND()&lt;(('Team_Info'!$E$2-COUNTIF($B139:N139,"W"))/('Team_Info'!$E$4-13)),"W","B")</x:f>
        <x:v>W</x:v>
      </x:c>
      <x:c r="P139" t="str">
        <x:f>IF(RAND()&lt;(('Team_Info'!$E$2-COUNTIF($B139:O139,"W"))/('Team_Info'!$E$4-14)),"W","B")</x:f>
        <x:v>B</x:v>
      </x:c>
      <x:c r="Q139" t="str">
        <x:f>IF(RAND()&lt;(('Team_Info'!$E$2-COUNTIF($B139:P139,"W"))/('Team_Info'!$E$4-15)),"W","B")</x:f>
        <x:v>B</x:v>
      </x:c>
      <x:c r="R139" t="str">
        <x:f>IF(RAND()&lt;(('Team_Info'!$E$2-COUNTIF($B139:Q139,"W"))/('Team_Info'!$E$4-16)),"W","B")</x:f>
        <x:v>W</x:v>
      </x:c>
      <x:c r="S139" t="str">
        <x:f>IF(RAND()&lt;(('Team_Info'!$E$2-COUNTIF($B139:R139,"W"))/('Team_Info'!$E$4-17)),"W","B")</x:f>
        <x:v>B</x:v>
      </x:c>
      <x:c r="T139" t="str">
        <x:f>IF(RAND()&lt;(('Team_Info'!$E$2-COUNTIF($B139:S139,"W"))/('Team_Info'!$E$4-18)),"W","B")</x:f>
        <x:v>W</x:v>
      </x:c>
      <x:c r="U139" t="str">
        <x:f>IF(RAND()&lt;(('Team_Info'!$E$2-COUNTIF($B139:T139,"W"))/('Team_Info'!$E$4-19)),"W","B")</x:f>
        <x:v>B</x:v>
      </x:c>
    </x:row>
    <x:row r="140">
      <x:c r="A140" s="1">
        <x:v>139</x:v>
      </x:c>
      <x:c r="B140" t="str">
        <x:f>IF(RAND()&lt;'Team_Info'!$E$5,"W","B")</x:f>
        <x:v>B</x:v>
      </x:c>
      <x:c r="C140" t="str">
        <x:f>IF(RAND()&lt;(('Team_Info'!$E$2-COUNTIF($B140:B140,"W"))/('Team_Info'!$E$4-1)),"W","B")</x:f>
        <x:v>W</x:v>
      </x:c>
      <x:c r="D140" t="str">
        <x:f>IF(RAND()&lt;(('Team_Info'!$E$2-COUNTIF($B140:C140,"W"))/('Team_Info'!$E$4-2)),"W","B")</x:f>
        <x:v>B</x:v>
      </x:c>
      <x:c r="E140" t="str">
        <x:f>IF(RAND()&lt;(('Team_Info'!$E$2-COUNTIF($B140:D140,"W"))/('Team_Info'!$E$4-3)),"W","B")</x:f>
        <x:v>W</x:v>
      </x:c>
      <x:c r="F140" t="str">
        <x:f>IF(RAND()&lt;(('Team_Info'!$E$2-COUNTIF($B140:E140,"W"))/('Team_Info'!$E$4-4)),"W","B")</x:f>
        <x:v>B</x:v>
      </x:c>
      <x:c r="G140" t="str">
        <x:f>IF(RAND()&lt;(('Team_Info'!$E$2-COUNTIF($B140:F140,"W"))/('Team_Info'!$E$4-5)),"W","B")</x:f>
        <x:v>B</x:v>
      </x:c>
      <x:c r="H140" t="str">
        <x:f>IF(RAND()&lt;(('Team_Info'!$E$2-COUNTIF($B140:G140,"W"))/('Team_Info'!$E$4-6)),"W","B")</x:f>
        <x:v>B</x:v>
      </x:c>
      <x:c r="I140" t="str">
        <x:f>IF(RAND()&lt;(('Team_Info'!$E$2-COUNTIF($B140:H140,"W"))/('Team_Info'!$E$4-7)),"W","B")</x:f>
        <x:v>W</x:v>
      </x:c>
      <x:c r="J140" t="str">
        <x:f>IF(RAND()&lt;(('Team_Info'!$E$2-COUNTIF($B140:I140,"W"))/('Team_Info'!$E$4-8)),"W","B")</x:f>
        <x:v>B</x:v>
      </x:c>
      <x:c r="K140" t="str">
        <x:f>IF(RAND()&lt;(('Team_Info'!$E$2-COUNTIF($B140:J140,"W"))/('Team_Info'!$E$4-9)),"W","B")</x:f>
        <x:v>B</x:v>
      </x:c>
      <x:c r="L140" t="str">
        <x:f>IF(RAND()&lt;(('Team_Info'!$E$2-COUNTIF($B140:K140,"W"))/('Team_Info'!$E$4-10)),"W","B")</x:f>
        <x:v>B</x:v>
      </x:c>
      <x:c r="M140" t="str">
        <x:f>IF(RAND()&lt;(('Team_Info'!$E$2-COUNTIF($B140:L140,"W"))/('Team_Info'!$E$4-11)),"W","B")</x:f>
        <x:v>B</x:v>
      </x:c>
      <x:c r="N140" t="str">
        <x:f>IF(RAND()&lt;(('Team_Info'!$E$2-COUNTIF($B140:M140,"W"))/('Team_Info'!$E$4-12)),"W","B")</x:f>
        <x:v>B</x:v>
      </x:c>
      <x:c r="O140" t="str">
        <x:f>IF(RAND()&lt;(('Team_Info'!$E$2-COUNTIF($B140:N140,"W"))/('Team_Info'!$E$4-13)),"W","B")</x:f>
        <x:v>B</x:v>
      </x:c>
      <x:c r="P140" t="str">
        <x:f>IF(RAND()&lt;(('Team_Info'!$E$2-COUNTIF($B140:O140,"W"))/('Team_Info'!$E$4-14)),"W","B")</x:f>
        <x:v>W</x:v>
      </x:c>
      <x:c r="Q140" t="str">
        <x:f>IF(RAND()&lt;(('Team_Info'!$E$2-COUNTIF($B140:P140,"W"))/('Team_Info'!$E$4-15)),"W","B")</x:f>
        <x:v>B</x:v>
      </x:c>
      <x:c r="R140" t="str">
        <x:f>IF(RAND()&lt;(('Team_Info'!$E$2-COUNTIF($B140:Q140,"W"))/('Team_Info'!$E$4-16)),"W","B")</x:f>
        <x:v>B</x:v>
      </x:c>
      <x:c r="S140" t="str">
        <x:f>IF(RAND()&lt;(('Team_Info'!$E$2-COUNTIF($B140:R140,"W"))/('Team_Info'!$E$4-17)),"W","B")</x:f>
        <x:v>B</x:v>
      </x:c>
      <x:c r="T140" t="str">
        <x:f>IF(RAND()&lt;(('Team_Info'!$E$2-COUNTIF($B140:S140,"W"))/('Team_Info'!$E$4-18)),"W","B")</x:f>
        <x:v>B</x:v>
      </x:c>
      <x:c r="U140" t="str">
        <x:f>IF(RAND()&lt;(('Team_Info'!$E$2-COUNTIF($B140:T140,"W"))/('Team_Info'!$E$4-19)),"W","B")</x:f>
        <x:v>B</x:v>
      </x:c>
    </x:row>
    <x:row r="141">
      <x:c r="A141" s="1">
        <x:v>140</x:v>
      </x:c>
      <x:c r="B141" t="str">
        <x:f>IF(RAND()&lt;'Team_Info'!$E$5,"W","B")</x:f>
        <x:v>B</x:v>
      </x:c>
      <x:c r="C141" t="str">
        <x:f>IF(RAND()&lt;(('Team_Info'!$E$2-COUNTIF($B141:B141,"W"))/('Team_Info'!$E$4-1)),"W","B")</x:f>
        <x:v>B</x:v>
      </x:c>
      <x:c r="D141" t="str">
        <x:f>IF(RAND()&lt;(('Team_Info'!$E$2-COUNTIF($B141:C141,"W"))/('Team_Info'!$E$4-2)),"W","B")</x:f>
        <x:v>W</x:v>
      </x:c>
      <x:c r="E141" t="str">
        <x:f>IF(RAND()&lt;(('Team_Info'!$E$2-COUNTIF($B141:D141,"W"))/('Team_Info'!$E$4-3)),"W","B")</x:f>
        <x:v>W</x:v>
      </x:c>
      <x:c r="F141" t="str">
        <x:f>IF(RAND()&lt;(('Team_Info'!$E$2-COUNTIF($B141:E141,"W"))/('Team_Info'!$E$4-4)),"W","B")</x:f>
        <x:v>B</x:v>
      </x:c>
      <x:c r="G141" t="str">
        <x:f>IF(RAND()&lt;(('Team_Info'!$E$2-COUNTIF($B141:F141,"W"))/('Team_Info'!$E$4-5)),"W","B")</x:f>
        <x:v>B</x:v>
      </x:c>
      <x:c r="H141" t="str">
        <x:f>IF(RAND()&lt;(('Team_Info'!$E$2-COUNTIF($B141:G141,"W"))/('Team_Info'!$E$4-6)),"W","B")</x:f>
        <x:v>B</x:v>
      </x:c>
      <x:c r="I141" t="str">
        <x:f>IF(RAND()&lt;(('Team_Info'!$E$2-COUNTIF($B141:H141,"W"))/('Team_Info'!$E$4-7)),"W","B")</x:f>
        <x:v>W</x:v>
      </x:c>
      <x:c r="J141" t="str">
        <x:f>IF(RAND()&lt;(('Team_Info'!$E$2-COUNTIF($B141:I141,"W"))/('Team_Info'!$E$4-8)),"W","B")</x:f>
        <x:v>B</x:v>
      </x:c>
      <x:c r="K141" t="str">
        <x:f>IF(RAND()&lt;(('Team_Info'!$E$2-COUNTIF($B141:J141,"W"))/('Team_Info'!$E$4-9)),"W","B")</x:f>
        <x:v>W</x:v>
      </x:c>
      <x:c r="L141" t="str">
        <x:f>IF(RAND()&lt;(('Team_Info'!$E$2-COUNTIF($B141:K141,"W"))/('Team_Info'!$E$4-10)),"W","B")</x:f>
        <x:v>W</x:v>
      </x:c>
      <x:c r="M141" t="str">
        <x:f>IF(RAND()&lt;(('Team_Info'!$E$2-COUNTIF($B141:L141,"W"))/('Team_Info'!$E$4-11)),"W","B")</x:f>
        <x:v>B</x:v>
      </x:c>
      <x:c r="N141" t="str">
        <x:f>IF(RAND()&lt;(('Team_Info'!$E$2-COUNTIF($B141:M141,"W"))/('Team_Info'!$E$4-12)),"W","B")</x:f>
        <x:v>W</x:v>
      </x:c>
      <x:c r="O141" t="str">
        <x:f>IF(RAND()&lt;(('Team_Info'!$E$2-COUNTIF($B141:N141,"W"))/('Team_Info'!$E$4-13)),"W","B")</x:f>
        <x:v>B</x:v>
      </x:c>
      <x:c r="P141" t="str">
        <x:f>IF(RAND()&lt;(('Team_Info'!$E$2-COUNTIF($B141:O141,"W"))/('Team_Info'!$E$4-14)),"W","B")</x:f>
        <x:v>W</x:v>
      </x:c>
      <x:c r="Q141" t="str">
        <x:f>IF(RAND()&lt;(('Team_Info'!$E$2-COUNTIF($B141:P141,"W"))/('Team_Info'!$E$4-15)),"W","B")</x:f>
        <x:v>B</x:v>
      </x:c>
      <x:c r="R141" t="str">
        <x:f>IF(RAND()&lt;(('Team_Info'!$E$2-COUNTIF($B141:Q141,"W"))/('Team_Info'!$E$4-16)),"W","B")</x:f>
        <x:v>W</x:v>
      </x:c>
      <x:c r="S141" t="str">
        <x:f>IF(RAND()&lt;(('Team_Info'!$E$2-COUNTIF($B141:R141,"W"))/('Team_Info'!$E$4-17)),"W","B")</x:f>
        <x:v>B</x:v>
      </x:c>
      <x:c r="T141" t="str">
        <x:f>IF(RAND()&lt;(('Team_Info'!$E$2-COUNTIF($B141:S141,"W"))/('Team_Info'!$E$4-18)),"W","B")</x:f>
        <x:v>B</x:v>
      </x:c>
      <x:c r="U141" t="str">
        <x:f>IF(RAND()&lt;(('Team_Info'!$E$2-COUNTIF($B141:T141,"W"))/('Team_Info'!$E$4-19)),"W","B")</x:f>
        <x:v>W</x:v>
      </x:c>
    </x:row>
    <x:row r="142">
      <x:c r="A142" s="1">
        <x:v>141</x:v>
      </x:c>
      <x:c r="B142" t="str">
        <x:f>IF(RAND()&lt;'Team_Info'!$E$5,"W","B")</x:f>
        <x:v>W</x:v>
      </x:c>
      <x:c r="C142" t="str">
        <x:f>IF(RAND()&lt;(('Team_Info'!$E$2-COUNTIF($B142:B142,"W"))/('Team_Info'!$E$4-1)),"W","B")</x:f>
        <x:v>B</x:v>
      </x:c>
      <x:c r="D142" t="str">
        <x:f>IF(RAND()&lt;(('Team_Info'!$E$2-COUNTIF($B142:C142,"W"))/('Team_Info'!$E$4-2)),"W","B")</x:f>
        <x:v>B</x:v>
      </x:c>
      <x:c r="E142" t="str">
        <x:f>IF(RAND()&lt;(('Team_Info'!$E$2-COUNTIF($B142:D142,"W"))/('Team_Info'!$E$4-3)),"W","B")</x:f>
        <x:v>B</x:v>
      </x:c>
      <x:c r="F142" t="str">
        <x:f>IF(RAND()&lt;(('Team_Info'!$E$2-COUNTIF($B142:E142,"W"))/('Team_Info'!$E$4-4)),"W","B")</x:f>
        <x:v>W</x:v>
      </x:c>
      <x:c r="G142" t="str">
        <x:f>IF(RAND()&lt;(('Team_Info'!$E$2-COUNTIF($B142:F142,"W"))/('Team_Info'!$E$4-5)),"W","B")</x:f>
        <x:v>W</x:v>
      </x:c>
      <x:c r="H142" t="str">
        <x:f>IF(RAND()&lt;(('Team_Info'!$E$2-COUNTIF($B142:G142,"W"))/('Team_Info'!$E$4-6)),"W","B")</x:f>
        <x:v>B</x:v>
      </x:c>
      <x:c r="I142" t="str">
        <x:f>IF(RAND()&lt;(('Team_Info'!$E$2-COUNTIF($B142:H142,"W"))/('Team_Info'!$E$4-7)),"W","B")</x:f>
        <x:v>B</x:v>
      </x:c>
      <x:c r="J142" t="str">
        <x:f>IF(RAND()&lt;(('Team_Info'!$E$2-COUNTIF($B142:I142,"W"))/('Team_Info'!$E$4-8)),"W","B")</x:f>
        <x:v>B</x:v>
      </x:c>
      <x:c r="K142" t="str">
        <x:f>IF(RAND()&lt;(('Team_Info'!$E$2-COUNTIF($B142:J142,"W"))/('Team_Info'!$E$4-9)),"W","B")</x:f>
        <x:v>W</x:v>
      </x:c>
      <x:c r="L142" t="str">
        <x:f>IF(RAND()&lt;(('Team_Info'!$E$2-COUNTIF($B142:K142,"W"))/('Team_Info'!$E$4-10)),"W","B")</x:f>
        <x:v>B</x:v>
      </x:c>
      <x:c r="M142" t="str">
        <x:f>IF(RAND()&lt;(('Team_Info'!$E$2-COUNTIF($B142:L142,"W"))/('Team_Info'!$E$4-11)),"W","B")</x:f>
        <x:v>B</x:v>
      </x:c>
      <x:c r="N142" t="str">
        <x:f>IF(RAND()&lt;(('Team_Info'!$E$2-COUNTIF($B142:M142,"W"))/('Team_Info'!$E$4-12)),"W","B")</x:f>
        <x:v>W</x:v>
      </x:c>
      <x:c r="O142" t="str">
        <x:f>IF(RAND()&lt;(('Team_Info'!$E$2-COUNTIF($B142:N142,"W"))/('Team_Info'!$E$4-13)),"W","B")</x:f>
        <x:v>B</x:v>
      </x:c>
      <x:c r="P142" t="str">
        <x:f>IF(RAND()&lt;(('Team_Info'!$E$2-COUNTIF($B142:O142,"W"))/('Team_Info'!$E$4-14)),"W","B")</x:f>
        <x:v>W</x:v>
      </x:c>
      <x:c r="Q142" t="str">
        <x:f>IF(RAND()&lt;(('Team_Info'!$E$2-COUNTIF($B142:P142,"W"))/('Team_Info'!$E$4-15)),"W","B")</x:f>
        <x:v>B</x:v>
      </x:c>
      <x:c r="R142" t="str">
        <x:f>IF(RAND()&lt;(('Team_Info'!$E$2-COUNTIF($B142:Q142,"W"))/('Team_Info'!$E$4-16)),"W","B")</x:f>
        <x:v>W</x:v>
      </x:c>
      <x:c r="S142" t="str">
        <x:f>IF(RAND()&lt;(('Team_Info'!$E$2-COUNTIF($B142:R142,"W"))/('Team_Info'!$E$4-17)),"W","B")</x:f>
        <x:v>B</x:v>
      </x:c>
      <x:c r="T142" t="str">
        <x:f>IF(RAND()&lt;(('Team_Info'!$E$2-COUNTIF($B142:S142,"W"))/('Team_Info'!$E$4-18)),"W","B")</x:f>
        <x:v>B</x:v>
      </x:c>
      <x:c r="U142" t="str">
        <x:f>IF(RAND()&lt;(('Team_Info'!$E$2-COUNTIF($B142:T142,"W"))/('Team_Info'!$E$4-19)),"W","B")</x:f>
        <x:v>W</x:v>
      </x:c>
    </x:row>
    <x:row r="143">
      <x:c r="A143" s="1">
        <x:v>142</x:v>
      </x:c>
      <x:c r="B143" t="str">
        <x:f>IF(RAND()&lt;'Team_Info'!$E$5,"W","B")</x:f>
        <x:v>B</x:v>
      </x:c>
      <x:c r="C143" t="str">
        <x:f>IF(RAND()&lt;(('Team_Info'!$E$2-COUNTIF($B143:B143,"W"))/('Team_Info'!$E$4-1)),"W","B")</x:f>
        <x:v>W</x:v>
      </x:c>
      <x:c r="D143" t="str">
        <x:f>IF(RAND()&lt;(('Team_Info'!$E$2-COUNTIF($B143:C143,"W"))/('Team_Info'!$E$4-2)),"W","B")</x:f>
        <x:v>W</x:v>
      </x:c>
      <x:c r="E143" t="str">
        <x:f>IF(RAND()&lt;(('Team_Info'!$E$2-COUNTIF($B143:D143,"W"))/('Team_Info'!$E$4-3)),"W","B")</x:f>
        <x:v>W</x:v>
      </x:c>
      <x:c r="F143" t="str">
        <x:f>IF(RAND()&lt;(('Team_Info'!$E$2-COUNTIF($B143:E143,"W"))/('Team_Info'!$E$4-4)),"W","B")</x:f>
        <x:v>W</x:v>
      </x:c>
      <x:c r="G143" t="str">
        <x:f>IF(RAND()&lt;(('Team_Info'!$E$2-COUNTIF($B143:F143,"W"))/('Team_Info'!$E$4-5)),"W","B")</x:f>
        <x:v>B</x:v>
      </x:c>
      <x:c r="H143" t="str">
        <x:f>IF(RAND()&lt;(('Team_Info'!$E$2-COUNTIF($B143:G143,"W"))/('Team_Info'!$E$4-6)),"W","B")</x:f>
        <x:v>W</x:v>
      </x:c>
      <x:c r="I143" t="str">
        <x:f>IF(RAND()&lt;(('Team_Info'!$E$2-COUNTIF($B143:H143,"W"))/('Team_Info'!$E$4-7)),"W","B")</x:f>
        <x:v>B</x:v>
      </x:c>
      <x:c r="J143" t="str">
        <x:f>IF(RAND()&lt;(('Team_Info'!$E$2-COUNTIF($B143:I143,"W"))/('Team_Info'!$E$4-8)),"W","B")</x:f>
        <x:v>B</x:v>
      </x:c>
      <x:c r="K143" t="str">
        <x:f>IF(RAND()&lt;(('Team_Info'!$E$2-COUNTIF($B143:J143,"W"))/('Team_Info'!$E$4-9)),"W","B")</x:f>
        <x:v>B</x:v>
      </x:c>
      <x:c r="L143" t="str">
        <x:f>IF(RAND()&lt;(('Team_Info'!$E$2-COUNTIF($B143:K143,"W"))/('Team_Info'!$E$4-10)),"W","B")</x:f>
        <x:v>B</x:v>
      </x:c>
      <x:c r="M143" t="str">
        <x:f>IF(RAND()&lt;(('Team_Info'!$E$2-COUNTIF($B143:L143,"W"))/('Team_Info'!$E$4-11)),"W","B")</x:f>
        <x:v>W</x:v>
      </x:c>
      <x:c r="N143" t="str">
        <x:f>IF(RAND()&lt;(('Team_Info'!$E$2-COUNTIF($B143:M143,"W"))/('Team_Info'!$E$4-12)),"W","B")</x:f>
        <x:v>B</x:v>
      </x:c>
      <x:c r="O143" t="str">
        <x:f>IF(RAND()&lt;(('Team_Info'!$E$2-COUNTIF($B143:N143,"W"))/('Team_Info'!$E$4-13)),"W","B")</x:f>
        <x:v>B</x:v>
      </x:c>
      <x:c r="P143" t="str">
        <x:f>IF(RAND()&lt;(('Team_Info'!$E$2-COUNTIF($B143:O143,"W"))/('Team_Info'!$E$4-14)),"W","B")</x:f>
        <x:v>B</x:v>
      </x:c>
      <x:c r="Q143" t="str">
        <x:f>IF(RAND()&lt;(('Team_Info'!$E$2-COUNTIF($B143:P143,"W"))/('Team_Info'!$E$4-15)),"W","B")</x:f>
        <x:v>W</x:v>
      </x:c>
      <x:c r="R143" t="str">
        <x:f>IF(RAND()&lt;(('Team_Info'!$E$2-COUNTIF($B143:Q143,"W"))/('Team_Info'!$E$4-16)),"W","B")</x:f>
        <x:v>W</x:v>
      </x:c>
      <x:c r="S143" t="str">
        <x:f>IF(RAND()&lt;(('Team_Info'!$E$2-COUNTIF($B143:R143,"W"))/('Team_Info'!$E$4-17)),"W","B")</x:f>
        <x:v>W</x:v>
      </x:c>
      <x:c r="T143" t="str">
        <x:f>IF(RAND()&lt;(('Team_Info'!$E$2-COUNTIF($B143:S143,"W"))/('Team_Info'!$E$4-18)),"W","B")</x:f>
        <x:v>B</x:v>
      </x:c>
      <x:c r="U143" t="str">
        <x:f>IF(RAND()&lt;(('Team_Info'!$E$2-COUNTIF($B143:T143,"W"))/('Team_Info'!$E$4-19)),"W","B")</x:f>
        <x:v>W</x:v>
      </x:c>
    </x:row>
    <x:row r="144">
      <x:c r="A144" s="1">
        <x:v>143</x:v>
      </x:c>
      <x:c r="B144" t="str">
        <x:f>IF(RAND()&lt;'Team_Info'!$E$5,"W","B")</x:f>
        <x:v>B</x:v>
      </x:c>
      <x:c r="C144" t="str">
        <x:f>IF(RAND()&lt;(('Team_Info'!$E$2-COUNTIF($B144:B144,"W"))/('Team_Info'!$E$4-1)),"W","B")</x:f>
        <x:v>W</x:v>
      </x:c>
      <x:c r="D144" t="str">
        <x:f>IF(RAND()&lt;(('Team_Info'!$E$2-COUNTIF($B144:C144,"W"))/('Team_Info'!$E$4-2)),"W","B")</x:f>
        <x:v>W</x:v>
      </x:c>
      <x:c r="E144" t="str">
        <x:f>IF(RAND()&lt;(('Team_Info'!$E$2-COUNTIF($B144:D144,"W"))/('Team_Info'!$E$4-3)),"W","B")</x:f>
        <x:v>B</x:v>
      </x:c>
      <x:c r="F144" t="str">
        <x:f>IF(RAND()&lt;(('Team_Info'!$E$2-COUNTIF($B144:E144,"W"))/('Team_Info'!$E$4-4)),"W","B")</x:f>
        <x:v>W</x:v>
      </x:c>
      <x:c r="G144" t="str">
        <x:f>IF(RAND()&lt;(('Team_Info'!$E$2-COUNTIF($B144:F144,"W"))/('Team_Info'!$E$4-5)),"W","B")</x:f>
        <x:v>B</x:v>
      </x:c>
      <x:c r="H144" t="str">
        <x:f>IF(RAND()&lt;(('Team_Info'!$E$2-COUNTIF($B144:G144,"W"))/('Team_Info'!$E$4-6)),"W","B")</x:f>
        <x:v>B</x:v>
      </x:c>
      <x:c r="I144" t="str">
        <x:f>IF(RAND()&lt;(('Team_Info'!$E$2-COUNTIF($B144:H144,"W"))/('Team_Info'!$E$4-7)),"W","B")</x:f>
        <x:v>B</x:v>
      </x:c>
      <x:c r="J144" t="str">
        <x:f>IF(RAND()&lt;(('Team_Info'!$E$2-COUNTIF($B144:I144,"W"))/('Team_Info'!$E$4-8)),"W","B")</x:f>
        <x:v>W</x:v>
      </x:c>
      <x:c r="K144" t="str">
        <x:f>IF(RAND()&lt;(('Team_Info'!$E$2-COUNTIF($B144:J144,"W"))/('Team_Info'!$E$4-9)),"W","B")</x:f>
        <x:v>W</x:v>
      </x:c>
      <x:c r="L144" t="str">
        <x:f>IF(RAND()&lt;(('Team_Info'!$E$2-COUNTIF($B144:K144,"W"))/('Team_Info'!$E$4-10)),"W","B")</x:f>
        <x:v>W</x:v>
      </x:c>
      <x:c r="M144" t="str">
        <x:f>IF(RAND()&lt;(('Team_Info'!$E$2-COUNTIF($B144:L144,"W"))/('Team_Info'!$E$4-11)),"W","B")</x:f>
        <x:v>B</x:v>
      </x:c>
      <x:c r="N144" t="str">
        <x:f>IF(RAND()&lt;(('Team_Info'!$E$2-COUNTIF($B144:M144,"W"))/('Team_Info'!$E$4-12)),"W","B")</x:f>
        <x:v>W</x:v>
      </x:c>
      <x:c r="O144" t="str">
        <x:f>IF(RAND()&lt;(('Team_Info'!$E$2-COUNTIF($B144:N144,"W"))/('Team_Info'!$E$4-13)),"W","B")</x:f>
        <x:v>W</x:v>
      </x:c>
      <x:c r="P144" t="str">
        <x:f>IF(RAND()&lt;(('Team_Info'!$E$2-COUNTIF($B144:O144,"W"))/('Team_Info'!$E$4-14)),"W","B")</x:f>
        <x:v>W</x:v>
      </x:c>
      <x:c r="Q144" t="str">
        <x:f>IF(RAND()&lt;(('Team_Info'!$E$2-COUNTIF($B144:P144,"W"))/('Team_Info'!$E$4-15)),"W","B")</x:f>
        <x:v>B</x:v>
      </x:c>
      <x:c r="R144" t="str">
        <x:f>IF(RAND()&lt;(('Team_Info'!$E$2-COUNTIF($B144:Q144,"W"))/('Team_Info'!$E$4-16)),"W","B")</x:f>
        <x:v>W</x:v>
      </x:c>
      <x:c r="S144" t="str">
        <x:f>IF(RAND()&lt;(('Team_Info'!$E$2-COUNTIF($B144:R144,"W"))/('Team_Info'!$E$4-17)),"W","B")</x:f>
        <x:v>W</x:v>
      </x:c>
      <x:c r="T144" t="str">
        <x:f>IF(RAND()&lt;(('Team_Info'!$E$2-COUNTIF($B144:S144,"W"))/('Team_Info'!$E$4-18)),"W","B")</x:f>
        <x:v>W</x:v>
      </x:c>
      <x:c r="U144" t="str">
        <x:f>IF(RAND()&lt;(('Team_Info'!$E$2-COUNTIF($B144:T144,"W"))/('Team_Info'!$E$4-19)),"W","B")</x:f>
        <x:v>W</x:v>
      </x:c>
    </x:row>
    <x:row r="145">
      <x:c r="A145" s="1">
        <x:v>144</x:v>
      </x:c>
      <x:c r="B145" t="str">
        <x:f>IF(RAND()&lt;'Team_Info'!$E$5,"W","B")</x:f>
        <x:v>W</x:v>
      </x:c>
      <x:c r="C145" t="str">
        <x:f>IF(RAND()&lt;(('Team_Info'!$E$2-COUNTIF($B145:B145,"W"))/('Team_Info'!$E$4-1)),"W","B")</x:f>
        <x:v>B</x:v>
      </x:c>
      <x:c r="D145" t="str">
        <x:f>IF(RAND()&lt;(('Team_Info'!$E$2-COUNTIF($B145:C145,"W"))/('Team_Info'!$E$4-2)),"W","B")</x:f>
        <x:v>B</x:v>
      </x:c>
      <x:c r="E145" t="str">
        <x:f>IF(RAND()&lt;(('Team_Info'!$E$2-COUNTIF($B145:D145,"W"))/('Team_Info'!$E$4-3)),"W","B")</x:f>
        <x:v>B</x:v>
      </x:c>
      <x:c r="F145" t="str">
        <x:f>IF(RAND()&lt;(('Team_Info'!$E$2-COUNTIF($B145:E145,"W"))/('Team_Info'!$E$4-4)),"W","B")</x:f>
        <x:v>B</x:v>
      </x:c>
      <x:c r="G145" t="str">
        <x:f>IF(RAND()&lt;(('Team_Info'!$E$2-COUNTIF($B145:F145,"W"))/('Team_Info'!$E$4-5)),"W","B")</x:f>
        <x:v>W</x:v>
      </x:c>
      <x:c r="H145" t="str">
        <x:f>IF(RAND()&lt;(('Team_Info'!$E$2-COUNTIF($B145:G145,"W"))/('Team_Info'!$E$4-6)),"W","B")</x:f>
        <x:v>W</x:v>
      </x:c>
      <x:c r="I145" t="str">
        <x:f>IF(RAND()&lt;(('Team_Info'!$E$2-COUNTIF($B145:H145,"W"))/('Team_Info'!$E$4-7)),"W","B")</x:f>
        <x:v>W</x:v>
      </x:c>
      <x:c r="J145" t="str">
        <x:f>IF(RAND()&lt;(('Team_Info'!$E$2-COUNTIF($B145:I145,"W"))/('Team_Info'!$E$4-8)),"W","B")</x:f>
        <x:v>W</x:v>
      </x:c>
      <x:c r="K145" t="str">
        <x:f>IF(RAND()&lt;(('Team_Info'!$E$2-COUNTIF($B145:J145,"W"))/('Team_Info'!$E$4-9)),"W","B")</x:f>
        <x:v>W</x:v>
      </x:c>
      <x:c r="L145" t="str">
        <x:f>IF(RAND()&lt;(('Team_Info'!$E$2-COUNTIF($B145:K145,"W"))/('Team_Info'!$E$4-10)),"W","B")</x:f>
        <x:v>B</x:v>
      </x:c>
      <x:c r="M145" t="str">
        <x:f>IF(RAND()&lt;(('Team_Info'!$E$2-COUNTIF($B145:L145,"W"))/('Team_Info'!$E$4-11)),"W","B")</x:f>
        <x:v>B</x:v>
      </x:c>
      <x:c r="N145" t="str">
        <x:f>IF(RAND()&lt;(('Team_Info'!$E$2-COUNTIF($B145:M145,"W"))/('Team_Info'!$E$4-12)),"W","B")</x:f>
        <x:v>W</x:v>
      </x:c>
      <x:c r="O145" t="str">
        <x:f>IF(RAND()&lt;(('Team_Info'!$E$2-COUNTIF($B145:N145,"W"))/('Team_Info'!$E$4-13)),"W","B")</x:f>
        <x:v>W</x:v>
      </x:c>
      <x:c r="P145" t="str">
        <x:f>IF(RAND()&lt;(('Team_Info'!$E$2-COUNTIF($B145:O145,"W"))/('Team_Info'!$E$4-14)),"W","B")</x:f>
        <x:v>B</x:v>
      </x:c>
      <x:c r="Q145" t="str">
        <x:f>IF(RAND()&lt;(('Team_Info'!$E$2-COUNTIF($B145:P145,"W"))/('Team_Info'!$E$4-15)),"W","B")</x:f>
        <x:v>W</x:v>
      </x:c>
      <x:c r="R145" t="str">
        <x:f>IF(RAND()&lt;(('Team_Info'!$E$2-COUNTIF($B145:Q145,"W"))/('Team_Info'!$E$4-16)),"W","B")</x:f>
        <x:v>B</x:v>
      </x:c>
      <x:c r="S145" t="str">
        <x:f>IF(RAND()&lt;(('Team_Info'!$E$2-COUNTIF($B145:R145,"W"))/('Team_Info'!$E$4-17)),"W","B")</x:f>
        <x:v>W</x:v>
      </x:c>
      <x:c r="T145" t="str">
        <x:f>IF(RAND()&lt;(('Team_Info'!$E$2-COUNTIF($B145:S145,"W"))/('Team_Info'!$E$4-18)),"W","B")</x:f>
        <x:v>W</x:v>
      </x:c>
      <x:c r="U145" t="str">
        <x:f>IF(RAND()&lt;(('Team_Info'!$E$2-COUNTIF($B145:T145,"W"))/('Team_Info'!$E$4-19)),"W","B")</x:f>
        <x:v>B</x:v>
      </x:c>
    </x:row>
    <x:row r="146">
      <x:c r="A146" s="1">
        <x:v>145</x:v>
      </x:c>
      <x:c r="B146" t="str">
        <x:f>IF(RAND()&lt;'Team_Info'!$E$5,"W","B")</x:f>
        <x:v>W</x:v>
      </x:c>
      <x:c r="C146" t="str">
        <x:f>IF(RAND()&lt;(('Team_Info'!$E$2-COUNTIF($B146:B146,"W"))/('Team_Info'!$E$4-1)),"W","B")</x:f>
        <x:v>B</x:v>
      </x:c>
      <x:c r="D146" t="str">
        <x:f>IF(RAND()&lt;(('Team_Info'!$E$2-COUNTIF($B146:C146,"W"))/('Team_Info'!$E$4-2)),"W","B")</x:f>
        <x:v>W</x:v>
      </x:c>
      <x:c r="E146" t="str">
        <x:f>IF(RAND()&lt;(('Team_Info'!$E$2-COUNTIF($B146:D146,"W"))/('Team_Info'!$E$4-3)),"W","B")</x:f>
        <x:v>W</x:v>
      </x:c>
      <x:c r="F146" t="str">
        <x:f>IF(RAND()&lt;(('Team_Info'!$E$2-COUNTIF($B146:E146,"W"))/('Team_Info'!$E$4-4)),"W","B")</x:f>
        <x:v>B</x:v>
      </x:c>
      <x:c r="G146" t="str">
        <x:f>IF(RAND()&lt;(('Team_Info'!$E$2-COUNTIF($B146:F146,"W"))/('Team_Info'!$E$4-5)),"W","B")</x:f>
        <x:v>B</x:v>
      </x:c>
      <x:c r="H146" t="str">
        <x:f>IF(RAND()&lt;(('Team_Info'!$E$2-COUNTIF($B146:G146,"W"))/('Team_Info'!$E$4-6)),"W","B")</x:f>
        <x:v>B</x:v>
      </x:c>
      <x:c r="I146" t="str">
        <x:f>IF(RAND()&lt;(('Team_Info'!$E$2-COUNTIF($B146:H146,"W"))/('Team_Info'!$E$4-7)),"W","B")</x:f>
        <x:v>W</x:v>
      </x:c>
      <x:c r="J146" t="str">
        <x:f>IF(RAND()&lt;(('Team_Info'!$E$2-COUNTIF($B146:I146,"W"))/('Team_Info'!$E$4-8)),"W","B")</x:f>
        <x:v>B</x:v>
      </x:c>
      <x:c r="K146" t="str">
        <x:f>IF(RAND()&lt;(('Team_Info'!$E$2-COUNTIF($B146:J146,"W"))/('Team_Info'!$E$4-9)),"W","B")</x:f>
        <x:v>W</x:v>
      </x:c>
      <x:c r="L146" t="str">
        <x:f>IF(RAND()&lt;(('Team_Info'!$E$2-COUNTIF($B146:K146,"W"))/('Team_Info'!$E$4-10)),"W","B")</x:f>
        <x:v>B</x:v>
      </x:c>
      <x:c r="M146" t="str">
        <x:f>IF(RAND()&lt;(('Team_Info'!$E$2-COUNTIF($B146:L146,"W"))/('Team_Info'!$E$4-11)),"W","B")</x:f>
        <x:v>B</x:v>
      </x:c>
      <x:c r="N146" t="str">
        <x:f>IF(RAND()&lt;(('Team_Info'!$E$2-COUNTIF($B146:M146,"W"))/('Team_Info'!$E$4-12)),"W","B")</x:f>
        <x:v>B</x:v>
      </x:c>
      <x:c r="O146" t="str">
        <x:f>IF(RAND()&lt;(('Team_Info'!$E$2-COUNTIF($B146:N146,"W"))/('Team_Info'!$E$4-13)),"W","B")</x:f>
        <x:v>B</x:v>
      </x:c>
      <x:c r="P146" t="str">
        <x:f>IF(RAND()&lt;(('Team_Info'!$E$2-COUNTIF($B146:O146,"W"))/('Team_Info'!$E$4-14)),"W","B")</x:f>
        <x:v>W</x:v>
      </x:c>
      <x:c r="Q146" t="str">
        <x:f>IF(RAND()&lt;(('Team_Info'!$E$2-COUNTIF($B146:P146,"W"))/('Team_Info'!$E$4-15)),"W","B")</x:f>
        <x:v>B</x:v>
      </x:c>
      <x:c r="R146" t="str">
        <x:f>IF(RAND()&lt;(('Team_Info'!$E$2-COUNTIF($B146:Q146,"W"))/('Team_Info'!$E$4-16)),"W","B")</x:f>
        <x:v>W</x:v>
      </x:c>
      <x:c r="S146" t="str">
        <x:f>IF(RAND()&lt;(('Team_Info'!$E$2-COUNTIF($B146:R146,"W"))/('Team_Info'!$E$4-17)),"W","B")</x:f>
        <x:v>W</x:v>
      </x:c>
      <x:c r="T146" t="str">
        <x:f>IF(RAND()&lt;(('Team_Info'!$E$2-COUNTIF($B146:S146,"W"))/('Team_Info'!$E$4-18)),"W","B")</x:f>
        <x:v>B</x:v>
      </x:c>
      <x:c r="U146" t="str">
        <x:f>IF(RAND()&lt;(('Team_Info'!$E$2-COUNTIF($B146:T146,"W"))/('Team_Info'!$E$4-19)),"W","B")</x:f>
        <x:v>B</x:v>
      </x:c>
    </x:row>
    <x:row r="147">
      <x:c r="A147" s="1">
        <x:v>146</x:v>
      </x:c>
      <x:c r="B147" t="str">
        <x:f>IF(RAND()&lt;'Team_Info'!$E$5,"W","B")</x:f>
        <x:v>W</x:v>
      </x:c>
      <x:c r="C147" t="str">
        <x:f>IF(RAND()&lt;(('Team_Info'!$E$2-COUNTIF($B147:B147,"W"))/('Team_Info'!$E$4-1)),"W","B")</x:f>
        <x:v>B</x:v>
      </x:c>
      <x:c r="D147" t="str">
        <x:f>IF(RAND()&lt;(('Team_Info'!$E$2-COUNTIF($B147:C147,"W"))/('Team_Info'!$E$4-2)),"W","B")</x:f>
        <x:v>W</x:v>
      </x:c>
      <x:c r="E147" t="str">
        <x:f>IF(RAND()&lt;(('Team_Info'!$E$2-COUNTIF($B147:D147,"W"))/('Team_Info'!$E$4-3)),"W","B")</x:f>
        <x:v>B</x:v>
      </x:c>
      <x:c r="F147" t="str">
        <x:f>IF(RAND()&lt;(('Team_Info'!$E$2-COUNTIF($B147:E147,"W"))/('Team_Info'!$E$4-4)),"W","B")</x:f>
        <x:v>W</x:v>
      </x:c>
      <x:c r="G147" t="str">
        <x:f>IF(RAND()&lt;(('Team_Info'!$E$2-COUNTIF($B147:F147,"W"))/('Team_Info'!$E$4-5)),"W","B")</x:f>
        <x:v>B</x:v>
      </x:c>
      <x:c r="H147" t="str">
        <x:f>IF(RAND()&lt;(('Team_Info'!$E$2-COUNTIF($B147:G147,"W"))/('Team_Info'!$E$4-6)),"W","B")</x:f>
        <x:v>B</x:v>
      </x:c>
      <x:c r="I147" t="str">
        <x:f>IF(RAND()&lt;(('Team_Info'!$E$2-COUNTIF($B147:H147,"W"))/('Team_Info'!$E$4-7)),"W","B")</x:f>
        <x:v>B</x:v>
      </x:c>
      <x:c r="J147" t="str">
        <x:f>IF(RAND()&lt;(('Team_Info'!$E$2-COUNTIF($B147:I147,"W"))/('Team_Info'!$E$4-8)),"W","B")</x:f>
        <x:v>W</x:v>
      </x:c>
      <x:c r="K147" t="str">
        <x:f>IF(RAND()&lt;(('Team_Info'!$E$2-COUNTIF($B147:J147,"W"))/('Team_Info'!$E$4-9)),"W","B")</x:f>
        <x:v>B</x:v>
      </x:c>
      <x:c r="L147" t="str">
        <x:f>IF(RAND()&lt;(('Team_Info'!$E$2-COUNTIF($B147:K147,"W"))/('Team_Info'!$E$4-10)),"W","B")</x:f>
        <x:v>B</x:v>
      </x:c>
      <x:c r="M147" t="str">
        <x:f>IF(RAND()&lt;(('Team_Info'!$E$2-COUNTIF($B147:L147,"W"))/('Team_Info'!$E$4-11)),"W","B")</x:f>
        <x:v>B</x:v>
      </x:c>
      <x:c r="N147" t="str">
        <x:f>IF(RAND()&lt;(('Team_Info'!$E$2-COUNTIF($B147:M147,"W"))/('Team_Info'!$E$4-12)),"W","B")</x:f>
        <x:v>B</x:v>
      </x:c>
      <x:c r="O147" t="str">
        <x:f>IF(RAND()&lt;(('Team_Info'!$E$2-COUNTIF($B147:N147,"W"))/('Team_Info'!$E$4-13)),"W","B")</x:f>
        <x:v>B</x:v>
      </x:c>
      <x:c r="P147" t="str">
        <x:f>IF(RAND()&lt;(('Team_Info'!$E$2-COUNTIF($B147:O147,"W"))/('Team_Info'!$E$4-14)),"W","B")</x:f>
        <x:v>B</x:v>
      </x:c>
      <x:c r="Q147" t="str">
        <x:f>IF(RAND()&lt;(('Team_Info'!$E$2-COUNTIF($B147:P147,"W"))/('Team_Info'!$E$4-15)),"W","B")</x:f>
        <x:v>B</x:v>
      </x:c>
      <x:c r="R147" t="str">
        <x:f>IF(RAND()&lt;(('Team_Info'!$E$2-COUNTIF($B147:Q147,"W"))/('Team_Info'!$E$4-16)),"W","B")</x:f>
        <x:v>B</x:v>
      </x:c>
      <x:c r="S147" t="str">
        <x:f>IF(RAND()&lt;(('Team_Info'!$E$2-COUNTIF($B147:R147,"W"))/('Team_Info'!$E$4-17)),"W","B")</x:f>
        <x:v>B</x:v>
      </x:c>
      <x:c r="T147" t="str">
        <x:f>IF(RAND()&lt;(('Team_Info'!$E$2-COUNTIF($B147:S147,"W"))/('Team_Info'!$E$4-18)),"W","B")</x:f>
        <x:v>W</x:v>
      </x:c>
      <x:c r="U147" t="str">
        <x:f>IF(RAND()&lt;(('Team_Info'!$E$2-COUNTIF($B147:T147,"W"))/('Team_Info'!$E$4-19)),"W","B")</x:f>
        <x:v>B</x:v>
      </x:c>
    </x:row>
    <x:row r="148">
      <x:c r="A148" s="1">
        <x:v>147</x:v>
      </x:c>
      <x:c r="B148" t="str">
        <x:f>IF(RAND()&lt;'Team_Info'!$E$5,"W","B")</x:f>
        <x:v>W</x:v>
      </x:c>
      <x:c r="C148" t="str">
        <x:f>IF(RAND()&lt;(('Team_Info'!$E$2-COUNTIF($B148:B148,"W"))/('Team_Info'!$E$4-1)),"W","B")</x:f>
        <x:v>B</x:v>
      </x:c>
      <x:c r="D148" t="str">
        <x:f>IF(RAND()&lt;(('Team_Info'!$E$2-COUNTIF($B148:C148,"W"))/('Team_Info'!$E$4-2)),"W","B")</x:f>
        <x:v>B</x:v>
      </x:c>
      <x:c r="E148" t="str">
        <x:f>IF(RAND()&lt;(('Team_Info'!$E$2-COUNTIF($B148:D148,"W"))/('Team_Info'!$E$4-3)),"W","B")</x:f>
        <x:v>B</x:v>
      </x:c>
      <x:c r="F148" t="str">
        <x:f>IF(RAND()&lt;(('Team_Info'!$E$2-COUNTIF($B148:E148,"W"))/('Team_Info'!$E$4-4)),"W","B")</x:f>
        <x:v>B</x:v>
      </x:c>
      <x:c r="G148" t="str">
        <x:f>IF(RAND()&lt;(('Team_Info'!$E$2-COUNTIF($B148:F148,"W"))/('Team_Info'!$E$4-5)),"W","B")</x:f>
        <x:v>W</x:v>
      </x:c>
      <x:c r="H148" t="str">
        <x:f>IF(RAND()&lt;(('Team_Info'!$E$2-COUNTIF($B148:G148,"W"))/('Team_Info'!$E$4-6)),"W","B")</x:f>
        <x:v>W</x:v>
      </x:c>
      <x:c r="I148" t="str">
        <x:f>IF(RAND()&lt;(('Team_Info'!$E$2-COUNTIF($B148:H148,"W"))/('Team_Info'!$E$4-7)),"W","B")</x:f>
        <x:v>W</x:v>
      </x:c>
      <x:c r="J148" t="str">
        <x:f>IF(RAND()&lt;(('Team_Info'!$E$2-COUNTIF($B148:I148,"W"))/('Team_Info'!$E$4-8)),"W","B")</x:f>
        <x:v>W</x:v>
      </x:c>
      <x:c r="K148" t="str">
        <x:f>IF(RAND()&lt;(('Team_Info'!$E$2-COUNTIF($B148:J148,"W"))/('Team_Info'!$E$4-9)),"W","B")</x:f>
        <x:v>B</x:v>
      </x:c>
      <x:c r="L148" t="str">
        <x:f>IF(RAND()&lt;(('Team_Info'!$E$2-COUNTIF($B148:K148,"W"))/('Team_Info'!$E$4-10)),"W","B")</x:f>
        <x:v>W</x:v>
      </x:c>
      <x:c r="M148" t="str">
        <x:f>IF(RAND()&lt;(('Team_Info'!$E$2-COUNTIF($B148:L148,"W"))/('Team_Info'!$E$4-11)),"W","B")</x:f>
        <x:v>B</x:v>
      </x:c>
      <x:c r="N148" t="str">
        <x:f>IF(RAND()&lt;(('Team_Info'!$E$2-COUNTIF($B148:M148,"W"))/('Team_Info'!$E$4-12)),"W","B")</x:f>
        <x:v>W</x:v>
      </x:c>
      <x:c r="O148" t="str">
        <x:f>IF(RAND()&lt;(('Team_Info'!$E$2-COUNTIF($B148:N148,"W"))/('Team_Info'!$E$4-13)),"W","B")</x:f>
        <x:v>B</x:v>
      </x:c>
      <x:c r="P148" t="str">
        <x:f>IF(RAND()&lt;(('Team_Info'!$E$2-COUNTIF($B148:O148,"W"))/('Team_Info'!$E$4-14)),"W","B")</x:f>
        <x:v>B</x:v>
      </x:c>
      <x:c r="Q148" t="str">
        <x:f>IF(RAND()&lt;(('Team_Info'!$E$2-COUNTIF($B148:P148,"W"))/('Team_Info'!$E$4-15)),"W","B")</x:f>
        <x:v>B</x:v>
      </x:c>
      <x:c r="R148" t="str">
        <x:f>IF(RAND()&lt;(('Team_Info'!$E$2-COUNTIF($B148:Q148,"W"))/('Team_Info'!$E$4-16)),"W","B")</x:f>
        <x:v>B</x:v>
      </x:c>
      <x:c r="S148" t="str">
        <x:f>IF(RAND()&lt;(('Team_Info'!$E$2-COUNTIF($B148:R148,"W"))/('Team_Info'!$E$4-17)),"W","B")</x:f>
        <x:v>B</x:v>
      </x:c>
      <x:c r="T148" t="str">
        <x:f>IF(RAND()&lt;(('Team_Info'!$E$2-COUNTIF($B148:S148,"W"))/('Team_Info'!$E$4-18)),"W","B")</x:f>
        <x:v>B</x:v>
      </x:c>
      <x:c r="U148" t="str">
        <x:f>IF(RAND()&lt;(('Team_Info'!$E$2-COUNTIF($B148:T148,"W"))/('Team_Info'!$E$4-19)),"W","B")</x:f>
        <x:v>B</x:v>
      </x:c>
    </x:row>
    <x:row r="149">
      <x:c r="A149" s="1">
        <x:v>148</x:v>
      </x:c>
      <x:c r="B149" t="str">
        <x:f>IF(RAND()&lt;'Team_Info'!$E$5,"W","B")</x:f>
        <x:v>W</x:v>
      </x:c>
      <x:c r="C149" t="str">
        <x:f>IF(RAND()&lt;(('Team_Info'!$E$2-COUNTIF($B149:B149,"W"))/('Team_Info'!$E$4-1)),"W","B")</x:f>
        <x:v>B</x:v>
      </x:c>
      <x:c r="D149" t="str">
        <x:f>IF(RAND()&lt;(('Team_Info'!$E$2-COUNTIF($B149:C149,"W"))/('Team_Info'!$E$4-2)),"W","B")</x:f>
        <x:v>W</x:v>
      </x:c>
      <x:c r="E149" t="str">
        <x:f>IF(RAND()&lt;(('Team_Info'!$E$2-COUNTIF($B149:D149,"W"))/('Team_Info'!$E$4-3)),"W","B")</x:f>
        <x:v>B</x:v>
      </x:c>
      <x:c r="F149" t="str">
        <x:f>IF(RAND()&lt;(('Team_Info'!$E$2-COUNTIF($B149:E149,"W"))/('Team_Info'!$E$4-4)),"W","B")</x:f>
        <x:v>B</x:v>
      </x:c>
      <x:c r="G149" t="str">
        <x:f>IF(RAND()&lt;(('Team_Info'!$E$2-COUNTIF($B149:F149,"W"))/('Team_Info'!$E$4-5)),"W","B")</x:f>
        <x:v>B</x:v>
      </x:c>
      <x:c r="H149" t="str">
        <x:f>IF(RAND()&lt;(('Team_Info'!$E$2-COUNTIF($B149:G149,"W"))/('Team_Info'!$E$4-6)),"W","B")</x:f>
        <x:v>B</x:v>
      </x:c>
      <x:c r="I149" t="str">
        <x:f>IF(RAND()&lt;(('Team_Info'!$E$2-COUNTIF($B149:H149,"W"))/('Team_Info'!$E$4-7)),"W","B")</x:f>
        <x:v>B</x:v>
      </x:c>
      <x:c r="J149" t="str">
        <x:f>IF(RAND()&lt;(('Team_Info'!$E$2-COUNTIF($B149:I149,"W"))/('Team_Info'!$E$4-8)),"W","B")</x:f>
        <x:v>W</x:v>
      </x:c>
      <x:c r="K149" t="str">
        <x:f>IF(RAND()&lt;(('Team_Info'!$E$2-COUNTIF($B149:J149,"W"))/('Team_Info'!$E$4-9)),"W","B")</x:f>
        <x:v>B</x:v>
      </x:c>
      <x:c r="L149" t="str">
        <x:f>IF(RAND()&lt;(('Team_Info'!$E$2-COUNTIF($B149:K149,"W"))/('Team_Info'!$E$4-10)),"W","B")</x:f>
        <x:v>B</x:v>
      </x:c>
      <x:c r="M149" t="str">
        <x:f>IF(RAND()&lt;(('Team_Info'!$E$2-COUNTIF($B149:L149,"W"))/('Team_Info'!$E$4-11)),"W","B")</x:f>
        <x:v>B</x:v>
      </x:c>
      <x:c r="N149" t="str">
        <x:f>IF(RAND()&lt;(('Team_Info'!$E$2-COUNTIF($B149:M149,"W"))/('Team_Info'!$E$4-12)),"W","B")</x:f>
        <x:v>W</x:v>
      </x:c>
      <x:c r="O149" t="str">
        <x:f>IF(RAND()&lt;(('Team_Info'!$E$2-COUNTIF($B149:N149,"W"))/('Team_Info'!$E$4-13)),"W","B")</x:f>
        <x:v>W</x:v>
      </x:c>
      <x:c r="P149" t="str">
        <x:f>IF(RAND()&lt;(('Team_Info'!$E$2-COUNTIF($B149:O149,"W"))/('Team_Info'!$E$4-14)),"W","B")</x:f>
        <x:v>W</x:v>
      </x:c>
      <x:c r="Q149" t="str">
        <x:f>IF(RAND()&lt;(('Team_Info'!$E$2-COUNTIF($B149:P149,"W"))/('Team_Info'!$E$4-15)),"W","B")</x:f>
        <x:v>W</x:v>
      </x:c>
      <x:c r="R149" t="str">
        <x:f>IF(RAND()&lt;(('Team_Info'!$E$2-COUNTIF($B149:Q149,"W"))/('Team_Info'!$E$4-16)),"W","B")</x:f>
        <x:v>B</x:v>
      </x:c>
      <x:c r="S149" t="str">
        <x:f>IF(RAND()&lt;(('Team_Info'!$E$2-COUNTIF($B149:R149,"W"))/('Team_Info'!$E$4-17)),"W","B")</x:f>
        <x:v>W</x:v>
      </x:c>
      <x:c r="T149" t="str">
        <x:f>IF(RAND()&lt;(('Team_Info'!$E$2-COUNTIF($B149:S149,"W"))/('Team_Info'!$E$4-18)),"W","B")</x:f>
        <x:v>W</x:v>
      </x:c>
      <x:c r="U149" t="str">
        <x:f>IF(RAND()&lt;(('Team_Info'!$E$2-COUNTIF($B149:T149,"W"))/('Team_Info'!$E$4-19)),"W","B")</x:f>
        <x:v>W</x:v>
      </x:c>
    </x:row>
    <x:row r="150">
      <x:c r="A150" s="1">
        <x:v>149</x:v>
      </x:c>
      <x:c r="B150" t="str">
        <x:f>IF(RAND()&lt;'Team_Info'!$E$5,"W","B")</x:f>
        <x:v>W</x:v>
      </x:c>
      <x:c r="C150" t="str">
        <x:f>IF(RAND()&lt;(('Team_Info'!$E$2-COUNTIF($B150:B150,"W"))/('Team_Info'!$E$4-1)),"W","B")</x:f>
        <x:v>B</x:v>
      </x:c>
      <x:c r="D150" t="str">
        <x:f>IF(RAND()&lt;(('Team_Info'!$E$2-COUNTIF($B150:C150,"W"))/('Team_Info'!$E$4-2)),"W","B")</x:f>
        <x:v>B</x:v>
      </x:c>
      <x:c r="E150" t="str">
        <x:f>IF(RAND()&lt;(('Team_Info'!$E$2-COUNTIF($B150:D150,"W"))/('Team_Info'!$E$4-3)),"W","B")</x:f>
        <x:v>B</x:v>
      </x:c>
      <x:c r="F150" t="str">
        <x:f>IF(RAND()&lt;(('Team_Info'!$E$2-COUNTIF($B150:E150,"W"))/('Team_Info'!$E$4-4)),"W","B")</x:f>
        <x:v>B</x:v>
      </x:c>
      <x:c r="G150" t="str">
        <x:f>IF(RAND()&lt;(('Team_Info'!$E$2-COUNTIF($B150:F150,"W"))/('Team_Info'!$E$4-5)),"W","B")</x:f>
        <x:v>W</x:v>
      </x:c>
      <x:c r="H150" t="str">
        <x:f>IF(RAND()&lt;(('Team_Info'!$E$2-COUNTIF($B150:G150,"W"))/('Team_Info'!$E$4-6)),"W","B")</x:f>
        <x:v>W</x:v>
      </x:c>
      <x:c r="I150" t="str">
        <x:f>IF(RAND()&lt;(('Team_Info'!$E$2-COUNTIF($B150:H150,"W"))/('Team_Info'!$E$4-7)),"W","B")</x:f>
        <x:v>B</x:v>
      </x:c>
      <x:c r="J150" t="str">
        <x:f>IF(RAND()&lt;(('Team_Info'!$E$2-COUNTIF($B150:I150,"W"))/('Team_Info'!$E$4-8)),"W","B")</x:f>
        <x:v>W</x:v>
      </x:c>
      <x:c r="K150" t="str">
        <x:f>IF(RAND()&lt;(('Team_Info'!$E$2-COUNTIF($B150:J150,"W"))/('Team_Info'!$E$4-9)),"W","B")</x:f>
        <x:v>B</x:v>
      </x:c>
      <x:c r="L150" t="str">
        <x:f>IF(RAND()&lt;(('Team_Info'!$E$2-COUNTIF($B150:K150,"W"))/('Team_Info'!$E$4-10)),"W","B")</x:f>
        <x:v>B</x:v>
      </x:c>
      <x:c r="M150" t="str">
        <x:f>IF(RAND()&lt;(('Team_Info'!$E$2-COUNTIF($B150:L150,"W"))/('Team_Info'!$E$4-11)),"W","B")</x:f>
        <x:v>B</x:v>
      </x:c>
      <x:c r="N150" t="str">
        <x:f>IF(RAND()&lt;(('Team_Info'!$E$2-COUNTIF($B150:M150,"W"))/('Team_Info'!$E$4-12)),"W","B")</x:f>
        <x:v>B</x:v>
      </x:c>
      <x:c r="O150" t="str">
        <x:f>IF(RAND()&lt;(('Team_Info'!$E$2-COUNTIF($B150:N150,"W"))/('Team_Info'!$E$4-13)),"W","B")</x:f>
        <x:v>B</x:v>
      </x:c>
      <x:c r="P150" t="str">
        <x:f>IF(RAND()&lt;(('Team_Info'!$E$2-COUNTIF($B150:O150,"W"))/('Team_Info'!$E$4-14)),"W","B")</x:f>
        <x:v>B</x:v>
      </x:c>
      <x:c r="Q150" t="str">
        <x:f>IF(RAND()&lt;(('Team_Info'!$E$2-COUNTIF($B150:P150,"W"))/('Team_Info'!$E$4-15)),"W","B")</x:f>
        <x:v>W</x:v>
      </x:c>
      <x:c r="R150" t="str">
        <x:f>IF(RAND()&lt;(('Team_Info'!$E$2-COUNTIF($B150:Q150,"W"))/('Team_Info'!$E$4-16)),"W","B")</x:f>
        <x:v>B</x:v>
      </x:c>
      <x:c r="S150" t="str">
        <x:f>IF(RAND()&lt;(('Team_Info'!$E$2-COUNTIF($B150:R150,"W"))/('Team_Info'!$E$4-17)),"W","B")</x:f>
        <x:v>B</x:v>
      </x:c>
      <x:c r="T150" t="str">
        <x:f>IF(RAND()&lt;(('Team_Info'!$E$2-COUNTIF($B150:S150,"W"))/('Team_Info'!$E$4-18)),"W","B")</x:f>
        <x:v>B</x:v>
      </x:c>
      <x:c r="U150" t="str">
        <x:f>IF(RAND()&lt;(('Team_Info'!$E$2-COUNTIF($B150:T150,"W"))/('Team_Info'!$E$4-19)),"W","B")</x:f>
        <x:v>B</x:v>
      </x:c>
    </x:row>
    <x:row r="151">
      <x:c r="A151" s="1">
        <x:v>150</x:v>
      </x:c>
      <x:c r="B151" t="str">
        <x:f>IF(RAND()&lt;'Team_Info'!$E$5,"W","B")</x:f>
        <x:v>W</x:v>
      </x:c>
      <x:c r="C151" t="str">
        <x:f>IF(RAND()&lt;(('Team_Info'!$E$2-COUNTIF($B151:B151,"W"))/('Team_Info'!$E$4-1)),"W","B")</x:f>
        <x:v>B</x:v>
      </x:c>
      <x:c r="D151" t="str">
        <x:f>IF(RAND()&lt;(('Team_Info'!$E$2-COUNTIF($B151:C151,"W"))/('Team_Info'!$E$4-2)),"W","B")</x:f>
        <x:v>B</x:v>
      </x:c>
      <x:c r="E151" t="str">
        <x:f>IF(RAND()&lt;(('Team_Info'!$E$2-COUNTIF($B151:D151,"W"))/('Team_Info'!$E$4-3)),"W","B")</x:f>
        <x:v>W</x:v>
      </x:c>
      <x:c r="F151" t="str">
        <x:f>IF(RAND()&lt;(('Team_Info'!$E$2-COUNTIF($B151:E151,"W"))/('Team_Info'!$E$4-4)),"W","B")</x:f>
        <x:v>B</x:v>
      </x:c>
      <x:c r="G151" t="str">
        <x:f>IF(RAND()&lt;(('Team_Info'!$E$2-COUNTIF($B151:F151,"W"))/('Team_Info'!$E$4-5)),"W","B")</x:f>
        <x:v>B</x:v>
      </x:c>
      <x:c r="H151" t="str">
        <x:f>IF(RAND()&lt;(('Team_Info'!$E$2-COUNTIF($B151:G151,"W"))/('Team_Info'!$E$4-6)),"W","B")</x:f>
        <x:v>W</x:v>
      </x:c>
      <x:c r="I151" t="str">
        <x:f>IF(RAND()&lt;(('Team_Info'!$E$2-COUNTIF($B151:H151,"W"))/('Team_Info'!$E$4-7)),"W","B")</x:f>
        <x:v>B</x:v>
      </x:c>
      <x:c r="J151" t="str">
        <x:f>IF(RAND()&lt;(('Team_Info'!$E$2-COUNTIF($B151:I151,"W"))/('Team_Info'!$E$4-8)),"W","B")</x:f>
        <x:v>W</x:v>
      </x:c>
      <x:c r="K151" t="str">
        <x:f>IF(RAND()&lt;(('Team_Info'!$E$2-COUNTIF($B151:J151,"W"))/('Team_Info'!$E$4-9)),"W","B")</x:f>
        <x:v>W</x:v>
      </x:c>
      <x:c r="L151" t="str">
        <x:f>IF(RAND()&lt;(('Team_Info'!$E$2-COUNTIF($B151:K151,"W"))/('Team_Info'!$E$4-10)),"W","B")</x:f>
        <x:v>W</x:v>
      </x:c>
      <x:c r="M151" t="str">
        <x:f>IF(RAND()&lt;(('Team_Info'!$E$2-COUNTIF($B151:L151,"W"))/('Team_Info'!$E$4-11)),"W","B")</x:f>
        <x:v>B</x:v>
      </x:c>
      <x:c r="N151" t="str">
        <x:f>IF(RAND()&lt;(('Team_Info'!$E$2-COUNTIF($B151:M151,"W"))/('Team_Info'!$E$4-12)),"W","B")</x:f>
        <x:v>B</x:v>
      </x:c>
      <x:c r="O151" t="str">
        <x:f>IF(RAND()&lt;(('Team_Info'!$E$2-COUNTIF($B151:N151,"W"))/('Team_Info'!$E$4-13)),"W","B")</x:f>
        <x:v>B</x:v>
      </x:c>
      <x:c r="P151" t="str">
        <x:f>IF(RAND()&lt;(('Team_Info'!$E$2-COUNTIF($B151:O151,"W"))/('Team_Info'!$E$4-14)),"W","B")</x:f>
        <x:v>W</x:v>
      </x:c>
      <x:c r="Q151" t="str">
        <x:f>IF(RAND()&lt;(('Team_Info'!$E$2-COUNTIF($B151:P151,"W"))/('Team_Info'!$E$4-15)),"W","B")</x:f>
        <x:v>B</x:v>
      </x:c>
      <x:c r="R151" t="str">
        <x:f>IF(RAND()&lt;(('Team_Info'!$E$2-COUNTIF($B151:Q151,"W"))/('Team_Info'!$E$4-16)),"W","B")</x:f>
        <x:v>B</x:v>
      </x:c>
      <x:c r="S151" t="str">
        <x:f>IF(RAND()&lt;(('Team_Info'!$E$2-COUNTIF($B151:R151,"W"))/('Team_Info'!$E$4-17)),"W","B")</x:f>
        <x:v>B</x:v>
      </x:c>
      <x:c r="T151" t="str">
        <x:f>IF(RAND()&lt;(('Team_Info'!$E$2-COUNTIF($B151:S151,"W"))/('Team_Info'!$E$4-18)),"W","B")</x:f>
        <x:v>B</x:v>
      </x:c>
      <x:c r="U151" t="str">
        <x:f>IF(RAND()&lt;(('Team_Info'!$E$2-COUNTIF($B151:T151,"W"))/('Team_Info'!$E$4-19)),"W","B")</x:f>
        <x:v>W</x:v>
      </x:c>
    </x:row>
    <x:row r="152">
      <x:c r="A152" s="1">
        <x:v>151</x:v>
      </x:c>
      <x:c r="B152" t="str">
        <x:f>IF(RAND()&lt;'Team_Info'!$E$5,"W","B")</x:f>
        <x:v>B</x:v>
      </x:c>
      <x:c r="C152" t="str">
        <x:f>IF(RAND()&lt;(('Team_Info'!$E$2-COUNTIF($B152:B152,"W"))/('Team_Info'!$E$4-1)),"W","B")</x:f>
        <x:v>B</x:v>
      </x:c>
      <x:c r="D152" t="str">
        <x:f>IF(RAND()&lt;(('Team_Info'!$E$2-COUNTIF($B152:C152,"W"))/('Team_Info'!$E$4-2)),"W","B")</x:f>
        <x:v>W</x:v>
      </x:c>
      <x:c r="E152" t="str">
        <x:f>IF(RAND()&lt;(('Team_Info'!$E$2-COUNTIF($B152:D152,"W"))/('Team_Info'!$E$4-3)),"W","B")</x:f>
        <x:v>W</x:v>
      </x:c>
      <x:c r="F152" t="str">
        <x:f>IF(RAND()&lt;(('Team_Info'!$E$2-COUNTIF($B152:E152,"W"))/('Team_Info'!$E$4-4)),"W","B")</x:f>
        <x:v>W</x:v>
      </x:c>
      <x:c r="G152" t="str">
        <x:f>IF(RAND()&lt;(('Team_Info'!$E$2-COUNTIF($B152:F152,"W"))/('Team_Info'!$E$4-5)),"W","B")</x:f>
        <x:v>B</x:v>
      </x:c>
      <x:c r="H152" t="str">
        <x:f>IF(RAND()&lt;(('Team_Info'!$E$2-COUNTIF($B152:G152,"W"))/('Team_Info'!$E$4-6)),"W","B")</x:f>
        <x:v>W</x:v>
      </x:c>
      <x:c r="I152" t="str">
        <x:f>IF(RAND()&lt;(('Team_Info'!$E$2-COUNTIF($B152:H152,"W"))/('Team_Info'!$E$4-7)),"W","B")</x:f>
        <x:v>W</x:v>
      </x:c>
      <x:c r="J152" t="str">
        <x:f>IF(RAND()&lt;(('Team_Info'!$E$2-COUNTIF($B152:I152,"W"))/('Team_Info'!$E$4-8)),"W","B")</x:f>
        <x:v>W</x:v>
      </x:c>
      <x:c r="K152" t="str">
        <x:f>IF(RAND()&lt;(('Team_Info'!$E$2-COUNTIF($B152:J152,"W"))/('Team_Info'!$E$4-9)),"W","B")</x:f>
        <x:v>B</x:v>
      </x:c>
      <x:c r="L152" t="str">
        <x:f>IF(RAND()&lt;(('Team_Info'!$E$2-COUNTIF($B152:K152,"W"))/('Team_Info'!$E$4-10)),"W","B")</x:f>
        <x:v>B</x:v>
      </x:c>
      <x:c r="M152" t="str">
        <x:f>IF(RAND()&lt;(('Team_Info'!$E$2-COUNTIF($B152:L152,"W"))/('Team_Info'!$E$4-11)),"W","B")</x:f>
        <x:v>B</x:v>
      </x:c>
      <x:c r="N152" t="str">
        <x:f>IF(RAND()&lt;(('Team_Info'!$E$2-COUNTIF($B152:M152,"W"))/('Team_Info'!$E$4-12)),"W","B")</x:f>
        <x:v>B</x:v>
      </x:c>
      <x:c r="O152" t="str">
        <x:f>IF(RAND()&lt;(('Team_Info'!$E$2-COUNTIF($B152:N152,"W"))/('Team_Info'!$E$4-13)),"W","B")</x:f>
        <x:v>W</x:v>
      </x:c>
      <x:c r="P152" t="str">
        <x:f>IF(RAND()&lt;(('Team_Info'!$E$2-COUNTIF($B152:O152,"W"))/('Team_Info'!$E$4-14)),"W","B")</x:f>
        <x:v>B</x:v>
      </x:c>
      <x:c r="Q152" t="str">
        <x:f>IF(RAND()&lt;(('Team_Info'!$E$2-COUNTIF($B152:P152,"W"))/('Team_Info'!$E$4-15)),"W","B")</x:f>
        <x:v>W</x:v>
      </x:c>
      <x:c r="R152" t="str">
        <x:f>IF(RAND()&lt;(('Team_Info'!$E$2-COUNTIF($B152:Q152,"W"))/('Team_Info'!$E$4-16)),"W","B")</x:f>
        <x:v>W</x:v>
      </x:c>
      <x:c r="S152" t="str">
        <x:f>IF(RAND()&lt;(('Team_Info'!$E$2-COUNTIF($B152:R152,"W"))/('Team_Info'!$E$4-17)),"W","B")</x:f>
        <x:v>B</x:v>
      </x:c>
      <x:c r="T152" t="str">
        <x:f>IF(RAND()&lt;(('Team_Info'!$E$2-COUNTIF($B152:S152,"W"))/('Team_Info'!$E$4-18)),"W","B")</x:f>
        <x:v>W</x:v>
      </x:c>
      <x:c r="U152" t="str">
        <x:f>IF(RAND()&lt;(('Team_Info'!$E$2-COUNTIF($B152:T152,"W"))/('Team_Info'!$E$4-19)),"W","B")</x:f>
        <x:v>B</x:v>
      </x:c>
    </x:row>
    <x:row r="153">
      <x:c r="A153" s="1">
        <x:v>152</x:v>
      </x:c>
      <x:c r="B153" t="str">
        <x:f>IF(RAND()&lt;'Team_Info'!$E$5,"W","B")</x:f>
        <x:v>W</x:v>
      </x:c>
      <x:c r="C153" t="str">
        <x:f>IF(RAND()&lt;(('Team_Info'!$E$2-COUNTIF($B153:B153,"W"))/('Team_Info'!$E$4-1)),"W","B")</x:f>
        <x:v>W</x:v>
      </x:c>
      <x:c r="D153" t="str">
        <x:f>IF(RAND()&lt;(('Team_Info'!$E$2-COUNTIF($B153:C153,"W"))/('Team_Info'!$E$4-2)),"W","B")</x:f>
        <x:v>B</x:v>
      </x:c>
      <x:c r="E153" t="str">
        <x:f>IF(RAND()&lt;(('Team_Info'!$E$2-COUNTIF($B153:D153,"W"))/('Team_Info'!$E$4-3)),"W","B")</x:f>
        <x:v>B</x:v>
      </x:c>
      <x:c r="F153" t="str">
        <x:f>IF(RAND()&lt;(('Team_Info'!$E$2-COUNTIF($B153:E153,"W"))/('Team_Info'!$E$4-4)),"W","B")</x:f>
        <x:v>B</x:v>
      </x:c>
      <x:c r="G153" t="str">
        <x:f>IF(RAND()&lt;(('Team_Info'!$E$2-COUNTIF($B153:F153,"W"))/('Team_Info'!$E$4-5)),"W","B")</x:f>
        <x:v>W</x:v>
      </x:c>
      <x:c r="H153" t="str">
        <x:f>IF(RAND()&lt;(('Team_Info'!$E$2-COUNTIF($B153:G153,"W"))/('Team_Info'!$E$4-6)),"W","B")</x:f>
        <x:v>B</x:v>
      </x:c>
      <x:c r="I153" t="str">
        <x:f>IF(RAND()&lt;(('Team_Info'!$E$2-COUNTIF($B153:H153,"W"))/('Team_Info'!$E$4-7)),"W","B")</x:f>
        <x:v>W</x:v>
      </x:c>
      <x:c r="J153" t="str">
        <x:f>IF(RAND()&lt;(('Team_Info'!$E$2-COUNTIF($B153:I153,"W"))/('Team_Info'!$E$4-8)),"W","B")</x:f>
        <x:v>B</x:v>
      </x:c>
      <x:c r="K153" t="str">
        <x:f>IF(RAND()&lt;(('Team_Info'!$E$2-COUNTIF($B153:J153,"W"))/('Team_Info'!$E$4-9)),"W","B")</x:f>
        <x:v>B</x:v>
      </x:c>
      <x:c r="L153" t="str">
        <x:f>IF(RAND()&lt;(('Team_Info'!$E$2-COUNTIF($B153:K153,"W"))/('Team_Info'!$E$4-10)),"W","B")</x:f>
        <x:v>B</x:v>
      </x:c>
      <x:c r="M153" t="str">
        <x:f>IF(RAND()&lt;(('Team_Info'!$E$2-COUNTIF($B153:L153,"W"))/('Team_Info'!$E$4-11)),"W","B")</x:f>
        <x:v>B</x:v>
      </x:c>
      <x:c r="N153" t="str">
        <x:f>IF(RAND()&lt;(('Team_Info'!$E$2-COUNTIF($B153:M153,"W"))/('Team_Info'!$E$4-12)),"W","B")</x:f>
        <x:v>W</x:v>
      </x:c>
      <x:c r="O153" t="str">
        <x:f>IF(RAND()&lt;(('Team_Info'!$E$2-COUNTIF($B153:N153,"W"))/('Team_Info'!$E$4-13)),"W","B")</x:f>
        <x:v>B</x:v>
      </x:c>
      <x:c r="P153" t="str">
        <x:f>IF(RAND()&lt;(('Team_Info'!$E$2-COUNTIF($B153:O153,"W"))/('Team_Info'!$E$4-14)),"W","B")</x:f>
        <x:v>B</x:v>
      </x:c>
      <x:c r="Q153" t="str">
        <x:f>IF(RAND()&lt;(('Team_Info'!$E$2-COUNTIF($B153:P153,"W"))/('Team_Info'!$E$4-15)),"W","B")</x:f>
        <x:v>W</x:v>
      </x:c>
      <x:c r="R153" t="str">
        <x:f>IF(RAND()&lt;(('Team_Info'!$E$2-COUNTIF($B153:Q153,"W"))/('Team_Info'!$E$4-16)),"W","B")</x:f>
        <x:v>B</x:v>
      </x:c>
      <x:c r="S153" t="str">
        <x:f>IF(RAND()&lt;(('Team_Info'!$E$2-COUNTIF($B153:R153,"W"))/('Team_Info'!$E$4-17)),"W","B")</x:f>
        <x:v>B</x:v>
      </x:c>
      <x:c r="T153" t="str">
        <x:f>IF(RAND()&lt;(('Team_Info'!$E$2-COUNTIF($B153:S153,"W"))/('Team_Info'!$E$4-18)),"W","B")</x:f>
        <x:v>B</x:v>
      </x:c>
      <x:c r="U153" t="str">
        <x:f>IF(RAND()&lt;(('Team_Info'!$E$2-COUNTIF($B153:T153,"W"))/('Team_Info'!$E$4-19)),"W","B")</x:f>
        <x:v>B</x:v>
      </x:c>
    </x:row>
    <x:row r="154">
      <x:c r="A154" s="1">
        <x:v>153</x:v>
      </x:c>
      <x:c r="B154" t="str">
        <x:f>IF(RAND()&lt;'Team_Info'!$E$5,"W","B")</x:f>
        <x:v>B</x:v>
      </x:c>
      <x:c r="C154" t="str">
        <x:f>IF(RAND()&lt;(('Team_Info'!$E$2-COUNTIF($B154:B154,"W"))/('Team_Info'!$E$4-1)),"W","B")</x:f>
        <x:v>B</x:v>
      </x:c>
      <x:c r="D154" t="str">
        <x:f>IF(RAND()&lt;(('Team_Info'!$E$2-COUNTIF($B154:C154,"W"))/('Team_Info'!$E$4-2)),"W","B")</x:f>
        <x:v>B</x:v>
      </x:c>
      <x:c r="E154" t="str">
        <x:f>IF(RAND()&lt;(('Team_Info'!$E$2-COUNTIF($B154:D154,"W"))/('Team_Info'!$E$4-3)),"W","B")</x:f>
        <x:v>B</x:v>
      </x:c>
      <x:c r="F154" t="str">
        <x:f>IF(RAND()&lt;(('Team_Info'!$E$2-COUNTIF($B154:E154,"W"))/('Team_Info'!$E$4-4)),"W","B")</x:f>
        <x:v>B</x:v>
      </x:c>
      <x:c r="G154" t="str">
        <x:f>IF(RAND()&lt;(('Team_Info'!$E$2-COUNTIF($B154:F154,"W"))/('Team_Info'!$E$4-5)),"W","B")</x:f>
        <x:v>B</x:v>
      </x:c>
      <x:c r="H154" t="str">
        <x:f>IF(RAND()&lt;(('Team_Info'!$E$2-COUNTIF($B154:G154,"W"))/('Team_Info'!$E$4-6)),"W","B")</x:f>
        <x:v>B</x:v>
      </x:c>
      <x:c r="I154" t="str">
        <x:f>IF(RAND()&lt;(('Team_Info'!$E$2-COUNTIF($B154:H154,"W"))/('Team_Info'!$E$4-7)),"W","B")</x:f>
        <x:v>B</x:v>
      </x:c>
      <x:c r="J154" t="str">
        <x:f>IF(RAND()&lt;(('Team_Info'!$E$2-COUNTIF($B154:I154,"W"))/('Team_Info'!$E$4-8)),"W","B")</x:f>
        <x:v>B</x:v>
      </x:c>
      <x:c r="K154" t="str">
        <x:f>IF(RAND()&lt;(('Team_Info'!$E$2-COUNTIF($B154:J154,"W"))/('Team_Info'!$E$4-9)),"W","B")</x:f>
        <x:v>W</x:v>
      </x:c>
      <x:c r="L154" t="str">
        <x:f>IF(RAND()&lt;(('Team_Info'!$E$2-COUNTIF($B154:K154,"W"))/('Team_Info'!$E$4-10)),"W","B")</x:f>
        <x:v>B</x:v>
      </x:c>
      <x:c r="M154" t="str">
        <x:f>IF(RAND()&lt;(('Team_Info'!$E$2-COUNTIF($B154:L154,"W"))/('Team_Info'!$E$4-11)),"W","B")</x:f>
        <x:v>B</x:v>
      </x:c>
      <x:c r="N154" t="str">
        <x:f>IF(RAND()&lt;(('Team_Info'!$E$2-COUNTIF($B154:M154,"W"))/('Team_Info'!$E$4-12)),"W","B")</x:f>
        <x:v>B</x:v>
      </x:c>
      <x:c r="O154" t="str">
        <x:f>IF(RAND()&lt;(('Team_Info'!$E$2-COUNTIF($B154:N154,"W"))/('Team_Info'!$E$4-13)),"W","B")</x:f>
        <x:v>B</x:v>
      </x:c>
      <x:c r="P154" t="str">
        <x:f>IF(RAND()&lt;(('Team_Info'!$E$2-COUNTIF($B154:O154,"W"))/('Team_Info'!$E$4-14)),"W","B")</x:f>
        <x:v>B</x:v>
      </x:c>
      <x:c r="Q154" t="str">
        <x:f>IF(RAND()&lt;(('Team_Info'!$E$2-COUNTIF($B154:P154,"W"))/('Team_Info'!$E$4-15)),"W","B")</x:f>
        <x:v>B</x:v>
      </x:c>
      <x:c r="R154" t="str">
        <x:f>IF(RAND()&lt;(('Team_Info'!$E$2-COUNTIF($B154:Q154,"W"))/('Team_Info'!$E$4-16)),"W","B")</x:f>
        <x:v>W</x:v>
      </x:c>
      <x:c r="S154" t="str">
        <x:f>IF(RAND()&lt;(('Team_Info'!$E$2-COUNTIF($B154:R154,"W"))/('Team_Info'!$E$4-17)),"W","B")</x:f>
        <x:v>W</x:v>
      </x:c>
      <x:c r="T154" t="str">
        <x:f>IF(RAND()&lt;(('Team_Info'!$E$2-COUNTIF($B154:S154,"W"))/('Team_Info'!$E$4-18)),"W","B")</x:f>
        <x:v>W</x:v>
      </x:c>
      <x:c r="U154" t="str">
        <x:f>IF(RAND()&lt;(('Team_Info'!$E$2-COUNTIF($B154:T154,"W"))/('Team_Info'!$E$4-19)),"W","B")</x:f>
        <x:v>B</x:v>
      </x:c>
    </x:row>
    <x:row r="155">
      <x:c r="A155" s="1">
        <x:v>154</x:v>
      </x:c>
      <x:c r="B155" t="str">
        <x:f>IF(RAND()&lt;'Team_Info'!$E$5,"W","B")</x:f>
        <x:v>B</x:v>
      </x:c>
      <x:c r="C155" t="str">
        <x:f>IF(RAND()&lt;(('Team_Info'!$E$2-COUNTIF($B155:B155,"W"))/('Team_Info'!$E$4-1)),"W","B")</x:f>
        <x:v>B</x:v>
      </x:c>
      <x:c r="D155" t="str">
        <x:f>IF(RAND()&lt;(('Team_Info'!$E$2-COUNTIF($B155:C155,"W"))/('Team_Info'!$E$4-2)),"W","B")</x:f>
        <x:v>W</x:v>
      </x:c>
      <x:c r="E155" t="str">
        <x:f>IF(RAND()&lt;(('Team_Info'!$E$2-COUNTIF($B155:D155,"W"))/('Team_Info'!$E$4-3)),"W","B")</x:f>
        <x:v>B</x:v>
      </x:c>
      <x:c r="F155" t="str">
        <x:f>IF(RAND()&lt;(('Team_Info'!$E$2-COUNTIF($B155:E155,"W"))/('Team_Info'!$E$4-4)),"W","B")</x:f>
        <x:v>B</x:v>
      </x:c>
      <x:c r="G155" t="str">
        <x:f>IF(RAND()&lt;(('Team_Info'!$E$2-COUNTIF($B155:F155,"W"))/('Team_Info'!$E$4-5)),"W","B")</x:f>
        <x:v>B</x:v>
      </x:c>
      <x:c r="H155" t="str">
        <x:f>IF(RAND()&lt;(('Team_Info'!$E$2-COUNTIF($B155:G155,"W"))/('Team_Info'!$E$4-6)),"W","B")</x:f>
        <x:v>W</x:v>
      </x:c>
      <x:c r="I155" t="str">
        <x:f>IF(RAND()&lt;(('Team_Info'!$E$2-COUNTIF($B155:H155,"W"))/('Team_Info'!$E$4-7)),"W","B")</x:f>
        <x:v>B</x:v>
      </x:c>
      <x:c r="J155" t="str">
        <x:f>IF(RAND()&lt;(('Team_Info'!$E$2-COUNTIF($B155:I155,"W"))/('Team_Info'!$E$4-8)),"W","B")</x:f>
        <x:v>B</x:v>
      </x:c>
      <x:c r="K155" t="str">
        <x:f>IF(RAND()&lt;(('Team_Info'!$E$2-COUNTIF($B155:J155,"W"))/('Team_Info'!$E$4-9)),"W","B")</x:f>
        <x:v>B</x:v>
      </x:c>
      <x:c r="L155" t="str">
        <x:f>IF(RAND()&lt;(('Team_Info'!$E$2-COUNTIF($B155:K155,"W"))/('Team_Info'!$E$4-10)),"W","B")</x:f>
        <x:v>B</x:v>
      </x:c>
      <x:c r="M155" t="str">
        <x:f>IF(RAND()&lt;(('Team_Info'!$E$2-COUNTIF($B155:L155,"W"))/('Team_Info'!$E$4-11)),"W","B")</x:f>
        <x:v>W</x:v>
      </x:c>
      <x:c r="N155" t="str">
        <x:f>IF(RAND()&lt;(('Team_Info'!$E$2-COUNTIF($B155:M155,"W"))/('Team_Info'!$E$4-12)),"W","B")</x:f>
        <x:v>B</x:v>
      </x:c>
      <x:c r="O155" t="str">
        <x:f>IF(RAND()&lt;(('Team_Info'!$E$2-COUNTIF($B155:N155,"W"))/('Team_Info'!$E$4-13)),"W","B")</x:f>
        <x:v>B</x:v>
      </x:c>
      <x:c r="P155" t="str">
        <x:f>IF(RAND()&lt;(('Team_Info'!$E$2-COUNTIF($B155:O155,"W"))/('Team_Info'!$E$4-14)),"W","B")</x:f>
        <x:v>W</x:v>
      </x:c>
      <x:c r="Q155" t="str">
        <x:f>IF(RAND()&lt;(('Team_Info'!$E$2-COUNTIF($B155:P155,"W"))/('Team_Info'!$E$4-15)),"W","B")</x:f>
        <x:v>B</x:v>
      </x:c>
      <x:c r="R155" t="str">
        <x:f>IF(RAND()&lt;(('Team_Info'!$E$2-COUNTIF($B155:Q155,"W"))/('Team_Info'!$E$4-16)),"W","B")</x:f>
        <x:v>B</x:v>
      </x:c>
      <x:c r="S155" t="str">
        <x:f>IF(RAND()&lt;(('Team_Info'!$E$2-COUNTIF($B155:R155,"W"))/('Team_Info'!$E$4-17)),"W","B")</x:f>
        <x:v>W</x:v>
      </x:c>
      <x:c r="T155" t="str">
        <x:f>IF(RAND()&lt;(('Team_Info'!$E$2-COUNTIF($B155:S155,"W"))/('Team_Info'!$E$4-18)),"W","B")</x:f>
        <x:v>W</x:v>
      </x:c>
      <x:c r="U155" t="str">
        <x:f>IF(RAND()&lt;(('Team_Info'!$E$2-COUNTIF($B155:T155,"W"))/('Team_Info'!$E$4-19)),"W","B")</x:f>
        <x:v>B</x:v>
      </x:c>
    </x:row>
    <x:row r="156">
      <x:c r="A156" s="1">
        <x:v>155</x:v>
      </x:c>
      <x:c r="B156" t="str">
        <x:f>IF(RAND()&lt;'Team_Info'!$E$5,"W","B")</x:f>
        <x:v>W</x:v>
      </x:c>
      <x:c r="C156" t="str">
        <x:f>IF(RAND()&lt;(('Team_Info'!$E$2-COUNTIF($B156:B156,"W"))/('Team_Info'!$E$4-1)),"W","B")</x:f>
        <x:v>B</x:v>
      </x:c>
      <x:c r="D156" t="str">
        <x:f>IF(RAND()&lt;(('Team_Info'!$E$2-COUNTIF($B156:C156,"W"))/('Team_Info'!$E$4-2)),"W","B")</x:f>
        <x:v>B</x:v>
      </x:c>
      <x:c r="E156" t="str">
        <x:f>IF(RAND()&lt;(('Team_Info'!$E$2-COUNTIF($B156:D156,"W"))/('Team_Info'!$E$4-3)),"W","B")</x:f>
        <x:v>B</x:v>
      </x:c>
      <x:c r="F156" t="str">
        <x:f>IF(RAND()&lt;(('Team_Info'!$E$2-COUNTIF($B156:E156,"W"))/('Team_Info'!$E$4-4)),"W","B")</x:f>
        <x:v>B</x:v>
      </x:c>
      <x:c r="G156" t="str">
        <x:f>IF(RAND()&lt;(('Team_Info'!$E$2-COUNTIF($B156:F156,"W"))/('Team_Info'!$E$4-5)),"W","B")</x:f>
        <x:v>B</x:v>
      </x:c>
      <x:c r="H156" t="str">
        <x:f>IF(RAND()&lt;(('Team_Info'!$E$2-COUNTIF($B156:G156,"W"))/('Team_Info'!$E$4-6)),"W","B")</x:f>
        <x:v>B</x:v>
      </x:c>
      <x:c r="I156" t="str">
        <x:f>IF(RAND()&lt;(('Team_Info'!$E$2-COUNTIF($B156:H156,"W"))/('Team_Info'!$E$4-7)),"W","B")</x:f>
        <x:v>W</x:v>
      </x:c>
      <x:c r="J156" t="str">
        <x:f>IF(RAND()&lt;(('Team_Info'!$E$2-COUNTIF($B156:I156,"W"))/('Team_Info'!$E$4-8)),"W","B")</x:f>
        <x:v>B</x:v>
      </x:c>
      <x:c r="K156" t="str">
        <x:f>IF(RAND()&lt;(('Team_Info'!$E$2-COUNTIF($B156:J156,"W"))/('Team_Info'!$E$4-9)),"W","B")</x:f>
        <x:v>B</x:v>
      </x:c>
      <x:c r="L156" t="str">
        <x:f>IF(RAND()&lt;(('Team_Info'!$E$2-COUNTIF($B156:K156,"W"))/('Team_Info'!$E$4-10)),"W","B")</x:f>
        <x:v>W</x:v>
      </x:c>
      <x:c r="M156" t="str">
        <x:f>IF(RAND()&lt;(('Team_Info'!$E$2-COUNTIF($B156:L156,"W"))/('Team_Info'!$E$4-11)),"W","B")</x:f>
        <x:v>W</x:v>
      </x:c>
      <x:c r="N156" t="str">
        <x:f>IF(RAND()&lt;(('Team_Info'!$E$2-COUNTIF($B156:M156,"W"))/('Team_Info'!$E$4-12)),"W","B")</x:f>
        <x:v>B</x:v>
      </x:c>
      <x:c r="O156" t="str">
        <x:f>IF(RAND()&lt;(('Team_Info'!$E$2-COUNTIF($B156:N156,"W"))/('Team_Info'!$E$4-13)),"W","B")</x:f>
        <x:v>B</x:v>
      </x:c>
      <x:c r="P156" t="str">
        <x:f>IF(RAND()&lt;(('Team_Info'!$E$2-COUNTIF($B156:O156,"W"))/('Team_Info'!$E$4-14)),"W","B")</x:f>
        <x:v>B</x:v>
      </x:c>
      <x:c r="Q156" t="str">
        <x:f>IF(RAND()&lt;(('Team_Info'!$E$2-COUNTIF($B156:P156,"W"))/('Team_Info'!$E$4-15)),"W","B")</x:f>
        <x:v>W</x:v>
      </x:c>
      <x:c r="R156" t="str">
        <x:f>IF(RAND()&lt;(('Team_Info'!$E$2-COUNTIF($B156:Q156,"W"))/('Team_Info'!$E$4-16)),"W","B")</x:f>
        <x:v>W</x:v>
      </x:c>
      <x:c r="S156" t="str">
        <x:f>IF(RAND()&lt;(('Team_Info'!$E$2-COUNTIF($B156:R156,"W"))/('Team_Info'!$E$4-17)),"W","B")</x:f>
        <x:v>W</x:v>
      </x:c>
      <x:c r="T156" t="str">
        <x:f>IF(RAND()&lt;(('Team_Info'!$E$2-COUNTIF($B156:S156,"W"))/('Team_Info'!$E$4-18)),"W","B")</x:f>
        <x:v>W</x:v>
      </x:c>
      <x:c r="U156" t="str">
        <x:f>IF(RAND()&lt;(('Team_Info'!$E$2-COUNTIF($B156:T156,"W"))/('Team_Info'!$E$4-19)),"W","B")</x:f>
        <x:v>W</x:v>
      </x:c>
    </x:row>
    <x:row r="157">
      <x:c r="A157" s="1">
        <x:v>156</x:v>
      </x:c>
      <x:c r="B157" t="str">
        <x:f>IF(RAND()&lt;'Team_Info'!$E$5,"W","B")</x:f>
        <x:v>B</x:v>
      </x:c>
      <x:c r="C157" t="str">
        <x:f>IF(RAND()&lt;(('Team_Info'!$E$2-COUNTIF($B157:B157,"W"))/('Team_Info'!$E$4-1)),"W","B")</x:f>
        <x:v>B</x:v>
      </x:c>
      <x:c r="D157" t="str">
        <x:f>IF(RAND()&lt;(('Team_Info'!$E$2-COUNTIF($B157:C157,"W"))/('Team_Info'!$E$4-2)),"W","B")</x:f>
        <x:v>W</x:v>
      </x:c>
      <x:c r="E157" t="str">
        <x:f>IF(RAND()&lt;(('Team_Info'!$E$2-COUNTIF($B157:D157,"W"))/('Team_Info'!$E$4-3)),"W","B")</x:f>
        <x:v>B</x:v>
      </x:c>
      <x:c r="F157" t="str">
        <x:f>IF(RAND()&lt;(('Team_Info'!$E$2-COUNTIF($B157:E157,"W"))/('Team_Info'!$E$4-4)),"W","B")</x:f>
        <x:v>B</x:v>
      </x:c>
      <x:c r="G157" t="str">
        <x:f>IF(RAND()&lt;(('Team_Info'!$E$2-COUNTIF($B157:F157,"W"))/('Team_Info'!$E$4-5)),"W","B")</x:f>
        <x:v>B</x:v>
      </x:c>
      <x:c r="H157" t="str">
        <x:f>IF(RAND()&lt;(('Team_Info'!$E$2-COUNTIF($B157:G157,"W"))/('Team_Info'!$E$4-6)),"W","B")</x:f>
        <x:v>B</x:v>
      </x:c>
      <x:c r="I157" t="str">
        <x:f>IF(RAND()&lt;(('Team_Info'!$E$2-COUNTIF($B157:H157,"W"))/('Team_Info'!$E$4-7)),"W","B")</x:f>
        <x:v>B</x:v>
      </x:c>
      <x:c r="J157" t="str">
        <x:f>IF(RAND()&lt;(('Team_Info'!$E$2-COUNTIF($B157:I157,"W"))/('Team_Info'!$E$4-8)),"W","B")</x:f>
        <x:v>B</x:v>
      </x:c>
      <x:c r="K157" t="str">
        <x:f>IF(RAND()&lt;(('Team_Info'!$E$2-COUNTIF($B157:J157,"W"))/('Team_Info'!$E$4-9)),"W","B")</x:f>
        <x:v>W</x:v>
      </x:c>
      <x:c r="L157" t="str">
        <x:f>IF(RAND()&lt;(('Team_Info'!$E$2-COUNTIF($B157:K157,"W"))/('Team_Info'!$E$4-10)),"W","B")</x:f>
        <x:v>W</x:v>
      </x:c>
      <x:c r="M157" t="str">
        <x:f>IF(RAND()&lt;(('Team_Info'!$E$2-COUNTIF($B157:L157,"W"))/('Team_Info'!$E$4-11)),"W","B")</x:f>
        <x:v>W</x:v>
      </x:c>
      <x:c r="N157" t="str">
        <x:f>IF(RAND()&lt;(('Team_Info'!$E$2-COUNTIF($B157:M157,"W"))/('Team_Info'!$E$4-12)),"W","B")</x:f>
        <x:v>W</x:v>
      </x:c>
      <x:c r="O157" t="str">
        <x:f>IF(RAND()&lt;(('Team_Info'!$E$2-COUNTIF($B157:N157,"W"))/('Team_Info'!$E$4-13)),"W","B")</x:f>
        <x:v>B</x:v>
      </x:c>
      <x:c r="P157" t="str">
        <x:f>IF(RAND()&lt;(('Team_Info'!$E$2-COUNTIF($B157:O157,"W"))/('Team_Info'!$E$4-14)),"W","B")</x:f>
        <x:v>B</x:v>
      </x:c>
      <x:c r="Q157" t="str">
        <x:f>IF(RAND()&lt;(('Team_Info'!$E$2-COUNTIF($B157:P157,"W"))/('Team_Info'!$E$4-15)),"W","B")</x:f>
        <x:v>W</x:v>
      </x:c>
      <x:c r="R157" t="str">
        <x:f>IF(RAND()&lt;(('Team_Info'!$E$2-COUNTIF($B157:Q157,"W"))/('Team_Info'!$E$4-16)),"W","B")</x:f>
        <x:v>B</x:v>
      </x:c>
      <x:c r="S157" t="str">
        <x:f>IF(RAND()&lt;(('Team_Info'!$E$2-COUNTIF($B157:R157,"W"))/('Team_Info'!$E$4-17)),"W","B")</x:f>
        <x:v>B</x:v>
      </x:c>
      <x:c r="T157" t="str">
        <x:f>IF(RAND()&lt;(('Team_Info'!$E$2-COUNTIF($B157:S157,"W"))/('Team_Info'!$E$4-18)),"W","B")</x:f>
        <x:v>B</x:v>
      </x:c>
      <x:c r="U157" t="str">
        <x:f>IF(RAND()&lt;(('Team_Info'!$E$2-COUNTIF($B157:T157,"W"))/('Team_Info'!$E$4-19)),"W","B")</x:f>
        <x:v>W</x:v>
      </x:c>
    </x:row>
    <x:row r="158">
      <x:c r="A158" s="1">
        <x:v>157</x:v>
      </x:c>
      <x:c r="B158" t="str">
        <x:f>IF(RAND()&lt;'Team_Info'!$E$5,"W","B")</x:f>
        <x:v>W</x:v>
      </x:c>
      <x:c r="C158" t="str">
        <x:f>IF(RAND()&lt;(('Team_Info'!$E$2-COUNTIF($B158:B158,"W"))/('Team_Info'!$E$4-1)),"W","B")</x:f>
        <x:v>B</x:v>
      </x:c>
      <x:c r="D158" t="str">
        <x:f>IF(RAND()&lt;(('Team_Info'!$E$2-COUNTIF($B158:C158,"W"))/('Team_Info'!$E$4-2)),"W","B")</x:f>
        <x:v>B</x:v>
      </x:c>
      <x:c r="E158" t="str">
        <x:f>IF(RAND()&lt;(('Team_Info'!$E$2-COUNTIF($B158:D158,"W"))/('Team_Info'!$E$4-3)),"W","B")</x:f>
        <x:v>W</x:v>
      </x:c>
      <x:c r="F158" t="str">
        <x:f>IF(RAND()&lt;(('Team_Info'!$E$2-COUNTIF($B158:E158,"W"))/('Team_Info'!$E$4-4)),"W","B")</x:f>
        <x:v>W</x:v>
      </x:c>
      <x:c r="G158" t="str">
        <x:f>IF(RAND()&lt;(('Team_Info'!$E$2-COUNTIF($B158:F158,"W"))/('Team_Info'!$E$4-5)),"W","B")</x:f>
        <x:v>W</x:v>
      </x:c>
      <x:c r="H158" t="str">
        <x:f>IF(RAND()&lt;(('Team_Info'!$E$2-COUNTIF($B158:G158,"W"))/('Team_Info'!$E$4-6)),"W","B")</x:f>
        <x:v>B</x:v>
      </x:c>
      <x:c r="I158" t="str">
        <x:f>IF(RAND()&lt;(('Team_Info'!$E$2-COUNTIF($B158:H158,"W"))/('Team_Info'!$E$4-7)),"W","B")</x:f>
        <x:v>B</x:v>
      </x:c>
      <x:c r="J158" t="str">
        <x:f>IF(RAND()&lt;(('Team_Info'!$E$2-COUNTIF($B158:I158,"W"))/('Team_Info'!$E$4-8)),"W","B")</x:f>
        <x:v>W</x:v>
      </x:c>
      <x:c r="K158" t="str">
        <x:f>IF(RAND()&lt;(('Team_Info'!$E$2-COUNTIF($B158:J158,"W"))/('Team_Info'!$E$4-9)),"W","B")</x:f>
        <x:v>B</x:v>
      </x:c>
      <x:c r="L158" t="str">
        <x:f>IF(RAND()&lt;(('Team_Info'!$E$2-COUNTIF($B158:K158,"W"))/('Team_Info'!$E$4-10)),"W","B")</x:f>
        <x:v>W</x:v>
      </x:c>
      <x:c r="M158" t="str">
        <x:f>IF(RAND()&lt;(('Team_Info'!$E$2-COUNTIF($B158:L158,"W"))/('Team_Info'!$E$4-11)),"W","B")</x:f>
        <x:v>B</x:v>
      </x:c>
      <x:c r="N158" t="str">
        <x:f>IF(RAND()&lt;(('Team_Info'!$E$2-COUNTIF($B158:M158,"W"))/('Team_Info'!$E$4-12)),"W","B")</x:f>
        <x:v>W</x:v>
      </x:c>
      <x:c r="O158" t="str">
        <x:f>IF(RAND()&lt;(('Team_Info'!$E$2-COUNTIF($B158:N158,"W"))/('Team_Info'!$E$4-13)),"W","B")</x:f>
        <x:v>B</x:v>
      </x:c>
      <x:c r="P158" t="str">
        <x:f>IF(RAND()&lt;(('Team_Info'!$E$2-COUNTIF($B158:O158,"W"))/('Team_Info'!$E$4-14)),"W","B")</x:f>
        <x:v>B</x:v>
      </x:c>
      <x:c r="Q158" t="str">
        <x:f>IF(RAND()&lt;(('Team_Info'!$E$2-COUNTIF($B158:P158,"W"))/('Team_Info'!$E$4-15)),"W","B")</x:f>
        <x:v>W</x:v>
      </x:c>
      <x:c r="R158" t="str">
        <x:f>IF(RAND()&lt;(('Team_Info'!$E$2-COUNTIF($B158:Q158,"W"))/('Team_Info'!$E$4-16)),"W","B")</x:f>
        <x:v>W</x:v>
      </x:c>
      <x:c r="S158" t="str">
        <x:f>IF(RAND()&lt;(('Team_Info'!$E$2-COUNTIF($B158:R158,"W"))/('Team_Info'!$E$4-17)),"W","B")</x:f>
        <x:v>W</x:v>
      </x:c>
      <x:c r="T158" t="str">
        <x:f>IF(RAND()&lt;(('Team_Info'!$E$2-COUNTIF($B158:S158,"W"))/('Team_Info'!$E$4-18)),"W","B")</x:f>
        <x:v>B</x:v>
      </x:c>
      <x:c r="U158" t="str">
        <x:f>IF(RAND()&lt;(('Team_Info'!$E$2-COUNTIF($B158:T158,"W"))/('Team_Info'!$E$4-19)),"W","B")</x:f>
        <x:v>W</x:v>
      </x:c>
    </x:row>
    <x:row r="159">
      <x:c r="A159" s="1">
        <x:v>158</x:v>
      </x:c>
      <x:c r="B159" t="str">
        <x:f>IF(RAND()&lt;'Team_Info'!$E$5,"W","B")</x:f>
        <x:v>B</x:v>
      </x:c>
      <x:c r="C159" t="str">
        <x:f>IF(RAND()&lt;(('Team_Info'!$E$2-COUNTIF($B159:B159,"W"))/('Team_Info'!$E$4-1)),"W","B")</x:f>
        <x:v>B</x:v>
      </x:c>
      <x:c r="D159" t="str">
        <x:f>IF(RAND()&lt;(('Team_Info'!$E$2-COUNTIF($B159:C159,"W"))/('Team_Info'!$E$4-2)),"W","B")</x:f>
        <x:v>B</x:v>
      </x:c>
      <x:c r="E159" t="str">
        <x:f>IF(RAND()&lt;(('Team_Info'!$E$2-COUNTIF($B159:D159,"W"))/('Team_Info'!$E$4-3)),"W","B")</x:f>
        <x:v>B</x:v>
      </x:c>
      <x:c r="F159" t="str">
        <x:f>IF(RAND()&lt;(('Team_Info'!$E$2-COUNTIF($B159:E159,"W"))/('Team_Info'!$E$4-4)),"W","B")</x:f>
        <x:v>B</x:v>
      </x:c>
      <x:c r="G159" t="str">
        <x:f>IF(RAND()&lt;(('Team_Info'!$E$2-COUNTIF($B159:F159,"W"))/('Team_Info'!$E$4-5)),"W","B")</x:f>
        <x:v>W</x:v>
      </x:c>
      <x:c r="H159" t="str">
        <x:f>IF(RAND()&lt;(('Team_Info'!$E$2-COUNTIF($B159:G159,"W"))/('Team_Info'!$E$4-6)),"W","B")</x:f>
        <x:v>B</x:v>
      </x:c>
      <x:c r="I159" t="str">
        <x:f>IF(RAND()&lt;(('Team_Info'!$E$2-COUNTIF($B159:H159,"W"))/('Team_Info'!$E$4-7)),"W","B")</x:f>
        <x:v>W</x:v>
      </x:c>
      <x:c r="J159" t="str">
        <x:f>IF(RAND()&lt;(('Team_Info'!$E$2-COUNTIF($B159:I159,"W"))/('Team_Info'!$E$4-8)),"W","B")</x:f>
        <x:v>W</x:v>
      </x:c>
      <x:c r="K159" t="str">
        <x:f>IF(RAND()&lt;(('Team_Info'!$E$2-COUNTIF($B159:J159,"W"))/('Team_Info'!$E$4-9)),"W","B")</x:f>
        <x:v>W</x:v>
      </x:c>
      <x:c r="L159" t="str">
        <x:f>IF(RAND()&lt;(('Team_Info'!$E$2-COUNTIF($B159:K159,"W"))/('Team_Info'!$E$4-10)),"W","B")</x:f>
        <x:v>B</x:v>
      </x:c>
      <x:c r="M159" t="str">
        <x:f>IF(RAND()&lt;(('Team_Info'!$E$2-COUNTIF($B159:L159,"W"))/('Team_Info'!$E$4-11)),"W","B")</x:f>
        <x:v>B</x:v>
      </x:c>
      <x:c r="N159" t="str">
        <x:f>IF(RAND()&lt;(('Team_Info'!$E$2-COUNTIF($B159:M159,"W"))/('Team_Info'!$E$4-12)),"W","B")</x:f>
        <x:v>W</x:v>
      </x:c>
      <x:c r="O159" t="str">
        <x:f>IF(RAND()&lt;(('Team_Info'!$E$2-COUNTIF($B159:N159,"W"))/('Team_Info'!$E$4-13)),"W","B")</x:f>
        <x:v>B</x:v>
      </x:c>
      <x:c r="P159" t="str">
        <x:f>IF(RAND()&lt;(('Team_Info'!$E$2-COUNTIF($B159:O159,"W"))/('Team_Info'!$E$4-14)),"W","B")</x:f>
        <x:v>W</x:v>
      </x:c>
      <x:c r="Q159" t="str">
        <x:f>IF(RAND()&lt;(('Team_Info'!$E$2-COUNTIF($B159:P159,"W"))/('Team_Info'!$E$4-15)),"W","B")</x:f>
        <x:v>B</x:v>
      </x:c>
      <x:c r="R159" t="str">
        <x:f>IF(RAND()&lt;(('Team_Info'!$E$2-COUNTIF($B159:Q159,"W"))/('Team_Info'!$E$4-16)),"W","B")</x:f>
        <x:v>B</x:v>
      </x:c>
      <x:c r="S159" t="str">
        <x:f>IF(RAND()&lt;(('Team_Info'!$E$2-COUNTIF($B159:R159,"W"))/('Team_Info'!$E$4-17)),"W","B")</x:f>
        <x:v>W</x:v>
      </x:c>
      <x:c r="T159" t="str">
        <x:f>IF(RAND()&lt;(('Team_Info'!$E$2-COUNTIF($B159:S159,"W"))/('Team_Info'!$E$4-18)),"W","B")</x:f>
        <x:v>W</x:v>
      </x:c>
      <x:c r="U159" t="str">
        <x:f>IF(RAND()&lt;(('Team_Info'!$E$2-COUNTIF($B159:T159,"W"))/('Team_Info'!$E$4-19)),"W","B")</x:f>
        <x:v>B</x:v>
      </x:c>
    </x:row>
    <x:row r="160">
      <x:c r="A160" s="1">
        <x:v>159</x:v>
      </x:c>
      <x:c r="B160" t="str">
        <x:f>IF(RAND()&lt;'Team_Info'!$E$5,"W","B")</x:f>
        <x:v>W</x:v>
      </x:c>
      <x:c r="C160" t="str">
        <x:f>IF(RAND()&lt;(('Team_Info'!$E$2-COUNTIF($B160:B160,"W"))/('Team_Info'!$E$4-1)),"W","B")</x:f>
        <x:v>B</x:v>
      </x:c>
      <x:c r="D160" t="str">
        <x:f>IF(RAND()&lt;(('Team_Info'!$E$2-COUNTIF($B160:C160,"W"))/('Team_Info'!$E$4-2)),"W","B")</x:f>
        <x:v>B</x:v>
      </x:c>
      <x:c r="E160" t="str">
        <x:f>IF(RAND()&lt;(('Team_Info'!$E$2-COUNTIF($B160:D160,"W"))/('Team_Info'!$E$4-3)),"W","B")</x:f>
        <x:v>W</x:v>
      </x:c>
      <x:c r="F160" t="str">
        <x:f>IF(RAND()&lt;(('Team_Info'!$E$2-COUNTIF($B160:E160,"W"))/('Team_Info'!$E$4-4)),"W","B")</x:f>
        <x:v>B</x:v>
      </x:c>
      <x:c r="G160" t="str">
        <x:f>IF(RAND()&lt;(('Team_Info'!$E$2-COUNTIF($B160:F160,"W"))/('Team_Info'!$E$4-5)),"W","B")</x:f>
        <x:v>B</x:v>
      </x:c>
      <x:c r="H160" t="str">
        <x:f>IF(RAND()&lt;(('Team_Info'!$E$2-COUNTIF($B160:G160,"W"))/('Team_Info'!$E$4-6)),"W","B")</x:f>
        <x:v>B</x:v>
      </x:c>
      <x:c r="I160" t="str">
        <x:f>IF(RAND()&lt;(('Team_Info'!$E$2-COUNTIF($B160:H160,"W"))/('Team_Info'!$E$4-7)),"W","B")</x:f>
        <x:v>B</x:v>
      </x:c>
      <x:c r="J160" t="str">
        <x:f>IF(RAND()&lt;(('Team_Info'!$E$2-COUNTIF($B160:I160,"W"))/('Team_Info'!$E$4-8)),"W","B")</x:f>
        <x:v>B</x:v>
      </x:c>
      <x:c r="K160" t="str">
        <x:f>IF(RAND()&lt;(('Team_Info'!$E$2-COUNTIF($B160:J160,"W"))/('Team_Info'!$E$4-9)),"W","B")</x:f>
        <x:v>W</x:v>
      </x:c>
      <x:c r="L160" t="str">
        <x:f>IF(RAND()&lt;(('Team_Info'!$E$2-COUNTIF($B160:K160,"W"))/('Team_Info'!$E$4-10)),"W","B")</x:f>
        <x:v>B</x:v>
      </x:c>
      <x:c r="M160" t="str">
        <x:f>IF(RAND()&lt;(('Team_Info'!$E$2-COUNTIF($B160:L160,"W"))/('Team_Info'!$E$4-11)),"W","B")</x:f>
        <x:v>W</x:v>
      </x:c>
      <x:c r="N160" t="str">
        <x:f>IF(RAND()&lt;(('Team_Info'!$E$2-COUNTIF($B160:M160,"W"))/('Team_Info'!$E$4-12)),"W","B")</x:f>
        <x:v>B</x:v>
      </x:c>
      <x:c r="O160" t="str">
        <x:f>IF(RAND()&lt;(('Team_Info'!$E$2-COUNTIF($B160:N160,"W"))/('Team_Info'!$E$4-13)),"W","B")</x:f>
        <x:v>W</x:v>
      </x:c>
      <x:c r="P160" t="str">
        <x:f>IF(RAND()&lt;(('Team_Info'!$E$2-COUNTIF($B160:O160,"W"))/('Team_Info'!$E$4-14)),"W","B")</x:f>
        <x:v>B</x:v>
      </x:c>
      <x:c r="Q160" t="str">
        <x:f>IF(RAND()&lt;(('Team_Info'!$E$2-COUNTIF($B160:P160,"W"))/('Team_Info'!$E$4-15)),"W","B")</x:f>
        <x:v>B</x:v>
      </x:c>
      <x:c r="R160" t="str">
        <x:f>IF(RAND()&lt;(('Team_Info'!$E$2-COUNTIF($B160:Q160,"W"))/('Team_Info'!$E$4-16)),"W","B")</x:f>
        <x:v>W</x:v>
      </x:c>
      <x:c r="S160" t="str">
        <x:f>IF(RAND()&lt;(('Team_Info'!$E$2-COUNTIF($B160:R160,"W"))/('Team_Info'!$E$4-17)),"W","B")</x:f>
        <x:v>W</x:v>
      </x:c>
      <x:c r="T160" t="str">
        <x:f>IF(RAND()&lt;(('Team_Info'!$E$2-COUNTIF($B160:S160,"W"))/('Team_Info'!$E$4-18)),"W","B")</x:f>
        <x:v>W</x:v>
      </x:c>
      <x:c r="U160" t="str">
        <x:f>IF(RAND()&lt;(('Team_Info'!$E$2-COUNTIF($B160:T160,"W"))/('Team_Info'!$E$4-19)),"W","B")</x:f>
        <x:v>B</x:v>
      </x:c>
    </x:row>
    <x:row r="161">
      <x:c r="A161" s="1">
        <x:v>160</x:v>
      </x:c>
      <x:c r="B161" t="str">
        <x:f>IF(RAND()&lt;'Team_Info'!$E$5,"W","B")</x:f>
        <x:v>B</x:v>
      </x:c>
      <x:c r="C161" t="str">
        <x:f>IF(RAND()&lt;(('Team_Info'!$E$2-COUNTIF($B161:B161,"W"))/('Team_Info'!$E$4-1)),"W","B")</x:f>
        <x:v>B</x:v>
      </x:c>
      <x:c r="D161" t="str">
        <x:f>IF(RAND()&lt;(('Team_Info'!$E$2-COUNTIF($B161:C161,"W"))/('Team_Info'!$E$4-2)),"W","B")</x:f>
        <x:v>W</x:v>
      </x:c>
      <x:c r="E161" t="str">
        <x:f>IF(RAND()&lt;(('Team_Info'!$E$2-COUNTIF($B161:D161,"W"))/('Team_Info'!$E$4-3)),"W","B")</x:f>
        <x:v>W</x:v>
      </x:c>
      <x:c r="F161" t="str">
        <x:f>IF(RAND()&lt;(('Team_Info'!$E$2-COUNTIF($B161:E161,"W"))/('Team_Info'!$E$4-4)),"W","B")</x:f>
        <x:v>W</x:v>
      </x:c>
      <x:c r="G161" t="str">
        <x:f>IF(RAND()&lt;(('Team_Info'!$E$2-COUNTIF($B161:F161,"W"))/('Team_Info'!$E$4-5)),"W","B")</x:f>
        <x:v>W</x:v>
      </x:c>
      <x:c r="H161" t="str">
        <x:f>IF(RAND()&lt;(('Team_Info'!$E$2-COUNTIF($B161:G161,"W"))/('Team_Info'!$E$4-6)),"W","B")</x:f>
        <x:v>W</x:v>
      </x:c>
      <x:c r="I161" t="str">
        <x:f>IF(RAND()&lt;(('Team_Info'!$E$2-COUNTIF($B161:H161,"W"))/('Team_Info'!$E$4-7)),"W","B")</x:f>
        <x:v>W</x:v>
      </x:c>
      <x:c r="J161" t="str">
        <x:f>IF(RAND()&lt;(('Team_Info'!$E$2-COUNTIF($B161:I161,"W"))/('Team_Info'!$E$4-8)),"W","B")</x:f>
        <x:v>W</x:v>
      </x:c>
      <x:c r="K161" t="str">
        <x:f>IF(RAND()&lt;(('Team_Info'!$E$2-COUNTIF($B161:J161,"W"))/('Team_Info'!$E$4-9)),"W","B")</x:f>
        <x:v>W</x:v>
      </x:c>
      <x:c r="L161" t="str">
        <x:f>IF(RAND()&lt;(('Team_Info'!$E$2-COUNTIF($B161:K161,"W"))/('Team_Info'!$E$4-10)),"W","B")</x:f>
        <x:v>B</x:v>
      </x:c>
      <x:c r="M161" t="str">
        <x:f>IF(RAND()&lt;(('Team_Info'!$E$2-COUNTIF($B161:L161,"W"))/('Team_Info'!$E$4-11)),"W","B")</x:f>
        <x:v>W</x:v>
      </x:c>
      <x:c r="N161" t="str">
        <x:f>IF(RAND()&lt;(('Team_Info'!$E$2-COUNTIF($B161:M161,"W"))/('Team_Info'!$E$4-12)),"W","B")</x:f>
        <x:v>B</x:v>
      </x:c>
      <x:c r="O161" t="str">
        <x:f>IF(RAND()&lt;(('Team_Info'!$E$2-COUNTIF($B161:N161,"W"))/('Team_Info'!$E$4-13)),"W","B")</x:f>
        <x:v>W</x:v>
      </x:c>
      <x:c r="P161" t="str">
        <x:f>IF(RAND()&lt;(('Team_Info'!$E$2-COUNTIF($B161:O161,"W"))/('Team_Info'!$E$4-14)),"W","B")</x:f>
        <x:v>B</x:v>
      </x:c>
      <x:c r="Q161" t="str">
        <x:f>IF(RAND()&lt;(('Team_Info'!$E$2-COUNTIF($B161:P161,"W"))/('Team_Info'!$E$4-15)),"W","B")</x:f>
        <x:v>B</x:v>
      </x:c>
      <x:c r="R161" t="str">
        <x:f>IF(RAND()&lt;(('Team_Info'!$E$2-COUNTIF($B161:Q161,"W"))/('Team_Info'!$E$4-16)),"W","B")</x:f>
        <x:v>W</x:v>
      </x:c>
      <x:c r="S161" t="str">
        <x:f>IF(RAND()&lt;(('Team_Info'!$E$2-COUNTIF($B161:R161,"W"))/('Team_Info'!$E$4-17)),"W","B")</x:f>
        <x:v>B</x:v>
      </x:c>
      <x:c r="T161" t="str">
        <x:f>IF(RAND()&lt;(('Team_Info'!$E$2-COUNTIF($B161:S161,"W"))/('Team_Info'!$E$4-18)),"W","B")</x:f>
        <x:v>B</x:v>
      </x:c>
      <x:c r="U161" t="str">
        <x:f>IF(RAND()&lt;(('Team_Info'!$E$2-COUNTIF($B161:T161,"W"))/('Team_Info'!$E$4-19)),"W","B")</x:f>
        <x:v>B</x:v>
      </x:c>
    </x:row>
    <x:row r="162">
      <x:c r="A162" s="1">
        <x:v>161</x:v>
      </x:c>
      <x:c r="B162" t="str">
        <x:f>IF(RAND()&lt;'Team_Info'!$E$5,"W","B")</x:f>
        <x:v>B</x:v>
      </x:c>
      <x:c r="C162" t="str">
        <x:f>IF(RAND()&lt;(('Team_Info'!$E$2-COUNTIF($B162:B162,"W"))/('Team_Info'!$E$4-1)),"W","B")</x:f>
        <x:v>B</x:v>
      </x:c>
      <x:c r="D162" t="str">
        <x:f>IF(RAND()&lt;(('Team_Info'!$E$2-COUNTIF($B162:C162,"W"))/('Team_Info'!$E$4-2)),"W","B")</x:f>
        <x:v>W</x:v>
      </x:c>
      <x:c r="E162" t="str">
        <x:f>IF(RAND()&lt;(('Team_Info'!$E$2-COUNTIF($B162:D162,"W"))/('Team_Info'!$E$4-3)),"W","B")</x:f>
        <x:v>B</x:v>
      </x:c>
      <x:c r="F162" t="str">
        <x:f>IF(RAND()&lt;(('Team_Info'!$E$2-COUNTIF($B162:E162,"W"))/('Team_Info'!$E$4-4)),"W","B")</x:f>
        <x:v>B</x:v>
      </x:c>
      <x:c r="G162" t="str">
        <x:f>IF(RAND()&lt;(('Team_Info'!$E$2-COUNTIF($B162:F162,"W"))/('Team_Info'!$E$4-5)),"W","B")</x:f>
        <x:v>B</x:v>
      </x:c>
      <x:c r="H162" t="str">
        <x:f>IF(RAND()&lt;(('Team_Info'!$E$2-COUNTIF($B162:G162,"W"))/('Team_Info'!$E$4-6)),"W","B")</x:f>
        <x:v>B</x:v>
      </x:c>
      <x:c r="I162" t="str">
        <x:f>IF(RAND()&lt;(('Team_Info'!$E$2-COUNTIF($B162:H162,"W"))/('Team_Info'!$E$4-7)),"W","B")</x:f>
        <x:v>B</x:v>
      </x:c>
      <x:c r="J162" t="str">
        <x:f>IF(RAND()&lt;(('Team_Info'!$E$2-COUNTIF($B162:I162,"W"))/('Team_Info'!$E$4-8)),"W","B")</x:f>
        <x:v>B</x:v>
      </x:c>
      <x:c r="K162" t="str">
        <x:f>IF(RAND()&lt;(('Team_Info'!$E$2-COUNTIF($B162:J162,"W"))/('Team_Info'!$E$4-9)),"W","B")</x:f>
        <x:v>B</x:v>
      </x:c>
      <x:c r="L162" t="str">
        <x:f>IF(RAND()&lt;(('Team_Info'!$E$2-COUNTIF($B162:K162,"W"))/('Team_Info'!$E$4-10)),"W","B")</x:f>
        <x:v>W</x:v>
      </x:c>
      <x:c r="M162" t="str">
        <x:f>IF(RAND()&lt;(('Team_Info'!$E$2-COUNTIF($B162:L162,"W"))/('Team_Info'!$E$4-11)),"W","B")</x:f>
        <x:v>B</x:v>
      </x:c>
      <x:c r="N162" t="str">
        <x:f>IF(RAND()&lt;(('Team_Info'!$E$2-COUNTIF($B162:M162,"W"))/('Team_Info'!$E$4-12)),"W","B")</x:f>
        <x:v>B</x:v>
      </x:c>
      <x:c r="O162" t="str">
        <x:f>IF(RAND()&lt;(('Team_Info'!$E$2-COUNTIF($B162:N162,"W"))/('Team_Info'!$E$4-13)),"W","B")</x:f>
        <x:v>W</x:v>
      </x:c>
      <x:c r="P162" t="str">
        <x:f>IF(RAND()&lt;(('Team_Info'!$E$2-COUNTIF($B162:O162,"W"))/('Team_Info'!$E$4-14)),"W","B")</x:f>
        <x:v>W</x:v>
      </x:c>
      <x:c r="Q162" t="str">
        <x:f>IF(RAND()&lt;(('Team_Info'!$E$2-COUNTIF($B162:P162,"W"))/('Team_Info'!$E$4-15)),"W","B")</x:f>
        <x:v>B</x:v>
      </x:c>
      <x:c r="R162" t="str">
        <x:f>IF(RAND()&lt;(('Team_Info'!$E$2-COUNTIF($B162:Q162,"W"))/('Team_Info'!$E$4-16)),"W","B")</x:f>
        <x:v>B</x:v>
      </x:c>
      <x:c r="S162" t="str">
        <x:f>IF(RAND()&lt;(('Team_Info'!$E$2-COUNTIF($B162:R162,"W"))/('Team_Info'!$E$4-17)),"W","B")</x:f>
        <x:v>B</x:v>
      </x:c>
      <x:c r="T162" t="str">
        <x:f>IF(RAND()&lt;(('Team_Info'!$E$2-COUNTIF($B162:S162,"W"))/('Team_Info'!$E$4-18)),"W","B")</x:f>
        <x:v>B</x:v>
      </x:c>
      <x:c r="U162" t="str">
        <x:f>IF(RAND()&lt;(('Team_Info'!$E$2-COUNTIF($B162:T162,"W"))/('Team_Info'!$E$4-19)),"W","B")</x:f>
        <x:v>B</x:v>
      </x:c>
    </x:row>
    <x:row r="163">
      <x:c r="A163" s="1">
        <x:v>162</x:v>
      </x:c>
      <x:c r="B163" t="str">
        <x:f>IF(RAND()&lt;'Team_Info'!$E$5,"W","B")</x:f>
        <x:v>B</x:v>
      </x:c>
      <x:c r="C163" t="str">
        <x:f>IF(RAND()&lt;(('Team_Info'!$E$2-COUNTIF($B163:B163,"W"))/('Team_Info'!$E$4-1)),"W","B")</x:f>
        <x:v>W</x:v>
      </x:c>
      <x:c r="D163" t="str">
        <x:f>IF(RAND()&lt;(('Team_Info'!$E$2-COUNTIF($B163:C163,"W"))/('Team_Info'!$E$4-2)),"W","B")</x:f>
        <x:v>B</x:v>
      </x:c>
      <x:c r="E163" t="str">
        <x:f>IF(RAND()&lt;(('Team_Info'!$E$2-COUNTIF($B163:D163,"W"))/('Team_Info'!$E$4-3)),"W","B")</x:f>
        <x:v>B</x:v>
      </x:c>
      <x:c r="F163" t="str">
        <x:f>IF(RAND()&lt;(('Team_Info'!$E$2-COUNTIF($B163:E163,"W"))/('Team_Info'!$E$4-4)),"W","B")</x:f>
        <x:v>B</x:v>
      </x:c>
      <x:c r="G163" t="str">
        <x:f>IF(RAND()&lt;(('Team_Info'!$E$2-COUNTIF($B163:F163,"W"))/('Team_Info'!$E$4-5)),"W","B")</x:f>
        <x:v>W</x:v>
      </x:c>
      <x:c r="H163" t="str">
        <x:f>IF(RAND()&lt;(('Team_Info'!$E$2-COUNTIF($B163:G163,"W"))/('Team_Info'!$E$4-6)),"W","B")</x:f>
        <x:v>W</x:v>
      </x:c>
      <x:c r="I163" t="str">
        <x:f>IF(RAND()&lt;(('Team_Info'!$E$2-COUNTIF($B163:H163,"W"))/('Team_Info'!$E$4-7)),"W","B")</x:f>
        <x:v>B</x:v>
      </x:c>
      <x:c r="J163" t="str">
        <x:f>IF(RAND()&lt;(('Team_Info'!$E$2-COUNTIF($B163:I163,"W"))/('Team_Info'!$E$4-8)),"W","B")</x:f>
        <x:v>W</x:v>
      </x:c>
      <x:c r="K163" t="str">
        <x:f>IF(RAND()&lt;(('Team_Info'!$E$2-COUNTIF($B163:J163,"W"))/('Team_Info'!$E$4-9)),"W","B")</x:f>
        <x:v>B</x:v>
      </x:c>
      <x:c r="L163" t="str">
        <x:f>IF(RAND()&lt;(('Team_Info'!$E$2-COUNTIF($B163:K163,"W"))/('Team_Info'!$E$4-10)),"W","B")</x:f>
        <x:v>B</x:v>
      </x:c>
      <x:c r="M163" t="str">
        <x:f>IF(RAND()&lt;(('Team_Info'!$E$2-COUNTIF($B163:L163,"W"))/('Team_Info'!$E$4-11)),"W","B")</x:f>
        <x:v>W</x:v>
      </x:c>
      <x:c r="N163" t="str">
        <x:f>IF(RAND()&lt;(('Team_Info'!$E$2-COUNTIF($B163:M163,"W"))/('Team_Info'!$E$4-12)),"W","B")</x:f>
        <x:v>B</x:v>
      </x:c>
      <x:c r="O163" t="str">
        <x:f>IF(RAND()&lt;(('Team_Info'!$E$2-COUNTIF($B163:N163,"W"))/('Team_Info'!$E$4-13)),"W","B")</x:f>
        <x:v>B</x:v>
      </x:c>
      <x:c r="P163" t="str">
        <x:f>IF(RAND()&lt;(('Team_Info'!$E$2-COUNTIF($B163:O163,"W"))/('Team_Info'!$E$4-14)),"W","B")</x:f>
        <x:v>W</x:v>
      </x:c>
      <x:c r="Q163" t="str">
        <x:f>IF(RAND()&lt;(('Team_Info'!$E$2-COUNTIF($B163:P163,"W"))/('Team_Info'!$E$4-15)),"W","B")</x:f>
        <x:v>B</x:v>
      </x:c>
      <x:c r="R163" t="str">
        <x:f>IF(RAND()&lt;(('Team_Info'!$E$2-COUNTIF($B163:Q163,"W"))/('Team_Info'!$E$4-16)),"W","B")</x:f>
        <x:v>W</x:v>
      </x:c>
      <x:c r="S163" t="str">
        <x:f>IF(RAND()&lt;(('Team_Info'!$E$2-COUNTIF($B163:R163,"W"))/('Team_Info'!$E$4-17)),"W","B")</x:f>
        <x:v>W</x:v>
      </x:c>
      <x:c r="T163" t="str">
        <x:f>IF(RAND()&lt;(('Team_Info'!$E$2-COUNTIF($B163:S163,"W"))/('Team_Info'!$E$4-18)),"W","B")</x:f>
        <x:v>W</x:v>
      </x:c>
      <x:c r="U163" t="str">
        <x:f>IF(RAND()&lt;(('Team_Info'!$E$2-COUNTIF($B163:T163,"W"))/('Team_Info'!$E$4-19)),"W","B")</x:f>
        <x:v>B</x:v>
      </x:c>
    </x:row>
    <x:row r="164">
      <x:c r="A164" s="1">
        <x:v>163</x:v>
      </x:c>
      <x:c r="B164" t="str">
        <x:f>IF(RAND()&lt;'Team_Info'!$E$5,"W","B")</x:f>
        <x:v>W</x:v>
      </x:c>
      <x:c r="C164" t="str">
        <x:f>IF(RAND()&lt;(('Team_Info'!$E$2-COUNTIF($B164:B164,"W"))/('Team_Info'!$E$4-1)),"W","B")</x:f>
        <x:v>B</x:v>
      </x:c>
      <x:c r="D164" t="str">
        <x:f>IF(RAND()&lt;(('Team_Info'!$E$2-COUNTIF($B164:C164,"W"))/('Team_Info'!$E$4-2)),"W","B")</x:f>
        <x:v>B</x:v>
      </x:c>
      <x:c r="E164" t="str">
        <x:f>IF(RAND()&lt;(('Team_Info'!$E$2-COUNTIF($B164:D164,"W"))/('Team_Info'!$E$4-3)),"W","B")</x:f>
        <x:v>W</x:v>
      </x:c>
      <x:c r="F164" t="str">
        <x:f>IF(RAND()&lt;(('Team_Info'!$E$2-COUNTIF($B164:E164,"W"))/('Team_Info'!$E$4-4)),"W","B")</x:f>
        <x:v>W</x:v>
      </x:c>
      <x:c r="G164" t="str">
        <x:f>IF(RAND()&lt;(('Team_Info'!$E$2-COUNTIF($B164:F164,"W"))/('Team_Info'!$E$4-5)),"W","B")</x:f>
        <x:v>B</x:v>
      </x:c>
      <x:c r="H164" t="str">
        <x:f>IF(RAND()&lt;(('Team_Info'!$E$2-COUNTIF($B164:G164,"W"))/('Team_Info'!$E$4-6)),"W","B")</x:f>
        <x:v>B</x:v>
      </x:c>
      <x:c r="I164" t="str">
        <x:f>IF(RAND()&lt;(('Team_Info'!$E$2-COUNTIF($B164:H164,"W"))/('Team_Info'!$E$4-7)),"W","B")</x:f>
        <x:v>B</x:v>
      </x:c>
      <x:c r="J164" t="str">
        <x:f>IF(RAND()&lt;(('Team_Info'!$E$2-COUNTIF($B164:I164,"W"))/('Team_Info'!$E$4-8)),"W","B")</x:f>
        <x:v>W</x:v>
      </x:c>
      <x:c r="K164" t="str">
        <x:f>IF(RAND()&lt;(('Team_Info'!$E$2-COUNTIF($B164:J164,"W"))/('Team_Info'!$E$4-9)),"W","B")</x:f>
        <x:v>W</x:v>
      </x:c>
      <x:c r="L164" t="str">
        <x:f>IF(RAND()&lt;(('Team_Info'!$E$2-COUNTIF($B164:K164,"W"))/('Team_Info'!$E$4-10)),"W","B")</x:f>
        <x:v>B</x:v>
      </x:c>
      <x:c r="M164" t="str">
        <x:f>IF(RAND()&lt;(('Team_Info'!$E$2-COUNTIF($B164:L164,"W"))/('Team_Info'!$E$4-11)),"W","B")</x:f>
        <x:v>B</x:v>
      </x:c>
      <x:c r="N164" t="str">
        <x:f>IF(RAND()&lt;(('Team_Info'!$E$2-COUNTIF($B164:M164,"W"))/('Team_Info'!$E$4-12)),"W","B")</x:f>
        <x:v>W</x:v>
      </x:c>
      <x:c r="O164" t="str">
        <x:f>IF(RAND()&lt;(('Team_Info'!$E$2-COUNTIF($B164:N164,"W"))/('Team_Info'!$E$4-13)),"W","B")</x:f>
        <x:v>B</x:v>
      </x:c>
      <x:c r="P164" t="str">
        <x:f>IF(RAND()&lt;(('Team_Info'!$E$2-COUNTIF($B164:O164,"W"))/('Team_Info'!$E$4-14)),"W","B")</x:f>
        <x:v>B</x:v>
      </x:c>
      <x:c r="Q164" t="str">
        <x:f>IF(RAND()&lt;(('Team_Info'!$E$2-COUNTIF($B164:P164,"W"))/('Team_Info'!$E$4-15)),"W","B")</x:f>
        <x:v>B</x:v>
      </x:c>
      <x:c r="R164" t="str">
        <x:f>IF(RAND()&lt;(('Team_Info'!$E$2-COUNTIF($B164:Q164,"W"))/('Team_Info'!$E$4-16)),"W","B")</x:f>
        <x:v>B</x:v>
      </x:c>
      <x:c r="S164" t="str">
        <x:f>IF(RAND()&lt;(('Team_Info'!$E$2-COUNTIF($B164:R164,"W"))/('Team_Info'!$E$4-17)),"W","B")</x:f>
        <x:v>W</x:v>
      </x:c>
      <x:c r="T164" t="str">
        <x:f>IF(RAND()&lt;(('Team_Info'!$E$2-COUNTIF($B164:S164,"W"))/('Team_Info'!$E$4-18)),"W","B")</x:f>
        <x:v>W</x:v>
      </x:c>
      <x:c r="U164" t="str">
        <x:f>IF(RAND()&lt;(('Team_Info'!$E$2-COUNTIF($B164:T164,"W"))/('Team_Info'!$E$4-19)),"W","B")</x:f>
        <x:v>W</x:v>
      </x:c>
    </x:row>
    <x:row r="165">
      <x:c r="A165" s="1">
        <x:v>164</x:v>
      </x:c>
      <x:c r="B165" t="str">
        <x:f>IF(RAND()&lt;'Team_Info'!$E$5,"W","B")</x:f>
        <x:v>W</x:v>
      </x:c>
      <x:c r="C165" t="str">
        <x:f>IF(RAND()&lt;(('Team_Info'!$E$2-COUNTIF($B165:B165,"W"))/('Team_Info'!$E$4-1)),"W","B")</x:f>
        <x:v>W</x:v>
      </x:c>
      <x:c r="D165" t="str">
        <x:f>IF(RAND()&lt;(('Team_Info'!$E$2-COUNTIF($B165:C165,"W"))/('Team_Info'!$E$4-2)),"W","B")</x:f>
        <x:v>W</x:v>
      </x:c>
      <x:c r="E165" t="str">
        <x:f>IF(RAND()&lt;(('Team_Info'!$E$2-COUNTIF($B165:D165,"W"))/('Team_Info'!$E$4-3)),"W","B")</x:f>
        <x:v>B</x:v>
      </x:c>
      <x:c r="F165" t="str">
        <x:f>IF(RAND()&lt;(('Team_Info'!$E$2-COUNTIF($B165:E165,"W"))/('Team_Info'!$E$4-4)),"W","B")</x:f>
        <x:v>B</x:v>
      </x:c>
      <x:c r="G165" t="str">
        <x:f>IF(RAND()&lt;(('Team_Info'!$E$2-COUNTIF($B165:F165,"W"))/('Team_Info'!$E$4-5)),"W","B")</x:f>
        <x:v>B</x:v>
      </x:c>
      <x:c r="H165" t="str">
        <x:f>IF(RAND()&lt;(('Team_Info'!$E$2-COUNTIF($B165:G165,"W"))/('Team_Info'!$E$4-6)),"W","B")</x:f>
        <x:v>B</x:v>
      </x:c>
      <x:c r="I165" t="str">
        <x:f>IF(RAND()&lt;(('Team_Info'!$E$2-COUNTIF($B165:H165,"W"))/('Team_Info'!$E$4-7)),"W","B")</x:f>
        <x:v>W</x:v>
      </x:c>
      <x:c r="J165" t="str">
        <x:f>IF(RAND()&lt;(('Team_Info'!$E$2-COUNTIF($B165:I165,"W"))/('Team_Info'!$E$4-8)),"W","B")</x:f>
        <x:v>B</x:v>
      </x:c>
      <x:c r="K165" t="str">
        <x:f>IF(RAND()&lt;(('Team_Info'!$E$2-COUNTIF($B165:J165,"W"))/('Team_Info'!$E$4-9)),"W","B")</x:f>
        <x:v>B</x:v>
      </x:c>
      <x:c r="L165" t="str">
        <x:f>IF(RAND()&lt;(('Team_Info'!$E$2-COUNTIF($B165:K165,"W"))/('Team_Info'!$E$4-10)),"W","B")</x:f>
        <x:v>B</x:v>
      </x:c>
      <x:c r="M165" t="str">
        <x:f>IF(RAND()&lt;(('Team_Info'!$E$2-COUNTIF($B165:L165,"W"))/('Team_Info'!$E$4-11)),"W","B")</x:f>
        <x:v>W</x:v>
      </x:c>
      <x:c r="N165" t="str">
        <x:f>IF(RAND()&lt;(('Team_Info'!$E$2-COUNTIF($B165:M165,"W"))/('Team_Info'!$E$4-12)),"W","B")</x:f>
        <x:v>W</x:v>
      </x:c>
      <x:c r="O165" t="str">
        <x:f>IF(RAND()&lt;(('Team_Info'!$E$2-COUNTIF($B165:N165,"W"))/('Team_Info'!$E$4-13)),"W","B")</x:f>
        <x:v>B</x:v>
      </x:c>
      <x:c r="P165" t="str">
        <x:f>IF(RAND()&lt;(('Team_Info'!$E$2-COUNTIF($B165:O165,"W"))/('Team_Info'!$E$4-14)),"W","B")</x:f>
        <x:v>B</x:v>
      </x:c>
      <x:c r="Q165" t="str">
        <x:f>IF(RAND()&lt;(('Team_Info'!$E$2-COUNTIF($B165:P165,"W"))/('Team_Info'!$E$4-15)),"W","B")</x:f>
        <x:v>B</x:v>
      </x:c>
      <x:c r="R165" t="str">
        <x:f>IF(RAND()&lt;(('Team_Info'!$E$2-COUNTIF($B165:Q165,"W"))/('Team_Info'!$E$4-16)),"W","B")</x:f>
        <x:v>B</x:v>
      </x:c>
      <x:c r="S165" t="str">
        <x:f>IF(RAND()&lt;(('Team_Info'!$E$2-COUNTIF($B165:R165,"W"))/('Team_Info'!$E$4-17)),"W","B")</x:f>
        <x:v>W</x:v>
      </x:c>
      <x:c r="T165" t="str">
        <x:f>IF(RAND()&lt;(('Team_Info'!$E$2-COUNTIF($B165:S165,"W"))/('Team_Info'!$E$4-18)),"W","B")</x:f>
        <x:v>B</x:v>
      </x:c>
      <x:c r="U165" t="str">
        <x:f>IF(RAND()&lt;(('Team_Info'!$E$2-COUNTIF($B165:T165,"W"))/('Team_Info'!$E$4-19)),"W","B")</x:f>
        <x:v>W</x:v>
      </x:c>
    </x:row>
    <x:row r="166">
      <x:c r="A166" s="1">
        <x:v>165</x:v>
      </x:c>
      <x:c r="B166" t="str">
        <x:f>IF(RAND()&lt;'Team_Info'!$E$5,"W","B")</x:f>
        <x:v>W</x:v>
      </x:c>
      <x:c r="C166" t="str">
        <x:f>IF(RAND()&lt;(('Team_Info'!$E$2-COUNTIF($B166:B166,"W"))/('Team_Info'!$E$4-1)),"W","B")</x:f>
        <x:v>W</x:v>
      </x:c>
      <x:c r="D166" t="str">
        <x:f>IF(RAND()&lt;(('Team_Info'!$E$2-COUNTIF($B166:C166,"W"))/('Team_Info'!$E$4-2)),"W","B")</x:f>
        <x:v>W</x:v>
      </x:c>
      <x:c r="E166" t="str">
        <x:f>IF(RAND()&lt;(('Team_Info'!$E$2-COUNTIF($B166:D166,"W"))/('Team_Info'!$E$4-3)),"W","B")</x:f>
        <x:v>B</x:v>
      </x:c>
      <x:c r="F166" t="str">
        <x:f>IF(RAND()&lt;(('Team_Info'!$E$2-COUNTIF($B166:E166,"W"))/('Team_Info'!$E$4-4)),"W","B")</x:f>
        <x:v>W</x:v>
      </x:c>
      <x:c r="G166" t="str">
        <x:f>IF(RAND()&lt;(('Team_Info'!$E$2-COUNTIF($B166:F166,"W"))/('Team_Info'!$E$4-5)),"W","B")</x:f>
        <x:v>B</x:v>
      </x:c>
      <x:c r="H166" t="str">
        <x:f>IF(RAND()&lt;(('Team_Info'!$E$2-COUNTIF($B166:G166,"W"))/('Team_Info'!$E$4-6)),"W","B")</x:f>
        <x:v>W</x:v>
      </x:c>
      <x:c r="I166" t="str">
        <x:f>IF(RAND()&lt;(('Team_Info'!$E$2-COUNTIF($B166:H166,"W"))/('Team_Info'!$E$4-7)),"W","B")</x:f>
        <x:v>B</x:v>
      </x:c>
      <x:c r="J166" t="str">
        <x:f>IF(RAND()&lt;(('Team_Info'!$E$2-COUNTIF($B166:I166,"W"))/('Team_Info'!$E$4-8)),"W","B")</x:f>
        <x:v>B</x:v>
      </x:c>
      <x:c r="K166" t="str">
        <x:f>IF(RAND()&lt;(('Team_Info'!$E$2-COUNTIF($B166:J166,"W"))/('Team_Info'!$E$4-9)),"W","B")</x:f>
        <x:v>W</x:v>
      </x:c>
      <x:c r="L166" t="str">
        <x:f>IF(RAND()&lt;(('Team_Info'!$E$2-COUNTIF($B166:K166,"W"))/('Team_Info'!$E$4-10)),"W","B")</x:f>
        <x:v>W</x:v>
      </x:c>
      <x:c r="M166" t="str">
        <x:f>IF(RAND()&lt;(('Team_Info'!$E$2-COUNTIF($B166:L166,"W"))/('Team_Info'!$E$4-11)),"W","B")</x:f>
        <x:v>W</x:v>
      </x:c>
      <x:c r="N166" t="str">
        <x:f>IF(RAND()&lt;(('Team_Info'!$E$2-COUNTIF($B166:M166,"W"))/('Team_Info'!$E$4-12)),"W","B")</x:f>
        <x:v>B</x:v>
      </x:c>
      <x:c r="O166" t="str">
        <x:f>IF(RAND()&lt;(('Team_Info'!$E$2-COUNTIF($B166:N166,"W"))/('Team_Info'!$E$4-13)),"W","B")</x:f>
        <x:v>W</x:v>
      </x:c>
      <x:c r="P166" t="str">
        <x:f>IF(RAND()&lt;(('Team_Info'!$E$2-COUNTIF($B166:O166,"W"))/('Team_Info'!$E$4-14)),"W","B")</x:f>
        <x:v>W</x:v>
      </x:c>
      <x:c r="Q166" t="str">
        <x:f>IF(RAND()&lt;(('Team_Info'!$E$2-COUNTIF($B166:P166,"W"))/('Team_Info'!$E$4-15)),"W","B")</x:f>
        <x:v>W</x:v>
      </x:c>
      <x:c r="R166" t="str">
        <x:f>IF(RAND()&lt;(('Team_Info'!$E$2-COUNTIF($B166:Q166,"W"))/('Team_Info'!$E$4-16)),"W","B")</x:f>
        <x:v>B</x:v>
      </x:c>
      <x:c r="S166" t="str">
        <x:f>IF(RAND()&lt;(('Team_Info'!$E$2-COUNTIF($B166:R166,"W"))/('Team_Info'!$E$4-17)),"W","B")</x:f>
        <x:v>B</x:v>
      </x:c>
      <x:c r="T166" t="str">
        <x:f>IF(RAND()&lt;(('Team_Info'!$E$2-COUNTIF($B166:S166,"W"))/('Team_Info'!$E$4-18)),"W","B")</x:f>
        <x:v>B</x:v>
      </x:c>
      <x:c r="U166" t="str">
        <x:f>IF(RAND()&lt;(('Team_Info'!$E$2-COUNTIF($B166:T166,"W"))/('Team_Info'!$E$4-19)),"W","B")</x:f>
        <x:v>W</x:v>
      </x:c>
    </x:row>
    <x:row r="167">
      <x:c r="A167" s="1">
        <x:v>166</x:v>
      </x:c>
      <x:c r="B167" t="str">
        <x:f>IF(RAND()&lt;'Team_Info'!$E$5,"W","B")</x:f>
        <x:v>W</x:v>
      </x:c>
      <x:c r="C167" t="str">
        <x:f>IF(RAND()&lt;(('Team_Info'!$E$2-COUNTIF($B167:B167,"W"))/('Team_Info'!$E$4-1)),"W","B")</x:f>
        <x:v>W</x:v>
      </x:c>
      <x:c r="D167" t="str">
        <x:f>IF(RAND()&lt;(('Team_Info'!$E$2-COUNTIF($B167:C167,"W"))/('Team_Info'!$E$4-2)),"W","B")</x:f>
        <x:v>W</x:v>
      </x:c>
      <x:c r="E167" t="str">
        <x:f>IF(RAND()&lt;(('Team_Info'!$E$2-COUNTIF($B167:D167,"W"))/('Team_Info'!$E$4-3)),"W","B")</x:f>
        <x:v>B</x:v>
      </x:c>
      <x:c r="F167" t="str">
        <x:f>IF(RAND()&lt;(('Team_Info'!$E$2-COUNTIF($B167:E167,"W"))/('Team_Info'!$E$4-4)),"W","B")</x:f>
        <x:v>B</x:v>
      </x:c>
      <x:c r="G167" t="str">
        <x:f>IF(RAND()&lt;(('Team_Info'!$E$2-COUNTIF($B167:F167,"W"))/('Team_Info'!$E$4-5)),"W","B")</x:f>
        <x:v>W</x:v>
      </x:c>
      <x:c r="H167" t="str">
        <x:f>IF(RAND()&lt;(('Team_Info'!$E$2-COUNTIF($B167:G167,"W"))/('Team_Info'!$E$4-6)),"W","B")</x:f>
        <x:v>W</x:v>
      </x:c>
      <x:c r="I167" t="str">
        <x:f>IF(RAND()&lt;(('Team_Info'!$E$2-COUNTIF($B167:H167,"W"))/('Team_Info'!$E$4-7)),"W","B")</x:f>
        <x:v>W</x:v>
      </x:c>
      <x:c r="J167" t="str">
        <x:f>IF(RAND()&lt;(('Team_Info'!$E$2-COUNTIF($B167:I167,"W"))/('Team_Info'!$E$4-8)),"W","B")</x:f>
        <x:v>B</x:v>
      </x:c>
      <x:c r="K167" t="str">
        <x:f>IF(RAND()&lt;(('Team_Info'!$E$2-COUNTIF($B167:J167,"W"))/('Team_Info'!$E$4-9)),"W","B")</x:f>
        <x:v>B</x:v>
      </x:c>
      <x:c r="L167" t="str">
        <x:f>IF(RAND()&lt;(('Team_Info'!$E$2-COUNTIF($B167:K167,"W"))/('Team_Info'!$E$4-10)),"W","B")</x:f>
        <x:v>B</x:v>
      </x:c>
      <x:c r="M167" t="str">
        <x:f>IF(RAND()&lt;(('Team_Info'!$E$2-COUNTIF($B167:L167,"W"))/('Team_Info'!$E$4-11)),"W","B")</x:f>
        <x:v>B</x:v>
      </x:c>
      <x:c r="N167" t="str">
        <x:f>IF(RAND()&lt;(('Team_Info'!$E$2-COUNTIF($B167:M167,"W"))/('Team_Info'!$E$4-12)),"W","B")</x:f>
        <x:v>B</x:v>
      </x:c>
      <x:c r="O167" t="str">
        <x:f>IF(RAND()&lt;(('Team_Info'!$E$2-COUNTIF($B167:N167,"W"))/('Team_Info'!$E$4-13)),"W","B")</x:f>
        <x:v>B</x:v>
      </x:c>
      <x:c r="P167" t="str">
        <x:f>IF(RAND()&lt;(('Team_Info'!$E$2-COUNTIF($B167:O167,"W"))/('Team_Info'!$E$4-14)),"W","B")</x:f>
        <x:v>W</x:v>
      </x:c>
      <x:c r="Q167" t="str">
        <x:f>IF(RAND()&lt;(('Team_Info'!$E$2-COUNTIF($B167:P167,"W"))/('Team_Info'!$E$4-15)),"W","B")</x:f>
        <x:v>W</x:v>
      </x:c>
      <x:c r="R167" t="str">
        <x:f>IF(RAND()&lt;(('Team_Info'!$E$2-COUNTIF($B167:Q167,"W"))/('Team_Info'!$E$4-16)),"W","B")</x:f>
        <x:v>B</x:v>
      </x:c>
      <x:c r="S167" t="str">
        <x:f>IF(RAND()&lt;(('Team_Info'!$E$2-COUNTIF($B167:R167,"W"))/('Team_Info'!$E$4-17)),"W","B")</x:f>
        <x:v>B</x:v>
      </x:c>
      <x:c r="T167" t="str">
        <x:f>IF(RAND()&lt;(('Team_Info'!$E$2-COUNTIF($B167:S167,"W"))/('Team_Info'!$E$4-18)),"W","B")</x:f>
        <x:v>B</x:v>
      </x:c>
      <x:c r="U167" t="str">
        <x:f>IF(RAND()&lt;(('Team_Info'!$E$2-COUNTIF($B167:T167,"W"))/('Team_Info'!$E$4-19)),"W","B")</x:f>
        <x:v>B</x:v>
      </x:c>
    </x:row>
    <x:row r="168">
      <x:c r="A168" s="1">
        <x:v>167</x:v>
      </x:c>
      <x:c r="B168" t="str">
        <x:f>IF(RAND()&lt;'Team_Info'!$E$5,"W","B")</x:f>
        <x:v>B</x:v>
      </x:c>
      <x:c r="C168" t="str">
        <x:f>IF(RAND()&lt;(('Team_Info'!$E$2-COUNTIF($B168:B168,"W"))/('Team_Info'!$E$4-1)),"W","B")</x:f>
        <x:v>B</x:v>
      </x:c>
      <x:c r="D168" t="str">
        <x:f>IF(RAND()&lt;(('Team_Info'!$E$2-COUNTIF($B168:C168,"W"))/('Team_Info'!$E$4-2)),"W","B")</x:f>
        <x:v>B</x:v>
      </x:c>
      <x:c r="E168" t="str">
        <x:f>IF(RAND()&lt;(('Team_Info'!$E$2-COUNTIF($B168:D168,"W"))/('Team_Info'!$E$4-3)),"W","B")</x:f>
        <x:v>B</x:v>
      </x:c>
      <x:c r="F168" t="str">
        <x:f>IF(RAND()&lt;(('Team_Info'!$E$2-COUNTIF($B168:E168,"W"))/('Team_Info'!$E$4-4)),"W","B")</x:f>
        <x:v>B</x:v>
      </x:c>
      <x:c r="G168" t="str">
        <x:f>IF(RAND()&lt;(('Team_Info'!$E$2-COUNTIF($B168:F168,"W"))/('Team_Info'!$E$4-5)),"W","B")</x:f>
        <x:v>B</x:v>
      </x:c>
      <x:c r="H168" t="str">
        <x:f>IF(RAND()&lt;(('Team_Info'!$E$2-COUNTIF($B168:G168,"W"))/('Team_Info'!$E$4-6)),"W","B")</x:f>
        <x:v>B</x:v>
      </x:c>
      <x:c r="I168" t="str">
        <x:f>IF(RAND()&lt;(('Team_Info'!$E$2-COUNTIF($B168:H168,"W"))/('Team_Info'!$E$4-7)),"W","B")</x:f>
        <x:v>B</x:v>
      </x:c>
      <x:c r="J168" t="str">
        <x:f>IF(RAND()&lt;(('Team_Info'!$E$2-COUNTIF($B168:I168,"W"))/('Team_Info'!$E$4-8)),"W","B")</x:f>
        <x:v>B</x:v>
      </x:c>
      <x:c r="K168" t="str">
        <x:f>IF(RAND()&lt;(('Team_Info'!$E$2-COUNTIF($B168:J168,"W"))/('Team_Info'!$E$4-9)),"W","B")</x:f>
        <x:v>B</x:v>
      </x:c>
      <x:c r="L168" t="str">
        <x:f>IF(RAND()&lt;(('Team_Info'!$E$2-COUNTIF($B168:K168,"W"))/('Team_Info'!$E$4-10)),"W","B")</x:f>
        <x:v>W</x:v>
      </x:c>
      <x:c r="M168" t="str">
        <x:f>IF(RAND()&lt;(('Team_Info'!$E$2-COUNTIF($B168:L168,"W"))/('Team_Info'!$E$4-11)),"W","B")</x:f>
        <x:v>B</x:v>
      </x:c>
      <x:c r="N168" t="str">
        <x:f>IF(RAND()&lt;(('Team_Info'!$E$2-COUNTIF($B168:M168,"W"))/('Team_Info'!$E$4-12)),"W","B")</x:f>
        <x:v>B</x:v>
      </x:c>
      <x:c r="O168" t="str">
        <x:f>IF(RAND()&lt;(('Team_Info'!$E$2-COUNTIF($B168:N168,"W"))/('Team_Info'!$E$4-13)),"W","B")</x:f>
        <x:v>W</x:v>
      </x:c>
      <x:c r="P168" t="str">
        <x:f>IF(RAND()&lt;(('Team_Info'!$E$2-COUNTIF($B168:O168,"W"))/('Team_Info'!$E$4-14)),"W","B")</x:f>
        <x:v>B</x:v>
      </x:c>
      <x:c r="Q168" t="str">
        <x:f>IF(RAND()&lt;(('Team_Info'!$E$2-COUNTIF($B168:P168,"W"))/('Team_Info'!$E$4-15)),"W","B")</x:f>
        <x:v>W</x:v>
      </x:c>
      <x:c r="R168" t="str">
        <x:f>IF(RAND()&lt;(('Team_Info'!$E$2-COUNTIF($B168:Q168,"W"))/('Team_Info'!$E$4-16)),"W","B")</x:f>
        <x:v>B</x:v>
      </x:c>
      <x:c r="S168" t="str">
        <x:f>IF(RAND()&lt;(('Team_Info'!$E$2-COUNTIF($B168:R168,"W"))/('Team_Info'!$E$4-17)),"W","B")</x:f>
        <x:v>B</x:v>
      </x:c>
      <x:c r="T168" t="str">
        <x:f>IF(RAND()&lt;(('Team_Info'!$E$2-COUNTIF($B168:S168,"W"))/('Team_Info'!$E$4-18)),"W","B")</x:f>
        <x:v>W</x:v>
      </x:c>
      <x:c r="U168" t="str">
        <x:f>IF(RAND()&lt;(('Team_Info'!$E$2-COUNTIF($B168:T168,"W"))/('Team_Info'!$E$4-19)),"W","B")</x:f>
        <x:v>W</x:v>
      </x:c>
    </x:row>
    <x:row r="169">
      <x:c r="A169" s="1">
        <x:v>168</x:v>
      </x:c>
      <x:c r="B169" t="str">
        <x:f>IF(RAND()&lt;'Team_Info'!$E$5,"W","B")</x:f>
        <x:v>W</x:v>
      </x:c>
      <x:c r="C169" t="str">
        <x:f>IF(RAND()&lt;(('Team_Info'!$E$2-COUNTIF($B169:B169,"W"))/('Team_Info'!$E$4-1)),"W","B")</x:f>
        <x:v>B</x:v>
      </x:c>
      <x:c r="D169" t="str">
        <x:f>IF(RAND()&lt;(('Team_Info'!$E$2-COUNTIF($B169:C169,"W"))/('Team_Info'!$E$4-2)),"W","B")</x:f>
        <x:v>W</x:v>
      </x:c>
      <x:c r="E169" t="str">
        <x:f>IF(RAND()&lt;(('Team_Info'!$E$2-COUNTIF($B169:D169,"W"))/('Team_Info'!$E$4-3)),"W","B")</x:f>
        <x:v>W</x:v>
      </x:c>
      <x:c r="F169" t="str">
        <x:f>IF(RAND()&lt;(('Team_Info'!$E$2-COUNTIF($B169:E169,"W"))/('Team_Info'!$E$4-4)),"W","B")</x:f>
        <x:v>B</x:v>
      </x:c>
      <x:c r="G169" t="str">
        <x:f>IF(RAND()&lt;(('Team_Info'!$E$2-COUNTIF($B169:F169,"W"))/('Team_Info'!$E$4-5)),"W","B")</x:f>
        <x:v>W</x:v>
      </x:c>
      <x:c r="H169" t="str">
        <x:f>IF(RAND()&lt;(('Team_Info'!$E$2-COUNTIF($B169:G169,"W"))/('Team_Info'!$E$4-6)),"W","B")</x:f>
        <x:v>B</x:v>
      </x:c>
      <x:c r="I169" t="str">
        <x:f>IF(RAND()&lt;(('Team_Info'!$E$2-COUNTIF($B169:H169,"W"))/('Team_Info'!$E$4-7)),"W","B")</x:f>
        <x:v>B</x:v>
      </x:c>
      <x:c r="J169" t="str">
        <x:f>IF(RAND()&lt;(('Team_Info'!$E$2-COUNTIF($B169:I169,"W"))/('Team_Info'!$E$4-8)),"W","B")</x:f>
        <x:v>B</x:v>
      </x:c>
      <x:c r="K169" t="str">
        <x:f>IF(RAND()&lt;(('Team_Info'!$E$2-COUNTIF($B169:J169,"W"))/('Team_Info'!$E$4-9)),"W","B")</x:f>
        <x:v>B</x:v>
      </x:c>
      <x:c r="L169" t="str">
        <x:f>IF(RAND()&lt;(('Team_Info'!$E$2-COUNTIF($B169:K169,"W"))/('Team_Info'!$E$4-10)),"W","B")</x:f>
        <x:v>W</x:v>
      </x:c>
      <x:c r="M169" t="str">
        <x:f>IF(RAND()&lt;(('Team_Info'!$E$2-COUNTIF($B169:L169,"W"))/('Team_Info'!$E$4-11)),"W","B")</x:f>
        <x:v>W</x:v>
      </x:c>
      <x:c r="N169" t="str">
        <x:f>IF(RAND()&lt;(('Team_Info'!$E$2-COUNTIF($B169:M169,"W"))/('Team_Info'!$E$4-12)),"W","B")</x:f>
        <x:v>B</x:v>
      </x:c>
      <x:c r="O169" t="str">
        <x:f>IF(RAND()&lt;(('Team_Info'!$E$2-COUNTIF($B169:N169,"W"))/('Team_Info'!$E$4-13)),"W","B")</x:f>
        <x:v>B</x:v>
      </x:c>
      <x:c r="P169" t="str">
        <x:f>IF(RAND()&lt;(('Team_Info'!$E$2-COUNTIF($B169:O169,"W"))/('Team_Info'!$E$4-14)),"W","B")</x:f>
        <x:v>B</x:v>
      </x:c>
      <x:c r="Q169" t="str">
        <x:f>IF(RAND()&lt;(('Team_Info'!$E$2-COUNTIF($B169:P169,"W"))/('Team_Info'!$E$4-15)),"W","B")</x:f>
        <x:v>B</x:v>
      </x:c>
      <x:c r="R169" t="str">
        <x:f>IF(RAND()&lt;(('Team_Info'!$E$2-COUNTIF($B169:Q169,"W"))/('Team_Info'!$E$4-16)),"W","B")</x:f>
        <x:v>B</x:v>
      </x:c>
      <x:c r="S169" t="str">
        <x:f>IF(RAND()&lt;(('Team_Info'!$E$2-COUNTIF($B169:R169,"W"))/('Team_Info'!$E$4-17)),"W","B")</x:f>
        <x:v>B</x:v>
      </x:c>
      <x:c r="T169" t="str">
        <x:f>IF(RAND()&lt;(('Team_Info'!$E$2-COUNTIF($B169:S169,"W"))/('Team_Info'!$E$4-18)),"W","B")</x:f>
        <x:v>B</x:v>
      </x:c>
      <x:c r="U169" t="str">
        <x:f>IF(RAND()&lt;(('Team_Info'!$E$2-COUNTIF($B169:T169,"W"))/('Team_Info'!$E$4-19)),"W","B")</x:f>
        <x:v>B</x:v>
      </x:c>
    </x:row>
    <x:row r="170">
      <x:c r="A170" s="1">
        <x:v>169</x:v>
      </x:c>
      <x:c r="B170" t="str">
        <x:f>IF(RAND()&lt;'Team_Info'!$E$5,"W","B")</x:f>
        <x:v>B</x:v>
      </x:c>
      <x:c r="C170" t="str">
        <x:f>IF(RAND()&lt;(('Team_Info'!$E$2-COUNTIF($B170:B170,"W"))/('Team_Info'!$E$4-1)),"W","B")</x:f>
        <x:v>B</x:v>
      </x:c>
      <x:c r="D170" t="str">
        <x:f>IF(RAND()&lt;(('Team_Info'!$E$2-COUNTIF($B170:C170,"W"))/('Team_Info'!$E$4-2)),"W","B")</x:f>
        <x:v>W</x:v>
      </x:c>
      <x:c r="E170" t="str">
        <x:f>IF(RAND()&lt;(('Team_Info'!$E$2-COUNTIF($B170:D170,"W"))/('Team_Info'!$E$4-3)),"W","B")</x:f>
        <x:v>B</x:v>
      </x:c>
      <x:c r="F170" t="str">
        <x:f>IF(RAND()&lt;(('Team_Info'!$E$2-COUNTIF($B170:E170,"W"))/('Team_Info'!$E$4-4)),"W","B")</x:f>
        <x:v>W</x:v>
      </x:c>
      <x:c r="G170" t="str">
        <x:f>IF(RAND()&lt;(('Team_Info'!$E$2-COUNTIF($B170:F170,"W"))/('Team_Info'!$E$4-5)),"W","B")</x:f>
        <x:v>B</x:v>
      </x:c>
      <x:c r="H170" t="str">
        <x:f>IF(RAND()&lt;(('Team_Info'!$E$2-COUNTIF($B170:G170,"W"))/('Team_Info'!$E$4-6)),"W","B")</x:f>
        <x:v>B</x:v>
      </x:c>
      <x:c r="I170" t="str">
        <x:f>IF(RAND()&lt;(('Team_Info'!$E$2-COUNTIF($B170:H170,"W"))/('Team_Info'!$E$4-7)),"W","B")</x:f>
        <x:v>B</x:v>
      </x:c>
      <x:c r="J170" t="str">
        <x:f>IF(RAND()&lt;(('Team_Info'!$E$2-COUNTIF($B170:I170,"W"))/('Team_Info'!$E$4-8)),"W","B")</x:f>
        <x:v>W</x:v>
      </x:c>
      <x:c r="K170" t="str">
        <x:f>IF(RAND()&lt;(('Team_Info'!$E$2-COUNTIF($B170:J170,"W"))/('Team_Info'!$E$4-9)),"W","B")</x:f>
        <x:v>B</x:v>
      </x:c>
      <x:c r="L170" t="str">
        <x:f>IF(RAND()&lt;(('Team_Info'!$E$2-COUNTIF($B170:K170,"W"))/('Team_Info'!$E$4-10)),"W","B")</x:f>
        <x:v>W</x:v>
      </x:c>
      <x:c r="M170" t="str">
        <x:f>IF(RAND()&lt;(('Team_Info'!$E$2-COUNTIF($B170:L170,"W"))/('Team_Info'!$E$4-11)),"W","B")</x:f>
        <x:v>W</x:v>
      </x:c>
      <x:c r="N170" t="str">
        <x:f>IF(RAND()&lt;(('Team_Info'!$E$2-COUNTIF($B170:M170,"W"))/('Team_Info'!$E$4-12)),"W","B")</x:f>
        <x:v>W</x:v>
      </x:c>
      <x:c r="O170" t="str">
        <x:f>IF(RAND()&lt;(('Team_Info'!$E$2-COUNTIF($B170:N170,"W"))/('Team_Info'!$E$4-13)),"W","B")</x:f>
        <x:v>B</x:v>
      </x:c>
      <x:c r="P170" t="str">
        <x:f>IF(RAND()&lt;(('Team_Info'!$E$2-COUNTIF($B170:O170,"W"))/('Team_Info'!$E$4-14)),"W","B")</x:f>
        <x:v>W</x:v>
      </x:c>
      <x:c r="Q170" t="str">
        <x:f>IF(RAND()&lt;(('Team_Info'!$E$2-COUNTIF($B170:P170,"W"))/('Team_Info'!$E$4-15)),"W","B")</x:f>
        <x:v>W</x:v>
      </x:c>
      <x:c r="R170" t="str">
        <x:f>IF(RAND()&lt;(('Team_Info'!$E$2-COUNTIF($B170:Q170,"W"))/('Team_Info'!$E$4-16)),"W","B")</x:f>
        <x:v>B</x:v>
      </x:c>
      <x:c r="S170" t="str">
        <x:f>IF(RAND()&lt;(('Team_Info'!$E$2-COUNTIF($B170:R170,"W"))/('Team_Info'!$E$4-17)),"W","B")</x:f>
        <x:v>B</x:v>
      </x:c>
      <x:c r="T170" t="str">
        <x:f>IF(RAND()&lt;(('Team_Info'!$E$2-COUNTIF($B170:S170,"W"))/('Team_Info'!$E$4-18)),"W","B")</x:f>
        <x:v>W</x:v>
      </x:c>
      <x:c r="U170" t="str">
        <x:f>IF(RAND()&lt;(('Team_Info'!$E$2-COUNTIF($B170:T170,"W"))/('Team_Info'!$E$4-19)),"W","B")</x:f>
        <x:v>W</x:v>
      </x:c>
    </x:row>
    <x:row r="171">
      <x:c r="A171" s="1">
        <x:v>170</x:v>
      </x:c>
      <x:c r="B171" t="str">
        <x:f>IF(RAND()&lt;'Team_Info'!$E$5,"W","B")</x:f>
        <x:v>W</x:v>
      </x:c>
      <x:c r="C171" t="str">
        <x:f>IF(RAND()&lt;(('Team_Info'!$E$2-COUNTIF($B171:B171,"W"))/('Team_Info'!$E$4-1)),"W","B")</x:f>
        <x:v>W</x:v>
      </x:c>
      <x:c r="D171" t="str">
        <x:f>IF(RAND()&lt;(('Team_Info'!$E$2-COUNTIF($B171:C171,"W"))/('Team_Info'!$E$4-2)),"W","B")</x:f>
        <x:v>B</x:v>
      </x:c>
      <x:c r="E171" t="str">
        <x:f>IF(RAND()&lt;(('Team_Info'!$E$2-COUNTIF($B171:D171,"W"))/('Team_Info'!$E$4-3)),"W","B")</x:f>
        <x:v>B</x:v>
      </x:c>
      <x:c r="F171" t="str">
        <x:f>IF(RAND()&lt;(('Team_Info'!$E$2-COUNTIF($B171:E171,"W"))/('Team_Info'!$E$4-4)),"W","B")</x:f>
        <x:v>B</x:v>
      </x:c>
      <x:c r="G171" t="str">
        <x:f>IF(RAND()&lt;(('Team_Info'!$E$2-COUNTIF($B171:F171,"W"))/('Team_Info'!$E$4-5)),"W","B")</x:f>
        <x:v>B</x:v>
      </x:c>
      <x:c r="H171" t="str">
        <x:f>IF(RAND()&lt;(('Team_Info'!$E$2-COUNTIF($B171:G171,"W"))/('Team_Info'!$E$4-6)),"W","B")</x:f>
        <x:v>B</x:v>
      </x:c>
      <x:c r="I171" t="str">
        <x:f>IF(RAND()&lt;(('Team_Info'!$E$2-COUNTIF($B171:H171,"W"))/('Team_Info'!$E$4-7)),"W","B")</x:f>
        <x:v>B</x:v>
      </x:c>
      <x:c r="J171" t="str">
        <x:f>IF(RAND()&lt;(('Team_Info'!$E$2-COUNTIF($B171:I171,"W"))/('Team_Info'!$E$4-8)),"W","B")</x:f>
        <x:v>W</x:v>
      </x:c>
      <x:c r="K171" t="str">
        <x:f>IF(RAND()&lt;(('Team_Info'!$E$2-COUNTIF($B171:J171,"W"))/('Team_Info'!$E$4-9)),"W","B")</x:f>
        <x:v>W</x:v>
      </x:c>
      <x:c r="L171" t="str">
        <x:f>IF(RAND()&lt;(('Team_Info'!$E$2-COUNTIF($B171:K171,"W"))/('Team_Info'!$E$4-10)),"W","B")</x:f>
        <x:v>B</x:v>
      </x:c>
      <x:c r="M171" t="str">
        <x:f>IF(RAND()&lt;(('Team_Info'!$E$2-COUNTIF($B171:L171,"W"))/('Team_Info'!$E$4-11)),"W","B")</x:f>
        <x:v>B</x:v>
      </x:c>
      <x:c r="N171" t="str">
        <x:f>IF(RAND()&lt;(('Team_Info'!$E$2-COUNTIF($B171:M171,"W"))/('Team_Info'!$E$4-12)),"W","B")</x:f>
        <x:v>B</x:v>
      </x:c>
      <x:c r="O171" t="str">
        <x:f>IF(RAND()&lt;(('Team_Info'!$E$2-COUNTIF($B171:N171,"W"))/('Team_Info'!$E$4-13)),"W","B")</x:f>
        <x:v>W</x:v>
      </x:c>
      <x:c r="P171" t="str">
        <x:f>IF(RAND()&lt;(('Team_Info'!$E$2-COUNTIF($B171:O171,"W"))/('Team_Info'!$E$4-14)),"W","B")</x:f>
        <x:v>W</x:v>
      </x:c>
      <x:c r="Q171" t="str">
        <x:f>IF(RAND()&lt;(('Team_Info'!$E$2-COUNTIF($B171:P171,"W"))/('Team_Info'!$E$4-15)),"W","B")</x:f>
        <x:v>W</x:v>
      </x:c>
      <x:c r="R171" t="str">
        <x:f>IF(RAND()&lt;(('Team_Info'!$E$2-COUNTIF($B171:Q171,"W"))/('Team_Info'!$E$4-16)),"W","B")</x:f>
        <x:v>B</x:v>
      </x:c>
      <x:c r="S171" t="str">
        <x:f>IF(RAND()&lt;(('Team_Info'!$E$2-COUNTIF($B171:R171,"W"))/('Team_Info'!$E$4-17)),"W","B")</x:f>
        <x:v>B</x:v>
      </x:c>
      <x:c r="T171" t="str">
        <x:f>IF(RAND()&lt;(('Team_Info'!$E$2-COUNTIF($B171:S171,"W"))/('Team_Info'!$E$4-18)),"W","B")</x:f>
        <x:v>B</x:v>
      </x:c>
      <x:c r="U171" t="str">
        <x:f>IF(RAND()&lt;(('Team_Info'!$E$2-COUNTIF($B171:T171,"W"))/('Team_Info'!$E$4-19)),"W","B")</x:f>
        <x:v>B</x:v>
      </x:c>
    </x:row>
    <x:row r="172">
      <x:c r="A172" s="1">
        <x:v>171</x:v>
      </x:c>
      <x:c r="B172" t="str">
        <x:f>IF(RAND()&lt;'Team_Info'!$E$5,"W","B")</x:f>
        <x:v>B</x:v>
      </x:c>
      <x:c r="C172" t="str">
        <x:f>IF(RAND()&lt;(('Team_Info'!$E$2-COUNTIF($B172:B172,"W"))/('Team_Info'!$E$4-1)),"W","B")</x:f>
        <x:v>W</x:v>
      </x:c>
      <x:c r="D172" t="str">
        <x:f>IF(RAND()&lt;(('Team_Info'!$E$2-COUNTIF($B172:C172,"W"))/('Team_Info'!$E$4-2)),"W","B")</x:f>
        <x:v>B</x:v>
      </x:c>
      <x:c r="E172" t="str">
        <x:f>IF(RAND()&lt;(('Team_Info'!$E$2-COUNTIF($B172:D172,"W"))/('Team_Info'!$E$4-3)),"W","B")</x:f>
        <x:v>W</x:v>
      </x:c>
      <x:c r="F172" t="str">
        <x:f>IF(RAND()&lt;(('Team_Info'!$E$2-COUNTIF($B172:E172,"W"))/('Team_Info'!$E$4-4)),"W","B")</x:f>
        <x:v>B</x:v>
      </x:c>
      <x:c r="G172" t="str">
        <x:f>IF(RAND()&lt;(('Team_Info'!$E$2-COUNTIF($B172:F172,"W"))/('Team_Info'!$E$4-5)),"W","B")</x:f>
        <x:v>B</x:v>
      </x:c>
      <x:c r="H172" t="str">
        <x:f>IF(RAND()&lt;(('Team_Info'!$E$2-COUNTIF($B172:G172,"W"))/('Team_Info'!$E$4-6)),"W","B")</x:f>
        <x:v>W</x:v>
      </x:c>
      <x:c r="I172" t="str">
        <x:f>IF(RAND()&lt;(('Team_Info'!$E$2-COUNTIF($B172:H172,"W"))/('Team_Info'!$E$4-7)),"W","B")</x:f>
        <x:v>B</x:v>
      </x:c>
      <x:c r="J172" t="str">
        <x:f>IF(RAND()&lt;(('Team_Info'!$E$2-COUNTIF($B172:I172,"W"))/('Team_Info'!$E$4-8)),"W","B")</x:f>
        <x:v>B</x:v>
      </x:c>
      <x:c r="K172" t="str">
        <x:f>IF(RAND()&lt;(('Team_Info'!$E$2-COUNTIF($B172:J172,"W"))/('Team_Info'!$E$4-9)),"W","B")</x:f>
        <x:v>W</x:v>
      </x:c>
      <x:c r="L172" t="str">
        <x:f>IF(RAND()&lt;(('Team_Info'!$E$2-COUNTIF($B172:K172,"W"))/('Team_Info'!$E$4-10)),"W","B")</x:f>
        <x:v>B</x:v>
      </x:c>
      <x:c r="M172" t="str">
        <x:f>IF(RAND()&lt;(('Team_Info'!$E$2-COUNTIF($B172:L172,"W"))/('Team_Info'!$E$4-11)),"W","B")</x:f>
        <x:v>W</x:v>
      </x:c>
      <x:c r="N172" t="str">
        <x:f>IF(RAND()&lt;(('Team_Info'!$E$2-COUNTIF($B172:M172,"W"))/('Team_Info'!$E$4-12)),"W","B")</x:f>
        <x:v>W</x:v>
      </x:c>
      <x:c r="O172" t="str">
        <x:f>IF(RAND()&lt;(('Team_Info'!$E$2-COUNTIF($B172:N172,"W"))/('Team_Info'!$E$4-13)),"W","B")</x:f>
        <x:v>B</x:v>
      </x:c>
      <x:c r="P172" t="str">
        <x:f>IF(RAND()&lt;(('Team_Info'!$E$2-COUNTIF($B172:O172,"W"))/('Team_Info'!$E$4-14)),"W","B")</x:f>
        <x:v>B</x:v>
      </x:c>
      <x:c r="Q172" t="str">
        <x:f>IF(RAND()&lt;(('Team_Info'!$E$2-COUNTIF($B172:P172,"W"))/('Team_Info'!$E$4-15)),"W","B")</x:f>
        <x:v>B</x:v>
      </x:c>
      <x:c r="R172" t="str">
        <x:f>IF(RAND()&lt;(('Team_Info'!$E$2-COUNTIF($B172:Q172,"W"))/('Team_Info'!$E$4-16)),"W","B")</x:f>
        <x:v>W</x:v>
      </x:c>
      <x:c r="S172" t="str">
        <x:f>IF(RAND()&lt;(('Team_Info'!$E$2-COUNTIF($B172:R172,"W"))/('Team_Info'!$E$4-17)),"W","B")</x:f>
        <x:v>B</x:v>
      </x:c>
      <x:c r="T172" t="str">
        <x:f>IF(RAND()&lt;(('Team_Info'!$E$2-COUNTIF($B172:S172,"W"))/('Team_Info'!$E$4-18)),"W","B")</x:f>
        <x:v>W</x:v>
      </x:c>
      <x:c r="U172" t="str">
        <x:f>IF(RAND()&lt;(('Team_Info'!$E$2-COUNTIF($B172:T172,"W"))/('Team_Info'!$E$4-19)),"W","B")</x:f>
        <x:v>W</x:v>
      </x:c>
    </x:row>
    <x:row r="173">
      <x:c r="A173" s="1">
        <x:v>172</x:v>
      </x:c>
      <x:c r="B173" t="str">
        <x:f>IF(RAND()&lt;'Team_Info'!$E$5,"W","B")</x:f>
        <x:v>W</x:v>
      </x:c>
      <x:c r="C173" t="str">
        <x:f>IF(RAND()&lt;(('Team_Info'!$E$2-COUNTIF($B173:B173,"W"))/('Team_Info'!$E$4-1)),"W","B")</x:f>
        <x:v>B</x:v>
      </x:c>
      <x:c r="D173" t="str">
        <x:f>IF(RAND()&lt;(('Team_Info'!$E$2-COUNTIF($B173:C173,"W"))/('Team_Info'!$E$4-2)),"W","B")</x:f>
        <x:v>B</x:v>
      </x:c>
      <x:c r="E173" t="str">
        <x:f>IF(RAND()&lt;(('Team_Info'!$E$2-COUNTIF($B173:D173,"W"))/('Team_Info'!$E$4-3)),"W","B")</x:f>
        <x:v>W</x:v>
      </x:c>
      <x:c r="F173" t="str">
        <x:f>IF(RAND()&lt;(('Team_Info'!$E$2-COUNTIF($B173:E173,"W"))/('Team_Info'!$E$4-4)),"W","B")</x:f>
        <x:v>B</x:v>
      </x:c>
      <x:c r="G173" t="str">
        <x:f>IF(RAND()&lt;(('Team_Info'!$E$2-COUNTIF($B173:F173,"W"))/('Team_Info'!$E$4-5)),"W","B")</x:f>
        <x:v>B</x:v>
      </x:c>
      <x:c r="H173" t="str">
        <x:f>IF(RAND()&lt;(('Team_Info'!$E$2-COUNTIF($B173:G173,"W"))/('Team_Info'!$E$4-6)),"W","B")</x:f>
        <x:v>W</x:v>
      </x:c>
      <x:c r="I173" t="str">
        <x:f>IF(RAND()&lt;(('Team_Info'!$E$2-COUNTIF($B173:H173,"W"))/('Team_Info'!$E$4-7)),"W","B")</x:f>
        <x:v>W</x:v>
      </x:c>
      <x:c r="J173" t="str">
        <x:f>IF(RAND()&lt;(('Team_Info'!$E$2-COUNTIF($B173:I173,"W"))/('Team_Info'!$E$4-8)),"W","B")</x:f>
        <x:v>B</x:v>
      </x:c>
      <x:c r="K173" t="str">
        <x:f>IF(RAND()&lt;(('Team_Info'!$E$2-COUNTIF($B173:J173,"W"))/('Team_Info'!$E$4-9)),"W","B")</x:f>
        <x:v>W</x:v>
      </x:c>
      <x:c r="L173" t="str">
        <x:f>IF(RAND()&lt;(('Team_Info'!$E$2-COUNTIF($B173:K173,"W"))/('Team_Info'!$E$4-10)),"W","B")</x:f>
        <x:v>W</x:v>
      </x:c>
      <x:c r="M173" t="str">
        <x:f>IF(RAND()&lt;(('Team_Info'!$E$2-COUNTIF($B173:L173,"W"))/('Team_Info'!$E$4-11)),"W","B")</x:f>
        <x:v>B</x:v>
      </x:c>
      <x:c r="N173" t="str">
        <x:f>IF(RAND()&lt;(('Team_Info'!$E$2-COUNTIF($B173:M173,"W"))/('Team_Info'!$E$4-12)),"W","B")</x:f>
        <x:v>W</x:v>
      </x:c>
      <x:c r="O173" t="str">
        <x:f>IF(RAND()&lt;(('Team_Info'!$E$2-COUNTIF($B173:N173,"W"))/('Team_Info'!$E$4-13)),"W","B")</x:f>
        <x:v>B</x:v>
      </x:c>
      <x:c r="P173" t="str">
        <x:f>IF(RAND()&lt;(('Team_Info'!$E$2-COUNTIF($B173:O173,"W"))/('Team_Info'!$E$4-14)),"W","B")</x:f>
        <x:v>B</x:v>
      </x:c>
      <x:c r="Q173" t="str">
        <x:f>IF(RAND()&lt;(('Team_Info'!$E$2-COUNTIF($B173:P173,"W"))/('Team_Info'!$E$4-15)),"W","B")</x:f>
        <x:v>W</x:v>
      </x:c>
      <x:c r="R173" t="str">
        <x:f>IF(RAND()&lt;(('Team_Info'!$E$2-COUNTIF($B173:Q173,"W"))/('Team_Info'!$E$4-16)),"W","B")</x:f>
        <x:v>B</x:v>
      </x:c>
      <x:c r="S173" t="str">
        <x:f>IF(RAND()&lt;(('Team_Info'!$E$2-COUNTIF($B173:R173,"W"))/('Team_Info'!$E$4-17)),"W","B")</x:f>
        <x:v>W</x:v>
      </x:c>
      <x:c r="T173" t="str">
        <x:f>IF(RAND()&lt;(('Team_Info'!$E$2-COUNTIF($B173:S173,"W"))/('Team_Info'!$E$4-18)),"W","B")</x:f>
        <x:v>B</x:v>
      </x:c>
      <x:c r="U173" t="str">
        <x:f>IF(RAND()&lt;(('Team_Info'!$E$2-COUNTIF($B173:T173,"W"))/('Team_Info'!$E$4-19)),"W","B")</x:f>
        <x:v>W</x:v>
      </x:c>
    </x:row>
    <x:row r="174">
      <x:c r="A174" s="1">
        <x:v>173</x:v>
      </x:c>
      <x:c r="B174" t="str">
        <x:f>IF(RAND()&lt;'Team_Info'!$E$5,"W","B")</x:f>
        <x:v>B</x:v>
      </x:c>
      <x:c r="C174" t="str">
        <x:f>IF(RAND()&lt;(('Team_Info'!$E$2-COUNTIF($B174:B174,"W"))/('Team_Info'!$E$4-1)),"W","B")</x:f>
        <x:v>B</x:v>
      </x:c>
      <x:c r="D174" t="str">
        <x:f>IF(RAND()&lt;(('Team_Info'!$E$2-COUNTIF($B174:C174,"W"))/('Team_Info'!$E$4-2)),"W","B")</x:f>
        <x:v>W</x:v>
      </x:c>
      <x:c r="E174" t="str">
        <x:f>IF(RAND()&lt;(('Team_Info'!$E$2-COUNTIF($B174:D174,"W"))/('Team_Info'!$E$4-3)),"W","B")</x:f>
        <x:v>W</x:v>
      </x:c>
      <x:c r="F174" t="str">
        <x:f>IF(RAND()&lt;(('Team_Info'!$E$2-COUNTIF($B174:E174,"W"))/('Team_Info'!$E$4-4)),"W","B")</x:f>
        <x:v>W</x:v>
      </x:c>
      <x:c r="G174" t="str">
        <x:f>IF(RAND()&lt;(('Team_Info'!$E$2-COUNTIF($B174:F174,"W"))/('Team_Info'!$E$4-5)),"W","B")</x:f>
        <x:v>W</x:v>
      </x:c>
      <x:c r="H174" t="str">
        <x:f>IF(RAND()&lt;(('Team_Info'!$E$2-COUNTIF($B174:G174,"W"))/('Team_Info'!$E$4-6)),"W","B")</x:f>
        <x:v>B</x:v>
      </x:c>
      <x:c r="I174" t="str">
        <x:f>IF(RAND()&lt;(('Team_Info'!$E$2-COUNTIF($B174:H174,"W"))/('Team_Info'!$E$4-7)),"W","B")</x:f>
        <x:v>B</x:v>
      </x:c>
      <x:c r="J174" t="str">
        <x:f>IF(RAND()&lt;(('Team_Info'!$E$2-COUNTIF($B174:I174,"W"))/('Team_Info'!$E$4-8)),"W","B")</x:f>
        <x:v>W</x:v>
      </x:c>
      <x:c r="K174" t="str">
        <x:f>IF(RAND()&lt;(('Team_Info'!$E$2-COUNTIF($B174:J174,"W"))/('Team_Info'!$E$4-9)),"W","B")</x:f>
        <x:v>W</x:v>
      </x:c>
      <x:c r="L174" t="str">
        <x:f>IF(RAND()&lt;(('Team_Info'!$E$2-COUNTIF($B174:K174,"W"))/('Team_Info'!$E$4-10)),"W","B")</x:f>
        <x:v>B</x:v>
      </x:c>
      <x:c r="M174" t="str">
        <x:f>IF(RAND()&lt;(('Team_Info'!$E$2-COUNTIF($B174:L174,"W"))/('Team_Info'!$E$4-11)),"W","B")</x:f>
        <x:v>B</x:v>
      </x:c>
      <x:c r="N174" t="str">
        <x:f>IF(RAND()&lt;(('Team_Info'!$E$2-COUNTIF($B174:M174,"W"))/('Team_Info'!$E$4-12)),"W","B")</x:f>
        <x:v>W</x:v>
      </x:c>
      <x:c r="O174" t="str">
        <x:f>IF(RAND()&lt;(('Team_Info'!$E$2-COUNTIF($B174:N174,"W"))/('Team_Info'!$E$4-13)),"W","B")</x:f>
        <x:v>B</x:v>
      </x:c>
      <x:c r="P174" t="str">
        <x:f>IF(RAND()&lt;(('Team_Info'!$E$2-COUNTIF($B174:O174,"W"))/('Team_Info'!$E$4-14)),"W","B")</x:f>
        <x:v>B</x:v>
      </x:c>
      <x:c r="Q174" t="str">
        <x:f>IF(RAND()&lt;(('Team_Info'!$E$2-COUNTIF($B174:P174,"W"))/('Team_Info'!$E$4-15)),"W","B")</x:f>
        <x:v>W</x:v>
      </x:c>
      <x:c r="R174" t="str">
        <x:f>IF(RAND()&lt;(('Team_Info'!$E$2-COUNTIF($B174:Q174,"W"))/('Team_Info'!$E$4-16)),"W","B")</x:f>
        <x:v>B</x:v>
      </x:c>
      <x:c r="S174" t="str">
        <x:f>IF(RAND()&lt;(('Team_Info'!$E$2-COUNTIF($B174:R174,"W"))/('Team_Info'!$E$4-17)),"W","B")</x:f>
        <x:v>B</x:v>
      </x:c>
      <x:c r="T174" t="str">
        <x:f>IF(RAND()&lt;(('Team_Info'!$E$2-COUNTIF($B174:S174,"W"))/('Team_Info'!$E$4-18)),"W","B")</x:f>
        <x:v>B</x:v>
      </x:c>
      <x:c r="U174" t="str">
        <x:f>IF(RAND()&lt;(('Team_Info'!$E$2-COUNTIF($B174:T174,"W"))/('Team_Info'!$E$4-19)),"W","B")</x:f>
        <x:v>B</x:v>
      </x:c>
    </x:row>
    <x:row r="175">
      <x:c r="A175" s="1">
        <x:v>174</x:v>
      </x:c>
      <x:c r="B175" t="str">
        <x:f>IF(RAND()&lt;'Team_Info'!$E$5,"W","B")</x:f>
        <x:v>B</x:v>
      </x:c>
      <x:c r="C175" t="str">
        <x:f>IF(RAND()&lt;(('Team_Info'!$E$2-COUNTIF($B175:B175,"W"))/('Team_Info'!$E$4-1)),"W","B")</x:f>
        <x:v>B</x:v>
      </x:c>
      <x:c r="D175" t="str">
        <x:f>IF(RAND()&lt;(('Team_Info'!$E$2-COUNTIF($B175:C175,"W"))/('Team_Info'!$E$4-2)),"W","B")</x:f>
        <x:v>W</x:v>
      </x:c>
      <x:c r="E175" t="str">
        <x:f>IF(RAND()&lt;(('Team_Info'!$E$2-COUNTIF($B175:D175,"W"))/('Team_Info'!$E$4-3)),"W","B")</x:f>
        <x:v>B</x:v>
      </x:c>
      <x:c r="F175" t="str">
        <x:f>IF(RAND()&lt;(('Team_Info'!$E$2-COUNTIF($B175:E175,"W"))/('Team_Info'!$E$4-4)),"W","B")</x:f>
        <x:v>B</x:v>
      </x:c>
      <x:c r="G175" t="str">
        <x:f>IF(RAND()&lt;(('Team_Info'!$E$2-COUNTIF($B175:F175,"W"))/('Team_Info'!$E$4-5)),"W","B")</x:f>
        <x:v>B</x:v>
      </x:c>
      <x:c r="H175" t="str">
        <x:f>IF(RAND()&lt;(('Team_Info'!$E$2-COUNTIF($B175:G175,"W"))/('Team_Info'!$E$4-6)),"W","B")</x:f>
        <x:v>B</x:v>
      </x:c>
      <x:c r="I175" t="str">
        <x:f>IF(RAND()&lt;(('Team_Info'!$E$2-COUNTIF($B175:H175,"W"))/('Team_Info'!$E$4-7)),"W","B")</x:f>
        <x:v>W</x:v>
      </x:c>
      <x:c r="J175" t="str">
        <x:f>IF(RAND()&lt;(('Team_Info'!$E$2-COUNTIF($B175:I175,"W"))/('Team_Info'!$E$4-8)),"W","B")</x:f>
        <x:v>B</x:v>
      </x:c>
      <x:c r="K175" t="str">
        <x:f>IF(RAND()&lt;(('Team_Info'!$E$2-COUNTIF($B175:J175,"W"))/('Team_Info'!$E$4-9)),"W","B")</x:f>
        <x:v>W</x:v>
      </x:c>
      <x:c r="L175" t="str">
        <x:f>IF(RAND()&lt;(('Team_Info'!$E$2-COUNTIF($B175:K175,"W"))/('Team_Info'!$E$4-10)),"W","B")</x:f>
        <x:v>B</x:v>
      </x:c>
      <x:c r="M175" t="str">
        <x:f>IF(RAND()&lt;(('Team_Info'!$E$2-COUNTIF($B175:L175,"W"))/('Team_Info'!$E$4-11)),"W","B")</x:f>
        <x:v>W</x:v>
      </x:c>
      <x:c r="N175" t="str">
        <x:f>IF(RAND()&lt;(('Team_Info'!$E$2-COUNTIF($B175:M175,"W"))/('Team_Info'!$E$4-12)),"W","B")</x:f>
        <x:v>B</x:v>
      </x:c>
      <x:c r="O175" t="str">
        <x:f>IF(RAND()&lt;(('Team_Info'!$E$2-COUNTIF($B175:N175,"W"))/('Team_Info'!$E$4-13)),"W","B")</x:f>
        <x:v>W</x:v>
      </x:c>
      <x:c r="P175" t="str">
        <x:f>IF(RAND()&lt;(('Team_Info'!$E$2-COUNTIF($B175:O175,"W"))/('Team_Info'!$E$4-14)),"W","B")</x:f>
        <x:v>B</x:v>
      </x:c>
      <x:c r="Q175" t="str">
        <x:f>IF(RAND()&lt;(('Team_Info'!$E$2-COUNTIF($B175:P175,"W"))/('Team_Info'!$E$4-15)),"W","B")</x:f>
        <x:v>B</x:v>
      </x:c>
      <x:c r="R175" t="str">
        <x:f>IF(RAND()&lt;(('Team_Info'!$E$2-COUNTIF($B175:Q175,"W"))/('Team_Info'!$E$4-16)),"W","B")</x:f>
        <x:v>B</x:v>
      </x:c>
      <x:c r="S175" t="str">
        <x:f>IF(RAND()&lt;(('Team_Info'!$E$2-COUNTIF($B175:R175,"W"))/('Team_Info'!$E$4-17)),"W","B")</x:f>
        <x:v>B</x:v>
      </x:c>
      <x:c r="T175" t="str">
        <x:f>IF(RAND()&lt;(('Team_Info'!$E$2-COUNTIF($B175:S175,"W"))/('Team_Info'!$E$4-18)),"W","B")</x:f>
        <x:v>W</x:v>
      </x:c>
      <x:c r="U175" t="str">
        <x:f>IF(RAND()&lt;(('Team_Info'!$E$2-COUNTIF($B175:T175,"W"))/('Team_Info'!$E$4-19)),"W","B")</x:f>
        <x:v>W</x:v>
      </x:c>
    </x:row>
    <x:row r="176">
      <x:c r="A176" s="1">
        <x:v>175</x:v>
      </x:c>
      <x:c r="B176" t="str">
        <x:f>IF(RAND()&lt;'Team_Info'!$E$5,"W","B")</x:f>
        <x:v>B</x:v>
      </x:c>
      <x:c r="C176" t="str">
        <x:f>IF(RAND()&lt;(('Team_Info'!$E$2-COUNTIF($B176:B176,"W"))/('Team_Info'!$E$4-1)),"W","B")</x:f>
        <x:v>W</x:v>
      </x:c>
      <x:c r="D176" t="str">
        <x:f>IF(RAND()&lt;(('Team_Info'!$E$2-COUNTIF($B176:C176,"W"))/('Team_Info'!$E$4-2)),"W","B")</x:f>
        <x:v>B</x:v>
      </x:c>
      <x:c r="E176" t="str">
        <x:f>IF(RAND()&lt;(('Team_Info'!$E$2-COUNTIF($B176:D176,"W"))/('Team_Info'!$E$4-3)),"W","B")</x:f>
        <x:v>W</x:v>
      </x:c>
      <x:c r="F176" t="str">
        <x:f>IF(RAND()&lt;(('Team_Info'!$E$2-COUNTIF($B176:E176,"W"))/('Team_Info'!$E$4-4)),"W","B")</x:f>
        <x:v>W</x:v>
      </x:c>
      <x:c r="G176" t="str">
        <x:f>IF(RAND()&lt;(('Team_Info'!$E$2-COUNTIF($B176:F176,"W"))/('Team_Info'!$E$4-5)),"W","B")</x:f>
        <x:v>W</x:v>
      </x:c>
      <x:c r="H176" t="str">
        <x:f>IF(RAND()&lt;(('Team_Info'!$E$2-COUNTIF($B176:G176,"W"))/('Team_Info'!$E$4-6)),"W","B")</x:f>
        <x:v>B</x:v>
      </x:c>
      <x:c r="I176" t="str">
        <x:f>IF(RAND()&lt;(('Team_Info'!$E$2-COUNTIF($B176:H176,"W"))/('Team_Info'!$E$4-7)),"W","B")</x:f>
        <x:v>B</x:v>
      </x:c>
      <x:c r="J176" t="str">
        <x:f>IF(RAND()&lt;(('Team_Info'!$E$2-COUNTIF($B176:I176,"W"))/('Team_Info'!$E$4-8)),"W","B")</x:f>
        <x:v>B</x:v>
      </x:c>
      <x:c r="K176" t="str">
        <x:f>IF(RAND()&lt;(('Team_Info'!$E$2-COUNTIF($B176:J176,"W"))/('Team_Info'!$E$4-9)),"W","B")</x:f>
        <x:v>B</x:v>
      </x:c>
      <x:c r="L176" t="str">
        <x:f>IF(RAND()&lt;(('Team_Info'!$E$2-COUNTIF($B176:K176,"W"))/('Team_Info'!$E$4-10)),"W","B")</x:f>
        <x:v>B</x:v>
      </x:c>
      <x:c r="M176" t="str">
        <x:f>IF(RAND()&lt;(('Team_Info'!$E$2-COUNTIF($B176:L176,"W"))/('Team_Info'!$E$4-11)),"W","B")</x:f>
        <x:v>B</x:v>
      </x:c>
      <x:c r="N176" t="str">
        <x:f>IF(RAND()&lt;(('Team_Info'!$E$2-COUNTIF($B176:M176,"W"))/('Team_Info'!$E$4-12)),"W","B")</x:f>
        <x:v>W</x:v>
      </x:c>
      <x:c r="O176" t="str">
        <x:f>IF(RAND()&lt;(('Team_Info'!$E$2-COUNTIF($B176:N176,"W"))/('Team_Info'!$E$4-13)),"W","B")</x:f>
        <x:v>W</x:v>
      </x:c>
      <x:c r="P176" t="str">
        <x:f>IF(RAND()&lt;(('Team_Info'!$E$2-COUNTIF($B176:O176,"W"))/('Team_Info'!$E$4-14)),"W","B")</x:f>
        <x:v>B</x:v>
      </x:c>
      <x:c r="Q176" t="str">
        <x:f>IF(RAND()&lt;(('Team_Info'!$E$2-COUNTIF($B176:P176,"W"))/('Team_Info'!$E$4-15)),"W","B")</x:f>
        <x:v>B</x:v>
      </x:c>
      <x:c r="R176" t="str">
        <x:f>IF(RAND()&lt;(('Team_Info'!$E$2-COUNTIF($B176:Q176,"W"))/('Team_Info'!$E$4-16)),"W","B")</x:f>
        <x:v>W</x:v>
      </x:c>
      <x:c r="S176" t="str">
        <x:f>IF(RAND()&lt;(('Team_Info'!$E$2-COUNTIF($B176:R176,"W"))/('Team_Info'!$E$4-17)),"W","B")</x:f>
        <x:v>W</x:v>
      </x:c>
      <x:c r="T176" t="str">
        <x:f>IF(RAND()&lt;(('Team_Info'!$E$2-COUNTIF($B176:S176,"W"))/('Team_Info'!$E$4-18)),"W","B")</x:f>
        <x:v>W</x:v>
      </x:c>
      <x:c r="U176" t="str">
        <x:f>IF(RAND()&lt;(('Team_Info'!$E$2-COUNTIF($B176:T176,"W"))/('Team_Info'!$E$4-19)),"W","B")</x:f>
        <x:v>B</x:v>
      </x:c>
    </x:row>
    <x:row r="177">
      <x:c r="A177" s="1">
        <x:v>176</x:v>
      </x:c>
      <x:c r="B177" t="str">
        <x:f>IF(RAND()&lt;'Team_Info'!$E$5,"W","B")</x:f>
        <x:v>B</x:v>
      </x:c>
      <x:c r="C177" t="str">
        <x:f>IF(RAND()&lt;(('Team_Info'!$E$2-COUNTIF($B177:B177,"W"))/('Team_Info'!$E$4-1)),"W","B")</x:f>
        <x:v>W</x:v>
      </x:c>
      <x:c r="D177" t="str">
        <x:f>IF(RAND()&lt;(('Team_Info'!$E$2-COUNTIF($B177:C177,"W"))/('Team_Info'!$E$4-2)),"W","B")</x:f>
        <x:v>B</x:v>
      </x:c>
      <x:c r="E177" t="str">
        <x:f>IF(RAND()&lt;(('Team_Info'!$E$2-COUNTIF($B177:D177,"W"))/('Team_Info'!$E$4-3)),"W","B")</x:f>
        <x:v>W</x:v>
      </x:c>
      <x:c r="F177" t="str">
        <x:f>IF(RAND()&lt;(('Team_Info'!$E$2-COUNTIF($B177:E177,"W"))/('Team_Info'!$E$4-4)),"W","B")</x:f>
        <x:v>B</x:v>
      </x:c>
      <x:c r="G177" t="str">
        <x:f>IF(RAND()&lt;(('Team_Info'!$E$2-COUNTIF($B177:F177,"W"))/('Team_Info'!$E$4-5)),"W","B")</x:f>
        <x:v>W</x:v>
      </x:c>
      <x:c r="H177" t="str">
        <x:f>IF(RAND()&lt;(('Team_Info'!$E$2-COUNTIF($B177:G177,"W"))/('Team_Info'!$E$4-6)),"W","B")</x:f>
        <x:v>W</x:v>
      </x:c>
      <x:c r="I177" t="str">
        <x:f>IF(RAND()&lt;(('Team_Info'!$E$2-COUNTIF($B177:H177,"W"))/('Team_Info'!$E$4-7)),"W","B")</x:f>
        <x:v>B</x:v>
      </x:c>
      <x:c r="J177" t="str">
        <x:f>IF(RAND()&lt;(('Team_Info'!$E$2-COUNTIF($B177:I177,"W"))/('Team_Info'!$E$4-8)),"W","B")</x:f>
        <x:v>W</x:v>
      </x:c>
      <x:c r="K177" t="str">
        <x:f>IF(RAND()&lt;(('Team_Info'!$E$2-COUNTIF($B177:J177,"W"))/('Team_Info'!$E$4-9)),"W","B")</x:f>
        <x:v>W</x:v>
      </x:c>
      <x:c r="L177" t="str">
        <x:f>IF(RAND()&lt;(('Team_Info'!$E$2-COUNTIF($B177:K177,"W"))/('Team_Info'!$E$4-10)),"W","B")</x:f>
        <x:v>W</x:v>
      </x:c>
      <x:c r="M177" t="str">
        <x:f>IF(RAND()&lt;(('Team_Info'!$E$2-COUNTIF($B177:L177,"W"))/('Team_Info'!$E$4-11)),"W","B")</x:f>
        <x:v>B</x:v>
      </x:c>
      <x:c r="N177" t="str">
        <x:f>IF(RAND()&lt;(('Team_Info'!$E$2-COUNTIF($B177:M177,"W"))/('Team_Info'!$E$4-12)),"W","B")</x:f>
        <x:v>B</x:v>
      </x:c>
      <x:c r="O177" t="str">
        <x:f>IF(RAND()&lt;(('Team_Info'!$E$2-COUNTIF($B177:N177,"W"))/('Team_Info'!$E$4-13)),"W","B")</x:f>
        <x:v>W</x:v>
      </x:c>
      <x:c r="P177" t="str">
        <x:f>IF(RAND()&lt;(('Team_Info'!$E$2-COUNTIF($B177:O177,"W"))/('Team_Info'!$E$4-14)),"W","B")</x:f>
        <x:v>B</x:v>
      </x:c>
      <x:c r="Q177" t="str">
        <x:f>IF(RAND()&lt;(('Team_Info'!$E$2-COUNTIF($B177:P177,"W"))/('Team_Info'!$E$4-15)),"W","B")</x:f>
        <x:v>W</x:v>
      </x:c>
      <x:c r="R177" t="str">
        <x:f>IF(RAND()&lt;(('Team_Info'!$E$2-COUNTIF($B177:Q177,"W"))/('Team_Info'!$E$4-16)),"W","B")</x:f>
        <x:v>W</x:v>
      </x:c>
      <x:c r="S177" t="str">
        <x:f>IF(RAND()&lt;(('Team_Info'!$E$2-COUNTIF($B177:R177,"W"))/('Team_Info'!$E$4-17)),"W","B")</x:f>
        <x:v>B</x:v>
      </x:c>
      <x:c r="T177" t="str">
        <x:f>IF(RAND()&lt;(('Team_Info'!$E$2-COUNTIF($B177:S177,"W"))/('Team_Info'!$E$4-18)),"W","B")</x:f>
        <x:v>W</x:v>
      </x:c>
      <x:c r="U177" t="str">
        <x:f>IF(RAND()&lt;(('Team_Info'!$E$2-COUNTIF($B177:T177,"W"))/('Team_Info'!$E$4-19)),"W","B")</x:f>
        <x:v>W</x:v>
      </x:c>
    </x:row>
    <x:row r="178">
      <x:c r="A178" s="1">
        <x:v>177</x:v>
      </x:c>
      <x:c r="B178" t="str">
        <x:f>IF(RAND()&lt;'Team_Info'!$E$5,"W","B")</x:f>
        <x:v>B</x:v>
      </x:c>
      <x:c r="C178" t="str">
        <x:f>IF(RAND()&lt;(('Team_Info'!$E$2-COUNTIF($B178:B178,"W"))/('Team_Info'!$E$4-1)),"W","B")</x:f>
        <x:v>B</x:v>
      </x:c>
      <x:c r="D178" t="str">
        <x:f>IF(RAND()&lt;(('Team_Info'!$E$2-COUNTIF($B178:C178,"W"))/('Team_Info'!$E$4-2)),"W","B")</x:f>
        <x:v>B</x:v>
      </x:c>
      <x:c r="E178" t="str">
        <x:f>IF(RAND()&lt;(('Team_Info'!$E$2-COUNTIF($B178:D178,"W"))/('Team_Info'!$E$4-3)),"W","B")</x:f>
        <x:v>B</x:v>
      </x:c>
      <x:c r="F178" t="str">
        <x:f>IF(RAND()&lt;(('Team_Info'!$E$2-COUNTIF($B178:E178,"W"))/('Team_Info'!$E$4-4)),"W","B")</x:f>
        <x:v>B</x:v>
      </x:c>
      <x:c r="G178" t="str">
        <x:f>IF(RAND()&lt;(('Team_Info'!$E$2-COUNTIF($B178:F178,"W"))/('Team_Info'!$E$4-5)),"W","B")</x:f>
        <x:v>B</x:v>
      </x:c>
      <x:c r="H178" t="str">
        <x:f>IF(RAND()&lt;(('Team_Info'!$E$2-COUNTIF($B178:G178,"W"))/('Team_Info'!$E$4-6)),"W","B")</x:f>
        <x:v>B</x:v>
      </x:c>
      <x:c r="I178" t="str">
        <x:f>IF(RAND()&lt;(('Team_Info'!$E$2-COUNTIF($B178:H178,"W"))/('Team_Info'!$E$4-7)),"W","B")</x:f>
        <x:v>B</x:v>
      </x:c>
      <x:c r="J178" t="str">
        <x:f>IF(RAND()&lt;(('Team_Info'!$E$2-COUNTIF($B178:I178,"W"))/('Team_Info'!$E$4-8)),"W","B")</x:f>
        <x:v>B</x:v>
      </x:c>
      <x:c r="K178" t="str">
        <x:f>IF(RAND()&lt;(('Team_Info'!$E$2-COUNTIF($B178:J178,"W"))/('Team_Info'!$E$4-9)),"W","B")</x:f>
        <x:v>W</x:v>
      </x:c>
      <x:c r="L178" t="str">
        <x:f>IF(RAND()&lt;(('Team_Info'!$E$2-COUNTIF($B178:K178,"W"))/('Team_Info'!$E$4-10)),"W","B")</x:f>
        <x:v>W</x:v>
      </x:c>
      <x:c r="M178" t="str">
        <x:f>IF(RAND()&lt;(('Team_Info'!$E$2-COUNTIF($B178:L178,"W"))/('Team_Info'!$E$4-11)),"W","B")</x:f>
        <x:v>W</x:v>
      </x:c>
      <x:c r="N178" t="str">
        <x:f>IF(RAND()&lt;(('Team_Info'!$E$2-COUNTIF($B178:M178,"W"))/('Team_Info'!$E$4-12)),"W","B")</x:f>
        <x:v>W</x:v>
      </x:c>
      <x:c r="O178" t="str">
        <x:f>IF(RAND()&lt;(('Team_Info'!$E$2-COUNTIF($B178:N178,"W"))/('Team_Info'!$E$4-13)),"W","B")</x:f>
        <x:v>B</x:v>
      </x:c>
      <x:c r="P178" t="str">
        <x:f>IF(RAND()&lt;(('Team_Info'!$E$2-COUNTIF($B178:O178,"W"))/('Team_Info'!$E$4-14)),"W","B")</x:f>
        <x:v>B</x:v>
      </x:c>
      <x:c r="Q178" t="str">
        <x:f>IF(RAND()&lt;(('Team_Info'!$E$2-COUNTIF($B178:P178,"W"))/('Team_Info'!$E$4-15)),"W","B")</x:f>
        <x:v>B</x:v>
      </x:c>
      <x:c r="R178" t="str">
        <x:f>IF(RAND()&lt;(('Team_Info'!$E$2-COUNTIF($B178:Q178,"W"))/('Team_Info'!$E$4-16)),"W","B")</x:f>
        <x:v>B</x:v>
      </x:c>
      <x:c r="S178" t="str">
        <x:f>IF(RAND()&lt;(('Team_Info'!$E$2-COUNTIF($B178:R178,"W"))/('Team_Info'!$E$4-17)),"W","B")</x:f>
        <x:v>B</x:v>
      </x:c>
      <x:c r="T178" t="str">
        <x:f>IF(RAND()&lt;(('Team_Info'!$E$2-COUNTIF($B178:S178,"W"))/('Team_Info'!$E$4-18)),"W","B")</x:f>
        <x:v>W</x:v>
      </x:c>
      <x:c r="U178" t="str">
        <x:f>IF(RAND()&lt;(('Team_Info'!$E$2-COUNTIF($B178:T178,"W"))/('Team_Info'!$E$4-19)),"W","B")</x:f>
        <x:v>B</x:v>
      </x:c>
    </x:row>
    <x:row r="179">
      <x:c r="A179" s="1">
        <x:v>178</x:v>
      </x:c>
      <x:c r="B179" t="str">
        <x:f>IF(RAND()&lt;'Team_Info'!$E$5,"W","B")</x:f>
        <x:v>B</x:v>
      </x:c>
      <x:c r="C179" t="str">
        <x:f>IF(RAND()&lt;(('Team_Info'!$E$2-COUNTIF($B179:B179,"W"))/('Team_Info'!$E$4-1)),"W","B")</x:f>
        <x:v>W</x:v>
      </x:c>
      <x:c r="D179" t="str">
        <x:f>IF(RAND()&lt;(('Team_Info'!$E$2-COUNTIF($B179:C179,"W"))/('Team_Info'!$E$4-2)),"W","B")</x:f>
        <x:v>W</x:v>
      </x:c>
      <x:c r="E179" t="str">
        <x:f>IF(RAND()&lt;(('Team_Info'!$E$2-COUNTIF($B179:D179,"W"))/('Team_Info'!$E$4-3)),"W","B")</x:f>
        <x:v>W</x:v>
      </x:c>
      <x:c r="F179" t="str">
        <x:f>IF(RAND()&lt;(('Team_Info'!$E$2-COUNTIF($B179:E179,"W"))/('Team_Info'!$E$4-4)),"W","B")</x:f>
        <x:v>B</x:v>
      </x:c>
      <x:c r="G179" t="str">
        <x:f>IF(RAND()&lt;(('Team_Info'!$E$2-COUNTIF($B179:F179,"W"))/('Team_Info'!$E$4-5)),"W","B")</x:f>
        <x:v>B</x:v>
      </x:c>
      <x:c r="H179" t="str">
        <x:f>IF(RAND()&lt;(('Team_Info'!$E$2-COUNTIF($B179:G179,"W"))/('Team_Info'!$E$4-6)),"W","B")</x:f>
        <x:v>W</x:v>
      </x:c>
      <x:c r="I179" t="str">
        <x:f>IF(RAND()&lt;(('Team_Info'!$E$2-COUNTIF($B179:H179,"W"))/('Team_Info'!$E$4-7)),"W","B")</x:f>
        <x:v>B</x:v>
      </x:c>
      <x:c r="J179" t="str">
        <x:f>IF(RAND()&lt;(('Team_Info'!$E$2-COUNTIF($B179:I179,"W"))/('Team_Info'!$E$4-8)),"W","B")</x:f>
        <x:v>W</x:v>
      </x:c>
      <x:c r="K179" t="str">
        <x:f>IF(RAND()&lt;(('Team_Info'!$E$2-COUNTIF($B179:J179,"W"))/('Team_Info'!$E$4-9)),"W","B")</x:f>
        <x:v>B</x:v>
      </x:c>
      <x:c r="L179" t="str">
        <x:f>IF(RAND()&lt;(('Team_Info'!$E$2-COUNTIF($B179:K179,"W"))/('Team_Info'!$E$4-10)),"W","B")</x:f>
        <x:v>W</x:v>
      </x:c>
      <x:c r="M179" t="str">
        <x:f>IF(RAND()&lt;(('Team_Info'!$E$2-COUNTIF($B179:L179,"W"))/('Team_Info'!$E$4-11)),"W","B")</x:f>
        <x:v>B</x:v>
      </x:c>
      <x:c r="N179" t="str">
        <x:f>IF(RAND()&lt;(('Team_Info'!$E$2-COUNTIF($B179:M179,"W"))/('Team_Info'!$E$4-12)),"W","B")</x:f>
        <x:v>B</x:v>
      </x:c>
      <x:c r="O179" t="str">
        <x:f>IF(RAND()&lt;(('Team_Info'!$E$2-COUNTIF($B179:N179,"W"))/('Team_Info'!$E$4-13)),"W","B")</x:f>
        <x:v>B</x:v>
      </x:c>
      <x:c r="P179" t="str">
        <x:f>IF(RAND()&lt;(('Team_Info'!$E$2-COUNTIF($B179:O179,"W"))/('Team_Info'!$E$4-14)),"W","B")</x:f>
        <x:v>B</x:v>
      </x:c>
      <x:c r="Q179" t="str">
        <x:f>IF(RAND()&lt;(('Team_Info'!$E$2-COUNTIF($B179:P179,"W"))/('Team_Info'!$E$4-15)),"W","B")</x:f>
        <x:v>B</x:v>
      </x:c>
      <x:c r="R179" t="str">
        <x:f>IF(RAND()&lt;(('Team_Info'!$E$2-COUNTIF($B179:Q179,"W"))/('Team_Info'!$E$4-16)),"W","B")</x:f>
        <x:v>B</x:v>
      </x:c>
      <x:c r="S179" t="str">
        <x:f>IF(RAND()&lt;(('Team_Info'!$E$2-COUNTIF($B179:R179,"W"))/('Team_Info'!$E$4-17)),"W","B")</x:f>
        <x:v>W</x:v>
      </x:c>
      <x:c r="T179" t="str">
        <x:f>IF(RAND()&lt;(('Team_Info'!$E$2-COUNTIF($B179:S179,"W"))/('Team_Info'!$E$4-18)),"W","B")</x:f>
        <x:v>B</x:v>
      </x:c>
      <x:c r="U179" t="str">
        <x:f>IF(RAND()&lt;(('Team_Info'!$E$2-COUNTIF($B179:T179,"W"))/('Team_Info'!$E$4-19)),"W","B")</x:f>
        <x:v>W</x:v>
      </x:c>
    </x:row>
    <x:row r="180">
      <x:c r="A180" s="1">
        <x:v>179</x:v>
      </x:c>
      <x:c r="B180" t="str">
        <x:f>IF(RAND()&lt;'Team_Info'!$E$5,"W","B")</x:f>
        <x:v>W</x:v>
      </x:c>
      <x:c r="C180" t="str">
        <x:f>IF(RAND()&lt;(('Team_Info'!$E$2-COUNTIF($B180:B180,"W"))/('Team_Info'!$E$4-1)),"W","B")</x:f>
        <x:v>B</x:v>
      </x:c>
      <x:c r="D180" t="str">
        <x:f>IF(RAND()&lt;(('Team_Info'!$E$2-COUNTIF($B180:C180,"W"))/('Team_Info'!$E$4-2)),"W","B")</x:f>
        <x:v>B</x:v>
      </x:c>
      <x:c r="E180" t="str">
        <x:f>IF(RAND()&lt;(('Team_Info'!$E$2-COUNTIF($B180:D180,"W"))/('Team_Info'!$E$4-3)),"W","B")</x:f>
        <x:v>W</x:v>
      </x:c>
      <x:c r="F180" t="str">
        <x:f>IF(RAND()&lt;(('Team_Info'!$E$2-COUNTIF($B180:E180,"W"))/('Team_Info'!$E$4-4)),"W","B")</x:f>
        <x:v>B</x:v>
      </x:c>
      <x:c r="G180" t="str">
        <x:f>IF(RAND()&lt;(('Team_Info'!$E$2-COUNTIF($B180:F180,"W"))/('Team_Info'!$E$4-5)),"W","B")</x:f>
        <x:v>B</x:v>
      </x:c>
      <x:c r="H180" t="str">
        <x:f>IF(RAND()&lt;(('Team_Info'!$E$2-COUNTIF($B180:G180,"W"))/('Team_Info'!$E$4-6)),"W","B")</x:f>
        <x:v>W</x:v>
      </x:c>
      <x:c r="I180" t="str">
        <x:f>IF(RAND()&lt;(('Team_Info'!$E$2-COUNTIF($B180:H180,"W"))/('Team_Info'!$E$4-7)),"W","B")</x:f>
        <x:v>W</x:v>
      </x:c>
      <x:c r="J180" t="str">
        <x:f>IF(RAND()&lt;(('Team_Info'!$E$2-COUNTIF($B180:I180,"W"))/('Team_Info'!$E$4-8)),"W","B")</x:f>
        <x:v>W</x:v>
      </x:c>
      <x:c r="K180" t="str">
        <x:f>IF(RAND()&lt;(('Team_Info'!$E$2-COUNTIF($B180:J180,"W"))/('Team_Info'!$E$4-9)),"W","B")</x:f>
        <x:v>B</x:v>
      </x:c>
      <x:c r="L180" t="str">
        <x:f>IF(RAND()&lt;(('Team_Info'!$E$2-COUNTIF($B180:K180,"W"))/('Team_Info'!$E$4-10)),"W","B")</x:f>
        <x:v>W</x:v>
      </x:c>
      <x:c r="M180" t="str">
        <x:f>IF(RAND()&lt;(('Team_Info'!$E$2-COUNTIF($B180:L180,"W"))/('Team_Info'!$E$4-11)),"W","B")</x:f>
        <x:v>W</x:v>
      </x:c>
      <x:c r="N180" t="str">
        <x:f>IF(RAND()&lt;(('Team_Info'!$E$2-COUNTIF($B180:M180,"W"))/('Team_Info'!$E$4-12)),"W","B")</x:f>
        <x:v>W</x:v>
      </x:c>
      <x:c r="O180" t="str">
        <x:f>IF(RAND()&lt;(('Team_Info'!$E$2-COUNTIF($B180:N180,"W"))/('Team_Info'!$E$4-13)),"W","B")</x:f>
        <x:v>W</x:v>
      </x:c>
      <x:c r="P180" t="str">
        <x:f>IF(RAND()&lt;(('Team_Info'!$E$2-COUNTIF($B180:O180,"W"))/('Team_Info'!$E$4-14)),"W","B")</x:f>
        <x:v>B</x:v>
      </x:c>
      <x:c r="Q180" t="str">
        <x:f>IF(RAND()&lt;(('Team_Info'!$E$2-COUNTIF($B180:P180,"W"))/('Team_Info'!$E$4-15)),"W","B")</x:f>
        <x:v>W</x:v>
      </x:c>
      <x:c r="R180" t="str">
        <x:f>IF(RAND()&lt;(('Team_Info'!$E$2-COUNTIF($B180:Q180,"W"))/('Team_Info'!$E$4-16)),"W","B")</x:f>
        <x:v>W</x:v>
      </x:c>
      <x:c r="S180" t="str">
        <x:f>IF(RAND()&lt;(('Team_Info'!$E$2-COUNTIF($B180:R180,"W"))/('Team_Info'!$E$4-17)),"W","B")</x:f>
        <x:v>B</x:v>
      </x:c>
      <x:c r="T180" t="str">
        <x:f>IF(RAND()&lt;(('Team_Info'!$E$2-COUNTIF($B180:S180,"W"))/('Team_Info'!$E$4-18)),"W","B")</x:f>
        <x:v>B</x:v>
      </x:c>
      <x:c r="U180" t="str">
        <x:f>IF(RAND()&lt;(('Team_Info'!$E$2-COUNTIF($B180:T180,"W"))/('Team_Info'!$E$4-19)),"W","B")</x:f>
        <x:v>B</x:v>
      </x:c>
    </x:row>
    <x:row r="181">
      <x:c r="A181" s="1">
        <x:v>180</x:v>
      </x:c>
      <x:c r="B181" t="str">
        <x:f>IF(RAND()&lt;'Team_Info'!$E$5,"W","B")</x:f>
        <x:v>B</x:v>
      </x:c>
      <x:c r="C181" t="str">
        <x:f>IF(RAND()&lt;(('Team_Info'!$E$2-COUNTIF($B181:B181,"W"))/('Team_Info'!$E$4-1)),"W","B")</x:f>
        <x:v>B</x:v>
      </x:c>
      <x:c r="D181" t="str">
        <x:f>IF(RAND()&lt;(('Team_Info'!$E$2-COUNTIF($B181:C181,"W"))/('Team_Info'!$E$4-2)),"W","B")</x:f>
        <x:v>B</x:v>
      </x:c>
      <x:c r="E181" t="str">
        <x:f>IF(RAND()&lt;(('Team_Info'!$E$2-COUNTIF($B181:D181,"W"))/('Team_Info'!$E$4-3)),"W","B")</x:f>
        <x:v>W</x:v>
      </x:c>
      <x:c r="F181" t="str">
        <x:f>IF(RAND()&lt;(('Team_Info'!$E$2-COUNTIF($B181:E181,"W"))/('Team_Info'!$E$4-4)),"W","B")</x:f>
        <x:v>W</x:v>
      </x:c>
      <x:c r="G181" t="str">
        <x:f>IF(RAND()&lt;(('Team_Info'!$E$2-COUNTIF($B181:F181,"W"))/('Team_Info'!$E$4-5)),"W","B")</x:f>
        <x:v>B</x:v>
      </x:c>
      <x:c r="H181" t="str">
        <x:f>IF(RAND()&lt;(('Team_Info'!$E$2-COUNTIF($B181:G181,"W"))/('Team_Info'!$E$4-6)),"W","B")</x:f>
        <x:v>W</x:v>
      </x:c>
      <x:c r="I181" t="str">
        <x:f>IF(RAND()&lt;(('Team_Info'!$E$2-COUNTIF($B181:H181,"W"))/('Team_Info'!$E$4-7)),"W","B")</x:f>
        <x:v>B</x:v>
      </x:c>
      <x:c r="J181" t="str">
        <x:f>IF(RAND()&lt;(('Team_Info'!$E$2-COUNTIF($B181:I181,"W"))/('Team_Info'!$E$4-8)),"W","B")</x:f>
        <x:v>W</x:v>
      </x:c>
      <x:c r="K181" t="str">
        <x:f>IF(RAND()&lt;(('Team_Info'!$E$2-COUNTIF($B181:J181,"W"))/('Team_Info'!$E$4-9)),"W","B")</x:f>
        <x:v>W</x:v>
      </x:c>
      <x:c r="L181" t="str">
        <x:f>IF(RAND()&lt;(('Team_Info'!$E$2-COUNTIF($B181:K181,"W"))/('Team_Info'!$E$4-10)),"W","B")</x:f>
        <x:v>W</x:v>
      </x:c>
      <x:c r="M181" t="str">
        <x:f>IF(RAND()&lt;(('Team_Info'!$E$2-COUNTIF($B181:L181,"W"))/('Team_Info'!$E$4-11)),"W","B")</x:f>
        <x:v>B</x:v>
      </x:c>
      <x:c r="N181" t="str">
        <x:f>IF(RAND()&lt;(('Team_Info'!$E$2-COUNTIF($B181:M181,"W"))/('Team_Info'!$E$4-12)),"W","B")</x:f>
        <x:v>W</x:v>
      </x:c>
      <x:c r="O181" t="str">
        <x:f>IF(RAND()&lt;(('Team_Info'!$E$2-COUNTIF($B181:N181,"W"))/('Team_Info'!$E$4-13)),"W","B")</x:f>
        <x:v>W</x:v>
      </x:c>
      <x:c r="P181" t="str">
        <x:f>IF(RAND()&lt;(('Team_Info'!$E$2-COUNTIF($B181:O181,"W"))/('Team_Info'!$E$4-14)),"W","B")</x:f>
        <x:v>B</x:v>
      </x:c>
      <x:c r="Q181" t="str">
        <x:f>IF(RAND()&lt;(('Team_Info'!$E$2-COUNTIF($B181:P181,"W"))/('Team_Info'!$E$4-15)),"W","B")</x:f>
        <x:v>B</x:v>
      </x:c>
      <x:c r="R181" t="str">
        <x:f>IF(RAND()&lt;(('Team_Info'!$E$2-COUNTIF($B181:Q181,"W"))/('Team_Info'!$E$4-16)),"W","B")</x:f>
        <x:v>B</x:v>
      </x:c>
      <x:c r="S181" t="str">
        <x:f>IF(RAND()&lt;(('Team_Info'!$E$2-COUNTIF($B181:R181,"W"))/('Team_Info'!$E$4-17)),"W","B")</x:f>
        <x:v>B</x:v>
      </x:c>
      <x:c r="T181" t="str">
        <x:f>IF(RAND()&lt;(('Team_Info'!$E$2-COUNTIF($B181:S181,"W"))/('Team_Info'!$E$4-18)),"W","B")</x:f>
        <x:v>B</x:v>
      </x:c>
      <x:c r="U181" t="str">
        <x:f>IF(RAND()&lt;(('Team_Info'!$E$2-COUNTIF($B181:T181,"W"))/('Team_Info'!$E$4-19)),"W","B")</x:f>
        <x:v>W</x:v>
      </x:c>
    </x:row>
    <x:row r="182">
      <x:c r="A182" s="1">
        <x:v>181</x:v>
      </x:c>
      <x:c r="B182" t="str">
        <x:f>IF(RAND()&lt;'Team_Info'!$E$5,"W","B")</x:f>
        <x:v>B</x:v>
      </x:c>
      <x:c r="C182" t="str">
        <x:f>IF(RAND()&lt;(('Team_Info'!$E$2-COUNTIF($B182:B182,"W"))/('Team_Info'!$E$4-1)),"W","B")</x:f>
        <x:v>B</x:v>
      </x:c>
      <x:c r="D182" t="str">
        <x:f>IF(RAND()&lt;(('Team_Info'!$E$2-COUNTIF($B182:C182,"W"))/('Team_Info'!$E$4-2)),"W","B")</x:f>
        <x:v>B</x:v>
      </x:c>
      <x:c r="E182" t="str">
        <x:f>IF(RAND()&lt;(('Team_Info'!$E$2-COUNTIF($B182:D182,"W"))/('Team_Info'!$E$4-3)),"W","B")</x:f>
        <x:v>B</x:v>
      </x:c>
      <x:c r="F182" t="str">
        <x:f>IF(RAND()&lt;(('Team_Info'!$E$2-COUNTIF($B182:E182,"W"))/('Team_Info'!$E$4-4)),"W","B")</x:f>
        <x:v>B</x:v>
      </x:c>
      <x:c r="G182" t="str">
        <x:f>IF(RAND()&lt;(('Team_Info'!$E$2-COUNTIF($B182:F182,"W"))/('Team_Info'!$E$4-5)),"W","B")</x:f>
        <x:v>B</x:v>
      </x:c>
      <x:c r="H182" t="str">
        <x:f>IF(RAND()&lt;(('Team_Info'!$E$2-COUNTIF($B182:G182,"W"))/('Team_Info'!$E$4-6)),"W","B")</x:f>
        <x:v>W</x:v>
      </x:c>
      <x:c r="I182" t="str">
        <x:f>IF(RAND()&lt;(('Team_Info'!$E$2-COUNTIF($B182:H182,"W"))/('Team_Info'!$E$4-7)),"W","B")</x:f>
        <x:v>W</x:v>
      </x:c>
      <x:c r="J182" t="str">
        <x:f>IF(RAND()&lt;(('Team_Info'!$E$2-COUNTIF($B182:I182,"W"))/('Team_Info'!$E$4-8)),"W","B")</x:f>
        <x:v>B</x:v>
      </x:c>
      <x:c r="K182" t="str">
        <x:f>IF(RAND()&lt;(('Team_Info'!$E$2-COUNTIF($B182:J182,"W"))/('Team_Info'!$E$4-9)),"W","B")</x:f>
        <x:v>B</x:v>
      </x:c>
      <x:c r="L182" t="str">
        <x:f>IF(RAND()&lt;(('Team_Info'!$E$2-COUNTIF($B182:K182,"W"))/('Team_Info'!$E$4-10)),"W","B")</x:f>
        <x:v>B</x:v>
      </x:c>
      <x:c r="M182" t="str">
        <x:f>IF(RAND()&lt;(('Team_Info'!$E$2-COUNTIF($B182:L182,"W"))/('Team_Info'!$E$4-11)),"W","B")</x:f>
        <x:v>W</x:v>
      </x:c>
      <x:c r="N182" t="str">
        <x:f>IF(RAND()&lt;(('Team_Info'!$E$2-COUNTIF($B182:M182,"W"))/('Team_Info'!$E$4-12)),"W","B")</x:f>
        <x:v>B</x:v>
      </x:c>
      <x:c r="O182" t="str">
        <x:f>IF(RAND()&lt;(('Team_Info'!$E$2-COUNTIF($B182:N182,"W"))/('Team_Info'!$E$4-13)),"W","B")</x:f>
        <x:v>B</x:v>
      </x:c>
      <x:c r="P182" t="str">
        <x:f>IF(RAND()&lt;(('Team_Info'!$E$2-COUNTIF($B182:O182,"W"))/('Team_Info'!$E$4-14)),"W","B")</x:f>
        <x:v>W</x:v>
      </x:c>
      <x:c r="Q182" t="str">
        <x:f>IF(RAND()&lt;(('Team_Info'!$E$2-COUNTIF($B182:P182,"W"))/('Team_Info'!$E$4-15)),"W","B")</x:f>
        <x:v>B</x:v>
      </x:c>
      <x:c r="R182" t="str">
        <x:f>IF(RAND()&lt;(('Team_Info'!$E$2-COUNTIF($B182:Q182,"W"))/('Team_Info'!$E$4-16)),"W","B")</x:f>
        <x:v>B</x:v>
      </x:c>
      <x:c r="S182" t="str">
        <x:f>IF(RAND()&lt;(('Team_Info'!$E$2-COUNTIF($B182:R182,"W"))/('Team_Info'!$E$4-17)),"W","B")</x:f>
        <x:v>B</x:v>
      </x:c>
      <x:c r="T182" t="str">
        <x:f>IF(RAND()&lt;(('Team_Info'!$E$2-COUNTIF($B182:S182,"W"))/('Team_Info'!$E$4-18)),"W","B")</x:f>
        <x:v>B</x:v>
      </x:c>
      <x:c r="U182" t="str">
        <x:f>IF(RAND()&lt;(('Team_Info'!$E$2-COUNTIF($B182:T182,"W"))/('Team_Info'!$E$4-19)),"W","B")</x:f>
        <x:v>B</x:v>
      </x:c>
    </x:row>
    <x:row r="183">
      <x:c r="A183" s="1">
        <x:v>182</x:v>
      </x:c>
      <x:c r="B183" t="str">
        <x:f>IF(RAND()&lt;'Team_Info'!$E$5,"W","B")</x:f>
        <x:v>B</x:v>
      </x:c>
      <x:c r="C183" t="str">
        <x:f>IF(RAND()&lt;(('Team_Info'!$E$2-COUNTIF($B183:B183,"W"))/('Team_Info'!$E$4-1)),"W","B")</x:f>
        <x:v>B</x:v>
      </x:c>
      <x:c r="D183" t="str">
        <x:f>IF(RAND()&lt;(('Team_Info'!$E$2-COUNTIF($B183:C183,"W"))/('Team_Info'!$E$4-2)),"W","B")</x:f>
        <x:v>B</x:v>
      </x:c>
      <x:c r="E183" t="str">
        <x:f>IF(RAND()&lt;(('Team_Info'!$E$2-COUNTIF($B183:D183,"W"))/('Team_Info'!$E$4-3)),"W","B")</x:f>
        <x:v>B</x:v>
      </x:c>
      <x:c r="F183" t="str">
        <x:f>IF(RAND()&lt;(('Team_Info'!$E$2-COUNTIF($B183:E183,"W"))/('Team_Info'!$E$4-4)),"W","B")</x:f>
        <x:v>B</x:v>
      </x:c>
      <x:c r="G183" t="str">
        <x:f>IF(RAND()&lt;(('Team_Info'!$E$2-COUNTIF($B183:F183,"W"))/('Team_Info'!$E$4-5)),"W","B")</x:f>
        <x:v>B</x:v>
      </x:c>
      <x:c r="H183" t="str">
        <x:f>IF(RAND()&lt;(('Team_Info'!$E$2-COUNTIF($B183:G183,"W"))/('Team_Info'!$E$4-6)),"W","B")</x:f>
        <x:v>W</x:v>
      </x:c>
      <x:c r="I183" t="str">
        <x:f>IF(RAND()&lt;(('Team_Info'!$E$2-COUNTIF($B183:H183,"W"))/('Team_Info'!$E$4-7)),"W","B")</x:f>
        <x:v>W</x:v>
      </x:c>
      <x:c r="J183" t="str">
        <x:f>IF(RAND()&lt;(('Team_Info'!$E$2-COUNTIF($B183:I183,"W"))/('Team_Info'!$E$4-8)),"W","B")</x:f>
        <x:v>B</x:v>
      </x:c>
      <x:c r="K183" t="str">
        <x:f>IF(RAND()&lt;(('Team_Info'!$E$2-COUNTIF($B183:J183,"W"))/('Team_Info'!$E$4-9)),"W","B")</x:f>
        <x:v>B</x:v>
      </x:c>
      <x:c r="L183" t="str">
        <x:f>IF(RAND()&lt;(('Team_Info'!$E$2-COUNTIF($B183:K183,"W"))/('Team_Info'!$E$4-10)),"W","B")</x:f>
        <x:v>W</x:v>
      </x:c>
      <x:c r="M183" t="str">
        <x:f>IF(RAND()&lt;(('Team_Info'!$E$2-COUNTIF($B183:L183,"W"))/('Team_Info'!$E$4-11)),"W","B")</x:f>
        <x:v>B</x:v>
      </x:c>
      <x:c r="N183" t="str">
        <x:f>IF(RAND()&lt;(('Team_Info'!$E$2-COUNTIF($B183:M183,"W"))/('Team_Info'!$E$4-12)),"W","B")</x:f>
        <x:v>B</x:v>
      </x:c>
      <x:c r="O183" t="str">
        <x:f>IF(RAND()&lt;(('Team_Info'!$E$2-COUNTIF($B183:N183,"W"))/('Team_Info'!$E$4-13)),"W","B")</x:f>
        <x:v>W</x:v>
      </x:c>
      <x:c r="P183" t="str">
        <x:f>IF(RAND()&lt;(('Team_Info'!$E$2-COUNTIF($B183:O183,"W"))/('Team_Info'!$E$4-14)),"W","B")</x:f>
        <x:v>B</x:v>
      </x:c>
      <x:c r="Q183" t="str">
        <x:f>IF(RAND()&lt;(('Team_Info'!$E$2-COUNTIF($B183:P183,"W"))/('Team_Info'!$E$4-15)),"W","B")</x:f>
        <x:v>B</x:v>
      </x:c>
      <x:c r="R183" t="str">
        <x:f>IF(RAND()&lt;(('Team_Info'!$E$2-COUNTIF($B183:Q183,"W"))/('Team_Info'!$E$4-16)),"W","B")</x:f>
        <x:v>W</x:v>
      </x:c>
      <x:c r="S183" t="str">
        <x:f>IF(RAND()&lt;(('Team_Info'!$E$2-COUNTIF($B183:R183,"W"))/('Team_Info'!$E$4-17)),"W","B")</x:f>
        <x:v>B</x:v>
      </x:c>
      <x:c r="T183" t="str">
        <x:f>IF(RAND()&lt;(('Team_Info'!$E$2-COUNTIF($B183:S183,"W"))/('Team_Info'!$E$4-18)),"W","B")</x:f>
        <x:v>B</x:v>
      </x:c>
      <x:c r="U183" t="str">
        <x:f>IF(RAND()&lt;(('Team_Info'!$E$2-COUNTIF($B183:T183,"W"))/('Team_Info'!$E$4-19)),"W","B")</x:f>
        <x:v>B</x:v>
      </x:c>
    </x:row>
    <x:row r="184">
      <x:c r="A184" s="1">
        <x:v>183</x:v>
      </x:c>
      <x:c r="B184" t="str">
        <x:f>IF(RAND()&lt;'Team_Info'!$E$5,"W","B")</x:f>
        <x:v>B</x:v>
      </x:c>
      <x:c r="C184" t="str">
        <x:f>IF(RAND()&lt;(('Team_Info'!$E$2-COUNTIF($B184:B184,"W"))/('Team_Info'!$E$4-1)),"W","B")</x:f>
        <x:v>B</x:v>
      </x:c>
      <x:c r="D184" t="str">
        <x:f>IF(RAND()&lt;(('Team_Info'!$E$2-COUNTIF($B184:C184,"W"))/('Team_Info'!$E$4-2)),"W","B")</x:f>
        <x:v>B</x:v>
      </x:c>
      <x:c r="E184" t="str">
        <x:f>IF(RAND()&lt;(('Team_Info'!$E$2-COUNTIF($B184:D184,"W"))/('Team_Info'!$E$4-3)),"W","B")</x:f>
        <x:v>B</x:v>
      </x:c>
      <x:c r="F184" t="str">
        <x:f>IF(RAND()&lt;(('Team_Info'!$E$2-COUNTIF($B184:E184,"W"))/('Team_Info'!$E$4-4)),"W","B")</x:f>
        <x:v>W</x:v>
      </x:c>
      <x:c r="G184" t="str">
        <x:f>IF(RAND()&lt;(('Team_Info'!$E$2-COUNTIF($B184:F184,"W"))/('Team_Info'!$E$4-5)),"W","B")</x:f>
        <x:v>B</x:v>
      </x:c>
      <x:c r="H184" t="str">
        <x:f>IF(RAND()&lt;(('Team_Info'!$E$2-COUNTIF($B184:G184,"W"))/('Team_Info'!$E$4-6)),"W","B")</x:f>
        <x:v>B</x:v>
      </x:c>
      <x:c r="I184" t="str">
        <x:f>IF(RAND()&lt;(('Team_Info'!$E$2-COUNTIF($B184:H184,"W"))/('Team_Info'!$E$4-7)),"W","B")</x:f>
        <x:v>B</x:v>
      </x:c>
      <x:c r="J184" t="str">
        <x:f>IF(RAND()&lt;(('Team_Info'!$E$2-COUNTIF($B184:I184,"W"))/('Team_Info'!$E$4-8)),"W","B")</x:f>
        <x:v>B</x:v>
      </x:c>
      <x:c r="K184" t="str">
        <x:f>IF(RAND()&lt;(('Team_Info'!$E$2-COUNTIF($B184:J184,"W"))/('Team_Info'!$E$4-9)),"W","B")</x:f>
        <x:v>W</x:v>
      </x:c>
      <x:c r="L184" t="str">
        <x:f>IF(RAND()&lt;(('Team_Info'!$E$2-COUNTIF($B184:K184,"W"))/('Team_Info'!$E$4-10)),"W","B")</x:f>
        <x:v>B</x:v>
      </x:c>
      <x:c r="M184" t="str">
        <x:f>IF(RAND()&lt;(('Team_Info'!$E$2-COUNTIF($B184:L184,"W"))/('Team_Info'!$E$4-11)),"W","B")</x:f>
        <x:v>W</x:v>
      </x:c>
      <x:c r="N184" t="str">
        <x:f>IF(RAND()&lt;(('Team_Info'!$E$2-COUNTIF($B184:M184,"W"))/('Team_Info'!$E$4-12)),"W","B")</x:f>
        <x:v>B</x:v>
      </x:c>
      <x:c r="O184" t="str">
        <x:f>IF(RAND()&lt;(('Team_Info'!$E$2-COUNTIF($B184:N184,"W"))/('Team_Info'!$E$4-13)),"W","B")</x:f>
        <x:v>B</x:v>
      </x:c>
      <x:c r="P184" t="str">
        <x:f>IF(RAND()&lt;(('Team_Info'!$E$2-COUNTIF($B184:O184,"W"))/('Team_Info'!$E$4-14)),"W","B")</x:f>
        <x:v>B</x:v>
      </x:c>
      <x:c r="Q184" t="str">
        <x:f>IF(RAND()&lt;(('Team_Info'!$E$2-COUNTIF($B184:P184,"W"))/('Team_Info'!$E$4-15)),"W","B")</x:f>
        <x:v>W</x:v>
      </x:c>
      <x:c r="R184" t="str">
        <x:f>IF(RAND()&lt;(('Team_Info'!$E$2-COUNTIF($B184:Q184,"W"))/('Team_Info'!$E$4-16)),"W","B")</x:f>
        <x:v>W</x:v>
      </x:c>
      <x:c r="S184" t="str">
        <x:f>IF(RAND()&lt;(('Team_Info'!$E$2-COUNTIF($B184:R184,"W"))/('Team_Info'!$E$4-17)),"W","B")</x:f>
        <x:v>B</x:v>
      </x:c>
      <x:c r="T184" t="str">
        <x:f>IF(RAND()&lt;(('Team_Info'!$E$2-COUNTIF($B184:S184,"W"))/('Team_Info'!$E$4-18)),"W","B")</x:f>
        <x:v>B</x:v>
      </x:c>
      <x:c r="U184" t="str">
        <x:f>IF(RAND()&lt;(('Team_Info'!$E$2-COUNTIF($B184:T184,"W"))/('Team_Info'!$E$4-19)),"W","B")</x:f>
        <x:v>B</x:v>
      </x:c>
    </x:row>
    <x:row r="185">
      <x:c r="A185" s="1">
        <x:v>184</x:v>
      </x:c>
      <x:c r="B185" t="str">
        <x:f>IF(RAND()&lt;'Team_Info'!$E$5,"W","B")</x:f>
        <x:v>B</x:v>
      </x:c>
      <x:c r="C185" t="str">
        <x:f>IF(RAND()&lt;(('Team_Info'!$E$2-COUNTIF($B185:B185,"W"))/('Team_Info'!$E$4-1)),"W","B")</x:f>
        <x:v>B</x:v>
      </x:c>
      <x:c r="D185" t="str">
        <x:f>IF(RAND()&lt;(('Team_Info'!$E$2-COUNTIF($B185:C185,"W"))/('Team_Info'!$E$4-2)),"W","B")</x:f>
        <x:v>W</x:v>
      </x:c>
      <x:c r="E185" t="str">
        <x:f>IF(RAND()&lt;(('Team_Info'!$E$2-COUNTIF($B185:D185,"W"))/('Team_Info'!$E$4-3)),"W","B")</x:f>
        <x:v>B</x:v>
      </x:c>
      <x:c r="F185" t="str">
        <x:f>IF(RAND()&lt;(('Team_Info'!$E$2-COUNTIF($B185:E185,"W"))/('Team_Info'!$E$4-4)),"W","B")</x:f>
        <x:v>W</x:v>
      </x:c>
      <x:c r="G185" t="str">
        <x:f>IF(RAND()&lt;(('Team_Info'!$E$2-COUNTIF($B185:F185,"W"))/('Team_Info'!$E$4-5)),"W","B")</x:f>
        <x:v>B</x:v>
      </x:c>
      <x:c r="H185" t="str">
        <x:f>IF(RAND()&lt;(('Team_Info'!$E$2-COUNTIF($B185:G185,"W"))/('Team_Info'!$E$4-6)),"W","B")</x:f>
        <x:v>W</x:v>
      </x:c>
      <x:c r="I185" t="str">
        <x:f>IF(RAND()&lt;(('Team_Info'!$E$2-COUNTIF($B185:H185,"W"))/('Team_Info'!$E$4-7)),"W","B")</x:f>
        <x:v>B</x:v>
      </x:c>
      <x:c r="J185" t="str">
        <x:f>IF(RAND()&lt;(('Team_Info'!$E$2-COUNTIF($B185:I185,"W"))/('Team_Info'!$E$4-8)),"W","B")</x:f>
        <x:v>W</x:v>
      </x:c>
      <x:c r="K185" t="str">
        <x:f>IF(RAND()&lt;(('Team_Info'!$E$2-COUNTIF($B185:J185,"W"))/('Team_Info'!$E$4-9)),"W","B")</x:f>
        <x:v>B</x:v>
      </x:c>
      <x:c r="L185" t="str">
        <x:f>IF(RAND()&lt;(('Team_Info'!$E$2-COUNTIF($B185:K185,"W"))/('Team_Info'!$E$4-10)),"W","B")</x:f>
        <x:v>W</x:v>
      </x:c>
      <x:c r="M185" t="str">
        <x:f>IF(RAND()&lt;(('Team_Info'!$E$2-COUNTIF($B185:L185,"W"))/('Team_Info'!$E$4-11)),"W","B")</x:f>
        <x:v>B</x:v>
      </x:c>
      <x:c r="N185" t="str">
        <x:f>IF(RAND()&lt;(('Team_Info'!$E$2-COUNTIF($B185:M185,"W"))/('Team_Info'!$E$4-12)),"W","B")</x:f>
        <x:v>B</x:v>
      </x:c>
      <x:c r="O185" t="str">
        <x:f>IF(RAND()&lt;(('Team_Info'!$E$2-COUNTIF($B185:N185,"W"))/('Team_Info'!$E$4-13)),"W","B")</x:f>
        <x:v>B</x:v>
      </x:c>
      <x:c r="P185" t="str">
        <x:f>IF(RAND()&lt;(('Team_Info'!$E$2-COUNTIF($B185:O185,"W"))/('Team_Info'!$E$4-14)),"W","B")</x:f>
        <x:v>W</x:v>
      </x:c>
      <x:c r="Q185" t="str">
        <x:f>IF(RAND()&lt;(('Team_Info'!$E$2-COUNTIF($B185:P185,"W"))/('Team_Info'!$E$4-15)),"W","B")</x:f>
        <x:v>B</x:v>
      </x:c>
      <x:c r="R185" t="str">
        <x:f>IF(RAND()&lt;(('Team_Info'!$E$2-COUNTIF($B185:Q185,"W"))/('Team_Info'!$E$4-16)),"W","B")</x:f>
        <x:v>B</x:v>
      </x:c>
      <x:c r="S185" t="str">
        <x:f>IF(RAND()&lt;(('Team_Info'!$E$2-COUNTIF($B185:R185,"W"))/('Team_Info'!$E$4-17)),"W","B")</x:f>
        <x:v>B</x:v>
      </x:c>
      <x:c r="T185" t="str">
        <x:f>IF(RAND()&lt;(('Team_Info'!$E$2-COUNTIF($B185:S185,"W"))/('Team_Info'!$E$4-18)),"W","B")</x:f>
        <x:v>B</x:v>
      </x:c>
      <x:c r="U185" t="str">
        <x:f>IF(RAND()&lt;(('Team_Info'!$E$2-COUNTIF($B185:T185,"W"))/('Team_Info'!$E$4-19)),"W","B")</x:f>
        <x:v>B</x:v>
      </x:c>
    </x:row>
    <x:row r="186">
      <x:c r="A186" s="1">
        <x:v>185</x:v>
      </x:c>
      <x:c r="B186" t="str">
        <x:f>IF(RAND()&lt;'Team_Info'!$E$5,"W","B")</x:f>
        <x:v>W</x:v>
      </x:c>
      <x:c r="C186" t="str">
        <x:f>IF(RAND()&lt;(('Team_Info'!$E$2-COUNTIF($B186:B186,"W"))/('Team_Info'!$E$4-1)),"W","B")</x:f>
        <x:v>W</x:v>
      </x:c>
      <x:c r="D186" t="str">
        <x:f>IF(RAND()&lt;(('Team_Info'!$E$2-COUNTIF($B186:C186,"W"))/('Team_Info'!$E$4-2)),"W","B")</x:f>
        <x:v>B</x:v>
      </x:c>
      <x:c r="E186" t="str">
        <x:f>IF(RAND()&lt;(('Team_Info'!$E$2-COUNTIF($B186:D186,"W"))/('Team_Info'!$E$4-3)),"W","B")</x:f>
        <x:v>W</x:v>
      </x:c>
      <x:c r="F186" t="str">
        <x:f>IF(RAND()&lt;(('Team_Info'!$E$2-COUNTIF($B186:E186,"W"))/('Team_Info'!$E$4-4)),"W","B")</x:f>
        <x:v>B</x:v>
      </x:c>
      <x:c r="G186" t="str">
        <x:f>IF(RAND()&lt;(('Team_Info'!$E$2-COUNTIF($B186:F186,"W"))/('Team_Info'!$E$4-5)),"W","B")</x:f>
        <x:v>B</x:v>
      </x:c>
      <x:c r="H186" t="str">
        <x:f>IF(RAND()&lt;(('Team_Info'!$E$2-COUNTIF($B186:G186,"W"))/('Team_Info'!$E$4-6)),"W","B")</x:f>
        <x:v>B</x:v>
      </x:c>
      <x:c r="I186" t="str">
        <x:f>IF(RAND()&lt;(('Team_Info'!$E$2-COUNTIF($B186:H186,"W"))/('Team_Info'!$E$4-7)),"W","B")</x:f>
        <x:v>B</x:v>
      </x:c>
      <x:c r="J186" t="str">
        <x:f>IF(RAND()&lt;(('Team_Info'!$E$2-COUNTIF($B186:I186,"W"))/('Team_Info'!$E$4-8)),"W","B")</x:f>
        <x:v>W</x:v>
      </x:c>
      <x:c r="K186" t="str">
        <x:f>IF(RAND()&lt;(('Team_Info'!$E$2-COUNTIF($B186:J186,"W"))/('Team_Info'!$E$4-9)),"W","B")</x:f>
        <x:v>W</x:v>
      </x:c>
      <x:c r="L186" t="str">
        <x:f>IF(RAND()&lt;(('Team_Info'!$E$2-COUNTIF($B186:K186,"W"))/('Team_Info'!$E$4-10)),"W","B")</x:f>
        <x:v>W</x:v>
      </x:c>
      <x:c r="M186" t="str">
        <x:f>IF(RAND()&lt;(('Team_Info'!$E$2-COUNTIF($B186:L186,"W"))/('Team_Info'!$E$4-11)),"W","B")</x:f>
        <x:v>B</x:v>
      </x:c>
      <x:c r="N186" t="str">
        <x:f>IF(RAND()&lt;(('Team_Info'!$E$2-COUNTIF($B186:M186,"W"))/('Team_Info'!$E$4-12)),"W","B")</x:f>
        <x:v>W</x:v>
      </x:c>
      <x:c r="O186" t="str">
        <x:f>IF(RAND()&lt;(('Team_Info'!$E$2-COUNTIF($B186:N186,"W"))/('Team_Info'!$E$4-13)),"W","B")</x:f>
        <x:v>W</x:v>
      </x:c>
      <x:c r="P186" t="str">
        <x:f>IF(RAND()&lt;(('Team_Info'!$E$2-COUNTIF($B186:O186,"W"))/('Team_Info'!$E$4-14)),"W","B")</x:f>
        <x:v>B</x:v>
      </x:c>
      <x:c r="Q186" t="str">
        <x:f>IF(RAND()&lt;(('Team_Info'!$E$2-COUNTIF($B186:P186,"W"))/('Team_Info'!$E$4-15)),"W","B")</x:f>
        <x:v>W</x:v>
      </x:c>
      <x:c r="R186" t="str">
        <x:f>IF(RAND()&lt;(('Team_Info'!$E$2-COUNTIF($B186:Q186,"W"))/('Team_Info'!$E$4-16)),"W","B")</x:f>
        <x:v>W</x:v>
      </x:c>
      <x:c r="S186" t="str">
        <x:f>IF(RAND()&lt;(('Team_Info'!$E$2-COUNTIF($B186:R186,"W"))/('Team_Info'!$E$4-17)),"W","B")</x:f>
        <x:v>W</x:v>
      </x:c>
      <x:c r="T186" t="str">
        <x:f>IF(RAND()&lt;(('Team_Info'!$E$2-COUNTIF($B186:S186,"W"))/('Team_Info'!$E$4-18)),"W","B")</x:f>
        <x:v>B</x:v>
      </x:c>
      <x:c r="U186" t="str">
        <x:f>IF(RAND()&lt;(('Team_Info'!$E$2-COUNTIF($B186:T186,"W"))/('Team_Info'!$E$4-19)),"W","B")</x:f>
        <x:v>B</x:v>
      </x:c>
    </x:row>
    <x:row r="187">
      <x:c r="A187" s="1">
        <x:v>186</x:v>
      </x:c>
      <x:c r="B187" t="str">
        <x:f>IF(RAND()&lt;'Team_Info'!$E$5,"W","B")</x:f>
        <x:v>B</x:v>
      </x:c>
      <x:c r="C187" t="str">
        <x:f>IF(RAND()&lt;(('Team_Info'!$E$2-COUNTIF($B187:B187,"W"))/('Team_Info'!$E$4-1)),"W","B")</x:f>
        <x:v>B</x:v>
      </x:c>
      <x:c r="D187" t="str">
        <x:f>IF(RAND()&lt;(('Team_Info'!$E$2-COUNTIF($B187:C187,"W"))/('Team_Info'!$E$4-2)),"W","B")</x:f>
        <x:v>W</x:v>
      </x:c>
      <x:c r="E187" t="str">
        <x:f>IF(RAND()&lt;(('Team_Info'!$E$2-COUNTIF($B187:D187,"W"))/('Team_Info'!$E$4-3)),"W","B")</x:f>
        <x:v>W</x:v>
      </x:c>
      <x:c r="F187" t="str">
        <x:f>IF(RAND()&lt;(('Team_Info'!$E$2-COUNTIF($B187:E187,"W"))/('Team_Info'!$E$4-4)),"W","B")</x:f>
        <x:v>B</x:v>
      </x:c>
      <x:c r="G187" t="str">
        <x:f>IF(RAND()&lt;(('Team_Info'!$E$2-COUNTIF($B187:F187,"W"))/('Team_Info'!$E$4-5)),"W","B")</x:f>
        <x:v>W</x:v>
      </x:c>
      <x:c r="H187" t="str">
        <x:f>IF(RAND()&lt;(('Team_Info'!$E$2-COUNTIF($B187:G187,"W"))/('Team_Info'!$E$4-6)),"W","B")</x:f>
        <x:v>B</x:v>
      </x:c>
      <x:c r="I187" t="str">
        <x:f>IF(RAND()&lt;(('Team_Info'!$E$2-COUNTIF($B187:H187,"W"))/('Team_Info'!$E$4-7)),"W","B")</x:f>
        <x:v>B</x:v>
      </x:c>
      <x:c r="J187" t="str">
        <x:f>IF(RAND()&lt;(('Team_Info'!$E$2-COUNTIF($B187:I187,"W"))/('Team_Info'!$E$4-8)),"W","B")</x:f>
        <x:v>B</x:v>
      </x:c>
      <x:c r="K187" t="str">
        <x:f>IF(RAND()&lt;(('Team_Info'!$E$2-COUNTIF($B187:J187,"W"))/('Team_Info'!$E$4-9)),"W","B")</x:f>
        <x:v>B</x:v>
      </x:c>
      <x:c r="L187" t="str">
        <x:f>IF(RAND()&lt;(('Team_Info'!$E$2-COUNTIF($B187:K187,"W"))/('Team_Info'!$E$4-10)),"W","B")</x:f>
        <x:v>B</x:v>
      </x:c>
      <x:c r="M187" t="str">
        <x:f>IF(RAND()&lt;(('Team_Info'!$E$2-COUNTIF($B187:L187,"W"))/('Team_Info'!$E$4-11)),"W","B")</x:f>
        <x:v>B</x:v>
      </x:c>
      <x:c r="N187" t="str">
        <x:f>IF(RAND()&lt;(('Team_Info'!$E$2-COUNTIF($B187:M187,"W"))/('Team_Info'!$E$4-12)),"W","B")</x:f>
        <x:v>W</x:v>
      </x:c>
      <x:c r="O187" t="str">
        <x:f>IF(RAND()&lt;(('Team_Info'!$E$2-COUNTIF($B187:N187,"W"))/('Team_Info'!$E$4-13)),"W","B")</x:f>
        <x:v>B</x:v>
      </x:c>
      <x:c r="P187" t="str">
        <x:f>IF(RAND()&lt;(('Team_Info'!$E$2-COUNTIF($B187:O187,"W"))/('Team_Info'!$E$4-14)),"W","B")</x:f>
        <x:v>W</x:v>
      </x:c>
      <x:c r="Q187" t="str">
        <x:f>IF(RAND()&lt;(('Team_Info'!$E$2-COUNTIF($B187:P187,"W"))/('Team_Info'!$E$4-15)),"W","B")</x:f>
        <x:v>W</x:v>
      </x:c>
      <x:c r="R187" t="str">
        <x:f>IF(RAND()&lt;(('Team_Info'!$E$2-COUNTIF($B187:Q187,"W"))/('Team_Info'!$E$4-16)),"W","B")</x:f>
        <x:v>W</x:v>
      </x:c>
      <x:c r="S187" t="str">
        <x:f>IF(RAND()&lt;(('Team_Info'!$E$2-COUNTIF($B187:R187,"W"))/('Team_Info'!$E$4-17)),"W","B")</x:f>
        <x:v>B</x:v>
      </x:c>
      <x:c r="T187" t="str">
        <x:f>IF(RAND()&lt;(('Team_Info'!$E$2-COUNTIF($B187:S187,"W"))/('Team_Info'!$E$4-18)),"W","B")</x:f>
        <x:v>W</x:v>
      </x:c>
      <x:c r="U187" t="str">
        <x:f>IF(RAND()&lt;(('Team_Info'!$E$2-COUNTIF($B187:T187,"W"))/('Team_Info'!$E$4-19)),"W","B")</x:f>
        <x:v>B</x:v>
      </x:c>
    </x:row>
    <x:row r="188">
      <x:c r="A188" s="1">
        <x:v>187</x:v>
      </x:c>
      <x:c r="B188" t="str">
        <x:f>IF(RAND()&lt;'Team_Info'!$E$5,"W","B")</x:f>
        <x:v>B</x:v>
      </x:c>
      <x:c r="C188" t="str">
        <x:f>IF(RAND()&lt;(('Team_Info'!$E$2-COUNTIF($B188:B188,"W"))/('Team_Info'!$E$4-1)),"W","B")</x:f>
        <x:v>W</x:v>
      </x:c>
      <x:c r="D188" t="str">
        <x:f>IF(RAND()&lt;(('Team_Info'!$E$2-COUNTIF($B188:C188,"W"))/('Team_Info'!$E$4-2)),"W","B")</x:f>
        <x:v>B</x:v>
      </x:c>
      <x:c r="E188" t="str">
        <x:f>IF(RAND()&lt;(('Team_Info'!$E$2-COUNTIF($B188:D188,"W"))/('Team_Info'!$E$4-3)),"W","B")</x:f>
        <x:v>B</x:v>
      </x:c>
      <x:c r="F188" t="str">
        <x:f>IF(RAND()&lt;(('Team_Info'!$E$2-COUNTIF($B188:E188,"W"))/('Team_Info'!$E$4-4)),"W","B")</x:f>
        <x:v>B</x:v>
      </x:c>
      <x:c r="G188" t="str">
        <x:f>IF(RAND()&lt;(('Team_Info'!$E$2-COUNTIF($B188:F188,"W"))/('Team_Info'!$E$4-5)),"W","B")</x:f>
        <x:v>W</x:v>
      </x:c>
      <x:c r="H188" t="str">
        <x:f>IF(RAND()&lt;(('Team_Info'!$E$2-COUNTIF($B188:G188,"W"))/('Team_Info'!$E$4-6)),"W","B")</x:f>
        <x:v>B</x:v>
      </x:c>
      <x:c r="I188" t="str">
        <x:f>IF(RAND()&lt;(('Team_Info'!$E$2-COUNTIF($B188:H188,"W"))/('Team_Info'!$E$4-7)),"W","B")</x:f>
        <x:v>W</x:v>
      </x:c>
      <x:c r="J188" t="str">
        <x:f>IF(RAND()&lt;(('Team_Info'!$E$2-COUNTIF($B188:I188,"W"))/('Team_Info'!$E$4-8)),"W","B")</x:f>
        <x:v>W</x:v>
      </x:c>
      <x:c r="K188" t="str">
        <x:f>IF(RAND()&lt;(('Team_Info'!$E$2-COUNTIF($B188:J188,"W"))/('Team_Info'!$E$4-9)),"W","B")</x:f>
        <x:v>W</x:v>
      </x:c>
      <x:c r="L188" t="str">
        <x:f>IF(RAND()&lt;(('Team_Info'!$E$2-COUNTIF($B188:K188,"W"))/('Team_Info'!$E$4-10)),"W","B")</x:f>
        <x:v>W</x:v>
      </x:c>
      <x:c r="M188" t="str">
        <x:f>IF(RAND()&lt;(('Team_Info'!$E$2-COUNTIF($B188:L188,"W"))/('Team_Info'!$E$4-11)),"W","B")</x:f>
        <x:v>B</x:v>
      </x:c>
      <x:c r="N188" t="str">
        <x:f>IF(RAND()&lt;(('Team_Info'!$E$2-COUNTIF($B188:M188,"W"))/('Team_Info'!$E$4-12)),"W","B")</x:f>
        <x:v>W</x:v>
      </x:c>
      <x:c r="O188" t="str">
        <x:f>IF(RAND()&lt;(('Team_Info'!$E$2-COUNTIF($B188:N188,"W"))/('Team_Info'!$E$4-13)),"W","B")</x:f>
        <x:v>B</x:v>
      </x:c>
      <x:c r="P188" t="str">
        <x:f>IF(RAND()&lt;(('Team_Info'!$E$2-COUNTIF($B188:O188,"W"))/('Team_Info'!$E$4-14)),"W","B")</x:f>
        <x:v>B</x:v>
      </x:c>
      <x:c r="Q188" t="str">
        <x:f>IF(RAND()&lt;(('Team_Info'!$E$2-COUNTIF($B188:P188,"W"))/('Team_Info'!$E$4-15)),"W","B")</x:f>
        <x:v>B</x:v>
      </x:c>
      <x:c r="R188" t="str">
        <x:f>IF(RAND()&lt;(('Team_Info'!$E$2-COUNTIF($B188:Q188,"W"))/('Team_Info'!$E$4-16)),"W","B")</x:f>
        <x:v>B</x:v>
      </x:c>
      <x:c r="S188" t="str">
        <x:f>IF(RAND()&lt;(('Team_Info'!$E$2-COUNTIF($B188:R188,"W"))/('Team_Info'!$E$4-17)),"W","B")</x:f>
        <x:v>W</x:v>
      </x:c>
      <x:c r="T188" t="str">
        <x:f>IF(RAND()&lt;(('Team_Info'!$E$2-COUNTIF($B188:S188,"W"))/('Team_Info'!$E$4-18)),"W","B")</x:f>
        <x:v>B</x:v>
      </x:c>
      <x:c r="U188" t="str">
        <x:f>IF(RAND()&lt;(('Team_Info'!$E$2-COUNTIF($B188:T188,"W"))/('Team_Info'!$E$4-19)),"W","B")</x:f>
        <x:v>B</x:v>
      </x:c>
    </x:row>
    <x:row r="189">
      <x:c r="A189" s="1">
        <x:v>188</x:v>
      </x:c>
      <x:c r="B189" t="str">
        <x:f>IF(RAND()&lt;'Team_Info'!$E$5,"W","B")</x:f>
        <x:v>W</x:v>
      </x:c>
      <x:c r="C189" t="str">
        <x:f>IF(RAND()&lt;(('Team_Info'!$E$2-COUNTIF($B189:B189,"W"))/('Team_Info'!$E$4-1)),"W","B")</x:f>
        <x:v>B</x:v>
      </x:c>
      <x:c r="D189" t="str">
        <x:f>IF(RAND()&lt;(('Team_Info'!$E$2-COUNTIF($B189:C189,"W"))/('Team_Info'!$E$4-2)),"W","B")</x:f>
        <x:v>W</x:v>
      </x:c>
      <x:c r="E189" t="str">
        <x:f>IF(RAND()&lt;(('Team_Info'!$E$2-COUNTIF($B189:D189,"W"))/('Team_Info'!$E$4-3)),"W","B")</x:f>
        <x:v>B</x:v>
      </x:c>
      <x:c r="F189" t="str">
        <x:f>IF(RAND()&lt;(('Team_Info'!$E$2-COUNTIF($B189:E189,"W"))/('Team_Info'!$E$4-4)),"W","B")</x:f>
        <x:v>B</x:v>
      </x:c>
      <x:c r="G189" t="str">
        <x:f>IF(RAND()&lt;(('Team_Info'!$E$2-COUNTIF($B189:F189,"W"))/('Team_Info'!$E$4-5)),"W","B")</x:f>
        <x:v>W</x:v>
      </x:c>
      <x:c r="H189" t="str">
        <x:f>IF(RAND()&lt;(('Team_Info'!$E$2-COUNTIF($B189:G189,"W"))/('Team_Info'!$E$4-6)),"W","B")</x:f>
        <x:v>B</x:v>
      </x:c>
      <x:c r="I189" t="str">
        <x:f>IF(RAND()&lt;(('Team_Info'!$E$2-COUNTIF($B189:H189,"W"))/('Team_Info'!$E$4-7)),"W","B")</x:f>
        <x:v>B</x:v>
      </x:c>
      <x:c r="J189" t="str">
        <x:f>IF(RAND()&lt;(('Team_Info'!$E$2-COUNTIF($B189:I189,"W"))/('Team_Info'!$E$4-8)),"W","B")</x:f>
        <x:v>W</x:v>
      </x:c>
      <x:c r="K189" t="str">
        <x:f>IF(RAND()&lt;(('Team_Info'!$E$2-COUNTIF($B189:J189,"W"))/('Team_Info'!$E$4-9)),"W","B")</x:f>
        <x:v>W</x:v>
      </x:c>
      <x:c r="L189" t="str">
        <x:f>IF(RAND()&lt;(('Team_Info'!$E$2-COUNTIF($B189:K189,"W"))/('Team_Info'!$E$4-10)),"W","B")</x:f>
        <x:v>B</x:v>
      </x:c>
      <x:c r="M189" t="str">
        <x:f>IF(RAND()&lt;(('Team_Info'!$E$2-COUNTIF($B189:L189,"W"))/('Team_Info'!$E$4-11)),"W","B")</x:f>
        <x:v>W</x:v>
      </x:c>
      <x:c r="N189" t="str">
        <x:f>IF(RAND()&lt;(('Team_Info'!$E$2-COUNTIF($B189:M189,"W"))/('Team_Info'!$E$4-12)),"W","B")</x:f>
        <x:v>B</x:v>
      </x:c>
      <x:c r="O189" t="str">
        <x:f>IF(RAND()&lt;(('Team_Info'!$E$2-COUNTIF($B189:N189,"W"))/('Team_Info'!$E$4-13)),"W","B")</x:f>
        <x:v>B</x:v>
      </x:c>
      <x:c r="P189" t="str">
        <x:f>IF(RAND()&lt;(('Team_Info'!$E$2-COUNTIF($B189:O189,"W"))/('Team_Info'!$E$4-14)),"W","B")</x:f>
        <x:v>B</x:v>
      </x:c>
      <x:c r="Q189" t="str">
        <x:f>IF(RAND()&lt;(('Team_Info'!$E$2-COUNTIF($B189:P189,"W"))/('Team_Info'!$E$4-15)),"W","B")</x:f>
        <x:v>B</x:v>
      </x:c>
      <x:c r="R189" t="str">
        <x:f>IF(RAND()&lt;(('Team_Info'!$E$2-COUNTIF($B189:Q189,"W"))/('Team_Info'!$E$4-16)),"W","B")</x:f>
        <x:v>W</x:v>
      </x:c>
      <x:c r="S189" t="str">
        <x:f>IF(RAND()&lt;(('Team_Info'!$E$2-COUNTIF($B189:R189,"W"))/('Team_Info'!$E$4-17)),"W","B")</x:f>
        <x:v>W</x:v>
      </x:c>
      <x:c r="T189" t="str">
        <x:f>IF(RAND()&lt;(('Team_Info'!$E$2-COUNTIF($B189:S189,"W"))/('Team_Info'!$E$4-18)),"W","B")</x:f>
        <x:v>W</x:v>
      </x:c>
      <x:c r="U189" t="str">
        <x:f>IF(RAND()&lt;(('Team_Info'!$E$2-COUNTIF($B189:T189,"W"))/('Team_Info'!$E$4-19)),"W","B")</x:f>
        <x:v>B</x:v>
      </x:c>
    </x:row>
    <x:row r="190">
      <x:c r="A190" s="1">
        <x:v>189</x:v>
      </x:c>
      <x:c r="B190" t="str">
        <x:f>IF(RAND()&lt;'Team_Info'!$E$5,"W","B")</x:f>
        <x:v>B</x:v>
      </x:c>
      <x:c r="C190" t="str">
        <x:f>IF(RAND()&lt;(('Team_Info'!$E$2-COUNTIF($B190:B190,"W"))/('Team_Info'!$E$4-1)),"W","B")</x:f>
        <x:v>B</x:v>
      </x:c>
      <x:c r="D190" t="str">
        <x:f>IF(RAND()&lt;(('Team_Info'!$E$2-COUNTIF($B190:C190,"W"))/('Team_Info'!$E$4-2)),"W","B")</x:f>
        <x:v>W</x:v>
      </x:c>
      <x:c r="E190" t="str">
        <x:f>IF(RAND()&lt;(('Team_Info'!$E$2-COUNTIF($B190:D190,"W"))/('Team_Info'!$E$4-3)),"W","B")</x:f>
        <x:v>B</x:v>
      </x:c>
      <x:c r="F190" t="str">
        <x:f>IF(RAND()&lt;(('Team_Info'!$E$2-COUNTIF($B190:E190,"W"))/('Team_Info'!$E$4-4)),"W","B")</x:f>
        <x:v>B</x:v>
      </x:c>
      <x:c r="G190" t="str">
        <x:f>IF(RAND()&lt;(('Team_Info'!$E$2-COUNTIF($B190:F190,"W"))/('Team_Info'!$E$4-5)),"W","B")</x:f>
        <x:v>B</x:v>
      </x:c>
      <x:c r="H190" t="str">
        <x:f>IF(RAND()&lt;(('Team_Info'!$E$2-COUNTIF($B190:G190,"W"))/('Team_Info'!$E$4-6)),"W","B")</x:f>
        <x:v>B</x:v>
      </x:c>
      <x:c r="I190" t="str">
        <x:f>IF(RAND()&lt;(('Team_Info'!$E$2-COUNTIF($B190:H190,"W"))/('Team_Info'!$E$4-7)),"W","B")</x:f>
        <x:v>W</x:v>
      </x:c>
      <x:c r="J190" t="str">
        <x:f>IF(RAND()&lt;(('Team_Info'!$E$2-COUNTIF($B190:I190,"W"))/('Team_Info'!$E$4-8)),"W","B")</x:f>
        <x:v>B</x:v>
      </x:c>
      <x:c r="K190" t="str">
        <x:f>IF(RAND()&lt;(('Team_Info'!$E$2-COUNTIF($B190:J190,"W"))/('Team_Info'!$E$4-9)),"W","B")</x:f>
        <x:v>W</x:v>
      </x:c>
      <x:c r="L190" t="str">
        <x:f>IF(RAND()&lt;(('Team_Info'!$E$2-COUNTIF($B190:K190,"W"))/('Team_Info'!$E$4-10)),"W","B")</x:f>
        <x:v>W</x:v>
      </x:c>
      <x:c r="M190" t="str">
        <x:f>IF(RAND()&lt;(('Team_Info'!$E$2-COUNTIF($B190:L190,"W"))/('Team_Info'!$E$4-11)),"W","B")</x:f>
        <x:v>B</x:v>
      </x:c>
      <x:c r="N190" t="str">
        <x:f>IF(RAND()&lt;(('Team_Info'!$E$2-COUNTIF($B190:M190,"W"))/('Team_Info'!$E$4-12)),"W","B")</x:f>
        <x:v>B</x:v>
      </x:c>
      <x:c r="O190" t="str">
        <x:f>IF(RAND()&lt;(('Team_Info'!$E$2-COUNTIF($B190:N190,"W"))/('Team_Info'!$E$4-13)),"W","B")</x:f>
        <x:v>B</x:v>
      </x:c>
      <x:c r="P190" t="str">
        <x:f>IF(RAND()&lt;(('Team_Info'!$E$2-COUNTIF($B190:O190,"W"))/('Team_Info'!$E$4-14)),"W","B")</x:f>
        <x:v>W</x:v>
      </x:c>
      <x:c r="Q190" t="str">
        <x:f>IF(RAND()&lt;(('Team_Info'!$E$2-COUNTIF($B190:P190,"W"))/('Team_Info'!$E$4-15)),"W","B")</x:f>
        <x:v>B</x:v>
      </x:c>
      <x:c r="R190" t="str">
        <x:f>IF(RAND()&lt;(('Team_Info'!$E$2-COUNTIF($B190:Q190,"W"))/('Team_Info'!$E$4-16)),"W","B")</x:f>
        <x:v>B</x:v>
      </x:c>
      <x:c r="S190" t="str">
        <x:f>IF(RAND()&lt;(('Team_Info'!$E$2-COUNTIF($B190:R190,"W"))/('Team_Info'!$E$4-17)),"W","B")</x:f>
        <x:v>B</x:v>
      </x:c>
      <x:c r="T190" t="str">
        <x:f>IF(RAND()&lt;(('Team_Info'!$E$2-COUNTIF($B190:S190,"W"))/('Team_Info'!$E$4-18)),"W","B")</x:f>
        <x:v>W</x:v>
      </x:c>
      <x:c r="U190" t="str">
        <x:f>IF(RAND()&lt;(('Team_Info'!$E$2-COUNTIF($B190:T190,"W"))/('Team_Info'!$E$4-19)),"W","B")</x:f>
        <x:v>B</x:v>
      </x:c>
    </x:row>
    <x:row r="191">
      <x:c r="A191" s="1">
        <x:v>190</x:v>
      </x:c>
      <x:c r="B191" t="str">
        <x:f>IF(RAND()&lt;'Team_Info'!$E$5,"W","B")</x:f>
        <x:v>W</x:v>
      </x:c>
      <x:c r="C191" t="str">
        <x:f>IF(RAND()&lt;(('Team_Info'!$E$2-COUNTIF($B191:B191,"W"))/('Team_Info'!$E$4-1)),"W","B")</x:f>
        <x:v>B</x:v>
      </x:c>
      <x:c r="D191" t="str">
        <x:f>IF(RAND()&lt;(('Team_Info'!$E$2-COUNTIF($B191:C191,"W"))/('Team_Info'!$E$4-2)),"W","B")</x:f>
        <x:v>B</x:v>
      </x:c>
      <x:c r="E191" t="str">
        <x:f>IF(RAND()&lt;(('Team_Info'!$E$2-COUNTIF($B191:D191,"W"))/('Team_Info'!$E$4-3)),"W","B")</x:f>
        <x:v>B</x:v>
      </x:c>
      <x:c r="F191" t="str">
        <x:f>IF(RAND()&lt;(('Team_Info'!$E$2-COUNTIF($B191:E191,"W"))/('Team_Info'!$E$4-4)),"W","B")</x:f>
        <x:v>B</x:v>
      </x:c>
      <x:c r="G191" t="str">
        <x:f>IF(RAND()&lt;(('Team_Info'!$E$2-COUNTIF($B191:F191,"W"))/('Team_Info'!$E$4-5)),"W","B")</x:f>
        <x:v>B</x:v>
      </x:c>
      <x:c r="H191" t="str">
        <x:f>IF(RAND()&lt;(('Team_Info'!$E$2-COUNTIF($B191:G191,"W"))/('Team_Info'!$E$4-6)),"W","B")</x:f>
        <x:v>B</x:v>
      </x:c>
      <x:c r="I191" t="str">
        <x:f>IF(RAND()&lt;(('Team_Info'!$E$2-COUNTIF($B191:H191,"W"))/('Team_Info'!$E$4-7)),"W","B")</x:f>
        <x:v>B</x:v>
      </x:c>
      <x:c r="J191" t="str">
        <x:f>IF(RAND()&lt;(('Team_Info'!$E$2-COUNTIF($B191:I191,"W"))/('Team_Info'!$E$4-8)),"W","B")</x:f>
        <x:v>W</x:v>
      </x:c>
      <x:c r="K191" t="str">
        <x:f>IF(RAND()&lt;(('Team_Info'!$E$2-COUNTIF($B191:J191,"W"))/('Team_Info'!$E$4-9)),"W","B")</x:f>
        <x:v>B</x:v>
      </x:c>
      <x:c r="L191" t="str">
        <x:f>IF(RAND()&lt;(('Team_Info'!$E$2-COUNTIF($B191:K191,"W"))/('Team_Info'!$E$4-10)),"W","B")</x:f>
        <x:v>B</x:v>
      </x:c>
      <x:c r="M191" t="str">
        <x:f>IF(RAND()&lt;(('Team_Info'!$E$2-COUNTIF($B191:L191,"W"))/('Team_Info'!$E$4-11)),"W","B")</x:f>
        <x:v>W</x:v>
      </x:c>
      <x:c r="N191" t="str">
        <x:f>IF(RAND()&lt;(('Team_Info'!$E$2-COUNTIF($B191:M191,"W"))/('Team_Info'!$E$4-12)),"W","B")</x:f>
        <x:v>W</x:v>
      </x:c>
      <x:c r="O191" t="str">
        <x:f>IF(RAND()&lt;(('Team_Info'!$E$2-COUNTIF($B191:N191,"W"))/('Team_Info'!$E$4-13)),"W","B")</x:f>
        <x:v>B</x:v>
      </x:c>
      <x:c r="P191" t="str">
        <x:f>IF(RAND()&lt;(('Team_Info'!$E$2-COUNTIF($B191:O191,"W"))/('Team_Info'!$E$4-14)),"W","B")</x:f>
        <x:v>B</x:v>
      </x:c>
      <x:c r="Q191" t="str">
        <x:f>IF(RAND()&lt;(('Team_Info'!$E$2-COUNTIF($B191:P191,"W"))/('Team_Info'!$E$4-15)),"W","B")</x:f>
        <x:v>B</x:v>
      </x:c>
      <x:c r="R191" t="str">
        <x:f>IF(RAND()&lt;(('Team_Info'!$E$2-COUNTIF($B191:Q191,"W"))/('Team_Info'!$E$4-16)),"W","B")</x:f>
        <x:v>W</x:v>
      </x:c>
      <x:c r="S191" t="str">
        <x:f>IF(RAND()&lt;(('Team_Info'!$E$2-COUNTIF($B191:R191,"W"))/('Team_Info'!$E$4-17)),"W","B")</x:f>
        <x:v>B</x:v>
      </x:c>
      <x:c r="T191" t="str">
        <x:f>IF(RAND()&lt;(('Team_Info'!$E$2-COUNTIF($B191:S191,"W"))/('Team_Info'!$E$4-18)),"W","B")</x:f>
        <x:v>W</x:v>
      </x:c>
      <x:c r="U191" t="str">
        <x:f>IF(RAND()&lt;(('Team_Info'!$E$2-COUNTIF($B191:T191,"W"))/('Team_Info'!$E$4-19)),"W","B")</x:f>
        <x:v>B</x:v>
      </x:c>
    </x:row>
    <x:row r="192">
      <x:c r="A192" s="1">
        <x:v>191</x:v>
      </x:c>
      <x:c r="B192" t="str">
        <x:f>IF(RAND()&lt;'Team_Info'!$E$5,"W","B")</x:f>
        <x:v>W</x:v>
      </x:c>
      <x:c r="C192" t="str">
        <x:f>IF(RAND()&lt;(('Team_Info'!$E$2-COUNTIF($B192:B192,"W"))/('Team_Info'!$E$4-1)),"W","B")</x:f>
        <x:v>B</x:v>
      </x:c>
      <x:c r="D192" t="str">
        <x:f>IF(RAND()&lt;(('Team_Info'!$E$2-COUNTIF($B192:C192,"W"))/('Team_Info'!$E$4-2)),"W","B")</x:f>
        <x:v>W</x:v>
      </x:c>
      <x:c r="E192" t="str">
        <x:f>IF(RAND()&lt;(('Team_Info'!$E$2-COUNTIF($B192:D192,"W"))/('Team_Info'!$E$4-3)),"W","B")</x:f>
        <x:v>B</x:v>
      </x:c>
      <x:c r="F192" t="str">
        <x:f>IF(RAND()&lt;(('Team_Info'!$E$2-COUNTIF($B192:E192,"W"))/('Team_Info'!$E$4-4)),"W","B")</x:f>
        <x:v>B</x:v>
      </x:c>
      <x:c r="G192" t="str">
        <x:f>IF(RAND()&lt;(('Team_Info'!$E$2-COUNTIF($B192:F192,"W"))/('Team_Info'!$E$4-5)),"W","B")</x:f>
        <x:v>B</x:v>
      </x:c>
      <x:c r="H192" t="str">
        <x:f>IF(RAND()&lt;(('Team_Info'!$E$2-COUNTIF($B192:G192,"W"))/('Team_Info'!$E$4-6)),"W","B")</x:f>
        <x:v>B</x:v>
      </x:c>
      <x:c r="I192" t="str">
        <x:f>IF(RAND()&lt;(('Team_Info'!$E$2-COUNTIF($B192:H192,"W"))/('Team_Info'!$E$4-7)),"W","B")</x:f>
        <x:v>W</x:v>
      </x:c>
      <x:c r="J192" t="str">
        <x:f>IF(RAND()&lt;(('Team_Info'!$E$2-COUNTIF($B192:I192,"W"))/('Team_Info'!$E$4-8)),"W","B")</x:f>
        <x:v>B</x:v>
      </x:c>
      <x:c r="K192" t="str">
        <x:f>IF(RAND()&lt;(('Team_Info'!$E$2-COUNTIF($B192:J192,"W"))/('Team_Info'!$E$4-9)),"W","B")</x:f>
        <x:v>B</x:v>
      </x:c>
      <x:c r="L192" t="str">
        <x:f>IF(RAND()&lt;(('Team_Info'!$E$2-COUNTIF($B192:K192,"W"))/('Team_Info'!$E$4-10)),"W","B")</x:f>
        <x:v>B</x:v>
      </x:c>
      <x:c r="M192" t="str">
        <x:f>IF(RAND()&lt;(('Team_Info'!$E$2-COUNTIF($B192:L192,"W"))/('Team_Info'!$E$4-11)),"W","B")</x:f>
        <x:v>B</x:v>
      </x:c>
      <x:c r="N192" t="str">
        <x:f>IF(RAND()&lt;(('Team_Info'!$E$2-COUNTIF($B192:M192,"W"))/('Team_Info'!$E$4-12)),"W","B")</x:f>
        <x:v>B</x:v>
      </x:c>
      <x:c r="O192" t="str">
        <x:f>IF(RAND()&lt;(('Team_Info'!$E$2-COUNTIF($B192:N192,"W"))/('Team_Info'!$E$4-13)),"W","B")</x:f>
        <x:v>B</x:v>
      </x:c>
      <x:c r="P192" t="str">
        <x:f>IF(RAND()&lt;(('Team_Info'!$E$2-COUNTIF($B192:O192,"W"))/('Team_Info'!$E$4-14)),"W","B")</x:f>
        <x:v>W</x:v>
      </x:c>
      <x:c r="Q192" t="str">
        <x:f>IF(RAND()&lt;(('Team_Info'!$E$2-COUNTIF($B192:P192,"W"))/('Team_Info'!$E$4-15)),"W","B")</x:f>
        <x:v>W</x:v>
      </x:c>
      <x:c r="R192" t="str">
        <x:f>IF(RAND()&lt;(('Team_Info'!$E$2-COUNTIF($B192:Q192,"W"))/('Team_Info'!$E$4-16)),"W","B")</x:f>
        <x:v>B</x:v>
      </x:c>
      <x:c r="S192" t="str">
        <x:f>IF(RAND()&lt;(('Team_Info'!$E$2-COUNTIF($B192:R192,"W"))/('Team_Info'!$E$4-17)),"W","B")</x:f>
        <x:v>W</x:v>
      </x:c>
      <x:c r="T192" t="str">
        <x:f>IF(RAND()&lt;(('Team_Info'!$E$2-COUNTIF($B192:S192,"W"))/('Team_Info'!$E$4-18)),"W","B")</x:f>
        <x:v>B</x:v>
      </x:c>
      <x:c r="U192" t="str">
        <x:f>IF(RAND()&lt;(('Team_Info'!$E$2-COUNTIF($B192:T192,"W"))/('Team_Info'!$E$4-19)),"W","B")</x:f>
        <x:v>B</x:v>
      </x:c>
    </x:row>
    <x:row r="193">
      <x:c r="A193" s="1">
        <x:v>192</x:v>
      </x:c>
      <x:c r="B193" t="str">
        <x:f>IF(RAND()&lt;'Team_Info'!$E$5,"W","B")</x:f>
        <x:v>B</x:v>
      </x:c>
      <x:c r="C193" t="str">
        <x:f>IF(RAND()&lt;(('Team_Info'!$E$2-COUNTIF($B193:B193,"W"))/('Team_Info'!$E$4-1)),"W","B")</x:f>
        <x:v>B</x:v>
      </x:c>
      <x:c r="D193" t="str">
        <x:f>IF(RAND()&lt;(('Team_Info'!$E$2-COUNTIF($B193:C193,"W"))/('Team_Info'!$E$4-2)),"W","B")</x:f>
        <x:v>W</x:v>
      </x:c>
      <x:c r="E193" t="str">
        <x:f>IF(RAND()&lt;(('Team_Info'!$E$2-COUNTIF($B193:D193,"W"))/('Team_Info'!$E$4-3)),"W","B")</x:f>
        <x:v>B</x:v>
      </x:c>
      <x:c r="F193" t="str">
        <x:f>IF(RAND()&lt;(('Team_Info'!$E$2-COUNTIF($B193:E193,"W"))/('Team_Info'!$E$4-4)),"W","B")</x:f>
        <x:v>W</x:v>
      </x:c>
      <x:c r="G193" t="str">
        <x:f>IF(RAND()&lt;(('Team_Info'!$E$2-COUNTIF($B193:F193,"W"))/('Team_Info'!$E$4-5)),"W","B")</x:f>
        <x:v>B</x:v>
      </x:c>
      <x:c r="H193" t="str">
        <x:f>IF(RAND()&lt;(('Team_Info'!$E$2-COUNTIF($B193:G193,"W"))/('Team_Info'!$E$4-6)),"W","B")</x:f>
        <x:v>W</x:v>
      </x:c>
      <x:c r="I193" t="str">
        <x:f>IF(RAND()&lt;(('Team_Info'!$E$2-COUNTIF($B193:H193,"W"))/('Team_Info'!$E$4-7)),"W","B")</x:f>
        <x:v>W</x:v>
      </x:c>
      <x:c r="J193" t="str">
        <x:f>IF(RAND()&lt;(('Team_Info'!$E$2-COUNTIF($B193:I193,"W"))/('Team_Info'!$E$4-8)),"W","B")</x:f>
        <x:v>B</x:v>
      </x:c>
      <x:c r="K193" t="str">
        <x:f>IF(RAND()&lt;(('Team_Info'!$E$2-COUNTIF($B193:J193,"W"))/('Team_Info'!$E$4-9)),"W","B")</x:f>
        <x:v>B</x:v>
      </x:c>
      <x:c r="L193" t="str">
        <x:f>IF(RAND()&lt;(('Team_Info'!$E$2-COUNTIF($B193:K193,"W"))/('Team_Info'!$E$4-10)),"W","B")</x:f>
        <x:v>W</x:v>
      </x:c>
      <x:c r="M193" t="str">
        <x:f>IF(RAND()&lt;(('Team_Info'!$E$2-COUNTIF($B193:L193,"W"))/('Team_Info'!$E$4-11)),"W","B")</x:f>
        <x:v>B</x:v>
      </x:c>
      <x:c r="N193" t="str">
        <x:f>IF(RAND()&lt;(('Team_Info'!$E$2-COUNTIF($B193:M193,"W"))/('Team_Info'!$E$4-12)),"W","B")</x:f>
        <x:v>B</x:v>
      </x:c>
      <x:c r="O193" t="str">
        <x:f>IF(RAND()&lt;(('Team_Info'!$E$2-COUNTIF($B193:N193,"W"))/('Team_Info'!$E$4-13)),"W","B")</x:f>
        <x:v>W</x:v>
      </x:c>
      <x:c r="P193" t="str">
        <x:f>IF(RAND()&lt;(('Team_Info'!$E$2-COUNTIF($B193:O193,"W"))/('Team_Info'!$E$4-14)),"W","B")</x:f>
        <x:v>W</x:v>
      </x:c>
      <x:c r="Q193" t="str">
        <x:f>IF(RAND()&lt;(('Team_Info'!$E$2-COUNTIF($B193:P193,"W"))/('Team_Info'!$E$4-15)),"W","B")</x:f>
        <x:v>B</x:v>
      </x:c>
      <x:c r="R193" t="str">
        <x:f>IF(RAND()&lt;(('Team_Info'!$E$2-COUNTIF($B193:Q193,"W"))/('Team_Info'!$E$4-16)),"W","B")</x:f>
        <x:v>B</x:v>
      </x:c>
      <x:c r="S193" t="str">
        <x:f>IF(RAND()&lt;(('Team_Info'!$E$2-COUNTIF($B193:R193,"W"))/('Team_Info'!$E$4-17)),"W","B")</x:f>
        <x:v>B</x:v>
      </x:c>
      <x:c r="T193" t="str">
        <x:f>IF(RAND()&lt;(('Team_Info'!$E$2-COUNTIF($B193:S193,"W"))/('Team_Info'!$E$4-18)),"W","B")</x:f>
        <x:v>W</x:v>
      </x:c>
      <x:c r="U193" t="str">
        <x:f>IF(RAND()&lt;(('Team_Info'!$E$2-COUNTIF($B193:T193,"W"))/('Team_Info'!$E$4-19)),"W","B")</x:f>
        <x:v>B</x:v>
      </x:c>
    </x:row>
    <x:row r="194">
      <x:c r="A194" s="1">
        <x:v>193</x:v>
      </x:c>
      <x:c r="B194" t="str">
        <x:f>IF(RAND()&lt;'Team_Info'!$E$5,"W","B")</x:f>
        <x:v>W</x:v>
      </x:c>
      <x:c r="C194" t="str">
        <x:f>IF(RAND()&lt;(('Team_Info'!$E$2-COUNTIF($B194:B194,"W"))/('Team_Info'!$E$4-1)),"W","B")</x:f>
        <x:v>B</x:v>
      </x:c>
      <x:c r="D194" t="str">
        <x:f>IF(RAND()&lt;(('Team_Info'!$E$2-COUNTIF($B194:C194,"W"))/('Team_Info'!$E$4-2)),"W","B")</x:f>
        <x:v>W</x:v>
      </x:c>
      <x:c r="E194" t="str">
        <x:f>IF(RAND()&lt;(('Team_Info'!$E$2-COUNTIF($B194:D194,"W"))/('Team_Info'!$E$4-3)),"W","B")</x:f>
        <x:v>B</x:v>
      </x:c>
      <x:c r="F194" t="str">
        <x:f>IF(RAND()&lt;(('Team_Info'!$E$2-COUNTIF($B194:E194,"W"))/('Team_Info'!$E$4-4)),"W","B")</x:f>
        <x:v>B</x:v>
      </x:c>
      <x:c r="G194" t="str">
        <x:f>IF(RAND()&lt;(('Team_Info'!$E$2-COUNTIF($B194:F194,"W"))/('Team_Info'!$E$4-5)),"W","B")</x:f>
        <x:v>B</x:v>
      </x:c>
      <x:c r="H194" t="str">
        <x:f>IF(RAND()&lt;(('Team_Info'!$E$2-COUNTIF($B194:G194,"W"))/('Team_Info'!$E$4-6)),"W","B")</x:f>
        <x:v>B</x:v>
      </x:c>
      <x:c r="I194" t="str">
        <x:f>IF(RAND()&lt;(('Team_Info'!$E$2-COUNTIF($B194:H194,"W"))/('Team_Info'!$E$4-7)),"W","B")</x:f>
        <x:v>W</x:v>
      </x:c>
      <x:c r="J194" t="str">
        <x:f>IF(RAND()&lt;(('Team_Info'!$E$2-COUNTIF($B194:I194,"W"))/('Team_Info'!$E$4-8)),"W","B")</x:f>
        <x:v>B</x:v>
      </x:c>
      <x:c r="K194" t="str">
        <x:f>IF(RAND()&lt;(('Team_Info'!$E$2-COUNTIF($B194:J194,"W"))/('Team_Info'!$E$4-9)),"W","B")</x:f>
        <x:v>W</x:v>
      </x:c>
      <x:c r="L194" t="str">
        <x:f>IF(RAND()&lt;(('Team_Info'!$E$2-COUNTIF($B194:K194,"W"))/('Team_Info'!$E$4-10)),"W","B")</x:f>
        <x:v>B</x:v>
      </x:c>
      <x:c r="M194" t="str">
        <x:f>IF(RAND()&lt;(('Team_Info'!$E$2-COUNTIF($B194:L194,"W"))/('Team_Info'!$E$4-11)),"W","B")</x:f>
        <x:v>B</x:v>
      </x:c>
      <x:c r="N194" t="str">
        <x:f>IF(RAND()&lt;(('Team_Info'!$E$2-COUNTIF($B194:M194,"W"))/('Team_Info'!$E$4-12)),"W","B")</x:f>
        <x:v>B</x:v>
      </x:c>
      <x:c r="O194" t="str">
        <x:f>IF(RAND()&lt;(('Team_Info'!$E$2-COUNTIF($B194:N194,"W"))/('Team_Info'!$E$4-13)),"W","B")</x:f>
        <x:v>B</x:v>
      </x:c>
      <x:c r="P194" t="str">
        <x:f>IF(RAND()&lt;(('Team_Info'!$E$2-COUNTIF($B194:O194,"W"))/('Team_Info'!$E$4-14)),"W","B")</x:f>
        <x:v>B</x:v>
      </x:c>
      <x:c r="Q194" t="str">
        <x:f>IF(RAND()&lt;(('Team_Info'!$E$2-COUNTIF($B194:P194,"W"))/('Team_Info'!$E$4-15)),"W","B")</x:f>
        <x:v>B</x:v>
      </x:c>
      <x:c r="R194" t="str">
        <x:f>IF(RAND()&lt;(('Team_Info'!$E$2-COUNTIF($B194:Q194,"W"))/('Team_Info'!$E$4-16)),"W","B")</x:f>
        <x:v>B</x:v>
      </x:c>
      <x:c r="S194" t="str">
        <x:f>IF(RAND()&lt;(('Team_Info'!$E$2-COUNTIF($B194:R194,"W"))/('Team_Info'!$E$4-17)),"W","B")</x:f>
        <x:v>B</x:v>
      </x:c>
      <x:c r="T194" t="str">
        <x:f>IF(RAND()&lt;(('Team_Info'!$E$2-COUNTIF($B194:S194,"W"))/('Team_Info'!$E$4-18)),"W","B")</x:f>
        <x:v>B</x:v>
      </x:c>
      <x:c r="U194" t="str">
        <x:f>IF(RAND()&lt;(('Team_Info'!$E$2-COUNTIF($B194:T194,"W"))/('Team_Info'!$E$4-19)),"W","B")</x:f>
        <x:v>W</x:v>
      </x:c>
    </x:row>
    <x:row r="195">
      <x:c r="A195" s="1">
        <x:v>194</x:v>
      </x:c>
      <x:c r="B195" t="str">
        <x:f>IF(RAND()&lt;'Team_Info'!$E$5,"W","B")</x:f>
        <x:v>B</x:v>
      </x:c>
      <x:c r="C195" t="str">
        <x:f>IF(RAND()&lt;(('Team_Info'!$E$2-COUNTIF($B195:B195,"W"))/('Team_Info'!$E$4-1)),"W","B")</x:f>
        <x:v>B</x:v>
      </x:c>
      <x:c r="D195" t="str">
        <x:f>IF(RAND()&lt;(('Team_Info'!$E$2-COUNTIF($B195:C195,"W"))/('Team_Info'!$E$4-2)),"W","B")</x:f>
        <x:v>B</x:v>
      </x:c>
      <x:c r="E195" t="str">
        <x:f>IF(RAND()&lt;(('Team_Info'!$E$2-COUNTIF($B195:D195,"W"))/('Team_Info'!$E$4-3)),"W","B")</x:f>
        <x:v>B</x:v>
      </x:c>
      <x:c r="F195" t="str">
        <x:f>IF(RAND()&lt;(('Team_Info'!$E$2-COUNTIF($B195:E195,"W"))/('Team_Info'!$E$4-4)),"W","B")</x:f>
        <x:v>B</x:v>
      </x:c>
      <x:c r="G195" t="str">
        <x:f>IF(RAND()&lt;(('Team_Info'!$E$2-COUNTIF($B195:F195,"W"))/('Team_Info'!$E$4-5)),"W","B")</x:f>
        <x:v>B</x:v>
      </x:c>
      <x:c r="H195" t="str">
        <x:f>IF(RAND()&lt;(('Team_Info'!$E$2-COUNTIF($B195:G195,"W"))/('Team_Info'!$E$4-6)),"W","B")</x:f>
        <x:v>W</x:v>
      </x:c>
      <x:c r="I195" t="str">
        <x:f>IF(RAND()&lt;(('Team_Info'!$E$2-COUNTIF($B195:H195,"W"))/('Team_Info'!$E$4-7)),"W","B")</x:f>
        <x:v>B</x:v>
      </x:c>
      <x:c r="J195" t="str">
        <x:f>IF(RAND()&lt;(('Team_Info'!$E$2-COUNTIF($B195:I195,"W"))/('Team_Info'!$E$4-8)),"W","B")</x:f>
        <x:v>B</x:v>
      </x:c>
      <x:c r="K195" t="str">
        <x:f>IF(RAND()&lt;(('Team_Info'!$E$2-COUNTIF($B195:J195,"W"))/('Team_Info'!$E$4-9)),"W","B")</x:f>
        <x:v>W</x:v>
      </x:c>
      <x:c r="L195" t="str">
        <x:f>IF(RAND()&lt;(('Team_Info'!$E$2-COUNTIF($B195:K195,"W"))/('Team_Info'!$E$4-10)),"W","B")</x:f>
        <x:v>W</x:v>
      </x:c>
      <x:c r="M195" t="str">
        <x:f>IF(RAND()&lt;(('Team_Info'!$E$2-COUNTIF($B195:L195,"W"))/('Team_Info'!$E$4-11)),"W","B")</x:f>
        <x:v>B</x:v>
      </x:c>
      <x:c r="N195" t="str">
        <x:f>IF(RAND()&lt;(('Team_Info'!$E$2-COUNTIF($B195:M195,"W"))/('Team_Info'!$E$4-12)),"W","B")</x:f>
        <x:v>B</x:v>
      </x:c>
      <x:c r="O195" t="str">
        <x:f>IF(RAND()&lt;(('Team_Info'!$E$2-COUNTIF($B195:N195,"W"))/('Team_Info'!$E$4-13)),"W","B")</x:f>
        <x:v>B</x:v>
      </x:c>
      <x:c r="P195" t="str">
        <x:f>IF(RAND()&lt;(('Team_Info'!$E$2-COUNTIF($B195:O195,"W"))/('Team_Info'!$E$4-14)),"W","B")</x:f>
        <x:v>B</x:v>
      </x:c>
      <x:c r="Q195" t="str">
        <x:f>IF(RAND()&lt;(('Team_Info'!$E$2-COUNTIF($B195:P195,"W"))/('Team_Info'!$E$4-15)),"W","B")</x:f>
        <x:v>W</x:v>
      </x:c>
      <x:c r="R195" t="str">
        <x:f>IF(RAND()&lt;(('Team_Info'!$E$2-COUNTIF($B195:Q195,"W"))/('Team_Info'!$E$4-16)),"W","B")</x:f>
        <x:v>W</x:v>
      </x:c>
      <x:c r="S195" t="str">
        <x:f>IF(RAND()&lt;(('Team_Info'!$E$2-COUNTIF($B195:R195,"W"))/('Team_Info'!$E$4-17)),"W","B")</x:f>
        <x:v>B</x:v>
      </x:c>
      <x:c r="T195" t="str">
        <x:f>IF(RAND()&lt;(('Team_Info'!$E$2-COUNTIF($B195:S195,"W"))/('Team_Info'!$E$4-18)),"W","B")</x:f>
        <x:v>W</x:v>
      </x:c>
      <x:c r="U195" t="str">
        <x:f>IF(RAND()&lt;(('Team_Info'!$E$2-COUNTIF($B195:T195,"W"))/('Team_Info'!$E$4-19)),"W","B")</x:f>
        <x:v>B</x:v>
      </x:c>
    </x:row>
    <x:row r="196">
      <x:c r="A196" s="1">
        <x:v>195</x:v>
      </x:c>
      <x:c r="B196" t="str">
        <x:f>IF(RAND()&lt;'Team_Info'!$E$5,"W","B")</x:f>
        <x:v>B</x:v>
      </x:c>
      <x:c r="C196" t="str">
        <x:f>IF(RAND()&lt;(('Team_Info'!$E$2-COUNTIF($B196:B196,"W"))/('Team_Info'!$E$4-1)),"W","B")</x:f>
        <x:v>B</x:v>
      </x:c>
      <x:c r="D196" t="str">
        <x:f>IF(RAND()&lt;(('Team_Info'!$E$2-COUNTIF($B196:C196,"W"))/('Team_Info'!$E$4-2)),"W","B")</x:f>
        <x:v>B</x:v>
      </x:c>
      <x:c r="E196" t="str">
        <x:f>IF(RAND()&lt;(('Team_Info'!$E$2-COUNTIF($B196:D196,"W"))/('Team_Info'!$E$4-3)),"W","B")</x:f>
        <x:v>W</x:v>
      </x:c>
      <x:c r="F196" t="str">
        <x:f>IF(RAND()&lt;(('Team_Info'!$E$2-COUNTIF($B196:E196,"W"))/('Team_Info'!$E$4-4)),"W","B")</x:f>
        <x:v>B</x:v>
      </x:c>
      <x:c r="G196" t="str">
        <x:f>IF(RAND()&lt;(('Team_Info'!$E$2-COUNTIF($B196:F196,"W"))/('Team_Info'!$E$4-5)),"W","B")</x:f>
        <x:v>W</x:v>
      </x:c>
      <x:c r="H196" t="str">
        <x:f>IF(RAND()&lt;(('Team_Info'!$E$2-COUNTIF($B196:G196,"W"))/('Team_Info'!$E$4-6)),"W","B")</x:f>
        <x:v>B</x:v>
      </x:c>
      <x:c r="I196" t="str">
        <x:f>IF(RAND()&lt;(('Team_Info'!$E$2-COUNTIF($B196:H196,"W"))/('Team_Info'!$E$4-7)),"W","B")</x:f>
        <x:v>B</x:v>
      </x:c>
      <x:c r="J196" t="str">
        <x:f>IF(RAND()&lt;(('Team_Info'!$E$2-COUNTIF($B196:I196,"W"))/('Team_Info'!$E$4-8)),"W","B")</x:f>
        <x:v>B</x:v>
      </x:c>
      <x:c r="K196" t="str">
        <x:f>IF(RAND()&lt;(('Team_Info'!$E$2-COUNTIF($B196:J196,"W"))/('Team_Info'!$E$4-9)),"W","B")</x:f>
        <x:v>B</x:v>
      </x:c>
      <x:c r="L196" t="str">
        <x:f>IF(RAND()&lt;(('Team_Info'!$E$2-COUNTIF($B196:K196,"W"))/('Team_Info'!$E$4-10)),"W","B")</x:f>
        <x:v>W</x:v>
      </x:c>
      <x:c r="M196" t="str">
        <x:f>IF(RAND()&lt;(('Team_Info'!$E$2-COUNTIF($B196:L196,"W"))/('Team_Info'!$E$4-11)),"W","B")</x:f>
        <x:v>B</x:v>
      </x:c>
      <x:c r="N196" t="str">
        <x:f>IF(RAND()&lt;(('Team_Info'!$E$2-COUNTIF($B196:M196,"W"))/('Team_Info'!$E$4-12)),"W","B")</x:f>
        <x:v>B</x:v>
      </x:c>
      <x:c r="O196" t="str">
        <x:f>IF(RAND()&lt;(('Team_Info'!$E$2-COUNTIF($B196:N196,"W"))/('Team_Info'!$E$4-13)),"W","B")</x:f>
        <x:v>W</x:v>
      </x:c>
      <x:c r="P196" t="str">
        <x:f>IF(RAND()&lt;(('Team_Info'!$E$2-COUNTIF($B196:O196,"W"))/('Team_Info'!$E$4-14)),"W","B")</x:f>
        <x:v>B</x:v>
      </x:c>
      <x:c r="Q196" t="str">
        <x:f>IF(RAND()&lt;(('Team_Info'!$E$2-COUNTIF($B196:P196,"W"))/('Team_Info'!$E$4-15)),"W","B")</x:f>
        <x:v>B</x:v>
      </x:c>
      <x:c r="R196" t="str">
        <x:f>IF(RAND()&lt;(('Team_Info'!$E$2-COUNTIF($B196:Q196,"W"))/('Team_Info'!$E$4-16)),"W","B")</x:f>
        <x:v>W</x:v>
      </x:c>
      <x:c r="S196" t="str">
        <x:f>IF(RAND()&lt;(('Team_Info'!$E$2-COUNTIF($B196:R196,"W"))/('Team_Info'!$E$4-17)),"W","B")</x:f>
        <x:v>B</x:v>
      </x:c>
      <x:c r="T196" t="str">
        <x:f>IF(RAND()&lt;(('Team_Info'!$E$2-COUNTIF($B196:S196,"W"))/('Team_Info'!$E$4-18)),"W","B")</x:f>
        <x:v>W</x:v>
      </x:c>
      <x:c r="U196" t="str">
        <x:f>IF(RAND()&lt;(('Team_Info'!$E$2-COUNTIF($B196:T196,"W"))/('Team_Info'!$E$4-19)),"W","B")</x:f>
        <x:v>W</x:v>
      </x:c>
    </x:row>
    <x:row r="197">
      <x:c r="A197" s="1">
        <x:v>196</x:v>
      </x:c>
      <x:c r="B197" t="str">
        <x:f>IF(RAND()&lt;'Team_Info'!$E$5,"W","B")</x:f>
        <x:v>W</x:v>
      </x:c>
      <x:c r="C197" t="str">
        <x:f>IF(RAND()&lt;(('Team_Info'!$E$2-COUNTIF($B197:B197,"W"))/('Team_Info'!$E$4-1)),"W","B")</x:f>
        <x:v>B</x:v>
      </x:c>
      <x:c r="D197" t="str">
        <x:f>IF(RAND()&lt;(('Team_Info'!$E$2-COUNTIF($B197:C197,"W"))/('Team_Info'!$E$4-2)),"W","B")</x:f>
        <x:v>W</x:v>
      </x:c>
      <x:c r="E197" t="str">
        <x:f>IF(RAND()&lt;(('Team_Info'!$E$2-COUNTIF($B197:D197,"W"))/('Team_Info'!$E$4-3)),"W","B")</x:f>
        <x:v>B</x:v>
      </x:c>
      <x:c r="F197" t="str">
        <x:f>IF(RAND()&lt;(('Team_Info'!$E$2-COUNTIF($B197:E197,"W"))/('Team_Info'!$E$4-4)),"W","B")</x:f>
        <x:v>W</x:v>
      </x:c>
      <x:c r="G197" t="str">
        <x:f>IF(RAND()&lt;(('Team_Info'!$E$2-COUNTIF($B197:F197,"W"))/('Team_Info'!$E$4-5)),"W","B")</x:f>
        <x:v>B</x:v>
      </x:c>
      <x:c r="H197" t="str">
        <x:f>IF(RAND()&lt;(('Team_Info'!$E$2-COUNTIF($B197:G197,"W"))/('Team_Info'!$E$4-6)),"W","B")</x:f>
        <x:v>W</x:v>
      </x:c>
      <x:c r="I197" t="str">
        <x:f>IF(RAND()&lt;(('Team_Info'!$E$2-COUNTIF($B197:H197,"W"))/('Team_Info'!$E$4-7)),"W","B")</x:f>
        <x:v>B</x:v>
      </x:c>
      <x:c r="J197" t="str">
        <x:f>IF(RAND()&lt;(('Team_Info'!$E$2-COUNTIF($B197:I197,"W"))/('Team_Info'!$E$4-8)),"W","B")</x:f>
        <x:v>B</x:v>
      </x:c>
      <x:c r="K197" t="str">
        <x:f>IF(RAND()&lt;(('Team_Info'!$E$2-COUNTIF($B197:J197,"W"))/('Team_Info'!$E$4-9)),"W","B")</x:f>
        <x:v>W</x:v>
      </x:c>
      <x:c r="L197" t="str">
        <x:f>IF(RAND()&lt;(('Team_Info'!$E$2-COUNTIF($B197:K197,"W"))/('Team_Info'!$E$4-10)),"W","B")</x:f>
        <x:v>B</x:v>
      </x:c>
      <x:c r="M197" t="str">
        <x:f>IF(RAND()&lt;(('Team_Info'!$E$2-COUNTIF($B197:L197,"W"))/('Team_Info'!$E$4-11)),"W","B")</x:f>
        <x:v>B</x:v>
      </x:c>
      <x:c r="N197" t="str">
        <x:f>IF(RAND()&lt;(('Team_Info'!$E$2-COUNTIF($B197:M197,"W"))/('Team_Info'!$E$4-12)),"W","B")</x:f>
        <x:v>B</x:v>
      </x:c>
      <x:c r="O197" t="str">
        <x:f>IF(RAND()&lt;(('Team_Info'!$E$2-COUNTIF($B197:N197,"W"))/('Team_Info'!$E$4-13)),"W","B")</x:f>
        <x:v>B</x:v>
      </x:c>
      <x:c r="P197" t="str">
        <x:f>IF(RAND()&lt;(('Team_Info'!$E$2-COUNTIF($B197:O197,"W"))/('Team_Info'!$E$4-14)),"W","B")</x:f>
        <x:v>B</x:v>
      </x:c>
      <x:c r="Q197" t="str">
        <x:f>IF(RAND()&lt;(('Team_Info'!$E$2-COUNTIF($B197:P197,"W"))/('Team_Info'!$E$4-15)),"W","B")</x:f>
        <x:v>B</x:v>
      </x:c>
      <x:c r="R197" t="str">
        <x:f>IF(RAND()&lt;(('Team_Info'!$E$2-COUNTIF($B197:Q197,"W"))/('Team_Info'!$E$4-16)),"W","B")</x:f>
        <x:v>B</x:v>
      </x:c>
      <x:c r="S197" t="str">
        <x:f>IF(RAND()&lt;(('Team_Info'!$E$2-COUNTIF($B197:R197,"W"))/('Team_Info'!$E$4-17)),"W","B")</x:f>
        <x:v>B</x:v>
      </x:c>
      <x:c r="T197" t="str">
        <x:f>IF(RAND()&lt;(('Team_Info'!$E$2-COUNTIF($B197:S197,"W"))/('Team_Info'!$E$4-18)),"W","B")</x:f>
        <x:v>B</x:v>
      </x:c>
      <x:c r="U197" t="str">
        <x:f>IF(RAND()&lt;(('Team_Info'!$E$2-COUNTIF($B197:T197,"W"))/('Team_Info'!$E$4-19)),"W","B")</x:f>
        <x:v>W</x:v>
      </x:c>
    </x:row>
    <x:row r="198">
      <x:c r="A198" s="1">
        <x:v>197</x:v>
      </x:c>
      <x:c r="B198" t="str">
        <x:f>IF(RAND()&lt;'Team_Info'!$E$5,"W","B")</x:f>
        <x:v>B</x:v>
      </x:c>
      <x:c r="C198" t="str">
        <x:f>IF(RAND()&lt;(('Team_Info'!$E$2-COUNTIF($B198:B198,"W"))/('Team_Info'!$E$4-1)),"W","B")</x:f>
        <x:v>W</x:v>
      </x:c>
      <x:c r="D198" t="str">
        <x:f>IF(RAND()&lt;(('Team_Info'!$E$2-COUNTIF($B198:C198,"W"))/('Team_Info'!$E$4-2)),"W","B")</x:f>
        <x:v>B</x:v>
      </x:c>
      <x:c r="E198" t="str">
        <x:f>IF(RAND()&lt;(('Team_Info'!$E$2-COUNTIF($B198:D198,"W"))/('Team_Info'!$E$4-3)),"W","B")</x:f>
        <x:v>B</x:v>
      </x:c>
      <x:c r="F198" t="str">
        <x:f>IF(RAND()&lt;(('Team_Info'!$E$2-COUNTIF($B198:E198,"W"))/('Team_Info'!$E$4-4)),"W","B")</x:f>
        <x:v>B</x:v>
      </x:c>
      <x:c r="G198" t="str">
        <x:f>IF(RAND()&lt;(('Team_Info'!$E$2-COUNTIF($B198:F198,"W"))/('Team_Info'!$E$4-5)),"W","B")</x:f>
        <x:v>W</x:v>
      </x:c>
      <x:c r="H198" t="str">
        <x:f>IF(RAND()&lt;(('Team_Info'!$E$2-COUNTIF($B198:G198,"W"))/('Team_Info'!$E$4-6)),"W","B")</x:f>
        <x:v>W</x:v>
      </x:c>
      <x:c r="I198" t="str">
        <x:f>IF(RAND()&lt;(('Team_Info'!$E$2-COUNTIF($B198:H198,"W"))/('Team_Info'!$E$4-7)),"W","B")</x:f>
        <x:v>B</x:v>
      </x:c>
      <x:c r="J198" t="str">
        <x:f>IF(RAND()&lt;(('Team_Info'!$E$2-COUNTIF($B198:I198,"W"))/('Team_Info'!$E$4-8)),"W","B")</x:f>
        <x:v>W</x:v>
      </x:c>
      <x:c r="K198" t="str">
        <x:f>IF(RAND()&lt;(('Team_Info'!$E$2-COUNTIF($B198:J198,"W"))/('Team_Info'!$E$4-9)),"W","B")</x:f>
        <x:v>B</x:v>
      </x:c>
      <x:c r="L198" t="str">
        <x:f>IF(RAND()&lt;(('Team_Info'!$E$2-COUNTIF($B198:K198,"W"))/('Team_Info'!$E$4-10)),"W","B")</x:f>
        <x:v>B</x:v>
      </x:c>
      <x:c r="M198" t="str">
        <x:f>IF(RAND()&lt;(('Team_Info'!$E$2-COUNTIF($B198:L198,"W"))/('Team_Info'!$E$4-11)),"W","B")</x:f>
        <x:v>W</x:v>
      </x:c>
      <x:c r="N198" t="str">
        <x:f>IF(RAND()&lt;(('Team_Info'!$E$2-COUNTIF($B198:M198,"W"))/('Team_Info'!$E$4-12)),"W","B")</x:f>
        <x:v>W</x:v>
      </x:c>
      <x:c r="O198" t="str">
        <x:f>IF(RAND()&lt;(('Team_Info'!$E$2-COUNTIF($B198:N198,"W"))/('Team_Info'!$E$4-13)),"W","B")</x:f>
        <x:v>B</x:v>
      </x:c>
      <x:c r="P198" t="str">
        <x:f>IF(RAND()&lt;(('Team_Info'!$E$2-COUNTIF($B198:O198,"W"))/('Team_Info'!$E$4-14)),"W","B")</x:f>
        <x:v>B</x:v>
      </x:c>
      <x:c r="Q198" t="str">
        <x:f>IF(RAND()&lt;(('Team_Info'!$E$2-COUNTIF($B198:P198,"W"))/('Team_Info'!$E$4-15)),"W","B")</x:f>
        <x:v>W</x:v>
      </x:c>
      <x:c r="R198" t="str">
        <x:f>IF(RAND()&lt;(('Team_Info'!$E$2-COUNTIF($B198:Q198,"W"))/('Team_Info'!$E$4-16)),"W","B")</x:f>
        <x:v>B</x:v>
      </x:c>
      <x:c r="S198" t="str">
        <x:f>IF(RAND()&lt;(('Team_Info'!$E$2-COUNTIF($B198:R198,"W"))/('Team_Info'!$E$4-17)),"W","B")</x:f>
        <x:v>B</x:v>
      </x:c>
      <x:c r="T198" t="str">
        <x:f>IF(RAND()&lt;(('Team_Info'!$E$2-COUNTIF($B198:S198,"W"))/('Team_Info'!$E$4-18)),"W","B")</x:f>
        <x:v>B</x:v>
      </x:c>
      <x:c r="U198" t="str">
        <x:f>IF(RAND()&lt;(('Team_Info'!$E$2-COUNTIF($B198:T198,"W"))/('Team_Info'!$E$4-19)),"W","B")</x:f>
        <x:v>B</x:v>
      </x:c>
    </x:row>
    <x:row r="199">
      <x:c r="A199" s="1">
        <x:v>198</x:v>
      </x:c>
      <x:c r="B199" t="str">
        <x:f>IF(RAND()&lt;'Team_Info'!$E$5,"W","B")</x:f>
        <x:v>B</x:v>
      </x:c>
      <x:c r="C199" t="str">
        <x:f>IF(RAND()&lt;(('Team_Info'!$E$2-COUNTIF($B199:B199,"W"))/('Team_Info'!$E$4-1)),"W","B")</x:f>
        <x:v>B</x:v>
      </x:c>
      <x:c r="D199" t="str">
        <x:f>IF(RAND()&lt;(('Team_Info'!$E$2-COUNTIF($B199:C199,"W"))/('Team_Info'!$E$4-2)),"W","B")</x:f>
        <x:v>B</x:v>
      </x:c>
      <x:c r="E199" t="str">
        <x:f>IF(RAND()&lt;(('Team_Info'!$E$2-COUNTIF($B199:D199,"W"))/('Team_Info'!$E$4-3)),"W","B")</x:f>
        <x:v>W</x:v>
      </x:c>
      <x:c r="F199" t="str">
        <x:f>IF(RAND()&lt;(('Team_Info'!$E$2-COUNTIF($B199:E199,"W"))/('Team_Info'!$E$4-4)),"W","B")</x:f>
        <x:v>B</x:v>
      </x:c>
      <x:c r="G199" t="str">
        <x:f>IF(RAND()&lt;(('Team_Info'!$E$2-COUNTIF($B199:F199,"W"))/('Team_Info'!$E$4-5)),"W","B")</x:f>
        <x:v>B</x:v>
      </x:c>
      <x:c r="H199" t="str">
        <x:f>IF(RAND()&lt;(('Team_Info'!$E$2-COUNTIF($B199:G199,"W"))/('Team_Info'!$E$4-6)),"W","B")</x:f>
        <x:v>B</x:v>
      </x:c>
      <x:c r="I199" t="str">
        <x:f>IF(RAND()&lt;(('Team_Info'!$E$2-COUNTIF($B199:H199,"W"))/('Team_Info'!$E$4-7)),"W","B")</x:f>
        <x:v>W</x:v>
      </x:c>
      <x:c r="J199" t="str">
        <x:f>IF(RAND()&lt;(('Team_Info'!$E$2-COUNTIF($B199:I199,"W"))/('Team_Info'!$E$4-8)),"W","B")</x:f>
        <x:v>W</x:v>
      </x:c>
      <x:c r="K199" t="str">
        <x:f>IF(RAND()&lt;(('Team_Info'!$E$2-COUNTIF($B199:J199,"W"))/('Team_Info'!$E$4-9)),"W","B")</x:f>
        <x:v>B</x:v>
      </x:c>
      <x:c r="L199" t="str">
        <x:f>IF(RAND()&lt;(('Team_Info'!$E$2-COUNTIF($B199:K199,"W"))/('Team_Info'!$E$4-10)),"W","B")</x:f>
        <x:v>B</x:v>
      </x:c>
      <x:c r="M199" t="str">
        <x:f>IF(RAND()&lt;(('Team_Info'!$E$2-COUNTIF($B199:L199,"W"))/('Team_Info'!$E$4-11)),"W","B")</x:f>
        <x:v>B</x:v>
      </x:c>
      <x:c r="N199" t="str">
        <x:f>IF(RAND()&lt;(('Team_Info'!$E$2-COUNTIF($B199:M199,"W"))/('Team_Info'!$E$4-12)),"W","B")</x:f>
        <x:v>W</x:v>
      </x:c>
      <x:c r="O199" t="str">
        <x:f>IF(RAND()&lt;(('Team_Info'!$E$2-COUNTIF($B199:N199,"W"))/('Team_Info'!$E$4-13)),"W","B")</x:f>
        <x:v>B</x:v>
      </x:c>
      <x:c r="P199" t="str">
        <x:f>IF(RAND()&lt;(('Team_Info'!$E$2-COUNTIF($B199:O199,"W"))/('Team_Info'!$E$4-14)),"W","B")</x:f>
        <x:v>B</x:v>
      </x:c>
      <x:c r="Q199" t="str">
        <x:f>IF(RAND()&lt;(('Team_Info'!$E$2-COUNTIF($B199:P199,"W"))/('Team_Info'!$E$4-15)),"W","B")</x:f>
        <x:v>W</x:v>
      </x:c>
      <x:c r="R199" t="str">
        <x:f>IF(RAND()&lt;(('Team_Info'!$E$2-COUNTIF($B199:Q199,"W"))/('Team_Info'!$E$4-16)),"W","B")</x:f>
        <x:v>W</x:v>
      </x:c>
      <x:c r="S199" t="str">
        <x:f>IF(RAND()&lt;(('Team_Info'!$E$2-COUNTIF($B199:R199,"W"))/('Team_Info'!$E$4-17)),"W","B")</x:f>
        <x:v>B</x:v>
      </x:c>
      <x:c r="T199" t="str">
        <x:f>IF(RAND()&lt;(('Team_Info'!$E$2-COUNTIF($B199:S199,"W"))/('Team_Info'!$E$4-18)),"W","B")</x:f>
        <x:v>B</x:v>
      </x:c>
      <x:c r="U199" t="str">
        <x:f>IF(RAND()&lt;(('Team_Info'!$E$2-COUNTIF($B199:T199,"W"))/('Team_Info'!$E$4-19)),"W","B")</x:f>
        <x:v>B</x:v>
      </x:c>
    </x:row>
    <x:row r="200">
      <x:c r="A200" s="1">
        <x:v>199</x:v>
      </x:c>
      <x:c r="B200" t="str">
        <x:f>IF(RAND()&lt;'Team_Info'!$E$5,"W","B")</x:f>
        <x:v>W</x:v>
      </x:c>
      <x:c r="C200" t="str">
        <x:f>IF(RAND()&lt;(('Team_Info'!$E$2-COUNTIF($B200:B200,"W"))/('Team_Info'!$E$4-1)),"W","B")</x:f>
        <x:v>W</x:v>
      </x:c>
      <x:c r="D200" t="str">
        <x:f>IF(RAND()&lt;(('Team_Info'!$E$2-COUNTIF($B200:C200,"W"))/('Team_Info'!$E$4-2)),"W","B")</x:f>
        <x:v>B</x:v>
      </x:c>
      <x:c r="E200" t="str">
        <x:f>IF(RAND()&lt;(('Team_Info'!$E$2-COUNTIF($B200:D200,"W"))/('Team_Info'!$E$4-3)),"W","B")</x:f>
        <x:v>B</x:v>
      </x:c>
      <x:c r="F200" t="str">
        <x:f>IF(RAND()&lt;(('Team_Info'!$E$2-COUNTIF($B200:E200,"W"))/('Team_Info'!$E$4-4)),"W","B")</x:f>
        <x:v>W</x:v>
      </x:c>
      <x:c r="G200" t="str">
        <x:f>IF(RAND()&lt;(('Team_Info'!$E$2-COUNTIF($B200:F200,"W"))/('Team_Info'!$E$4-5)),"W","B")</x:f>
        <x:v>W</x:v>
      </x:c>
      <x:c r="H200" t="str">
        <x:f>IF(RAND()&lt;(('Team_Info'!$E$2-COUNTIF($B200:G200,"W"))/('Team_Info'!$E$4-6)),"W","B")</x:f>
        <x:v>B</x:v>
      </x:c>
      <x:c r="I200" t="str">
        <x:f>IF(RAND()&lt;(('Team_Info'!$E$2-COUNTIF($B200:H200,"W"))/('Team_Info'!$E$4-7)),"W","B")</x:f>
        <x:v>B</x:v>
      </x:c>
      <x:c r="J200" t="str">
        <x:f>IF(RAND()&lt;(('Team_Info'!$E$2-COUNTIF($B200:I200,"W"))/('Team_Info'!$E$4-8)),"W","B")</x:f>
        <x:v>W</x:v>
      </x:c>
      <x:c r="K200" t="str">
        <x:f>IF(RAND()&lt;(('Team_Info'!$E$2-COUNTIF($B200:J200,"W"))/('Team_Info'!$E$4-9)),"W","B")</x:f>
        <x:v>W</x:v>
      </x:c>
      <x:c r="L200" t="str">
        <x:f>IF(RAND()&lt;(('Team_Info'!$E$2-COUNTIF($B200:K200,"W"))/('Team_Info'!$E$4-10)),"W","B")</x:f>
        <x:v>B</x:v>
      </x:c>
      <x:c r="M200" t="str">
        <x:f>IF(RAND()&lt;(('Team_Info'!$E$2-COUNTIF($B200:L200,"W"))/('Team_Info'!$E$4-11)),"W","B")</x:f>
        <x:v>W</x:v>
      </x:c>
      <x:c r="N200" t="str">
        <x:f>IF(RAND()&lt;(('Team_Info'!$E$2-COUNTIF($B200:M200,"W"))/('Team_Info'!$E$4-12)),"W","B")</x:f>
        <x:v>B</x:v>
      </x:c>
      <x:c r="O200" t="str">
        <x:f>IF(RAND()&lt;(('Team_Info'!$E$2-COUNTIF($B200:N200,"W"))/('Team_Info'!$E$4-13)),"W","B")</x:f>
        <x:v>W</x:v>
      </x:c>
      <x:c r="P200" t="str">
        <x:f>IF(RAND()&lt;(('Team_Info'!$E$2-COUNTIF($B200:O200,"W"))/('Team_Info'!$E$4-14)),"W","B")</x:f>
        <x:v>B</x:v>
      </x:c>
      <x:c r="Q200" t="str">
        <x:f>IF(RAND()&lt;(('Team_Info'!$E$2-COUNTIF($B200:P200,"W"))/('Team_Info'!$E$4-15)),"W","B")</x:f>
        <x:v>B</x:v>
      </x:c>
      <x:c r="R200" t="str">
        <x:f>IF(RAND()&lt;(('Team_Info'!$E$2-COUNTIF($B200:Q200,"W"))/('Team_Info'!$E$4-16)),"W","B")</x:f>
        <x:v>W</x:v>
      </x:c>
      <x:c r="S200" t="str">
        <x:f>IF(RAND()&lt;(('Team_Info'!$E$2-COUNTIF($B200:R200,"W"))/('Team_Info'!$E$4-17)),"W","B")</x:f>
        <x:v>W</x:v>
      </x:c>
      <x:c r="T200" t="str">
        <x:f>IF(RAND()&lt;(('Team_Info'!$E$2-COUNTIF($B200:S200,"W"))/('Team_Info'!$E$4-18)),"W","B")</x:f>
        <x:v>W</x:v>
      </x:c>
      <x:c r="U200" t="str">
        <x:f>IF(RAND()&lt;(('Team_Info'!$E$2-COUNTIF($B200:T200,"W"))/('Team_Info'!$E$4-19)),"W","B")</x:f>
        <x:v>W</x:v>
      </x:c>
    </x:row>
    <x:row r="201">
      <x:c r="A201" s="1">
        <x:v>200</x:v>
      </x:c>
      <x:c r="B201" t="str">
        <x:f>IF(RAND()&lt;'Team_Info'!$E$5,"W","B")</x:f>
        <x:v>W</x:v>
      </x:c>
      <x:c r="C201" t="str">
        <x:f>IF(RAND()&lt;(('Team_Info'!$E$2-COUNTIF($B201:B201,"W"))/('Team_Info'!$E$4-1)),"W","B")</x:f>
        <x:v>W</x:v>
      </x:c>
      <x:c r="D201" t="str">
        <x:f>IF(RAND()&lt;(('Team_Info'!$E$2-COUNTIF($B201:C201,"W"))/('Team_Info'!$E$4-2)),"W","B")</x:f>
        <x:v>B</x:v>
      </x:c>
      <x:c r="E201" t="str">
        <x:f>IF(RAND()&lt;(('Team_Info'!$E$2-COUNTIF($B201:D201,"W"))/('Team_Info'!$E$4-3)),"W","B")</x:f>
        <x:v>B</x:v>
      </x:c>
      <x:c r="F201" t="str">
        <x:f>IF(RAND()&lt;(('Team_Info'!$E$2-COUNTIF($B201:E201,"W"))/('Team_Info'!$E$4-4)),"W","B")</x:f>
        <x:v>W</x:v>
      </x:c>
      <x:c r="G201" t="str">
        <x:f>IF(RAND()&lt;(('Team_Info'!$E$2-COUNTIF($B201:F201,"W"))/('Team_Info'!$E$4-5)),"W","B")</x:f>
        <x:v>B</x:v>
      </x:c>
      <x:c r="H201" t="str">
        <x:f>IF(RAND()&lt;(('Team_Info'!$E$2-COUNTIF($B201:G201,"W"))/('Team_Info'!$E$4-6)),"W","B")</x:f>
        <x:v>B</x:v>
      </x:c>
      <x:c r="I201" t="str">
        <x:f>IF(RAND()&lt;(('Team_Info'!$E$2-COUNTIF($B201:H201,"W"))/('Team_Info'!$E$4-7)),"W","B")</x:f>
        <x:v>W</x:v>
      </x:c>
      <x:c r="J201" t="str">
        <x:f>IF(RAND()&lt;(('Team_Info'!$E$2-COUNTIF($B201:I201,"W"))/('Team_Info'!$E$4-8)),"W","B")</x:f>
        <x:v>B</x:v>
      </x:c>
      <x:c r="K201" t="str">
        <x:f>IF(RAND()&lt;(('Team_Info'!$E$2-COUNTIF($B201:J201,"W"))/('Team_Info'!$E$4-9)),"W","B")</x:f>
        <x:v>B</x:v>
      </x:c>
      <x:c r="L201" t="str">
        <x:f>IF(RAND()&lt;(('Team_Info'!$E$2-COUNTIF($B201:K201,"W"))/('Team_Info'!$E$4-10)),"W","B")</x:f>
        <x:v>W</x:v>
      </x:c>
      <x:c r="M201" t="str">
        <x:f>IF(RAND()&lt;(('Team_Info'!$E$2-COUNTIF($B201:L201,"W"))/('Team_Info'!$E$4-11)),"W","B")</x:f>
        <x:v>B</x:v>
      </x:c>
      <x:c r="N201" t="str">
        <x:f>IF(RAND()&lt;(('Team_Info'!$E$2-COUNTIF($B201:M201,"W"))/('Team_Info'!$E$4-12)),"W","B")</x:f>
        <x:v>W</x:v>
      </x:c>
      <x:c r="O201" t="str">
        <x:f>IF(RAND()&lt;(('Team_Info'!$E$2-COUNTIF($B201:N201,"W"))/('Team_Info'!$E$4-13)),"W","B")</x:f>
        <x:v>B</x:v>
      </x:c>
      <x:c r="P201" t="str">
        <x:f>IF(RAND()&lt;(('Team_Info'!$E$2-COUNTIF($B201:O201,"W"))/('Team_Info'!$E$4-14)),"W","B")</x:f>
        <x:v>B</x:v>
      </x:c>
      <x:c r="Q201" t="str">
        <x:f>IF(RAND()&lt;(('Team_Info'!$E$2-COUNTIF($B201:P201,"W"))/('Team_Info'!$E$4-15)),"W","B")</x:f>
        <x:v>B</x:v>
      </x:c>
      <x:c r="R201" t="str">
        <x:f>IF(RAND()&lt;(('Team_Info'!$E$2-COUNTIF($B201:Q201,"W"))/('Team_Info'!$E$4-16)),"W","B")</x:f>
        <x:v>W</x:v>
      </x:c>
      <x:c r="S201" t="str">
        <x:f>IF(RAND()&lt;(('Team_Info'!$E$2-COUNTIF($B201:R201,"W"))/('Team_Info'!$E$4-17)),"W","B")</x:f>
        <x:v>B</x:v>
      </x:c>
      <x:c r="T201" t="str">
        <x:f>IF(RAND()&lt;(('Team_Info'!$E$2-COUNTIF($B201:S201,"W"))/('Team_Info'!$E$4-18)),"W","B")</x:f>
        <x:v>B</x:v>
      </x:c>
      <x:c r="U201" t="str">
        <x:f>IF(RAND()&lt;(('Team_Info'!$E$2-COUNTIF($B201:T201,"W"))/('Team_Info'!$E$4-19)),"W","B")</x:f>
        <x:v>B</x:v>
      </x:c>
    </x:row>
    <x:row r="202">
      <x:c r="A202" s="1">
        <x:v>201</x:v>
      </x:c>
      <x:c r="B202" t="str">
        <x:f>IF(RAND()&lt;'Team_Info'!$E$5,"W","B")</x:f>
        <x:v>B</x:v>
      </x:c>
      <x:c r="C202" t="str">
        <x:f>IF(RAND()&lt;(('Team_Info'!$E$2-COUNTIF($B202:B202,"W"))/('Team_Info'!$E$4-1)),"W","B")</x:f>
        <x:v>B</x:v>
      </x:c>
      <x:c r="D202" t="str">
        <x:f>IF(RAND()&lt;(('Team_Info'!$E$2-COUNTIF($B202:C202,"W"))/('Team_Info'!$E$4-2)),"W","B")</x:f>
        <x:v>B</x:v>
      </x:c>
      <x:c r="E202" t="str">
        <x:f>IF(RAND()&lt;(('Team_Info'!$E$2-COUNTIF($B202:D202,"W"))/('Team_Info'!$E$4-3)),"W","B")</x:f>
        <x:v>B</x:v>
      </x:c>
      <x:c r="F202" t="str">
        <x:f>IF(RAND()&lt;(('Team_Info'!$E$2-COUNTIF($B202:E202,"W"))/('Team_Info'!$E$4-4)),"W","B")</x:f>
        <x:v>W</x:v>
      </x:c>
      <x:c r="G202" t="str">
        <x:f>IF(RAND()&lt;(('Team_Info'!$E$2-COUNTIF($B202:F202,"W"))/('Team_Info'!$E$4-5)),"W","B")</x:f>
        <x:v>B</x:v>
      </x:c>
      <x:c r="H202" t="str">
        <x:f>IF(RAND()&lt;(('Team_Info'!$E$2-COUNTIF($B202:G202,"W"))/('Team_Info'!$E$4-6)),"W","B")</x:f>
        <x:v>W</x:v>
      </x:c>
      <x:c r="I202" t="str">
        <x:f>IF(RAND()&lt;(('Team_Info'!$E$2-COUNTIF($B202:H202,"W"))/('Team_Info'!$E$4-7)),"W","B")</x:f>
        <x:v>B</x:v>
      </x:c>
      <x:c r="J202" t="str">
        <x:f>IF(RAND()&lt;(('Team_Info'!$E$2-COUNTIF($B202:I202,"W"))/('Team_Info'!$E$4-8)),"W","B")</x:f>
        <x:v>W</x:v>
      </x:c>
      <x:c r="K202" t="str">
        <x:f>IF(RAND()&lt;(('Team_Info'!$E$2-COUNTIF($B202:J202,"W"))/('Team_Info'!$E$4-9)),"W","B")</x:f>
        <x:v>B</x:v>
      </x:c>
      <x:c r="L202" t="str">
        <x:f>IF(RAND()&lt;(('Team_Info'!$E$2-COUNTIF($B202:K202,"W"))/('Team_Info'!$E$4-10)),"W","B")</x:f>
        <x:v>B</x:v>
      </x:c>
      <x:c r="M202" t="str">
        <x:f>IF(RAND()&lt;(('Team_Info'!$E$2-COUNTIF($B202:L202,"W"))/('Team_Info'!$E$4-11)),"W","B")</x:f>
        <x:v>W</x:v>
      </x:c>
      <x:c r="N202" t="str">
        <x:f>IF(RAND()&lt;(('Team_Info'!$E$2-COUNTIF($B202:M202,"W"))/('Team_Info'!$E$4-12)),"W","B")</x:f>
        <x:v>B</x:v>
      </x:c>
      <x:c r="O202" t="str">
        <x:f>IF(RAND()&lt;(('Team_Info'!$E$2-COUNTIF($B202:N202,"W"))/('Team_Info'!$E$4-13)),"W","B")</x:f>
        <x:v>B</x:v>
      </x:c>
      <x:c r="P202" t="str">
        <x:f>IF(RAND()&lt;(('Team_Info'!$E$2-COUNTIF($B202:O202,"W"))/('Team_Info'!$E$4-14)),"W","B")</x:f>
        <x:v>W</x:v>
      </x:c>
      <x:c r="Q202" t="str">
        <x:f>IF(RAND()&lt;(('Team_Info'!$E$2-COUNTIF($B202:P202,"W"))/('Team_Info'!$E$4-15)),"W","B")</x:f>
        <x:v>W</x:v>
      </x:c>
      <x:c r="R202" t="str">
        <x:f>IF(RAND()&lt;(('Team_Info'!$E$2-COUNTIF($B202:Q202,"W"))/('Team_Info'!$E$4-16)),"W","B")</x:f>
        <x:v>W</x:v>
      </x:c>
      <x:c r="S202" t="str">
        <x:f>IF(RAND()&lt;(('Team_Info'!$E$2-COUNTIF($B202:R202,"W"))/('Team_Info'!$E$4-17)),"W","B")</x:f>
        <x:v>B</x:v>
      </x:c>
      <x:c r="T202" t="str">
        <x:f>IF(RAND()&lt;(('Team_Info'!$E$2-COUNTIF($B202:S202,"W"))/('Team_Info'!$E$4-18)),"W","B")</x:f>
        <x:v>B</x:v>
      </x:c>
      <x:c r="U202" t="str">
        <x:f>IF(RAND()&lt;(('Team_Info'!$E$2-COUNTIF($B202:T202,"W"))/('Team_Info'!$E$4-19)),"W","B")</x:f>
        <x:v>W</x:v>
      </x:c>
    </x:row>
    <x:row r="203">
      <x:c r="A203" s="1">
        <x:v>202</x:v>
      </x:c>
      <x:c r="B203" t="str">
        <x:f>IF(RAND()&lt;'Team_Info'!$E$5,"W","B")</x:f>
        <x:v>W</x:v>
      </x:c>
      <x:c r="C203" t="str">
        <x:f>IF(RAND()&lt;(('Team_Info'!$E$2-COUNTIF($B203:B203,"W"))/('Team_Info'!$E$4-1)),"W","B")</x:f>
        <x:v>B</x:v>
      </x:c>
      <x:c r="D203" t="str">
        <x:f>IF(RAND()&lt;(('Team_Info'!$E$2-COUNTIF($B203:C203,"W"))/('Team_Info'!$E$4-2)),"W","B")</x:f>
        <x:v>W</x:v>
      </x:c>
      <x:c r="E203" t="str">
        <x:f>IF(RAND()&lt;(('Team_Info'!$E$2-COUNTIF($B203:D203,"W"))/('Team_Info'!$E$4-3)),"W","B")</x:f>
        <x:v>B</x:v>
      </x:c>
      <x:c r="F203" t="str">
        <x:f>IF(RAND()&lt;(('Team_Info'!$E$2-COUNTIF($B203:E203,"W"))/('Team_Info'!$E$4-4)),"W","B")</x:f>
        <x:v>B</x:v>
      </x:c>
      <x:c r="G203" t="str">
        <x:f>IF(RAND()&lt;(('Team_Info'!$E$2-COUNTIF($B203:F203,"W"))/('Team_Info'!$E$4-5)),"W","B")</x:f>
        <x:v>W</x:v>
      </x:c>
      <x:c r="H203" t="str">
        <x:f>IF(RAND()&lt;(('Team_Info'!$E$2-COUNTIF($B203:G203,"W"))/('Team_Info'!$E$4-6)),"W","B")</x:f>
        <x:v>B</x:v>
      </x:c>
      <x:c r="I203" t="str">
        <x:f>IF(RAND()&lt;(('Team_Info'!$E$2-COUNTIF($B203:H203,"W"))/('Team_Info'!$E$4-7)),"W","B")</x:f>
        <x:v>B</x:v>
      </x:c>
      <x:c r="J203" t="str">
        <x:f>IF(RAND()&lt;(('Team_Info'!$E$2-COUNTIF($B203:I203,"W"))/('Team_Info'!$E$4-8)),"W","B")</x:f>
        <x:v>W</x:v>
      </x:c>
      <x:c r="K203" t="str">
        <x:f>IF(RAND()&lt;(('Team_Info'!$E$2-COUNTIF($B203:J203,"W"))/('Team_Info'!$E$4-9)),"W","B")</x:f>
        <x:v>B</x:v>
      </x:c>
      <x:c r="L203" t="str">
        <x:f>IF(RAND()&lt;(('Team_Info'!$E$2-COUNTIF($B203:K203,"W"))/('Team_Info'!$E$4-10)),"W","B")</x:f>
        <x:v>W</x:v>
      </x:c>
      <x:c r="M203" t="str">
        <x:f>IF(RAND()&lt;(('Team_Info'!$E$2-COUNTIF($B203:L203,"W"))/('Team_Info'!$E$4-11)),"W","B")</x:f>
        <x:v>B</x:v>
      </x:c>
      <x:c r="N203" t="str">
        <x:f>IF(RAND()&lt;(('Team_Info'!$E$2-COUNTIF($B203:M203,"W"))/('Team_Info'!$E$4-12)),"W","B")</x:f>
        <x:v>W</x:v>
      </x:c>
      <x:c r="O203" t="str">
        <x:f>IF(RAND()&lt;(('Team_Info'!$E$2-COUNTIF($B203:N203,"W"))/('Team_Info'!$E$4-13)),"W","B")</x:f>
        <x:v>W</x:v>
      </x:c>
      <x:c r="P203" t="str">
        <x:f>IF(RAND()&lt;(('Team_Info'!$E$2-COUNTIF($B203:O203,"W"))/('Team_Info'!$E$4-14)),"W","B")</x:f>
        <x:v>W</x:v>
      </x:c>
      <x:c r="Q203" t="str">
        <x:f>IF(RAND()&lt;(('Team_Info'!$E$2-COUNTIF($B203:P203,"W"))/('Team_Info'!$E$4-15)),"W","B")</x:f>
        <x:v>B</x:v>
      </x:c>
      <x:c r="R203" t="str">
        <x:f>IF(RAND()&lt;(('Team_Info'!$E$2-COUNTIF($B203:Q203,"W"))/('Team_Info'!$E$4-16)),"W","B")</x:f>
        <x:v>B</x:v>
      </x:c>
      <x:c r="S203" t="str">
        <x:f>IF(RAND()&lt;(('Team_Info'!$E$2-COUNTIF($B203:R203,"W"))/('Team_Info'!$E$4-17)),"W","B")</x:f>
        <x:v>W</x:v>
      </x:c>
      <x:c r="T203" t="str">
        <x:f>IF(RAND()&lt;(('Team_Info'!$E$2-COUNTIF($B203:S203,"W"))/('Team_Info'!$E$4-18)),"W","B")</x:f>
        <x:v>W</x:v>
      </x:c>
      <x:c r="U203" t="str">
        <x:f>IF(RAND()&lt;(('Team_Info'!$E$2-COUNTIF($B203:T203,"W"))/('Team_Info'!$E$4-19)),"W","B")</x:f>
        <x:v>W</x:v>
      </x:c>
    </x:row>
    <x:row r="204">
      <x:c r="A204" s="1">
        <x:v>203</x:v>
      </x:c>
      <x:c r="B204" t="str">
        <x:f>IF(RAND()&lt;'Team_Info'!$E$5,"W","B")</x:f>
        <x:v>B</x:v>
      </x:c>
      <x:c r="C204" t="str">
        <x:f>IF(RAND()&lt;(('Team_Info'!$E$2-COUNTIF($B204:B204,"W"))/('Team_Info'!$E$4-1)),"W","B")</x:f>
        <x:v>W</x:v>
      </x:c>
      <x:c r="D204" t="str">
        <x:f>IF(RAND()&lt;(('Team_Info'!$E$2-COUNTIF($B204:C204,"W"))/('Team_Info'!$E$4-2)),"W","B")</x:f>
        <x:v>B</x:v>
      </x:c>
      <x:c r="E204" t="str">
        <x:f>IF(RAND()&lt;(('Team_Info'!$E$2-COUNTIF($B204:D204,"W"))/('Team_Info'!$E$4-3)),"W","B")</x:f>
        <x:v>B</x:v>
      </x:c>
      <x:c r="F204" t="str">
        <x:f>IF(RAND()&lt;(('Team_Info'!$E$2-COUNTIF($B204:E204,"W"))/('Team_Info'!$E$4-4)),"W","B")</x:f>
        <x:v>W</x:v>
      </x:c>
      <x:c r="G204" t="str">
        <x:f>IF(RAND()&lt;(('Team_Info'!$E$2-COUNTIF($B204:F204,"W"))/('Team_Info'!$E$4-5)),"W","B")</x:f>
        <x:v>W</x:v>
      </x:c>
      <x:c r="H204" t="str">
        <x:f>IF(RAND()&lt;(('Team_Info'!$E$2-COUNTIF($B204:G204,"W"))/('Team_Info'!$E$4-6)),"W","B")</x:f>
        <x:v>B</x:v>
      </x:c>
      <x:c r="I204" t="str">
        <x:f>IF(RAND()&lt;(('Team_Info'!$E$2-COUNTIF($B204:H204,"W"))/('Team_Info'!$E$4-7)),"W","B")</x:f>
        <x:v>W</x:v>
      </x:c>
      <x:c r="J204" t="str">
        <x:f>IF(RAND()&lt;(('Team_Info'!$E$2-COUNTIF($B204:I204,"W"))/('Team_Info'!$E$4-8)),"W","B")</x:f>
        <x:v>B</x:v>
      </x:c>
      <x:c r="K204" t="str">
        <x:f>IF(RAND()&lt;(('Team_Info'!$E$2-COUNTIF($B204:J204,"W"))/('Team_Info'!$E$4-9)),"W","B")</x:f>
        <x:v>B</x:v>
      </x:c>
      <x:c r="L204" t="str">
        <x:f>IF(RAND()&lt;(('Team_Info'!$E$2-COUNTIF($B204:K204,"W"))/('Team_Info'!$E$4-10)),"W","B")</x:f>
        <x:v>W</x:v>
      </x:c>
      <x:c r="M204" t="str">
        <x:f>IF(RAND()&lt;(('Team_Info'!$E$2-COUNTIF($B204:L204,"W"))/('Team_Info'!$E$4-11)),"W","B")</x:f>
        <x:v>W</x:v>
      </x:c>
      <x:c r="N204" t="str">
        <x:f>IF(RAND()&lt;(('Team_Info'!$E$2-COUNTIF($B204:M204,"W"))/('Team_Info'!$E$4-12)),"W","B")</x:f>
        <x:v>W</x:v>
      </x:c>
      <x:c r="O204" t="str">
        <x:f>IF(RAND()&lt;(('Team_Info'!$E$2-COUNTIF($B204:N204,"W"))/('Team_Info'!$E$4-13)),"W","B")</x:f>
        <x:v>W</x:v>
      </x:c>
      <x:c r="P204" t="str">
        <x:f>IF(RAND()&lt;(('Team_Info'!$E$2-COUNTIF($B204:O204,"W"))/('Team_Info'!$E$4-14)),"W","B")</x:f>
        <x:v>B</x:v>
      </x:c>
      <x:c r="Q204" t="str">
        <x:f>IF(RAND()&lt;(('Team_Info'!$E$2-COUNTIF($B204:P204,"W"))/('Team_Info'!$E$4-15)),"W","B")</x:f>
        <x:v>B</x:v>
      </x:c>
      <x:c r="R204" t="str">
        <x:f>IF(RAND()&lt;(('Team_Info'!$E$2-COUNTIF($B204:Q204,"W"))/('Team_Info'!$E$4-16)),"W","B")</x:f>
        <x:v>B</x:v>
      </x:c>
      <x:c r="S204" t="str">
        <x:f>IF(RAND()&lt;(('Team_Info'!$E$2-COUNTIF($B204:R204,"W"))/('Team_Info'!$E$4-17)),"W","B")</x:f>
        <x:v>B</x:v>
      </x:c>
      <x:c r="T204" t="str">
        <x:f>IF(RAND()&lt;(('Team_Info'!$E$2-COUNTIF($B204:S204,"W"))/('Team_Info'!$E$4-18)),"W","B")</x:f>
        <x:v>W</x:v>
      </x:c>
      <x:c r="U204" t="str">
        <x:f>IF(RAND()&lt;(('Team_Info'!$E$2-COUNTIF($B204:T204,"W"))/('Team_Info'!$E$4-19)),"W","B")</x:f>
        <x:v>B</x:v>
      </x:c>
    </x:row>
    <x:row r="205">
      <x:c r="A205" s="1">
        <x:v>204</x:v>
      </x:c>
      <x:c r="B205" t="str">
        <x:f>IF(RAND()&lt;'Team_Info'!$E$5,"W","B")</x:f>
        <x:v>B</x:v>
      </x:c>
      <x:c r="C205" t="str">
        <x:f>IF(RAND()&lt;(('Team_Info'!$E$2-COUNTIF($B205:B205,"W"))/('Team_Info'!$E$4-1)),"W","B")</x:f>
        <x:v>B</x:v>
      </x:c>
      <x:c r="D205" t="str">
        <x:f>IF(RAND()&lt;(('Team_Info'!$E$2-COUNTIF($B205:C205,"W"))/('Team_Info'!$E$4-2)),"W","B")</x:f>
        <x:v>W</x:v>
      </x:c>
      <x:c r="E205" t="str">
        <x:f>IF(RAND()&lt;(('Team_Info'!$E$2-COUNTIF($B205:D205,"W"))/('Team_Info'!$E$4-3)),"W","B")</x:f>
        <x:v>B</x:v>
      </x:c>
      <x:c r="F205" t="str">
        <x:f>IF(RAND()&lt;(('Team_Info'!$E$2-COUNTIF($B205:E205,"W"))/('Team_Info'!$E$4-4)),"W","B")</x:f>
        <x:v>W</x:v>
      </x:c>
      <x:c r="G205" t="str">
        <x:f>IF(RAND()&lt;(('Team_Info'!$E$2-COUNTIF($B205:F205,"W"))/('Team_Info'!$E$4-5)),"W","B")</x:f>
        <x:v>B</x:v>
      </x:c>
      <x:c r="H205" t="str">
        <x:f>IF(RAND()&lt;(('Team_Info'!$E$2-COUNTIF($B205:G205,"W"))/('Team_Info'!$E$4-6)),"W","B")</x:f>
        <x:v>B</x:v>
      </x:c>
      <x:c r="I205" t="str">
        <x:f>IF(RAND()&lt;(('Team_Info'!$E$2-COUNTIF($B205:H205,"W"))/('Team_Info'!$E$4-7)),"W","B")</x:f>
        <x:v>B</x:v>
      </x:c>
      <x:c r="J205" t="str">
        <x:f>IF(RAND()&lt;(('Team_Info'!$E$2-COUNTIF($B205:I205,"W"))/('Team_Info'!$E$4-8)),"W","B")</x:f>
        <x:v>W</x:v>
      </x:c>
      <x:c r="K205" t="str">
        <x:f>IF(RAND()&lt;(('Team_Info'!$E$2-COUNTIF($B205:J205,"W"))/('Team_Info'!$E$4-9)),"W","B")</x:f>
        <x:v>W</x:v>
      </x:c>
      <x:c r="L205" t="str">
        <x:f>IF(RAND()&lt;(('Team_Info'!$E$2-COUNTIF($B205:K205,"W"))/('Team_Info'!$E$4-10)),"W","B")</x:f>
        <x:v>B</x:v>
      </x:c>
      <x:c r="M205" t="str">
        <x:f>IF(RAND()&lt;(('Team_Info'!$E$2-COUNTIF($B205:L205,"W"))/('Team_Info'!$E$4-11)),"W","B")</x:f>
        <x:v>B</x:v>
      </x:c>
      <x:c r="N205" t="str">
        <x:f>IF(RAND()&lt;(('Team_Info'!$E$2-COUNTIF($B205:M205,"W"))/('Team_Info'!$E$4-12)),"W","B")</x:f>
        <x:v>B</x:v>
      </x:c>
      <x:c r="O205" t="str">
        <x:f>IF(RAND()&lt;(('Team_Info'!$E$2-COUNTIF($B205:N205,"W"))/('Team_Info'!$E$4-13)),"W","B")</x:f>
        <x:v>W</x:v>
      </x:c>
      <x:c r="P205" t="str">
        <x:f>IF(RAND()&lt;(('Team_Info'!$E$2-COUNTIF($B205:O205,"W"))/('Team_Info'!$E$4-14)),"W","B")</x:f>
        <x:v>W</x:v>
      </x:c>
      <x:c r="Q205" t="str">
        <x:f>IF(RAND()&lt;(('Team_Info'!$E$2-COUNTIF($B205:P205,"W"))/('Team_Info'!$E$4-15)),"W","B")</x:f>
        <x:v>B</x:v>
      </x:c>
      <x:c r="R205" t="str">
        <x:f>IF(RAND()&lt;(('Team_Info'!$E$2-COUNTIF($B205:Q205,"W"))/('Team_Info'!$E$4-16)),"W","B")</x:f>
        <x:v>B</x:v>
      </x:c>
      <x:c r="S205" t="str">
        <x:f>IF(RAND()&lt;(('Team_Info'!$E$2-COUNTIF($B205:R205,"W"))/('Team_Info'!$E$4-17)),"W","B")</x:f>
        <x:v>W</x:v>
      </x:c>
      <x:c r="T205" t="str">
        <x:f>IF(RAND()&lt;(('Team_Info'!$E$2-COUNTIF($B205:S205,"W"))/('Team_Info'!$E$4-18)),"W","B")</x:f>
        <x:v>W</x:v>
      </x:c>
      <x:c r="U205" t="str">
        <x:f>IF(RAND()&lt;(('Team_Info'!$E$2-COUNTIF($B205:T205,"W"))/('Team_Info'!$E$4-19)),"W","B")</x:f>
        <x:v>B</x:v>
      </x:c>
    </x:row>
    <x:row r="206">
      <x:c r="A206" s="1">
        <x:v>205</x:v>
      </x:c>
      <x:c r="B206" t="str">
        <x:f>IF(RAND()&lt;'Team_Info'!$E$5,"W","B")</x:f>
        <x:v>B</x:v>
      </x:c>
      <x:c r="C206" t="str">
        <x:f>IF(RAND()&lt;(('Team_Info'!$E$2-COUNTIF($B206:B206,"W"))/('Team_Info'!$E$4-1)),"W","B")</x:f>
        <x:v>B</x:v>
      </x:c>
      <x:c r="D206" t="str">
        <x:f>IF(RAND()&lt;(('Team_Info'!$E$2-COUNTIF($B206:C206,"W"))/('Team_Info'!$E$4-2)),"W","B")</x:f>
        <x:v>B</x:v>
      </x:c>
      <x:c r="E206" t="str">
        <x:f>IF(RAND()&lt;(('Team_Info'!$E$2-COUNTIF($B206:D206,"W"))/('Team_Info'!$E$4-3)),"W","B")</x:f>
        <x:v>W</x:v>
      </x:c>
      <x:c r="F206" t="str">
        <x:f>IF(RAND()&lt;(('Team_Info'!$E$2-COUNTIF($B206:E206,"W"))/('Team_Info'!$E$4-4)),"W","B")</x:f>
        <x:v>B</x:v>
      </x:c>
      <x:c r="G206" t="str">
        <x:f>IF(RAND()&lt;(('Team_Info'!$E$2-COUNTIF($B206:F206,"W"))/('Team_Info'!$E$4-5)),"W","B")</x:f>
        <x:v>B</x:v>
      </x:c>
      <x:c r="H206" t="str">
        <x:f>IF(RAND()&lt;(('Team_Info'!$E$2-COUNTIF($B206:G206,"W"))/('Team_Info'!$E$4-6)),"W","B")</x:f>
        <x:v>B</x:v>
      </x:c>
      <x:c r="I206" t="str">
        <x:f>IF(RAND()&lt;(('Team_Info'!$E$2-COUNTIF($B206:H206,"W"))/('Team_Info'!$E$4-7)),"W","B")</x:f>
        <x:v>W</x:v>
      </x:c>
      <x:c r="J206" t="str">
        <x:f>IF(RAND()&lt;(('Team_Info'!$E$2-COUNTIF($B206:I206,"W"))/('Team_Info'!$E$4-8)),"W","B")</x:f>
        <x:v>B</x:v>
      </x:c>
      <x:c r="K206" t="str">
        <x:f>IF(RAND()&lt;(('Team_Info'!$E$2-COUNTIF($B206:J206,"W"))/('Team_Info'!$E$4-9)),"W","B")</x:f>
        <x:v>B</x:v>
      </x:c>
      <x:c r="L206" t="str">
        <x:f>IF(RAND()&lt;(('Team_Info'!$E$2-COUNTIF($B206:K206,"W"))/('Team_Info'!$E$4-10)),"W","B")</x:f>
        <x:v>B</x:v>
      </x:c>
      <x:c r="M206" t="str">
        <x:f>IF(RAND()&lt;(('Team_Info'!$E$2-COUNTIF($B206:L206,"W"))/('Team_Info'!$E$4-11)),"W","B")</x:f>
        <x:v>B</x:v>
      </x:c>
      <x:c r="N206" t="str">
        <x:f>IF(RAND()&lt;(('Team_Info'!$E$2-COUNTIF($B206:M206,"W"))/('Team_Info'!$E$4-12)),"W","B")</x:f>
        <x:v>B</x:v>
      </x:c>
      <x:c r="O206" t="str">
        <x:f>IF(RAND()&lt;(('Team_Info'!$E$2-COUNTIF($B206:N206,"W"))/('Team_Info'!$E$4-13)),"W","B")</x:f>
        <x:v>B</x:v>
      </x:c>
      <x:c r="P206" t="str">
        <x:f>IF(RAND()&lt;(('Team_Info'!$E$2-COUNTIF($B206:O206,"W"))/('Team_Info'!$E$4-14)),"W","B")</x:f>
        <x:v>B</x:v>
      </x:c>
      <x:c r="Q206" t="str">
        <x:f>IF(RAND()&lt;(('Team_Info'!$E$2-COUNTIF($B206:P206,"W"))/('Team_Info'!$E$4-15)),"W","B")</x:f>
        <x:v>W</x:v>
      </x:c>
      <x:c r="R206" t="str">
        <x:f>IF(RAND()&lt;(('Team_Info'!$E$2-COUNTIF($B206:Q206,"W"))/('Team_Info'!$E$4-16)),"W","B")</x:f>
        <x:v>B</x:v>
      </x:c>
      <x:c r="S206" t="str">
        <x:f>IF(RAND()&lt;(('Team_Info'!$E$2-COUNTIF($B206:R206,"W"))/('Team_Info'!$E$4-17)),"W","B")</x:f>
        <x:v>W</x:v>
      </x:c>
      <x:c r="T206" t="str">
        <x:f>IF(RAND()&lt;(('Team_Info'!$E$2-COUNTIF($B206:S206,"W"))/('Team_Info'!$E$4-18)),"W","B")</x:f>
        <x:v>B</x:v>
      </x:c>
      <x:c r="U206" t="str">
        <x:f>IF(RAND()&lt;(('Team_Info'!$E$2-COUNTIF($B206:T206,"W"))/('Team_Info'!$E$4-19)),"W","B")</x:f>
        <x:v>B</x:v>
      </x:c>
    </x:row>
    <x:row r="207">
      <x:c r="A207" s="1">
        <x:v>206</x:v>
      </x:c>
      <x:c r="B207" t="str">
        <x:f>IF(RAND()&lt;'Team_Info'!$E$5,"W","B")</x:f>
        <x:v>W</x:v>
      </x:c>
      <x:c r="C207" t="str">
        <x:f>IF(RAND()&lt;(('Team_Info'!$E$2-COUNTIF($B207:B207,"W"))/('Team_Info'!$E$4-1)),"W","B")</x:f>
        <x:v>W</x:v>
      </x:c>
      <x:c r="D207" t="str">
        <x:f>IF(RAND()&lt;(('Team_Info'!$E$2-COUNTIF($B207:C207,"W"))/('Team_Info'!$E$4-2)),"W","B")</x:f>
        <x:v>W</x:v>
      </x:c>
      <x:c r="E207" t="str">
        <x:f>IF(RAND()&lt;(('Team_Info'!$E$2-COUNTIF($B207:D207,"W"))/('Team_Info'!$E$4-3)),"W","B")</x:f>
        <x:v>B</x:v>
      </x:c>
      <x:c r="F207" t="str">
        <x:f>IF(RAND()&lt;(('Team_Info'!$E$2-COUNTIF($B207:E207,"W"))/('Team_Info'!$E$4-4)),"W","B")</x:f>
        <x:v>B</x:v>
      </x:c>
      <x:c r="G207" t="str">
        <x:f>IF(RAND()&lt;(('Team_Info'!$E$2-COUNTIF($B207:F207,"W"))/('Team_Info'!$E$4-5)),"W","B")</x:f>
        <x:v>W</x:v>
      </x:c>
      <x:c r="H207" t="str">
        <x:f>IF(RAND()&lt;(('Team_Info'!$E$2-COUNTIF($B207:G207,"W"))/('Team_Info'!$E$4-6)),"W","B")</x:f>
        <x:v>B</x:v>
      </x:c>
      <x:c r="I207" t="str">
        <x:f>IF(RAND()&lt;(('Team_Info'!$E$2-COUNTIF($B207:H207,"W"))/('Team_Info'!$E$4-7)),"W","B")</x:f>
        <x:v>B</x:v>
      </x:c>
      <x:c r="J207" t="str">
        <x:f>IF(RAND()&lt;(('Team_Info'!$E$2-COUNTIF($B207:I207,"W"))/('Team_Info'!$E$4-8)),"W","B")</x:f>
        <x:v>W</x:v>
      </x:c>
      <x:c r="K207" t="str">
        <x:f>IF(RAND()&lt;(('Team_Info'!$E$2-COUNTIF($B207:J207,"W"))/('Team_Info'!$E$4-9)),"W","B")</x:f>
        <x:v>B</x:v>
      </x:c>
      <x:c r="L207" t="str">
        <x:f>IF(RAND()&lt;(('Team_Info'!$E$2-COUNTIF($B207:K207,"W"))/('Team_Info'!$E$4-10)),"W","B")</x:f>
        <x:v>B</x:v>
      </x:c>
      <x:c r="M207" t="str">
        <x:f>IF(RAND()&lt;(('Team_Info'!$E$2-COUNTIF($B207:L207,"W"))/('Team_Info'!$E$4-11)),"W","B")</x:f>
        <x:v>W</x:v>
      </x:c>
      <x:c r="N207" t="str">
        <x:f>IF(RAND()&lt;(('Team_Info'!$E$2-COUNTIF($B207:M207,"W"))/('Team_Info'!$E$4-12)),"W","B")</x:f>
        <x:v>B</x:v>
      </x:c>
      <x:c r="O207" t="str">
        <x:f>IF(RAND()&lt;(('Team_Info'!$E$2-COUNTIF($B207:N207,"W"))/('Team_Info'!$E$4-13)),"W","B")</x:f>
        <x:v>B</x:v>
      </x:c>
      <x:c r="P207" t="str">
        <x:f>IF(RAND()&lt;(('Team_Info'!$E$2-COUNTIF($B207:O207,"W"))/('Team_Info'!$E$4-14)),"W","B")</x:f>
        <x:v>B</x:v>
      </x:c>
      <x:c r="Q207" t="str">
        <x:f>IF(RAND()&lt;(('Team_Info'!$E$2-COUNTIF($B207:P207,"W"))/('Team_Info'!$E$4-15)),"W","B")</x:f>
        <x:v>B</x:v>
      </x:c>
      <x:c r="R207" t="str">
        <x:f>IF(RAND()&lt;(('Team_Info'!$E$2-COUNTIF($B207:Q207,"W"))/('Team_Info'!$E$4-16)),"W","B")</x:f>
        <x:v>B</x:v>
      </x:c>
      <x:c r="S207" t="str">
        <x:f>IF(RAND()&lt;(('Team_Info'!$E$2-COUNTIF($B207:R207,"W"))/('Team_Info'!$E$4-17)),"W","B")</x:f>
        <x:v>W</x:v>
      </x:c>
      <x:c r="T207" t="str">
        <x:f>IF(RAND()&lt;(('Team_Info'!$E$2-COUNTIF($B207:S207,"W"))/('Team_Info'!$E$4-18)),"W","B")</x:f>
        <x:v>B</x:v>
      </x:c>
      <x:c r="U207" t="str">
        <x:f>IF(RAND()&lt;(('Team_Info'!$E$2-COUNTIF($B207:T207,"W"))/('Team_Info'!$E$4-19)),"W","B")</x:f>
        <x:v>B</x:v>
      </x:c>
    </x:row>
    <x:row r="208">
      <x:c r="A208" s="1">
        <x:v>207</x:v>
      </x:c>
      <x:c r="B208" t="str">
        <x:f>IF(RAND()&lt;'Team_Info'!$E$5,"W","B")</x:f>
        <x:v>B</x:v>
      </x:c>
      <x:c r="C208" t="str">
        <x:f>IF(RAND()&lt;(('Team_Info'!$E$2-COUNTIF($B208:B208,"W"))/('Team_Info'!$E$4-1)),"W","B")</x:f>
        <x:v>B</x:v>
      </x:c>
      <x:c r="D208" t="str">
        <x:f>IF(RAND()&lt;(('Team_Info'!$E$2-COUNTIF($B208:C208,"W"))/('Team_Info'!$E$4-2)),"W","B")</x:f>
        <x:v>B</x:v>
      </x:c>
      <x:c r="E208" t="str">
        <x:f>IF(RAND()&lt;(('Team_Info'!$E$2-COUNTIF($B208:D208,"W"))/('Team_Info'!$E$4-3)),"W","B")</x:f>
        <x:v>W</x:v>
      </x:c>
      <x:c r="F208" t="str">
        <x:f>IF(RAND()&lt;(('Team_Info'!$E$2-COUNTIF($B208:E208,"W"))/('Team_Info'!$E$4-4)),"W","B")</x:f>
        <x:v>W</x:v>
      </x:c>
      <x:c r="G208" t="str">
        <x:f>IF(RAND()&lt;(('Team_Info'!$E$2-COUNTIF($B208:F208,"W"))/('Team_Info'!$E$4-5)),"W","B")</x:f>
        <x:v>W</x:v>
      </x:c>
      <x:c r="H208" t="str">
        <x:f>IF(RAND()&lt;(('Team_Info'!$E$2-COUNTIF($B208:G208,"W"))/('Team_Info'!$E$4-6)),"W","B")</x:f>
        <x:v>W</x:v>
      </x:c>
      <x:c r="I208" t="str">
        <x:f>IF(RAND()&lt;(('Team_Info'!$E$2-COUNTIF($B208:H208,"W"))/('Team_Info'!$E$4-7)),"W","B")</x:f>
        <x:v>B</x:v>
      </x:c>
      <x:c r="J208" t="str">
        <x:f>IF(RAND()&lt;(('Team_Info'!$E$2-COUNTIF($B208:I208,"W"))/('Team_Info'!$E$4-8)),"W","B")</x:f>
        <x:v>B</x:v>
      </x:c>
      <x:c r="K208" t="str">
        <x:f>IF(RAND()&lt;(('Team_Info'!$E$2-COUNTIF($B208:J208,"W"))/('Team_Info'!$E$4-9)),"W","B")</x:f>
        <x:v>B</x:v>
      </x:c>
      <x:c r="L208" t="str">
        <x:f>IF(RAND()&lt;(('Team_Info'!$E$2-COUNTIF($B208:K208,"W"))/('Team_Info'!$E$4-10)),"W","B")</x:f>
        <x:v>W</x:v>
      </x:c>
      <x:c r="M208" t="str">
        <x:f>IF(RAND()&lt;(('Team_Info'!$E$2-COUNTIF($B208:L208,"W"))/('Team_Info'!$E$4-11)),"W","B")</x:f>
        <x:v>B</x:v>
      </x:c>
      <x:c r="N208" t="str">
        <x:f>IF(RAND()&lt;(('Team_Info'!$E$2-COUNTIF($B208:M208,"W"))/('Team_Info'!$E$4-12)),"W","B")</x:f>
        <x:v>W</x:v>
      </x:c>
      <x:c r="O208" t="str">
        <x:f>IF(RAND()&lt;(('Team_Info'!$E$2-COUNTIF($B208:N208,"W"))/('Team_Info'!$E$4-13)),"W","B")</x:f>
        <x:v>W</x:v>
      </x:c>
      <x:c r="P208" t="str">
        <x:f>IF(RAND()&lt;(('Team_Info'!$E$2-COUNTIF($B208:O208,"W"))/('Team_Info'!$E$4-14)),"W","B")</x:f>
        <x:v>W</x:v>
      </x:c>
      <x:c r="Q208" t="str">
        <x:f>IF(RAND()&lt;(('Team_Info'!$E$2-COUNTIF($B208:P208,"W"))/('Team_Info'!$E$4-15)),"W","B")</x:f>
        <x:v>B</x:v>
      </x:c>
      <x:c r="R208" t="str">
        <x:f>IF(RAND()&lt;(('Team_Info'!$E$2-COUNTIF($B208:Q208,"W"))/('Team_Info'!$E$4-16)),"W","B")</x:f>
        <x:v>B</x:v>
      </x:c>
      <x:c r="S208" t="str">
        <x:f>IF(RAND()&lt;(('Team_Info'!$E$2-COUNTIF($B208:R208,"W"))/('Team_Info'!$E$4-17)),"W","B")</x:f>
        <x:v>W</x:v>
      </x:c>
      <x:c r="T208" t="str">
        <x:f>IF(RAND()&lt;(('Team_Info'!$E$2-COUNTIF($B208:S208,"W"))/('Team_Info'!$E$4-18)),"W","B")</x:f>
        <x:v>B</x:v>
      </x:c>
      <x:c r="U208" t="str">
        <x:f>IF(RAND()&lt;(('Team_Info'!$E$2-COUNTIF($B208:T208,"W"))/('Team_Info'!$E$4-19)),"W","B")</x:f>
        <x:v>W</x:v>
      </x:c>
    </x:row>
    <x:row r="209">
      <x:c r="A209" s="1">
        <x:v>208</x:v>
      </x:c>
      <x:c r="B209" t="str">
        <x:f>IF(RAND()&lt;'Team_Info'!$E$5,"W","B")</x:f>
        <x:v>B</x:v>
      </x:c>
      <x:c r="C209" t="str">
        <x:f>IF(RAND()&lt;(('Team_Info'!$E$2-COUNTIF($B209:B209,"W"))/('Team_Info'!$E$4-1)),"W","B")</x:f>
        <x:v>B</x:v>
      </x:c>
      <x:c r="D209" t="str">
        <x:f>IF(RAND()&lt;(('Team_Info'!$E$2-COUNTIF($B209:C209,"W"))/('Team_Info'!$E$4-2)),"W","B")</x:f>
        <x:v>W</x:v>
      </x:c>
      <x:c r="E209" t="str">
        <x:f>IF(RAND()&lt;(('Team_Info'!$E$2-COUNTIF($B209:D209,"W"))/('Team_Info'!$E$4-3)),"W","B")</x:f>
        <x:v>B</x:v>
      </x:c>
      <x:c r="F209" t="str">
        <x:f>IF(RAND()&lt;(('Team_Info'!$E$2-COUNTIF($B209:E209,"W"))/('Team_Info'!$E$4-4)),"W","B")</x:f>
        <x:v>W</x:v>
      </x:c>
      <x:c r="G209" t="str">
        <x:f>IF(RAND()&lt;(('Team_Info'!$E$2-COUNTIF($B209:F209,"W"))/('Team_Info'!$E$4-5)),"W","B")</x:f>
        <x:v>B</x:v>
      </x:c>
      <x:c r="H209" t="str">
        <x:f>IF(RAND()&lt;(('Team_Info'!$E$2-COUNTIF($B209:G209,"W"))/('Team_Info'!$E$4-6)),"W","B")</x:f>
        <x:v>B</x:v>
      </x:c>
      <x:c r="I209" t="str">
        <x:f>IF(RAND()&lt;(('Team_Info'!$E$2-COUNTIF($B209:H209,"W"))/('Team_Info'!$E$4-7)),"W","B")</x:f>
        <x:v>B</x:v>
      </x:c>
      <x:c r="J209" t="str">
        <x:f>IF(RAND()&lt;(('Team_Info'!$E$2-COUNTIF($B209:I209,"W"))/('Team_Info'!$E$4-8)),"W","B")</x:f>
        <x:v>W</x:v>
      </x:c>
      <x:c r="K209" t="str">
        <x:f>IF(RAND()&lt;(('Team_Info'!$E$2-COUNTIF($B209:J209,"W"))/('Team_Info'!$E$4-9)),"W","B")</x:f>
        <x:v>W</x:v>
      </x:c>
      <x:c r="L209" t="str">
        <x:f>IF(RAND()&lt;(('Team_Info'!$E$2-COUNTIF($B209:K209,"W"))/('Team_Info'!$E$4-10)),"W","B")</x:f>
        <x:v>B</x:v>
      </x:c>
      <x:c r="M209" t="str">
        <x:f>IF(RAND()&lt;(('Team_Info'!$E$2-COUNTIF($B209:L209,"W"))/('Team_Info'!$E$4-11)),"W","B")</x:f>
        <x:v>B</x:v>
      </x:c>
      <x:c r="N209" t="str">
        <x:f>IF(RAND()&lt;(('Team_Info'!$E$2-COUNTIF($B209:M209,"W"))/('Team_Info'!$E$4-12)),"W","B")</x:f>
        <x:v>W</x:v>
      </x:c>
      <x:c r="O209" t="str">
        <x:f>IF(RAND()&lt;(('Team_Info'!$E$2-COUNTIF($B209:N209,"W"))/('Team_Info'!$E$4-13)),"W","B")</x:f>
        <x:v>B</x:v>
      </x:c>
      <x:c r="P209" t="str">
        <x:f>IF(RAND()&lt;(('Team_Info'!$E$2-COUNTIF($B209:O209,"W"))/('Team_Info'!$E$4-14)),"W","B")</x:f>
        <x:v>B</x:v>
      </x:c>
      <x:c r="Q209" t="str">
        <x:f>IF(RAND()&lt;(('Team_Info'!$E$2-COUNTIF($B209:P209,"W"))/('Team_Info'!$E$4-15)),"W","B")</x:f>
        <x:v>B</x:v>
      </x:c>
      <x:c r="R209" t="str">
        <x:f>IF(RAND()&lt;(('Team_Info'!$E$2-COUNTIF($B209:Q209,"W"))/('Team_Info'!$E$4-16)),"W","B")</x:f>
        <x:v>B</x:v>
      </x:c>
      <x:c r="S209" t="str">
        <x:f>IF(RAND()&lt;(('Team_Info'!$E$2-COUNTIF($B209:R209,"W"))/('Team_Info'!$E$4-17)),"W","B")</x:f>
        <x:v>B</x:v>
      </x:c>
      <x:c r="T209" t="str">
        <x:f>IF(RAND()&lt;(('Team_Info'!$E$2-COUNTIF($B209:S209,"W"))/('Team_Info'!$E$4-18)),"W","B")</x:f>
        <x:v>B</x:v>
      </x:c>
      <x:c r="U209" t="str">
        <x:f>IF(RAND()&lt;(('Team_Info'!$E$2-COUNTIF($B209:T209,"W"))/('Team_Info'!$E$4-19)),"W","B")</x:f>
        <x:v>B</x:v>
      </x:c>
    </x:row>
    <x:row r="210">
      <x:c r="A210" s="1">
        <x:v>209</x:v>
      </x:c>
      <x:c r="B210" t="str">
        <x:f>IF(RAND()&lt;'Team_Info'!$E$5,"W","B")</x:f>
        <x:v>B</x:v>
      </x:c>
      <x:c r="C210" t="str">
        <x:f>IF(RAND()&lt;(('Team_Info'!$E$2-COUNTIF($B210:B210,"W"))/('Team_Info'!$E$4-1)),"W","B")</x:f>
        <x:v>W</x:v>
      </x:c>
      <x:c r="D210" t="str">
        <x:f>IF(RAND()&lt;(('Team_Info'!$E$2-COUNTIF($B210:C210,"W"))/('Team_Info'!$E$4-2)),"W","B")</x:f>
        <x:v>W</x:v>
      </x:c>
      <x:c r="E210" t="str">
        <x:f>IF(RAND()&lt;(('Team_Info'!$E$2-COUNTIF($B210:D210,"W"))/('Team_Info'!$E$4-3)),"W","B")</x:f>
        <x:v>B</x:v>
      </x:c>
      <x:c r="F210" t="str">
        <x:f>IF(RAND()&lt;(('Team_Info'!$E$2-COUNTIF($B210:E210,"W"))/('Team_Info'!$E$4-4)),"W","B")</x:f>
        <x:v>W</x:v>
      </x:c>
      <x:c r="G210" t="str">
        <x:f>IF(RAND()&lt;(('Team_Info'!$E$2-COUNTIF($B210:F210,"W"))/('Team_Info'!$E$4-5)),"W","B")</x:f>
        <x:v>W</x:v>
      </x:c>
      <x:c r="H210" t="str">
        <x:f>IF(RAND()&lt;(('Team_Info'!$E$2-COUNTIF($B210:G210,"W"))/('Team_Info'!$E$4-6)),"W","B")</x:f>
        <x:v>B</x:v>
      </x:c>
      <x:c r="I210" t="str">
        <x:f>IF(RAND()&lt;(('Team_Info'!$E$2-COUNTIF($B210:H210,"W"))/('Team_Info'!$E$4-7)),"W","B")</x:f>
        <x:v>B</x:v>
      </x:c>
      <x:c r="J210" t="str">
        <x:f>IF(RAND()&lt;(('Team_Info'!$E$2-COUNTIF($B210:I210,"W"))/('Team_Info'!$E$4-8)),"W","B")</x:f>
        <x:v>W</x:v>
      </x:c>
      <x:c r="K210" t="str">
        <x:f>IF(RAND()&lt;(('Team_Info'!$E$2-COUNTIF($B210:J210,"W"))/('Team_Info'!$E$4-9)),"W","B")</x:f>
        <x:v>B</x:v>
      </x:c>
      <x:c r="L210" t="str">
        <x:f>IF(RAND()&lt;(('Team_Info'!$E$2-COUNTIF($B210:K210,"W"))/('Team_Info'!$E$4-10)),"W","B")</x:f>
        <x:v>B</x:v>
      </x:c>
      <x:c r="M210" t="str">
        <x:f>IF(RAND()&lt;(('Team_Info'!$E$2-COUNTIF($B210:L210,"W"))/('Team_Info'!$E$4-11)),"W","B")</x:f>
        <x:v>W</x:v>
      </x:c>
      <x:c r="N210" t="str">
        <x:f>IF(RAND()&lt;(('Team_Info'!$E$2-COUNTIF($B210:M210,"W"))/('Team_Info'!$E$4-12)),"W","B")</x:f>
        <x:v>W</x:v>
      </x:c>
      <x:c r="O210" t="str">
        <x:f>IF(RAND()&lt;(('Team_Info'!$E$2-COUNTIF($B210:N210,"W"))/('Team_Info'!$E$4-13)),"W","B")</x:f>
        <x:v>B</x:v>
      </x:c>
      <x:c r="P210" t="str">
        <x:f>IF(RAND()&lt;(('Team_Info'!$E$2-COUNTIF($B210:O210,"W"))/('Team_Info'!$E$4-14)),"W","B")</x:f>
        <x:v>W</x:v>
      </x:c>
      <x:c r="Q210" t="str">
        <x:f>IF(RAND()&lt;(('Team_Info'!$E$2-COUNTIF($B210:P210,"W"))/('Team_Info'!$E$4-15)),"W","B")</x:f>
        <x:v>B</x:v>
      </x:c>
      <x:c r="R210" t="str">
        <x:f>IF(RAND()&lt;(('Team_Info'!$E$2-COUNTIF($B210:Q210,"W"))/('Team_Info'!$E$4-16)),"W","B")</x:f>
        <x:v>W</x:v>
      </x:c>
      <x:c r="S210" t="str">
        <x:f>IF(RAND()&lt;(('Team_Info'!$E$2-COUNTIF($B210:R210,"W"))/('Team_Info'!$E$4-17)),"W","B")</x:f>
        <x:v>B</x:v>
      </x:c>
      <x:c r="T210" t="str">
        <x:f>IF(RAND()&lt;(('Team_Info'!$E$2-COUNTIF($B210:S210,"W"))/('Team_Info'!$E$4-18)),"W","B")</x:f>
        <x:v>B</x:v>
      </x:c>
      <x:c r="U210" t="str">
        <x:f>IF(RAND()&lt;(('Team_Info'!$E$2-COUNTIF($B210:T210,"W"))/('Team_Info'!$E$4-19)),"W","B")</x:f>
        <x:v>W</x:v>
      </x:c>
    </x:row>
    <x:row r="211">
      <x:c r="A211" s="1">
        <x:v>210</x:v>
      </x:c>
      <x:c r="B211" t="str">
        <x:f>IF(RAND()&lt;'Team_Info'!$E$5,"W","B")</x:f>
        <x:v>B</x:v>
      </x:c>
      <x:c r="C211" t="str">
        <x:f>IF(RAND()&lt;(('Team_Info'!$E$2-COUNTIF($B211:B211,"W"))/('Team_Info'!$E$4-1)),"W","B")</x:f>
        <x:v>W</x:v>
      </x:c>
      <x:c r="D211" t="str">
        <x:f>IF(RAND()&lt;(('Team_Info'!$E$2-COUNTIF($B211:C211,"W"))/('Team_Info'!$E$4-2)),"W","B")</x:f>
        <x:v>B</x:v>
      </x:c>
      <x:c r="E211" t="str">
        <x:f>IF(RAND()&lt;(('Team_Info'!$E$2-COUNTIF($B211:D211,"W"))/('Team_Info'!$E$4-3)),"W","B")</x:f>
        <x:v>B</x:v>
      </x:c>
      <x:c r="F211" t="str">
        <x:f>IF(RAND()&lt;(('Team_Info'!$E$2-COUNTIF($B211:E211,"W"))/('Team_Info'!$E$4-4)),"W","B")</x:f>
        <x:v>B</x:v>
      </x:c>
      <x:c r="G211" t="str">
        <x:f>IF(RAND()&lt;(('Team_Info'!$E$2-COUNTIF($B211:F211,"W"))/('Team_Info'!$E$4-5)),"W","B")</x:f>
        <x:v>W</x:v>
      </x:c>
      <x:c r="H211" t="str">
        <x:f>IF(RAND()&lt;(('Team_Info'!$E$2-COUNTIF($B211:G211,"W"))/('Team_Info'!$E$4-6)),"W","B")</x:f>
        <x:v>B</x:v>
      </x:c>
      <x:c r="I211" t="str">
        <x:f>IF(RAND()&lt;(('Team_Info'!$E$2-COUNTIF($B211:H211,"W"))/('Team_Info'!$E$4-7)),"W","B")</x:f>
        <x:v>B</x:v>
      </x:c>
      <x:c r="J211" t="str">
        <x:f>IF(RAND()&lt;(('Team_Info'!$E$2-COUNTIF($B211:I211,"W"))/('Team_Info'!$E$4-8)),"W","B")</x:f>
        <x:v>W</x:v>
      </x:c>
      <x:c r="K211" t="str">
        <x:f>IF(RAND()&lt;(('Team_Info'!$E$2-COUNTIF($B211:J211,"W"))/('Team_Info'!$E$4-9)),"W","B")</x:f>
        <x:v>B</x:v>
      </x:c>
      <x:c r="L211" t="str">
        <x:f>IF(RAND()&lt;(('Team_Info'!$E$2-COUNTIF($B211:K211,"W"))/('Team_Info'!$E$4-10)),"W","B")</x:f>
        <x:v>W</x:v>
      </x:c>
      <x:c r="M211" t="str">
        <x:f>IF(RAND()&lt;(('Team_Info'!$E$2-COUNTIF($B211:L211,"W"))/('Team_Info'!$E$4-11)),"W","B")</x:f>
        <x:v>B</x:v>
      </x:c>
      <x:c r="N211" t="str">
        <x:f>IF(RAND()&lt;(('Team_Info'!$E$2-COUNTIF($B211:M211,"W"))/('Team_Info'!$E$4-12)),"W","B")</x:f>
        <x:v>W</x:v>
      </x:c>
      <x:c r="O211" t="str">
        <x:f>IF(RAND()&lt;(('Team_Info'!$E$2-COUNTIF($B211:N211,"W"))/('Team_Info'!$E$4-13)),"W","B")</x:f>
        <x:v>W</x:v>
      </x:c>
      <x:c r="P211" t="str">
        <x:f>IF(RAND()&lt;(('Team_Info'!$E$2-COUNTIF($B211:O211,"W"))/('Team_Info'!$E$4-14)),"W","B")</x:f>
        <x:v>B</x:v>
      </x:c>
      <x:c r="Q211" t="str">
        <x:f>IF(RAND()&lt;(('Team_Info'!$E$2-COUNTIF($B211:P211,"W"))/('Team_Info'!$E$4-15)),"W","B")</x:f>
        <x:v>B</x:v>
      </x:c>
      <x:c r="R211" t="str">
        <x:f>IF(RAND()&lt;(('Team_Info'!$E$2-COUNTIF($B211:Q211,"W"))/('Team_Info'!$E$4-16)),"W","B")</x:f>
        <x:v>B</x:v>
      </x:c>
      <x:c r="S211" t="str">
        <x:f>IF(RAND()&lt;(('Team_Info'!$E$2-COUNTIF($B211:R211,"W"))/('Team_Info'!$E$4-17)),"W","B")</x:f>
        <x:v>W</x:v>
      </x:c>
      <x:c r="T211" t="str">
        <x:f>IF(RAND()&lt;(('Team_Info'!$E$2-COUNTIF($B211:S211,"W"))/('Team_Info'!$E$4-18)),"W","B")</x:f>
        <x:v>W</x:v>
      </x:c>
      <x:c r="U211" t="str">
        <x:f>IF(RAND()&lt;(('Team_Info'!$E$2-COUNTIF($B211:T211,"W"))/('Team_Info'!$E$4-19)),"W","B")</x:f>
        <x:v>W</x:v>
      </x:c>
    </x:row>
    <x:row r="212">
      <x:c r="A212" s="1">
        <x:v>211</x:v>
      </x:c>
      <x:c r="B212" t="str">
        <x:f>IF(RAND()&lt;'Team_Info'!$E$5,"W","B")</x:f>
        <x:v>W</x:v>
      </x:c>
      <x:c r="C212" t="str">
        <x:f>IF(RAND()&lt;(('Team_Info'!$E$2-COUNTIF($B212:B212,"W"))/('Team_Info'!$E$4-1)),"W","B")</x:f>
        <x:v>W</x:v>
      </x:c>
      <x:c r="D212" t="str">
        <x:f>IF(RAND()&lt;(('Team_Info'!$E$2-COUNTIF($B212:C212,"W"))/('Team_Info'!$E$4-2)),"W","B")</x:f>
        <x:v>B</x:v>
      </x:c>
      <x:c r="E212" t="str">
        <x:f>IF(RAND()&lt;(('Team_Info'!$E$2-COUNTIF($B212:D212,"W"))/('Team_Info'!$E$4-3)),"W","B")</x:f>
        <x:v>W</x:v>
      </x:c>
      <x:c r="F212" t="str">
        <x:f>IF(RAND()&lt;(('Team_Info'!$E$2-COUNTIF($B212:E212,"W"))/('Team_Info'!$E$4-4)),"W","B")</x:f>
        <x:v>W</x:v>
      </x:c>
      <x:c r="G212" t="str">
        <x:f>IF(RAND()&lt;(('Team_Info'!$E$2-COUNTIF($B212:F212,"W"))/('Team_Info'!$E$4-5)),"W","B")</x:f>
        <x:v>B</x:v>
      </x:c>
      <x:c r="H212" t="str">
        <x:f>IF(RAND()&lt;(('Team_Info'!$E$2-COUNTIF($B212:G212,"W"))/('Team_Info'!$E$4-6)),"W","B")</x:f>
        <x:v>B</x:v>
      </x:c>
      <x:c r="I212" t="str">
        <x:f>IF(RAND()&lt;(('Team_Info'!$E$2-COUNTIF($B212:H212,"W"))/('Team_Info'!$E$4-7)),"W","B")</x:f>
        <x:v>W</x:v>
      </x:c>
      <x:c r="J212" t="str">
        <x:f>IF(RAND()&lt;(('Team_Info'!$E$2-COUNTIF($B212:I212,"W"))/('Team_Info'!$E$4-8)),"W","B")</x:f>
        <x:v>W</x:v>
      </x:c>
      <x:c r="K212" t="str">
        <x:f>IF(RAND()&lt;(('Team_Info'!$E$2-COUNTIF($B212:J212,"W"))/('Team_Info'!$E$4-9)),"W","B")</x:f>
        <x:v>B</x:v>
      </x:c>
      <x:c r="L212" t="str">
        <x:f>IF(RAND()&lt;(('Team_Info'!$E$2-COUNTIF($B212:K212,"W"))/('Team_Info'!$E$4-10)),"W","B")</x:f>
        <x:v>W</x:v>
      </x:c>
      <x:c r="M212" t="str">
        <x:f>IF(RAND()&lt;(('Team_Info'!$E$2-COUNTIF($B212:L212,"W"))/('Team_Info'!$E$4-11)),"W","B")</x:f>
        <x:v>B</x:v>
      </x:c>
      <x:c r="N212" t="str">
        <x:f>IF(RAND()&lt;(('Team_Info'!$E$2-COUNTIF($B212:M212,"W"))/('Team_Info'!$E$4-12)),"W","B")</x:f>
        <x:v>W</x:v>
      </x:c>
      <x:c r="O212" t="str">
        <x:f>IF(RAND()&lt;(('Team_Info'!$E$2-COUNTIF($B212:N212,"W"))/('Team_Info'!$E$4-13)),"W","B")</x:f>
        <x:v>B</x:v>
      </x:c>
      <x:c r="P212" t="str">
        <x:f>IF(RAND()&lt;(('Team_Info'!$E$2-COUNTIF($B212:O212,"W"))/('Team_Info'!$E$4-14)),"W","B")</x:f>
        <x:v>B</x:v>
      </x:c>
      <x:c r="Q212" t="str">
        <x:f>IF(RAND()&lt;(('Team_Info'!$E$2-COUNTIF($B212:P212,"W"))/('Team_Info'!$E$4-15)),"W","B")</x:f>
        <x:v>B</x:v>
      </x:c>
      <x:c r="R212" t="str">
        <x:f>IF(RAND()&lt;(('Team_Info'!$E$2-COUNTIF($B212:Q212,"W"))/('Team_Info'!$E$4-16)),"W","B")</x:f>
        <x:v>W</x:v>
      </x:c>
      <x:c r="S212" t="str">
        <x:f>IF(RAND()&lt;(('Team_Info'!$E$2-COUNTIF($B212:R212,"W"))/('Team_Info'!$E$4-17)),"W","B")</x:f>
        <x:v>W</x:v>
      </x:c>
      <x:c r="T212" t="str">
        <x:f>IF(RAND()&lt;(('Team_Info'!$E$2-COUNTIF($B212:S212,"W"))/('Team_Info'!$E$4-18)),"W","B")</x:f>
        <x:v>W</x:v>
      </x:c>
      <x:c r="U212" t="str">
        <x:f>IF(RAND()&lt;(('Team_Info'!$E$2-COUNTIF($B212:T212,"W"))/('Team_Info'!$E$4-19)),"W","B")</x:f>
        <x:v>B</x:v>
      </x:c>
    </x:row>
    <x:row r="213">
      <x:c r="A213" s="1">
        <x:v>212</x:v>
      </x:c>
      <x:c r="B213" t="str">
        <x:f>IF(RAND()&lt;'Team_Info'!$E$5,"W","B")</x:f>
        <x:v>B</x:v>
      </x:c>
      <x:c r="C213" t="str">
        <x:f>IF(RAND()&lt;(('Team_Info'!$E$2-COUNTIF($B213:B213,"W"))/('Team_Info'!$E$4-1)),"W","B")</x:f>
        <x:v>W</x:v>
      </x:c>
      <x:c r="D213" t="str">
        <x:f>IF(RAND()&lt;(('Team_Info'!$E$2-COUNTIF($B213:C213,"W"))/('Team_Info'!$E$4-2)),"W","B")</x:f>
        <x:v>B</x:v>
      </x:c>
      <x:c r="E213" t="str">
        <x:f>IF(RAND()&lt;(('Team_Info'!$E$2-COUNTIF($B213:D213,"W"))/('Team_Info'!$E$4-3)),"W","B")</x:f>
        <x:v>W</x:v>
      </x:c>
      <x:c r="F213" t="str">
        <x:f>IF(RAND()&lt;(('Team_Info'!$E$2-COUNTIF($B213:E213,"W"))/('Team_Info'!$E$4-4)),"W","B")</x:f>
        <x:v>W</x:v>
      </x:c>
      <x:c r="G213" t="str">
        <x:f>IF(RAND()&lt;(('Team_Info'!$E$2-COUNTIF($B213:F213,"W"))/('Team_Info'!$E$4-5)),"W","B")</x:f>
        <x:v>W</x:v>
      </x:c>
      <x:c r="H213" t="str">
        <x:f>IF(RAND()&lt;(('Team_Info'!$E$2-COUNTIF($B213:G213,"W"))/('Team_Info'!$E$4-6)),"W","B")</x:f>
        <x:v>B</x:v>
      </x:c>
      <x:c r="I213" t="str">
        <x:f>IF(RAND()&lt;(('Team_Info'!$E$2-COUNTIF($B213:H213,"W"))/('Team_Info'!$E$4-7)),"W","B")</x:f>
        <x:v>B</x:v>
      </x:c>
      <x:c r="J213" t="str">
        <x:f>IF(RAND()&lt;(('Team_Info'!$E$2-COUNTIF($B213:I213,"W"))/('Team_Info'!$E$4-8)),"W","B")</x:f>
        <x:v>B</x:v>
      </x:c>
      <x:c r="K213" t="str">
        <x:f>IF(RAND()&lt;(('Team_Info'!$E$2-COUNTIF($B213:J213,"W"))/('Team_Info'!$E$4-9)),"W","B")</x:f>
        <x:v>B</x:v>
      </x:c>
      <x:c r="L213" t="str">
        <x:f>IF(RAND()&lt;(('Team_Info'!$E$2-COUNTIF($B213:K213,"W"))/('Team_Info'!$E$4-10)),"W","B")</x:f>
        <x:v>W</x:v>
      </x:c>
      <x:c r="M213" t="str">
        <x:f>IF(RAND()&lt;(('Team_Info'!$E$2-COUNTIF($B213:L213,"W"))/('Team_Info'!$E$4-11)),"W","B")</x:f>
        <x:v>B</x:v>
      </x:c>
      <x:c r="N213" t="str">
        <x:f>IF(RAND()&lt;(('Team_Info'!$E$2-COUNTIF($B213:M213,"W"))/('Team_Info'!$E$4-12)),"W","B")</x:f>
        <x:v>B</x:v>
      </x:c>
      <x:c r="O213" t="str">
        <x:f>IF(RAND()&lt;(('Team_Info'!$E$2-COUNTIF($B213:N213,"W"))/('Team_Info'!$E$4-13)),"W","B")</x:f>
        <x:v>B</x:v>
      </x:c>
      <x:c r="P213" t="str">
        <x:f>IF(RAND()&lt;(('Team_Info'!$E$2-COUNTIF($B213:O213,"W"))/('Team_Info'!$E$4-14)),"W","B")</x:f>
        <x:v>B</x:v>
      </x:c>
      <x:c r="Q213" t="str">
        <x:f>IF(RAND()&lt;(('Team_Info'!$E$2-COUNTIF($B213:P213,"W"))/('Team_Info'!$E$4-15)),"W","B")</x:f>
        <x:v>B</x:v>
      </x:c>
      <x:c r="R213" t="str">
        <x:f>IF(RAND()&lt;(('Team_Info'!$E$2-COUNTIF($B213:Q213,"W"))/('Team_Info'!$E$4-16)),"W","B")</x:f>
        <x:v>W</x:v>
      </x:c>
      <x:c r="S213" t="str">
        <x:f>IF(RAND()&lt;(('Team_Info'!$E$2-COUNTIF($B213:R213,"W"))/('Team_Info'!$E$4-17)),"W","B")</x:f>
        <x:v>B</x:v>
      </x:c>
      <x:c r="T213" t="str">
        <x:f>IF(RAND()&lt;(('Team_Info'!$E$2-COUNTIF($B213:S213,"W"))/('Team_Info'!$E$4-18)),"W","B")</x:f>
        <x:v>B</x:v>
      </x:c>
      <x:c r="U213" t="str">
        <x:f>IF(RAND()&lt;(('Team_Info'!$E$2-COUNTIF($B213:T213,"W"))/('Team_Info'!$E$4-19)),"W","B")</x:f>
        <x:v>B</x:v>
      </x:c>
    </x:row>
    <x:row r="214">
      <x:c r="A214" s="1">
        <x:v>213</x:v>
      </x:c>
      <x:c r="B214" t="str">
        <x:f>IF(RAND()&lt;'Team_Info'!$E$5,"W","B")</x:f>
        <x:v>B</x:v>
      </x:c>
      <x:c r="C214" t="str">
        <x:f>IF(RAND()&lt;(('Team_Info'!$E$2-COUNTIF($B214:B214,"W"))/('Team_Info'!$E$4-1)),"W","B")</x:f>
        <x:v>B</x:v>
      </x:c>
      <x:c r="D214" t="str">
        <x:f>IF(RAND()&lt;(('Team_Info'!$E$2-COUNTIF($B214:C214,"W"))/('Team_Info'!$E$4-2)),"W","B")</x:f>
        <x:v>W</x:v>
      </x:c>
      <x:c r="E214" t="str">
        <x:f>IF(RAND()&lt;(('Team_Info'!$E$2-COUNTIF($B214:D214,"W"))/('Team_Info'!$E$4-3)),"W","B")</x:f>
        <x:v>B</x:v>
      </x:c>
      <x:c r="F214" t="str">
        <x:f>IF(RAND()&lt;(('Team_Info'!$E$2-COUNTIF($B214:E214,"W"))/('Team_Info'!$E$4-4)),"W","B")</x:f>
        <x:v>W</x:v>
      </x:c>
      <x:c r="G214" t="str">
        <x:f>IF(RAND()&lt;(('Team_Info'!$E$2-COUNTIF($B214:F214,"W"))/('Team_Info'!$E$4-5)),"W","B")</x:f>
        <x:v>B</x:v>
      </x:c>
      <x:c r="H214" t="str">
        <x:f>IF(RAND()&lt;(('Team_Info'!$E$2-COUNTIF($B214:G214,"W"))/('Team_Info'!$E$4-6)),"W","B")</x:f>
        <x:v>W</x:v>
      </x:c>
      <x:c r="I214" t="str">
        <x:f>IF(RAND()&lt;(('Team_Info'!$E$2-COUNTIF($B214:H214,"W"))/('Team_Info'!$E$4-7)),"W","B")</x:f>
        <x:v>W</x:v>
      </x:c>
      <x:c r="J214" t="str">
        <x:f>IF(RAND()&lt;(('Team_Info'!$E$2-COUNTIF($B214:I214,"W"))/('Team_Info'!$E$4-8)),"W","B")</x:f>
        <x:v>B</x:v>
      </x:c>
      <x:c r="K214" t="str">
        <x:f>IF(RAND()&lt;(('Team_Info'!$E$2-COUNTIF($B214:J214,"W"))/('Team_Info'!$E$4-9)),"W","B")</x:f>
        <x:v>B</x:v>
      </x:c>
      <x:c r="L214" t="str">
        <x:f>IF(RAND()&lt;(('Team_Info'!$E$2-COUNTIF($B214:K214,"W"))/('Team_Info'!$E$4-10)),"W","B")</x:f>
        <x:v>W</x:v>
      </x:c>
      <x:c r="M214" t="str">
        <x:f>IF(RAND()&lt;(('Team_Info'!$E$2-COUNTIF($B214:L214,"W"))/('Team_Info'!$E$4-11)),"W","B")</x:f>
        <x:v>B</x:v>
      </x:c>
      <x:c r="N214" t="str">
        <x:f>IF(RAND()&lt;(('Team_Info'!$E$2-COUNTIF($B214:M214,"W"))/('Team_Info'!$E$4-12)),"W","B")</x:f>
        <x:v>B</x:v>
      </x:c>
      <x:c r="O214" t="str">
        <x:f>IF(RAND()&lt;(('Team_Info'!$E$2-COUNTIF($B214:N214,"W"))/('Team_Info'!$E$4-13)),"W","B")</x:f>
        <x:v>W</x:v>
      </x:c>
      <x:c r="P214" t="str">
        <x:f>IF(RAND()&lt;(('Team_Info'!$E$2-COUNTIF($B214:O214,"W"))/('Team_Info'!$E$4-14)),"W","B")</x:f>
        <x:v>B</x:v>
      </x:c>
      <x:c r="Q214" t="str">
        <x:f>IF(RAND()&lt;(('Team_Info'!$E$2-COUNTIF($B214:P214,"W"))/('Team_Info'!$E$4-15)),"W","B")</x:f>
        <x:v>B</x:v>
      </x:c>
      <x:c r="R214" t="str">
        <x:f>IF(RAND()&lt;(('Team_Info'!$E$2-COUNTIF($B214:Q214,"W"))/('Team_Info'!$E$4-16)),"W","B")</x:f>
        <x:v>B</x:v>
      </x:c>
      <x:c r="S214" t="str">
        <x:f>IF(RAND()&lt;(('Team_Info'!$E$2-COUNTIF($B214:R214,"W"))/('Team_Info'!$E$4-17)),"W","B")</x:f>
        <x:v>B</x:v>
      </x:c>
      <x:c r="T214" t="str">
        <x:f>IF(RAND()&lt;(('Team_Info'!$E$2-COUNTIF($B214:S214,"W"))/('Team_Info'!$E$4-18)),"W","B")</x:f>
        <x:v>W</x:v>
      </x:c>
      <x:c r="U214" t="str">
        <x:f>IF(RAND()&lt;(('Team_Info'!$E$2-COUNTIF($B214:T214,"W"))/('Team_Info'!$E$4-19)),"W","B")</x:f>
        <x:v>B</x:v>
      </x:c>
    </x:row>
    <x:row r="215">
      <x:c r="A215" s="1">
        <x:v>214</x:v>
      </x:c>
      <x:c r="B215" t="str">
        <x:f>IF(RAND()&lt;'Team_Info'!$E$5,"W","B")</x:f>
        <x:v>W</x:v>
      </x:c>
      <x:c r="C215" t="str">
        <x:f>IF(RAND()&lt;(('Team_Info'!$E$2-COUNTIF($B215:B215,"W"))/('Team_Info'!$E$4-1)),"W","B")</x:f>
        <x:v>B</x:v>
      </x:c>
      <x:c r="D215" t="str">
        <x:f>IF(RAND()&lt;(('Team_Info'!$E$2-COUNTIF($B215:C215,"W"))/('Team_Info'!$E$4-2)),"W","B")</x:f>
        <x:v>B</x:v>
      </x:c>
      <x:c r="E215" t="str">
        <x:f>IF(RAND()&lt;(('Team_Info'!$E$2-COUNTIF($B215:D215,"W"))/('Team_Info'!$E$4-3)),"W","B")</x:f>
        <x:v>B</x:v>
      </x:c>
      <x:c r="F215" t="str">
        <x:f>IF(RAND()&lt;(('Team_Info'!$E$2-COUNTIF($B215:E215,"W"))/('Team_Info'!$E$4-4)),"W","B")</x:f>
        <x:v>B</x:v>
      </x:c>
      <x:c r="G215" t="str">
        <x:f>IF(RAND()&lt;(('Team_Info'!$E$2-COUNTIF($B215:F215,"W"))/('Team_Info'!$E$4-5)),"W","B")</x:f>
        <x:v>B</x:v>
      </x:c>
      <x:c r="H215" t="str">
        <x:f>IF(RAND()&lt;(('Team_Info'!$E$2-COUNTIF($B215:G215,"W"))/('Team_Info'!$E$4-6)),"W","B")</x:f>
        <x:v>W</x:v>
      </x:c>
      <x:c r="I215" t="str">
        <x:f>IF(RAND()&lt;(('Team_Info'!$E$2-COUNTIF($B215:H215,"W"))/('Team_Info'!$E$4-7)),"W","B")</x:f>
        <x:v>B</x:v>
      </x:c>
      <x:c r="J215" t="str">
        <x:f>IF(RAND()&lt;(('Team_Info'!$E$2-COUNTIF($B215:I215,"W"))/('Team_Info'!$E$4-8)),"W","B")</x:f>
        <x:v>W</x:v>
      </x:c>
      <x:c r="K215" t="str">
        <x:f>IF(RAND()&lt;(('Team_Info'!$E$2-COUNTIF($B215:J215,"W"))/('Team_Info'!$E$4-9)),"W","B")</x:f>
        <x:v>B</x:v>
      </x:c>
      <x:c r="L215" t="str">
        <x:f>IF(RAND()&lt;(('Team_Info'!$E$2-COUNTIF($B215:K215,"W"))/('Team_Info'!$E$4-10)),"W","B")</x:f>
        <x:v>B</x:v>
      </x:c>
      <x:c r="M215" t="str">
        <x:f>IF(RAND()&lt;(('Team_Info'!$E$2-COUNTIF($B215:L215,"W"))/('Team_Info'!$E$4-11)),"W","B")</x:f>
        <x:v>W</x:v>
      </x:c>
      <x:c r="N215" t="str">
        <x:f>IF(RAND()&lt;(('Team_Info'!$E$2-COUNTIF($B215:M215,"W"))/('Team_Info'!$E$4-12)),"W","B")</x:f>
        <x:v>B</x:v>
      </x:c>
      <x:c r="O215" t="str">
        <x:f>IF(RAND()&lt;(('Team_Info'!$E$2-COUNTIF($B215:N215,"W"))/('Team_Info'!$E$4-13)),"W","B")</x:f>
        <x:v>B</x:v>
      </x:c>
      <x:c r="P215" t="str">
        <x:f>IF(RAND()&lt;(('Team_Info'!$E$2-COUNTIF($B215:O215,"W"))/('Team_Info'!$E$4-14)),"W","B")</x:f>
        <x:v>W</x:v>
      </x:c>
      <x:c r="Q215" t="str">
        <x:f>IF(RAND()&lt;(('Team_Info'!$E$2-COUNTIF($B215:P215,"W"))/('Team_Info'!$E$4-15)),"W","B")</x:f>
        <x:v>B</x:v>
      </x:c>
      <x:c r="R215" t="str">
        <x:f>IF(RAND()&lt;(('Team_Info'!$E$2-COUNTIF($B215:Q215,"W"))/('Team_Info'!$E$4-16)),"W","B")</x:f>
        <x:v>W</x:v>
      </x:c>
      <x:c r="S215" t="str">
        <x:f>IF(RAND()&lt;(('Team_Info'!$E$2-COUNTIF($B215:R215,"W"))/('Team_Info'!$E$4-17)),"W","B")</x:f>
        <x:v>W</x:v>
      </x:c>
      <x:c r="T215" t="str">
        <x:f>IF(RAND()&lt;(('Team_Info'!$E$2-COUNTIF($B215:S215,"W"))/('Team_Info'!$E$4-18)),"W","B")</x:f>
        <x:v>B</x:v>
      </x:c>
      <x:c r="U215" t="str">
        <x:f>IF(RAND()&lt;(('Team_Info'!$E$2-COUNTIF($B215:T215,"W"))/('Team_Info'!$E$4-19)),"W","B")</x:f>
        <x:v>B</x:v>
      </x:c>
    </x:row>
    <x:row r="216">
      <x:c r="A216" s="1">
        <x:v>215</x:v>
      </x:c>
      <x:c r="B216" t="str">
        <x:f>IF(RAND()&lt;'Team_Info'!$E$5,"W","B")</x:f>
        <x:v>W</x:v>
      </x:c>
      <x:c r="C216" t="str">
        <x:f>IF(RAND()&lt;(('Team_Info'!$E$2-COUNTIF($B216:B216,"W"))/('Team_Info'!$E$4-1)),"W","B")</x:f>
        <x:v>B</x:v>
      </x:c>
      <x:c r="D216" t="str">
        <x:f>IF(RAND()&lt;(('Team_Info'!$E$2-COUNTIF($B216:C216,"W"))/('Team_Info'!$E$4-2)),"W","B")</x:f>
        <x:v>B</x:v>
      </x:c>
      <x:c r="E216" t="str">
        <x:f>IF(RAND()&lt;(('Team_Info'!$E$2-COUNTIF($B216:D216,"W"))/('Team_Info'!$E$4-3)),"W","B")</x:f>
        <x:v>B</x:v>
      </x:c>
      <x:c r="F216" t="str">
        <x:f>IF(RAND()&lt;(('Team_Info'!$E$2-COUNTIF($B216:E216,"W"))/('Team_Info'!$E$4-4)),"W","B")</x:f>
        <x:v>W</x:v>
      </x:c>
      <x:c r="G216" t="str">
        <x:f>IF(RAND()&lt;(('Team_Info'!$E$2-COUNTIF($B216:F216,"W"))/('Team_Info'!$E$4-5)),"W","B")</x:f>
        <x:v>B</x:v>
      </x:c>
      <x:c r="H216" t="str">
        <x:f>IF(RAND()&lt;(('Team_Info'!$E$2-COUNTIF($B216:G216,"W"))/('Team_Info'!$E$4-6)),"W","B")</x:f>
        <x:v>W</x:v>
      </x:c>
      <x:c r="I216" t="str">
        <x:f>IF(RAND()&lt;(('Team_Info'!$E$2-COUNTIF($B216:H216,"W"))/('Team_Info'!$E$4-7)),"W","B")</x:f>
        <x:v>B</x:v>
      </x:c>
      <x:c r="J216" t="str">
        <x:f>IF(RAND()&lt;(('Team_Info'!$E$2-COUNTIF($B216:I216,"W"))/('Team_Info'!$E$4-8)),"W","B")</x:f>
        <x:v>B</x:v>
      </x:c>
      <x:c r="K216" t="str">
        <x:f>IF(RAND()&lt;(('Team_Info'!$E$2-COUNTIF($B216:J216,"W"))/('Team_Info'!$E$4-9)),"W","B")</x:f>
        <x:v>W</x:v>
      </x:c>
      <x:c r="L216" t="str">
        <x:f>IF(RAND()&lt;(('Team_Info'!$E$2-COUNTIF($B216:K216,"W"))/('Team_Info'!$E$4-10)),"W","B")</x:f>
        <x:v>B</x:v>
      </x:c>
      <x:c r="M216" t="str">
        <x:f>IF(RAND()&lt;(('Team_Info'!$E$2-COUNTIF($B216:L216,"W"))/('Team_Info'!$E$4-11)),"W","B")</x:f>
        <x:v>W</x:v>
      </x:c>
      <x:c r="N216" t="str">
        <x:f>IF(RAND()&lt;(('Team_Info'!$E$2-COUNTIF($B216:M216,"W"))/('Team_Info'!$E$4-12)),"W","B")</x:f>
        <x:v>B</x:v>
      </x:c>
      <x:c r="O216" t="str">
        <x:f>IF(RAND()&lt;(('Team_Info'!$E$2-COUNTIF($B216:N216,"W"))/('Team_Info'!$E$4-13)),"W","B")</x:f>
        <x:v>B</x:v>
      </x:c>
      <x:c r="P216" t="str">
        <x:f>IF(RAND()&lt;(('Team_Info'!$E$2-COUNTIF($B216:O216,"W"))/('Team_Info'!$E$4-14)),"W","B")</x:f>
        <x:v>W</x:v>
      </x:c>
      <x:c r="Q216" t="str">
        <x:f>IF(RAND()&lt;(('Team_Info'!$E$2-COUNTIF($B216:P216,"W"))/('Team_Info'!$E$4-15)),"W","B")</x:f>
        <x:v>W</x:v>
      </x:c>
      <x:c r="R216" t="str">
        <x:f>IF(RAND()&lt;(('Team_Info'!$E$2-COUNTIF($B216:Q216,"W"))/('Team_Info'!$E$4-16)),"W","B")</x:f>
        <x:v>B</x:v>
      </x:c>
      <x:c r="S216" t="str">
        <x:f>IF(RAND()&lt;(('Team_Info'!$E$2-COUNTIF($B216:R216,"W"))/('Team_Info'!$E$4-17)),"W","B")</x:f>
        <x:v>B</x:v>
      </x:c>
      <x:c r="T216" t="str">
        <x:f>IF(RAND()&lt;(('Team_Info'!$E$2-COUNTIF($B216:S216,"W"))/('Team_Info'!$E$4-18)),"W","B")</x:f>
        <x:v>W</x:v>
      </x:c>
      <x:c r="U216" t="str">
        <x:f>IF(RAND()&lt;(('Team_Info'!$E$2-COUNTIF($B216:T216,"W"))/('Team_Info'!$E$4-19)),"W","B")</x:f>
        <x:v>B</x:v>
      </x:c>
    </x:row>
    <x:row r="217">
      <x:c r="A217" s="1">
        <x:v>216</x:v>
      </x:c>
      <x:c r="B217" t="str">
        <x:f>IF(RAND()&lt;'Team_Info'!$E$5,"W","B")</x:f>
        <x:v>B</x:v>
      </x:c>
      <x:c r="C217" t="str">
        <x:f>IF(RAND()&lt;(('Team_Info'!$E$2-COUNTIF($B217:B217,"W"))/('Team_Info'!$E$4-1)),"W","B")</x:f>
        <x:v>B</x:v>
      </x:c>
      <x:c r="D217" t="str">
        <x:f>IF(RAND()&lt;(('Team_Info'!$E$2-COUNTIF($B217:C217,"W"))/('Team_Info'!$E$4-2)),"W","B")</x:f>
        <x:v>W</x:v>
      </x:c>
      <x:c r="E217" t="str">
        <x:f>IF(RAND()&lt;(('Team_Info'!$E$2-COUNTIF($B217:D217,"W"))/('Team_Info'!$E$4-3)),"W","B")</x:f>
        <x:v>B</x:v>
      </x:c>
      <x:c r="F217" t="str">
        <x:f>IF(RAND()&lt;(('Team_Info'!$E$2-COUNTIF($B217:E217,"W"))/('Team_Info'!$E$4-4)),"W","B")</x:f>
        <x:v>B</x:v>
      </x:c>
      <x:c r="G217" t="str">
        <x:f>IF(RAND()&lt;(('Team_Info'!$E$2-COUNTIF($B217:F217,"W"))/('Team_Info'!$E$4-5)),"W","B")</x:f>
        <x:v>B</x:v>
      </x:c>
      <x:c r="H217" t="str">
        <x:f>IF(RAND()&lt;(('Team_Info'!$E$2-COUNTIF($B217:G217,"W"))/('Team_Info'!$E$4-6)),"W","B")</x:f>
        <x:v>B</x:v>
      </x:c>
      <x:c r="I217" t="str">
        <x:f>IF(RAND()&lt;(('Team_Info'!$E$2-COUNTIF($B217:H217,"W"))/('Team_Info'!$E$4-7)),"W","B")</x:f>
        <x:v>B</x:v>
      </x:c>
      <x:c r="J217" t="str">
        <x:f>IF(RAND()&lt;(('Team_Info'!$E$2-COUNTIF($B217:I217,"W"))/('Team_Info'!$E$4-8)),"W","B")</x:f>
        <x:v>W</x:v>
      </x:c>
      <x:c r="K217" t="str">
        <x:f>IF(RAND()&lt;(('Team_Info'!$E$2-COUNTIF($B217:J217,"W"))/('Team_Info'!$E$4-9)),"W","B")</x:f>
        <x:v>W</x:v>
      </x:c>
      <x:c r="L217" t="str">
        <x:f>IF(RAND()&lt;(('Team_Info'!$E$2-COUNTIF($B217:K217,"W"))/('Team_Info'!$E$4-10)),"W","B")</x:f>
        <x:v>B</x:v>
      </x:c>
      <x:c r="M217" t="str">
        <x:f>IF(RAND()&lt;(('Team_Info'!$E$2-COUNTIF($B217:L217,"W"))/('Team_Info'!$E$4-11)),"W","B")</x:f>
        <x:v>B</x:v>
      </x:c>
      <x:c r="N217" t="str">
        <x:f>IF(RAND()&lt;(('Team_Info'!$E$2-COUNTIF($B217:M217,"W"))/('Team_Info'!$E$4-12)),"W","B")</x:f>
        <x:v>W</x:v>
      </x:c>
      <x:c r="O217" t="str">
        <x:f>IF(RAND()&lt;(('Team_Info'!$E$2-COUNTIF($B217:N217,"W"))/('Team_Info'!$E$4-13)),"W","B")</x:f>
        <x:v>W</x:v>
      </x:c>
      <x:c r="P217" t="str">
        <x:f>IF(RAND()&lt;(('Team_Info'!$E$2-COUNTIF($B217:O217,"W"))/('Team_Info'!$E$4-14)),"W","B")</x:f>
        <x:v>W</x:v>
      </x:c>
      <x:c r="Q217" t="str">
        <x:f>IF(RAND()&lt;(('Team_Info'!$E$2-COUNTIF($B217:P217,"W"))/('Team_Info'!$E$4-15)),"W","B")</x:f>
        <x:v>B</x:v>
      </x:c>
      <x:c r="R217" t="str">
        <x:f>IF(RAND()&lt;(('Team_Info'!$E$2-COUNTIF($B217:Q217,"W"))/('Team_Info'!$E$4-16)),"W","B")</x:f>
        <x:v>B</x:v>
      </x:c>
      <x:c r="S217" t="str">
        <x:f>IF(RAND()&lt;(('Team_Info'!$E$2-COUNTIF($B217:R217,"W"))/('Team_Info'!$E$4-17)),"W","B")</x:f>
        <x:v>W</x:v>
      </x:c>
      <x:c r="T217" t="str">
        <x:f>IF(RAND()&lt;(('Team_Info'!$E$2-COUNTIF($B217:S217,"W"))/('Team_Info'!$E$4-18)),"W","B")</x:f>
        <x:v>W</x:v>
      </x:c>
      <x:c r="U217" t="str">
        <x:f>IF(RAND()&lt;(('Team_Info'!$E$2-COUNTIF($B217:T217,"W"))/('Team_Info'!$E$4-19)),"W","B")</x:f>
        <x:v>W</x:v>
      </x:c>
    </x:row>
    <x:row r="218">
      <x:c r="A218" s="1">
        <x:v>217</x:v>
      </x:c>
      <x:c r="B218" t="str">
        <x:f>IF(RAND()&lt;'Team_Info'!$E$5,"W","B")</x:f>
        <x:v>W</x:v>
      </x:c>
      <x:c r="C218" t="str">
        <x:f>IF(RAND()&lt;(('Team_Info'!$E$2-COUNTIF($B218:B218,"W"))/('Team_Info'!$E$4-1)),"W","B")</x:f>
        <x:v>W</x:v>
      </x:c>
      <x:c r="D218" t="str">
        <x:f>IF(RAND()&lt;(('Team_Info'!$E$2-COUNTIF($B218:C218,"W"))/('Team_Info'!$E$4-2)),"W","B")</x:f>
        <x:v>B</x:v>
      </x:c>
      <x:c r="E218" t="str">
        <x:f>IF(RAND()&lt;(('Team_Info'!$E$2-COUNTIF($B218:D218,"W"))/('Team_Info'!$E$4-3)),"W","B")</x:f>
        <x:v>B</x:v>
      </x:c>
      <x:c r="F218" t="str">
        <x:f>IF(RAND()&lt;(('Team_Info'!$E$2-COUNTIF($B218:E218,"W"))/('Team_Info'!$E$4-4)),"W","B")</x:f>
        <x:v>W</x:v>
      </x:c>
      <x:c r="G218" t="str">
        <x:f>IF(RAND()&lt;(('Team_Info'!$E$2-COUNTIF($B218:F218,"W"))/('Team_Info'!$E$4-5)),"W","B")</x:f>
        <x:v>B</x:v>
      </x:c>
      <x:c r="H218" t="str">
        <x:f>IF(RAND()&lt;(('Team_Info'!$E$2-COUNTIF($B218:G218,"W"))/('Team_Info'!$E$4-6)),"W","B")</x:f>
        <x:v>B</x:v>
      </x:c>
      <x:c r="I218" t="str">
        <x:f>IF(RAND()&lt;(('Team_Info'!$E$2-COUNTIF($B218:H218,"W"))/('Team_Info'!$E$4-7)),"W","B")</x:f>
        <x:v>W</x:v>
      </x:c>
      <x:c r="J218" t="str">
        <x:f>IF(RAND()&lt;(('Team_Info'!$E$2-COUNTIF($B218:I218,"W"))/('Team_Info'!$E$4-8)),"W","B")</x:f>
        <x:v>B</x:v>
      </x:c>
      <x:c r="K218" t="str">
        <x:f>IF(RAND()&lt;(('Team_Info'!$E$2-COUNTIF($B218:J218,"W"))/('Team_Info'!$E$4-9)),"W","B")</x:f>
        <x:v>B</x:v>
      </x:c>
      <x:c r="L218" t="str">
        <x:f>IF(RAND()&lt;(('Team_Info'!$E$2-COUNTIF($B218:K218,"W"))/('Team_Info'!$E$4-10)),"W","B")</x:f>
        <x:v>W</x:v>
      </x:c>
      <x:c r="M218" t="str">
        <x:f>IF(RAND()&lt;(('Team_Info'!$E$2-COUNTIF($B218:L218,"W"))/('Team_Info'!$E$4-11)),"W","B")</x:f>
        <x:v>B</x:v>
      </x:c>
      <x:c r="N218" t="str">
        <x:f>IF(RAND()&lt;(('Team_Info'!$E$2-COUNTIF($B218:M218,"W"))/('Team_Info'!$E$4-12)),"W","B")</x:f>
        <x:v>B</x:v>
      </x:c>
      <x:c r="O218" t="str">
        <x:f>IF(RAND()&lt;(('Team_Info'!$E$2-COUNTIF($B218:N218,"W"))/('Team_Info'!$E$4-13)),"W","B")</x:f>
        <x:v>W</x:v>
      </x:c>
      <x:c r="P218" t="str">
        <x:f>IF(RAND()&lt;(('Team_Info'!$E$2-COUNTIF($B218:O218,"W"))/('Team_Info'!$E$4-14)),"W","B")</x:f>
        <x:v>B</x:v>
      </x:c>
      <x:c r="Q218" t="str">
        <x:f>IF(RAND()&lt;(('Team_Info'!$E$2-COUNTIF($B218:P218,"W"))/('Team_Info'!$E$4-15)),"W","B")</x:f>
        <x:v>W</x:v>
      </x:c>
      <x:c r="R218" t="str">
        <x:f>IF(RAND()&lt;(('Team_Info'!$E$2-COUNTIF($B218:Q218,"W"))/('Team_Info'!$E$4-16)),"W","B")</x:f>
        <x:v>W</x:v>
      </x:c>
      <x:c r="S218" t="str">
        <x:f>IF(RAND()&lt;(('Team_Info'!$E$2-COUNTIF($B218:R218,"W"))/('Team_Info'!$E$4-17)),"W","B")</x:f>
        <x:v>B</x:v>
      </x:c>
      <x:c r="T218" t="str">
        <x:f>IF(RAND()&lt;(('Team_Info'!$E$2-COUNTIF($B218:S218,"W"))/('Team_Info'!$E$4-18)),"W","B")</x:f>
        <x:v>B</x:v>
      </x:c>
      <x:c r="U218" t="str">
        <x:f>IF(RAND()&lt;(('Team_Info'!$E$2-COUNTIF($B218:T218,"W"))/('Team_Info'!$E$4-19)),"W","B")</x:f>
        <x:v>B</x:v>
      </x:c>
    </x:row>
    <x:row r="219">
      <x:c r="A219" s="1">
        <x:v>218</x:v>
      </x:c>
      <x:c r="B219" t="str">
        <x:f>IF(RAND()&lt;'Team_Info'!$E$5,"W","B")</x:f>
        <x:v>W</x:v>
      </x:c>
      <x:c r="C219" t="str">
        <x:f>IF(RAND()&lt;(('Team_Info'!$E$2-COUNTIF($B219:B219,"W"))/('Team_Info'!$E$4-1)),"W","B")</x:f>
        <x:v>B</x:v>
      </x:c>
      <x:c r="D219" t="str">
        <x:f>IF(RAND()&lt;(('Team_Info'!$E$2-COUNTIF($B219:C219,"W"))/('Team_Info'!$E$4-2)),"W","B")</x:f>
        <x:v>B</x:v>
      </x:c>
      <x:c r="E219" t="str">
        <x:f>IF(RAND()&lt;(('Team_Info'!$E$2-COUNTIF($B219:D219,"W"))/('Team_Info'!$E$4-3)),"W","B")</x:f>
        <x:v>B</x:v>
      </x:c>
      <x:c r="F219" t="str">
        <x:f>IF(RAND()&lt;(('Team_Info'!$E$2-COUNTIF($B219:E219,"W"))/('Team_Info'!$E$4-4)),"W","B")</x:f>
        <x:v>B</x:v>
      </x:c>
      <x:c r="G219" t="str">
        <x:f>IF(RAND()&lt;(('Team_Info'!$E$2-COUNTIF($B219:F219,"W"))/('Team_Info'!$E$4-5)),"W","B")</x:f>
        <x:v>W</x:v>
      </x:c>
      <x:c r="H219" t="str">
        <x:f>IF(RAND()&lt;(('Team_Info'!$E$2-COUNTIF($B219:G219,"W"))/('Team_Info'!$E$4-6)),"W","B")</x:f>
        <x:v>B</x:v>
      </x:c>
      <x:c r="I219" t="str">
        <x:f>IF(RAND()&lt;(('Team_Info'!$E$2-COUNTIF($B219:H219,"W"))/('Team_Info'!$E$4-7)),"W","B")</x:f>
        <x:v>W</x:v>
      </x:c>
      <x:c r="J219" t="str">
        <x:f>IF(RAND()&lt;(('Team_Info'!$E$2-COUNTIF($B219:I219,"W"))/('Team_Info'!$E$4-8)),"W","B")</x:f>
        <x:v>W</x:v>
      </x:c>
      <x:c r="K219" t="str">
        <x:f>IF(RAND()&lt;(('Team_Info'!$E$2-COUNTIF($B219:J219,"W"))/('Team_Info'!$E$4-9)),"W","B")</x:f>
        <x:v>W</x:v>
      </x:c>
      <x:c r="L219" t="str">
        <x:f>IF(RAND()&lt;(('Team_Info'!$E$2-COUNTIF($B219:K219,"W"))/('Team_Info'!$E$4-10)),"W","B")</x:f>
        <x:v>W</x:v>
      </x:c>
      <x:c r="M219" t="str">
        <x:f>IF(RAND()&lt;(('Team_Info'!$E$2-COUNTIF($B219:L219,"W"))/('Team_Info'!$E$4-11)),"W","B")</x:f>
        <x:v>B</x:v>
      </x:c>
      <x:c r="N219" t="str">
        <x:f>IF(RAND()&lt;(('Team_Info'!$E$2-COUNTIF($B219:M219,"W"))/('Team_Info'!$E$4-12)),"W","B")</x:f>
        <x:v>W</x:v>
      </x:c>
      <x:c r="O219" t="str">
        <x:f>IF(RAND()&lt;(('Team_Info'!$E$2-COUNTIF($B219:N219,"W"))/('Team_Info'!$E$4-13)),"W","B")</x:f>
        <x:v>B</x:v>
      </x:c>
      <x:c r="P219" t="str">
        <x:f>IF(RAND()&lt;(('Team_Info'!$E$2-COUNTIF($B219:O219,"W"))/('Team_Info'!$E$4-14)),"W","B")</x:f>
        <x:v>B</x:v>
      </x:c>
      <x:c r="Q219" t="str">
        <x:f>IF(RAND()&lt;(('Team_Info'!$E$2-COUNTIF($B219:P219,"W"))/('Team_Info'!$E$4-15)),"W","B")</x:f>
        <x:v>B</x:v>
      </x:c>
      <x:c r="R219" t="str">
        <x:f>IF(RAND()&lt;(('Team_Info'!$E$2-COUNTIF($B219:Q219,"W"))/('Team_Info'!$E$4-16)),"W","B")</x:f>
        <x:v>W</x:v>
      </x:c>
      <x:c r="S219" t="str">
        <x:f>IF(RAND()&lt;(('Team_Info'!$E$2-COUNTIF($B219:R219,"W"))/('Team_Info'!$E$4-17)),"W","B")</x:f>
        <x:v>W</x:v>
      </x:c>
      <x:c r="T219" t="str">
        <x:f>IF(RAND()&lt;(('Team_Info'!$E$2-COUNTIF($B219:S219,"W"))/('Team_Info'!$E$4-18)),"W","B")</x:f>
        <x:v>B</x:v>
      </x:c>
      <x:c r="U219" t="str">
        <x:f>IF(RAND()&lt;(('Team_Info'!$E$2-COUNTIF($B219:T219,"W"))/('Team_Info'!$E$4-19)),"W","B")</x:f>
        <x:v>W</x:v>
      </x:c>
    </x:row>
    <x:row r="220">
      <x:c r="A220" s="1">
        <x:v>219</x:v>
      </x:c>
      <x:c r="B220" t="str">
        <x:f>IF(RAND()&lt;'Team_Info'!$E$5,"W","B")</x:f>
        <x:v>W</x:v>
      </x:c>
      <x:c r="C220" t="str">
        <x:f>IF(RAND()&lt;(('Team_Info'!$E$2-COUNTIF($B220:B220,"W"))/('Team_Info'!$E$4-1)),"W","B")</x:f>
        <x:v>B</x:v>
      </x:c>
      <x:c r="D220" t="str">
        <x:f>IF(RAND()&lt;(('Team_Info'!$E$2-COUNTIF($B220:C220,"W"))/('Team_Info'!$E$4-2)),"W","B")</x:f>
        <x:v>B</x:v>
      </x:c>
      <x:c r="E220" t="str">
        <x:f>IF(RAND()&lt;(('Team_Info'!$E$2-COUNTIF($B220:D220,"W"))/('Team_Info'!$E$4-3)),"W","B")</x:f>
        <x:v>B</x:v>
      </x:c>
      <x:c r="F220" t="str">
        <x:f>IF(RAND()&lt;(('Team_Info'!$E$2-COUNTIF($B220:E220,"W"))/('Team_Info'!$E$4-4)),"W","B")</x:f>
        <x:v>B</x:v>
      </x:c>
      <x:c r="G220" t="str">
        <x:f>IF(RAND()&lt;(('Team_Info'!$E$2-COUNTIF($B220:F220,"W"))/('Team_Info'!$E$4-5)),"W","B")</x:f>
        <x:v>B</x:v>
      </x:c>
      <x:c r="H220" t="str">
        <x:f>IF(RAND()&lt;(('Team_Info'!$E$2-COUNTIF($B220:G220,"W"))/('Team_Info'!$E$4-6)),"W","B")</x:f>
        <x:v>B</x:v>
      </x:c>
      <x:c r="I220" t="str">
        <x:f>IF(RAND()&lt;(('Team_Info'!$E$2-COUNTIF($B220:H220,"W"))/('Team_Info'!$E$4-7)),"W","B")</x:f>
        <x:v>B</x:v>
      </x:c>
      <x:c r="J220" t="str">
        <x:f>IF(RAND()&lt;(('Team_Info'!$E$2-COUNTIF($B220:I220,"W"))/('Team_Info'!$E$4-8)),"W","B")</x:f>
        <x:v>W</x:v>
      </x:c>
      <x:c r="K220" t="str">
        <x:f>IF(RAND()&lt;(('Team_Info'!$E$2-COUNTIF($B220:J220,"W"))/('Team_Info'!$E$4-9)),"W","B")</x:f>
        <x:v>B</x:v>
      </x:c>
      <x:c r="L220" t="str">
        <x:f>IF(RAND()&lt;(('Team_Info'!$E$2-COUNTIF($B220:K220,"W"))/('Team_Info'!$E$4-10)),"W","B")</x:f>
        <x:v>B</x:v>
      </x:c>
      <x:c r="M220" t="str">
        <x:f>IF(RAND()&lt;(('Team_Info'!$E$2-COUNTIF($B220:L220,"W"))/('Team_Info'!$E$4-11)),"W","B")</x:f>
        <x:v>B</x:v>
      </x:c>
      <x:c r="N220" t="str">
        <x:f>IF(RAND()&lt;(('Team_Info'!$E$2-COUNTIF($B220:M220,"W"))/('Team_Info'!$E$4-12)),"W","B")</x:f>
        <x:v>B</x:v>
      </x:c>
      <x:c r="O220" t="str">
        <x:f>IF(RAND()&lt;(('Team_Info'!$E$2-COUNTIF($B220:N220,"W"))/('Team_Info'!$E$4-13)),"W","B")</x:f>
        <x:v>B</x:v>
      </x:c>
      <x:c r="P220" t="str">
        <x:f>IF(RAND()&lt;(('Team_Info'!$E$2-COUNTIF($B220:O220,"W"))/('Team_Info'!$E$4-14)),"W","B")</x:f>
        <x:v>B</x:v>
      </x:c>
      <x:c r="Q220" t="str">
        <x:f>IF(RAND()&lt;(('Team_Info'!$E$2-COUNTIF($B220:P220,"W"))/('Team_Info'!$E$4-15)),"W","B")</x:f>
        <x:v>W</x:v>
      </x:c>
      <x:c r="R220" t="str">
        <x:f>IF(RAND()&lt;(('Team_Info'!$E$2-COUNTIF($B220:Q220,"W"))/('Team_Info'!$E$4-16)),"W","B")</x:f>
        <x:v>B</x:v>
      </x:c>
      <x:c r="S220" t="str">
        <x:f>IF(RAND()&lt;(('Team_Info'!$E$2-COUNTIF($B220:R220,"W"))/('Team_Info'!$E$4-17)),"W","B")</x:f>
        <x:v>W</x:v>
      </x:c>
      <x:c r="T220" t="str">
        <x:f>IF(RAND()&lt;(('Team_Info'!$E$2-COUNTIF($B220:S220,"W"))/('Team_Info'!$E$4-18)),"W","B")</x:f>
        <x:v>B</x:v>
      </x:c>
      <x:c r="U220" t="str">
        <x:f>IF(RAND()&lt;(('Team_Info'!$E$2-COUNTIF($B220:T220,"W"))/('Team_Info'!$E$4-19)),"W","B")</x:f>
        <x:v>B</x:v>
      </x:c>
    </x:row>
    <x:row r="221">
      <x:c r="A221" s="1">
        <x:v>220</x:v>
      </x:c>
      <x:c r="B221" t="str">
        <x:f>IF(RAND()&lt;'Team_Info'!$E$5,"W","B")</x:f>
        <x:v>B</x:v>
      </x:c>
      <x:c r="C221" t="str">
        <x:f>IF(RAND()&lt;(('Team_Info'!$E$2-COUNTIF($B221:B221,"W"))/('Team_Info'!$E$4-1)),"W","B")</x:f>
        <x:v>B</x:v>
      </x:c>
      <x:c r="D221" t="str">
        <x:f>IF(RAND()&lt;(('Team_Info'!$E$2-COUNTIF($B221:C221,"W"))/('Team_Info'!$E$4-2)),"W","B")</x:f>
        <x:v>W</x:v>
      </x:c>
      <x:c r="E221" t="str">
        <x:f>IF(RAND()&lt;(('Team_Info'!$E$2-COUNTIF($B221:D221,"W"))/('Team_Info'!$E$4-3)),"W","B")</x:f>
        <x:v>B</x:v>
      </x:c>
      <x:c r="F221" t="str">
        <x:f>IF(RAND()&lt;(('Team_Info'!$E$2-COUNTIF($B221:E221,"W"))/('Team_Info'!$E$4-4)),"W","B")</x:f>
        <x:v>B</x:v>
      </x:c>
      <x:c r="G221" t="str">
        <x:f>IF(RAND()&lt;(('Team_Info'!$E$2-COUNTIF($B221:F221,"W"))/('Team_Info'!$E$4-5)),"W","B")</x:f>
        <x:v>W</x:v>
      </x:c>
      <x:c r="H221" t="str">
        <x:f>IF(RAND()&lt;(('Team_Info'!$E$2-COUNTIF($B221:G221,"W"))/('Team_Info'!$E$4-6)),"W","B")</x:f>
        <x:v>W</x:v>
      </x:c>
      <x:c r="I221" t="str">
        <x:f>IF(RAND()&lt;(('Team_Info'!$E$2-COUNTIF($B221:H221,"W"))/('Team_Info'!$E$4-7)),"W","B")</x:f>
        <x:v>B</x:v>
      </x:c>
      <x:c r="J221" t="str">
        <x:f>IF(RAND()&lt;(('Team_Info'!$E$2-COUNTIF($B221:I221,"W"))/('Team_Info'!$E$4-8)),"W","B")</x:f>
        <x:v>W</x:v>
      </x:c>
      <x:c r="K221" t="str">
        <x:f>IF(RAND()&lt;(('Team_Info'!$E$2-COUNTIF($B221:J221,"W"))/('Team_Info'!$E$4-9)),"W","B")</x:f>
        <x:v>W</x:v>
      </x:c>
      <x:c r="L221" t="str">
        <x:f>IF(RAND()&lt;(('Team_Info'!$E$2-COUNTIF($B221:K221,"W"))/('Team_Info'!$E$4-10)),"W","B")</x:f>
        <x:v>B</x:v>
      </x:c>
      <x:c r="M221" t="str">
        <x:f>IF(RAND()&lt;(('Team_Info'!$E$2-COUNTIF($B221:L221,"W"))/('Team_Info'!$E$4-11)),"W","B")</x:f>
        <x:v>B</x:v>
      </x:c>
      <x:c r="N221" t="str">
        <x:f>IF(RAND()&lt;(('Team_Info'!$E$2-COUNTIF($B221:M221,"W"))/('Team_Info'!$E$4-12)),"W","B")</x:f>
        <x:v>B</x:v>
      </x:c>
      <x:c r="O221" t="str">
        <x:f>IF(RAND()&lt;(('Team_Info'!$E$2-COUNTIF($B221:N221,"W"))/('Team_Info'!$E$4-13)),"W","B")</x:f>
        <x:v>B</x:v>
      </x:c>
      <x:c r="P221" t="str">
        <x:f>IF(RAND()&lt;(('Team_Info'!$E$2-COUNTIF($B221:O221,"W"))/('Team_Info'!$E$4-14)),"W","B")</x:f>
        <x:v>W</x:v>
      </x:c>
      <x:c r="Q221" t="str">
        <x:f>IF(RAND()&lt;(('Team_Info'!$E$2-COUNTIF($B221:P221,"W"))/('Team_Info'!$E$4-15)),"W","B")</x:f>
        <x:v>B</x:v>
      </x:c>
      <x:c r="R221" t="str">
        <x:f>IF(RAND()&lt;(('Team_Info'!$E$2-COUNTIF($B221:Q221,"W"))/('Team_Info'!$E$4-16)),"W","B")</x:f>
        <x:v>W</x:v>
      </x:c>
      <x:c r="S221" t="str">
        <x:f>IF(RAND()&lt;(('Team_Info'!$E$2-COUNTIF($B221:R221,"W"))/('Team_Info'!$E$4-17)),"W","B")</x:f>
        <x:v>B</x:v>
      </x:c>
      <x:c r="T221" t="str">
        <x:f>IF(RAND()&lt;(('Team_Info'!$E$2-COUNTIF($B221:S221,"W"))/('Team_Info'!$E$4-18)),"W","B")</x:f>
        <x:v>B</x:v>
      </x:c>
      <x:c r="U221" t="str">
        <x:f>IF(RAND()&lt;(('Team_Info'!$E$2-COUNTIF($B221:T221,"W"))/('Team_Info'!$E$4-19)),"W","B")</x:f>
        <x:v>W</x:v>
      </x:c>
    </x:row>
    <x:row r="222">
      <x:c r="A222" s="1">
        <x:v>221</x:v>
      </x:c>
      <x:c r="B222" t="str">
        <x:f>IF(RAND()&lt;'Team_Info'!$E$5,"W","B")</x:f>
        <x:v>B</x:v>
      </x:c>
      <x:c r="C222" t="str">
        <x:f>IF(RAND()&lt;(('Team_Info'!$E$2-COUNTIF($B222:B222,"W"))/('Team_Info'!$E$4-1)),"W","B")</x:f>
        <x:v>B</x:v>
      </x:c>
      <x:c r="D222" t="str">
        <x:f>IF(RAND()&lt;(('Team_Info'!$E$2-COUNTIF($B222:C222,"W"))/('Team_Info'!$E$4-2)),"W","B")</x:f>
        <x:v>B</x:v>
      </x:c>
      <x:c r="E222" t="str">
        <x:f>IF(RAND()&lt;(('Team_Info'!$E$2-COUNTIF($B222:D222,"W"))/('Team_Info'!$E$4-3)),"W","B")</x:f>
        <x:v>B</x:v>
      </x:c>
      <x:c r="F222" t="str">
        <x:f>IF(RAND()&lt;(('Team_Info'!$E$2-COUNTIF($B222:E222,"W"))/('Team_Info'!$E$4-4)),"W","B")</x:f>
        <x:v>W</x:v>
      </x:c>
      <x:c r="G222" t="str">
        <x:f>IF(RAND()&lt;(('Team_Info'!$E$2-COUNTIF($B222:F222,"W"))/('Team_Info'!$E$4-5)),"W","B")</x:f>
        <x:v>B</x:v>
      </x:c>
      <x:c r="H222" t="str">
        <x:f>IF(RAND()&lt;(('Team_Info'!$E$2-COUNTIF($B222:G222,"W"))/('Team_Info'!$E$4-6)),"W","B")</x:f>
        <x:v>B</x:v>
      </x:c>
      <x:c r="I222" t="str">
        <x:f>IF(RAND()&lt;(('Team_Info'!$E$2-COUNTIF($B222:H222,"W"))/('Team_Info'!$E$4-7)),"W","B")</x:f>
        <x:v>B</x:v>
      </x:c>
      <x:c r="J222" t="str">
        <x:f>IF(RAND()&lt;(('Team_Info'!$E$2-COUNTIF($B222:I222,"W"))/('Team_Info'!$E$4-8)),"W","B")</x:f>
        <x:v>W</x:v>
      </x:c>
      <x:c r="K222" t="str">
        <x:f>IF(RAND()&lt;(('Team_Info'!$E$2-COUNTIF($B222:J222,"W"))/('Team_Info'!$E$4-9)),"W","B")</x:f>
        <x:v>B</x:v>
      </x:c>
      <x:c r="L222" t="str">
        <x:f>IF(RAND()&lt;(('Team_Info'!$E$2-COUNTIF($B222:K222,"W"))/('Team_Info'!$E$4-10)),"W","B")</x:f>
        <x:v>B</x:v>
      </x:c>
      <x:c r="M222" t="str">
        <x:f>IF(RAND()&lt;(('Team_Info'!$E$2-COUNTIF($B222:L222,"W"))/('Team_Info'!$E$4-11)),"W","B")</x:f>
        <x:v>B</x:v>
      </x:c>
      <x:c r="N222" t="str">
        <x:f>IF(RAND()&lt;(('Team_Info'!$E$2-COUNTIF($B222:M222,"W"))/('Team_Info'!$E$4-12)),"W","B")</x:f>
        <x:v>W</x:v>
      </x:c>
      <x:c r="O222" t="str">
        <x:f>IF(RAND()&lt;(('Team_Info'!$E$2-COUNTIF($B222:N222,"W"))/('Team_Info'!$E$4-13)),"W","B")</x:f>
        <x:v>B</x:v>
      </x:c>
      <x:c r="P222" t="str">
        <x:f>IF(RAND()&lt;(('Team_Info'!$E$2-COUNTIF($B222:O222,"W"))/('Team_Info'!$E$4-14)),"W","B")</x:f>
        <x:v>W</x:v>
      </x:c>
      <x:c r="Q222" t="str">
        <x:f>IF(RAND()&lt;(('Team_Info'!$E$2-COUNTIF($B222:P222,"W"))/('Team_Info'!$E$4-15)),"W","B")</x:f>
        <x:v>B</x:v>
      </x:c>
      <x:c r="R222" t="str">
        <x:f>IF(RAND()&lt;(('Team_Info'!$E$2-COUNTIF($B222:Q222,"W"))/('Team_Info'!$E$4-16)),"W","B")</x:f>
        <x:v>B</x:v>
      </x:c>
      <x:c r="S222" t="str">
        <x:f>IF(RAND()&lt;(('Team_Info'!$E$2-COUNTIF($B222:R222,"W"))/('Team_Info'!$E$4-17)),"W","B")</x:f>
        <x:v>W</x:v>
      </x:c>
      <x:c r="T222" t="str">
        <x:f>IF(RAND()&lt;(('Team_Info'!$E$2-COUNTIF($B222:S222,"W"))/('Team_Info'!$E$4-18)),"W","B")</x:f>
        <x:v>B</x:v>
      </x:c>
      <x:c r="U222" t="str">
        <x:f>IF(RAND()&lt;(('Team_Info'!$E$2-COUNTIF($B222:T222,"W"))/('Team_Info'!$E$4-19)),"W","B")</x:f>
        <x:v>B</x:v>
      </x:c>
    </x:row>
    <x:row r="223">
      <x:c r="A223" s="1">
        <x:v>222</x:v>
      </x:c>
      <x:c r="B223" t="str">
        <x:f>IF(RAND()&lt;'Team_Info'!$E$5,"W","B")</x:f>
        <x:v>B</x:v>
      </x:c>
      <x:c r="C223" t="str">
        <x:f>IF(RAND()&lt;(('Team_Info'!$E$2-COUNTIF($B223:B223,"W"))/('Team_Info'!$E$4-1)),"W","B")</x:f>
        <x:v>W</x:v>
      </x:c>
      <x:c r="D223" t="str">
        <x:f>IF(RAND()&lt;(('Team_Info'!$E$2-COUNTIF($B223:C223,"W"))/('Team_Info'!$E$4-2)),"W","B")</x:f>
        <x:v>W</x:v>
      </x:c>
      <x:c r="E223" t="str">
        <x:f>IF(RAND()&lt;(('Team_Info'!$E$2-COUNTIF($B223:D223,"W"))/('Team_Info'!$E$4-3)),"W","B")</x:f>
        <x:v>W</x:v>
      </x:c>
      <x:c r="F223" t="str">
        <x:f>IF(RAND()&lt;(('Team_Info'!$E$2-COUNTIF($B223:E223,"W"))/('Team_Info'!$E$4-4)),"W","B")</x:f>
        <x:v>B</x:v>
      </x:c>
      <x:c r="G223" t="str">
        <x:f>IF(RAND()&lt;(('Team_Info'!$E$2-COUNTIF($B223:F223,"W"))/('Team_Info'!$E$4-5)),"W","B")</x:f>
        <x:v>B</x:v>
      </x:c>
      <x:c r="H223" t="str">
        <x:f>IF(RAND()&lt;(('Team_Info'!$E$2-COUNTIF($B223:G223,"W"))/('Team_Info'!$E$4-6)),"W","B")</x:f>
        <x:v>B</x:v>
      </x:c>
      <x:c r="I223" t="str">
        <x:f>IF(RAND()&lt;(('Team_Info'!$E$2-COUNTIF($B223:H223,"W"))/('Team_Info'!$E$4-7)),"W","B")</x:f>
        <x:v>B</x:v>
      </x:c>
      <x:c r="J223" t="str">
        <x:f>IF(RAND()&lt;(('Team_Info'!$E$2-COUNTIF($B223:I223,"W"))/('Team_Info'!$E$4-8)),"W","B")</x:f>
        <x:v>B</x:v>
      </x:c>
      <x:c r="K223" t="str">
        <x:f>IF(RAND()&lt;(('Team_Info'!$E$2-COUNTIF($B223:J223,"W"))/('Team_Info'!$E$4-9)),"W","B")</x:f>
        <x:v>B</x:v>
      </x:c>
      <x:c r="L223" t="str">
        <x:f>IF(RAND()&lt;(('Team_Info'!$E$2-COUNTIF($B223:K223,"W"))/('Team_Info'!$E$4-10)),"W","B")</x:f>
        <x:v>B</x:v>
      </x:c>
      <x:c r="M223" t="str">
        <x:f>IF(RAND()&lt;(('Team_Info'!$E$2-COUNTIF($B223:L223,"W"))/('Team_Info'!$E$4-11)),"W","B")</x:f>
        <x:v>W</x:v>
      </x:c>
      <x:c r="N223" t="str">
        <x:f>IF(RAND()&lt;(('Team_Info'!$E$2-COUNTIF($B223:M223,"W"))/('Team_Info'!$E$4-12)),"W","B")</x:f>
        <x:v>B</x:v>
      </x:c>
      <x:c r="O223" t="str">
        <x:f>IF(RAND()&lt;(('Team_Info'!$E$2-COUNTIF($B223:N223,"W"))/('Team_Info'!$E$4-13)),"W","B")</x:f>
        <x:v>B</x:v>
      </x:c>
      <x:c r="P223" t="str">
        <x:f>IF(RAND()&lt;(('Team_Info'!$E$2-COUNTIF($B223:O223,"W"))/('Team_Info'!$E$4-14)),"W","B")</x:f>
        <x:v>W</x:v>
      </x:c>
      <x:c r="Q223" t="str">
        <x:f>IF(RAND()&lt;(('Team_Info'!$E$2-COUNTIF($B223:P223,"W"))/('Team_Info'!$E$4-15)),"W","B")</x:f>
        <x:v>W</x:v>
      </x:c>
      <x:c r="R223" t="str">
        <x:f>IF(RAND()&lt;(('Team_Info'!$E$2-COUNTIF($B223:Q223,"W"))/('Team_Info'!$E$4-16)),"W","B")</x:f>
        <x:v>B</x:v>
      </x:c>
      <x:c r="S223" t="str">
        <x:f>IF(RAND()&lt;(('Team_Info'!$E$2-COUNTIF($B223:R223,"W"))/('Team_Info'!$E$4-17)),"W","B")</x:f>
        <x:v>W</x:v>
      </x:c>
      <x:c r="T223" t="str">
        <x:f>IF(RAND()&lt;(('Team_Info'!$E$2-COUNTIF($B223:S223,"W"))/('Team_Info'!$E$4-18)),"W","B")</x:f>
        <x:v>B</x:v>
      </x:c>
      <x:c r="U223" t="str">
        <x:f>IF(RAND()&lt;(('Team_Info'!$E$2-COUNTIF($B223:T223,"W"))/('Team_Info'!$E$4-19)),"W","B")</x:f>
        <x:v>W</x:v>
      </x:c>
    </x:row>
    <x:row r="224">
      <x:c r="A224" s="1">
        <x:v>223</x:v>
      </x:c>
      <x:c r="B224" t="str">
        <x:f>IF(RAND()&lt;'Team_Info'!$E$5,"W","B")</x:f>
        <x:v>W</x:v>
      </x:c>
      <x:c r="C224" t="str">
        <x:f>IF(RAND()&lt;(('Team_Info'!$E$2-COUNTIF($B224:B224,"W"))/('Team_Info'!$E$4-1)),"W","B")</x:f>
        <x:v>W</x:v>
      </x:c>
      <x:c r="D224" t="str">
        <x:f>IF(RAND()&lt;(('Team_Info'!$E$2-COUNTIF($B224:C224,"W"))/('Team_Info'!$E$4-2)),"W","B")</x:f>
        <x:v>W</x:v>
      </x:c>
      <x:c r="E224" t="str">
        <x:f>IF(RAND()&lt;(('Team_Info'!$E$2-COUNTIF($B224:D224,"W"))/('Team_Info'!$E$4-3)),"W","B")</x:f>
        <x:v>B</x:v>
      </x:c>
      <x:c r="F224" t="str">
        <x:f>IF(RAND()&lt;(('Team_Info'!$E$2-COUNTIF($B224:E224,"W"))/('Team_Info'!$E$4-4)),"W","B")</x:f>
        <x:v>W</x:v>
      </x:c>
      <x:c r="G224" t="str">
        <x:f>IF(RAND()&lt;(('Team_Info'!$E$2-COUNTIF($B224:F224,"W"))/('Team_Info'!$E$4-5)),"W","B")</x:f>
        <x:v>B</x:v>
      </x:c>
      <x:c r="H224" t="str">
        <x:f>IF(RAND()&lt;(('Team_Info'!$E$2-COUNTIF($B224:G224,"W"))/('Team_Info'!$E$4-6)),"W","B")</x:f>
        <x:v>B</x:v>
      </x:c>
      <x:c r="I224" t="str">
        <x:f>IF(RAND()&lt;(('Team_Info'!$E$2-COUNTIF($B224:H224,"W"))/('Team_Info'!$E$4-7)),"W","B")</x:f>
        <x:v>B</x:v>
      </x:c>
      <x:c r="J224" t="str">
        <x:f>IF(RAND()&lt;(('Team_Info'!$E$2-COUNTIF($B224:I224,"W"))/('Team_Info'!$E$4-8)),"W","B")</x:f>
        <x:v>W</x:v>
      </x:c>
      <x:c r="K224" t="str">
        <x:f>IF(RAND()&lt;(('Team_Info'!$E$2-COUNTIF($B224:J224,"W"))/('Team_Info'!$E$4-9)),"W","B")</x:f>
        <x:v>B</x:v>
      </x:c>
      <x:c r="L224" t="str">
        <x:f>IF(RAND()&lt;(('Team_Info'!$E$2-COUNTIF($B224:K224,"W"))/('Team_Info'!$E$4-10)),"W","B")</x:f>
        <x:v>B</x:v>
      </x:c>
      <x:c r="M224" t="str">
        <x:f>IF(RAND()&lt;(('Team_Info'!$E$2-COUNTIF($B224:L224,"W"))/('Team_Info'!$E$4-11)),"W","B")</x:f>
        <x:v>W</x:v>
      </x:c>
      <x:c r="N224" t="str">
        <x:f>IF(RAND()&lt;(('Team_Info'!$E$2-COUNTIF($B224:M224,"W"))/('Team_Info'!$E$4-12)),"W","B")</x:f>
        <x:v>W</x:v>
      </x:c>
      <x:c r="O224" t="str">
        <x:f>IF(RAND()&lt;(('Team_Info'!$E$2-COUNTIF($B224:N224,"W"))/('Team_Info'!$E$4-13)),"W","B")</x:f>
        <x:v>W</x:v>
      </x:c>
      <x:c r="P224" t="str">
        <x:f>IF(RAND()&lt;(('Team_Info'!$E$2-COUNTIF($B224:O224,"W"))/('Team_Info'!$E$4-14)),"W","B")</x:f>
        <x:v>B</x:v>
      </x:c>
      <x:c r="Q224" t="str">
        <x:f>IF(RAND()&lt;(('Team_Info'!$E$2-COUNTIF($B224:P224,"W"))/('Team_Info'!$E$4-15)),"W","B")</x:f>
        <x:v>W</x:v>
      </x:c>
      <x:c r="R224" t="str">
        <x:f>IF(RAND()&lt;(('Team_Info'!$E$2-COUNTIF($B224:Q224,"W"))/('Team_Info'!$E$4-16)),"W","B")</x:f>
        <x:v>W</x:v>
      </x:c>
      <x:c r="S224" t="str">
        <x:f>IF(RAND()&lt;(('Team_Info'!$E$2-COUNTIF($B224:R224,"W"))/('Team_Info'!$E$4-17)),"W","B")</x:f>
        <x:v>W</x:v>
      </x:c>
      <x:c r="T224" t="str">
        <x:f>IF(RAND()&lt;(('Team_Info'!$E$2-COUNTIF($B224:S224,"W"))/('Team_Info'!$E$4-18)),"W","B")</x:f>
        <x:v>B</x:v>
      </x:c>
      <x:c r="U224" t="str">
        <x:f>IF(RAND()&lt;(('Team_Info'!$E$2-COUNTIF($B224:T224,"W"))/('Team_Info'!$E$4-19)),"W","B")</x:f>
        <x:v>B</x:v>
      </x:c>
    </x:row>
    <x:row r="225">
      <x:c r="A225" s="1">
        <x:v>224</x:v>
      </x:c>
      <x:c r="B225" t="str">
        <x:f>IF(RAND()&lt;'Team_Info'!$E$5,"W","B")</x:f>
        <x:v>B</x:v>
      </x:c>
      <x:c r="C225" t="str">
        <x:f>IF(RAND()&lt;(('Team_Info'!$E$2-COUNTIF($B225:B225,"W"))/('Team_Info'!$E$4-1)),"W","B")</x:f>
        <x:v>W</x:v>
      </x:c>
      <x:c r="D225" t="str">
        <x:f>IF(RAND()&lt;(('Team_Info'!$E$2-COUNTIF($B225:C225,"W"))/('Team_Info'!$E$4-2)),"W","B")</x:f>
        <x:v>W</x:v>
      </x:c>
      <x:c r="E225" t="str">
        <x:f>IF(RAND()&lt;(('Team_Info'!$E$2-COUNTIF($B225:D225,"W"))/('Team_Info'!$E$4-3)),"W","B")</x:f>
        <x:v>B</x:v>
      </x:c>
      <x:c r="F225" t="str">
        <x:f>IF(RAND()&lt;(('Team_Info'!$E$2-COUNTIF($B225:E225,"W"))/('Team_Info'!$E$4-4)),"W","B")</x:f>
        <x:v>W</x:v>
      </x:c>
      <x:c r="G225" t="str">
        <x:f>IF(RAND()&lt;(('Team_Info'!$E$2-COUNTIF($B225:F225,"W"))/('Team_Info'!$E$4-5)),"W","B")</x:f>
        <x:v>B</x:v>
      </x:c>
      <x:c r="H225" t="str">
        <x:f>IF(RAND()&lt;(('Team_Info'!$E$2-COUNTIF($B225:G225,"W"))/('Team_Info'!$E$4-6)),"W","B")</x:f>
        <x:v>B</x:v>
      </x:c>
      <x:c r="I225" t="str">
        <x:f>IF(RAND()&lt;(('Team_Info'!$E$2-COUNTIF($B225:H225,"W"))/('Team_Info'!$E$4-7)),"W","B")</x:f>
        <x:v>B</x:v>
      </x:c>
      <x:c r="J225" t="str">
        <x:f>IF(RAND()&lt;(('Team_Info'!$E$2-COUNTIF($B225:I225,"W"))/('Team_Info'!$E$4-8)),"W","B")</x:f>
        <x:v>W</x:v>
      </x:c>
      <x:c r="K225" t="str">
        <x:f>IF(RAND()&lt;(('Team_Info'!$E$2-COUNTIF($B225:J225,"W"))/('Team_Info'!$E$4-9)),"W","B")</x:f>
        <x:v>B</x:v>
      </x:c>
      <x:c r="L225" t="str">
        <x:f>IF(RAND()&lt;(('Team_Info'!$E$2-COUNTIF($B225:K225,"W"))/('Team_Info'!$E$4-10)),"W","B")</x:f>
        <x:v>W</x:v>
      </x:c>
      <x:c r="M225" t="str">
        <x:f>IF(RAND()&lt;(('Team_Info'!$E$2-COUNTIF($B225:L225,"W"))/('Team_Info'!$E$4-11)),"W","B")</x:f>
        <x:v>W</x:v>
      </x:c>
      <x:c r="N225" t="str">
        <x:f>IF(RAND()&lt;(('Team_Info'!$E$2-COUNTIF($B225:M225,"W"))/('Team_Info'!$E$4-12)),"W","B")</x:f>
        <x:v>W</x:v>
      </x:c>
      <x:c r="O225" t="str">
        <x:f>IF(RAND()&lt;(('Team_Info'!$E$2-COUNTIF($B225:N225,"W"))/('Team_Info'!$E$4-13)),"W","B")</x:f>
        <x:v>W</x:v>
      </x:c>
      <x:c r="P225" t="str">
        <x:f>IF(RAND()&lt;(('Team_Info'!$E$2-COUNTIF($B225:O225,"W"))/('Team_Info'!$E$4-14)),"W","B")</x:f>
        <x:v>W</x:v>
      </x:c>
      <x:c r="Q225" t="str">
        <x:f>IF(RAND()&lt;(('Team_Info'!$E$2-COUNTIF($B225:P225,"W"))/('Team_Info'!$E$4-15)),"W","B")</x:f>
        <x:v>B</x:v>
      </x:c>
      <x:c r="R225" t="str">
        <x:f>IF(RAND()&lt;(('Team_Info'!$E$2-COUNTIF($B225:Q225,"W"))/('Team_Info'!$E$4-16)),"W","B")</x:f>
        <x:v>B</x:v>
      </x:c>
      <x:c r="S225" t="str">
        <x:f>IF(RAND()&lt;(('Team_Info'!$E$2-COUNTIF($B225:R225,"W"))/('Team_Info'!$E$4-17)),"W","B")</x:f>
        <x:v>W</x:v>
      </x:c>
      <x:c r="T225" t="str">
        <x:f>IF(RAND()&lt;(('Team_Info'!$E$2-COUNTIF($B225:S225,"W"))/('Team_Info'!$E$4-18)),"W","B")</x:f>
        <x:v>B</x:v>
      </x:c>
      <x:c r="U225" t="str">
        <x:f>IF(RAND()&lt;(('Team_Info'!$E$2-COUNTIF($B225:T225,"W"))/('Team_Info'!$E$4-19)),"W","B")</x:f>
        <x:v>W</x:v>
      </x:c>
    </x:row>
    <x:row r="226">
      <x:c r="A226" s="1">
        <x:v>225</x:v>
      </x:c>
      <x:c r="B226" t="str">
        <x:f>IF(RAND()&lt;'Team_Info'!$E$5,"W","B")</x:f>
        <x:v>B</x:v>
      </x:c>
      <x:c r="C226" t="str">
        <x:f>IF(RAND()&lt;(('Team_Info'!$E$2-COUNTIF($B226:B226,"W"))/('Team_Info'!$E$4-1)),"W","B")</x:f>
        <x:v>B</x:v>
      </x:c>
      <x:c r="D226" t="str">
        <x:f>IF(RAND()&lt;(('Team_Info'!$E$2-COUNTIF($B226:C226,"W"))/('Team_Info'!$E$4-2)),"W","B")</x:f>
        <x:v>W</x:v>
      </x:c>
      <x:c r="E226" t="str">
        <x:f>IF(RAND()&lt;(('Team_Info'!$E$2-COUNTIF($B226:D226,"W"))/('Team_Info'!$E$4-3)),"W","B")</x:f>
        <x:v>B</x:v>
      </x:c>
      <x:c r="F226" t="str">
        <x:f>IF(RAND()&lt;(('Team_Info'!$E$2-COUNTIF($B226:E226,"W"))/('Team_Info'!$E$4-4)),"W","B")</x:f>
        <x:v>W</x:v>
      </x:c>
      <x:c r="G226" t="str">
        <x:f>IF(RAND()&lt;(('Team_Info'!$E$2-COUNTIF($B226:F226,"W"))/('Team_Info'!$E$4-5)),"W","B")</x:f>
        <x:v>W</x:v>
      </x:c>
      <x:c r="H226" t="str">
        <x:f>IF(RAND()&lt;(('Team_Info'!$E$2-COUNTIF($B226:G226,"W"))/('Team_Info'!$E$4-6)),"W","B")</x:f>
        <x:v>B</x:v>
      </x:c>
      <x:c r="I226" t="str">
        <x:f>IF(RAND()&lt;(('Team_Info'!$E$2-COUNTIF($B226:H226,"W"))/('Team_Info'!$E$4-7)),"W","B")</x:f>
        <x:v>B</x:v>
      </x:c>
      <x:c r="J226" t="str">
        <x:f>IF(RAND()&lt;(('Team_Info'!$E$2-COUNTIF($B226:I226,"W"))/('Team_Info'!$E$4-8)),"W","B")</x:f>
        <x:v>B</x:v>
      </x:c>
      <x:c r="K226" t="str">
        <x:f>IF(RAND()&lt;(('Team_Info'!$E$2-COUNTIF($B226:J226,"W"))/('Team_Info'!$E$4-9)),"W","B")</x:f>
        <x:v>B</x:v>
      </x:c>
      <x:c r="L226" t="str">
        <x:f>IF(RAND()&lt;(('Team_Info'!$E$2-COUNTIF($B226:K226,"W"))/('Team_Info'!$E$4-10)),"W","B")</x:f>
        <x:v>B</x:v>
      </x:c>
      <x:c r="M226" t="str">
        <x:f>IF(RAND()&lt;(('Team_Info'!$E$2-COUNTIF($B226:L226,"W"))/('Team_Info'!$E$4-11)),"W","B")</x:f>
        <x:v>B</x:v>
      </x:c>
      <x:c r="N226" t="str">
        <x:f>IF(RAND()&lt;(('Team_Info'!$E$2-COUNTIF($B226:M226,"W"))/('Team_Info'!$E$4-12)),"W","B")</x:f>
        <x:v>B</x:v>
      </x:c>
      <x:c r="O226" t="str">
        <x:f>IF(RAND()&lt;(('Team_Info'!$E$2-COUNTIF($B226:N226,"W"))/('Team_Info'!$E$4-13)),"W","B")</x:f>
        <x:v>B</x:v>
      </x:c>
      <x:c r="P226" t="str">
        <x:f>IF(RAND()&lt;(('Team_Info'!$E$2-COUNTIF($B226:O226,"W"))/('Team_Info'!$E$4-14)),"W","B")</x:f>
        <x:v>W</x:v>
      </x:c>
      <x:c r="Q226" t="str">
        <x:f>IF(RAND()&lt;(('Team_Info'!$E$2-COUNTIF($B226:P226,"W"))/('Team_Info'!$E$4-15)),"W","B")</x:f>
        <x:v>W</x:v>
      </x:c>
      <x:c r="R226" t="str">
        <x:f>IF(RAND()&lt;(('Team_Info'!$E$2-COUNTIF($B226:Q226,"W"))/('Team_Info'!$E$4-16)),"W","B")</x:f>
        <x:v>B</x:v>
      </x:c>
      <x:c r="S226" t="str">
        <x:f>IF(RAND()&lt;(('Team_Info'!$E$2-COUNTIF($B226:R226,"W"))/('Team_Info'!$E$4-17)),"W","B")</x:f>
        <x:v>B</x:v>
      </x:c>
      <x:c r="T226" t="str">
        <x:f>IF(RAND()&lt;(('Team_Info'!$E$2-COUNTIF($B226:S226,"W"))/('Team_Info'!$E$4-18)),"W","B")</x:f>
        <x:v>B</x:v>
      </x:c>
      <x:c r="U226" t="str">
        <x:f>IF(RAND()&lt;(('Team_Info'!$E$2-COUNTIF($B226:T226,"W"))/('Team_Info'!$E$4-19)),"W","B")</x:f>
        <x:v>W</x:v>
      </x:c>
    </x:row>
    <x:row r="227">
      <x:c r="A227" s="1">
        <x:v>226</x:v>
      </x:c>
      <x:c r="B227" t="str">
        <x:f>IF(RAND()&lt;'Team_Info'!$E$5,"W","B")</x:f>
        <x:v>W</x:v>
      </x:c>
      <x:c r="C227" t="str">
        <x:f>IF(RAND()&lt;(('Team_Info'!$E$2-COUNTIF($B227:B227,"W"))/('Team_Info'!$E$4-1)),"W","B")</x:f>
        <x:v>B</x:v>
      </x:c>
      <x:c r="D227" t="str">
        <x:f>IF(RAND()&lt;(('Team_Info'!$E$2-COUNTIF($B227:C227,"W"))/('Team_Info'!$E$4-2)),"W","B")</x:f>
        <x:v>W</x:v>
      </x:c>
      <x:c r="E227" t="str">
        <x:f>IF(RAND()&lt;(('Team_Info'!$E$2-COUNTIF($B227:D227,"W"))/('Team_Info'!$E$4-3)),"W","B")</x:f>
        <x:v>W</x:v>
      </x:c>
      <x:c r="F227" t="str">
        <x:f>IF(RAND()&lt;(('Team_Info'!$E$2-COUNTIF($B227:E227,"W"))/('Team_Info'!$E$4-4)),"W","B")</x:f>
        <x:v>B</x:v>
      </x:c>
      <x:c r="G227" t="str">
        <x:f>IF(RAND()&lt;(('Team_Info'!$E$2-COUNTIF($B227:F227,"W"))/('Team_Info'!$E$4-5)),"W","B")</x:f>
        <x:v>W</x:v>
      </x:c>
      <x:c r="H227" t="str">
        <x:f>IF(RAND()&lt;(('Team_Info'!$E$2-COUNTIF($B227:G227,"W"))/('Team_Info'!$E$4-6)),"W","B")</x:f>
        <x:v>B</x:v>
      </x:c>
      <x:c r="I227" t="str">
        <x:f>IF(RAND()&lt;(('Team_Info'!$E$2-COUNTIF($B227:H227,"W"))/('Team_Info'!$E$4-7)),"W","B")</x:f>
        <x:v>B</x:v>
      </x:c>
      <x:c r="J227" t="str">
        <x:f>IF(RAND()&lt;(('Team_Info'!$E$2-COUNTIF($B227:I227,"W"))/('Team_Info'!$E$4-8)),"W","B")</x:f>
        <x:v>B</x:v>
      </x:c>
      <x:c r="K227" t="str">
        <x:f>IF(RAND()&lt;(('Team_Info'!$E$2-COUNTIF($B227:J227,"W"))/('Team_Info'!$E$4-9)),"W","B")</x:f>
        <x:v>W</x:v>
      </x:c>
      <x:c r="L227" t="str">
        <x:f>IF(RAND()&lt;(('Team_Info'!$E$2-COUNTIF($B227:K227,"W"))/('Team_Info'!$E$4-10)),"W","B")</x:f>
        <x:v>B</x:v>
      </x:c>
      <x:c r="M227" t="str">
        <x:f>IF(RAND()&lt;(('Team_Info'!$E$2-COUNTIF($B227:L227,"W"))/('Team_Info'!$E$4-11)),"W","B")</x:f>
        <x:v>W</x:v>
      </x:c>
      <x:c r="N227" t="str">
        <x:f>IF(RAND()&lt;(('Team_Info'!$E$2-COUNTIF($B227:M227,"W"))/('Team_Info'!$E$4-12)),"W","B")</x:f>
        <x:v>B</x:v>
      </x:c>
      <x:c r="O227" t="str">
        <x:f>IF(RAND()&lt;(('Team_Info'!$E$2-COUNTIF($B227:N227,"W"))/('Team_Info'!$E$4-13)),"W","B")</x:f>
        <x:v>B</x:v>
      </x:c>
      <x:c r="P227" t="str">
        <x:f>IF(RAND()&lt;(('Team_Info'!$E$2-COUNTIF($B227:O227,"W"))/('Team_Info'!$E$4-14)),"W","B")</x:f>
        <x:v>W</x:v>
      </x:c>
      <x:c r="Q227" t="str">
        <x:f>IF(RAND()&lt;(('Team_Info'!$E$2-COUNTIF($B227:P227,"W"))/('Team_Info'!$E$4-15)),"W","B")</x:f>
        <x:v>B</x:v>
      </x:c>
      <x:c r="R227" t="str">
        <x:f>IF(RAND()&lt;(('Team_Info'!$E$2-COUNTIF($B227:Q227,"W"))/('Team_Info'!$E$4-16)),"W","B")</x:f>
        <x:v>B</x:v>
      </x:c>
      <x:c r="S227" t="str">
        <x:f>IF(RAND()&lt;(('Team_Info'!$E$2-COUNTIF($B227:R227,"W"))/('Team_Info'!$E$4-17)),"W","B")</x:f>
        <x:v>W</x:v>
      </x:c>
      <x:c r="T227" t="str">
        <x:f>IF(RAND()&lt;(('Team_Info'!$E$2-COUNTIF($B227:S227,"W"))/('Team_Info'!$E$4-18)),"W","B")</x:f>
        <x:v>B</x:v>
      </x:c>
      <x:c r="U227" t="str">
        <x:f>IF(RAND()&lt;(('Team_Info'!$E$2-COUNTIF($B227:T227,"W"))/('Team_Info'!$E$4-19)),"W","B")</x:f>
        <x:v>B</x:v>
      </x:c>
    </x:row>
    <x:row r="228">
      <x:c r="A228" s="1">
        <x:v>227</x:v>
      </x:c>
      <x:c r="B228" t="str">
        <x:f>IF(RAND()&lt;'Team_Info'!$E$5,"W","B")</x:f>
        <x:v>B</x:v>
      </x:c>
      <x:c r="C228" t="str">
        <x:f>IF(RAND()&lt;(('Team_Info'!$E$2-COUNTIF($B228:B228,"W"))/('Team_Info'!$E$4-1)),"W","B")</x:f>
        <x:v>W</x:v>
      </x:c>
      <x:c r="D228" t="str">
        <x:f>IF(RAND()&lt;(('Team_Info'!$E$2-COUNTIF($B228:C228,"W"))/('Team_Info'!$E$4-2)),"W","B")</x:f>
        <x:v>B</x:v>
      </x:c>
      <x:c r="E228" t="str">
        <x:f>IF(RAND()&lt;(('Team_Info'!$E$2-COUNTIF($B228:D228,"W"))/('Team_Info'!$E$4-3)),"W","B")</x:f>
        <x:v>B</x:v>
      </x:c>
      <x:c r="F228" t="str">
        <x:f>IF(RAND()&lt;(('Team_Info'!$E$2-COUNTIF($B228:E228,"W"))/('Team_Info'!$E$4-4)),"W","B")</x:f>
        <x:v>B</x:v>
      </x:c>
      <x:c r="G228" t="str">
        <x:f>IF(RAND()&lt;(('Team_Info'!$E$2-COUNTIF($B228:F228,"W"))/('Team_Info'!$E$4-5)),"W","B")</x:f>
        <x:v>B</x:v>
      </x:c>
      <x:c r="H228" t="str">
        <x:f>IF(RAND()&lt;(('Team_Info'!$E$2-COUNTIF($B228:G228,"W"))/('Team_Info'!$E$4-6)),"W","B")</x:f>
        <x:v>B</x:v>
      </x:c>
      <x:c r="I228" t="str">
        <x:f>IF(RAND()&lt;(('Team_Info'!$E$2-COUNTIF($B228:H228,"W"))/('Team_Info'!$E$4-7)),"W","B")</x:f>
        <x:v>B</x:v>
      </x:c>
      <x:c r="J228" t="str">
        <x:f>IF(RAND()&lt;(('Team_Info'!$E$2-COUNTIF($B228:I228,"W"))/('Team_Info'!$E$4-8)),"W","B")</x:f>
        <x:v>B</x:v>
      </x:c>
      <x:c r="K228" t="str">
        <x:f>IF(RAND()&lt;(('Team_Info'!$E$2-COUNTIF($B228:J228,"W"))/('Team_Info'!$E$4-9)),"W","B")</x:f>
        <x:v>B</x:v>
      </x:c>
      <x:c r="L228" t="str">
        <x:f>IF(RAND()&lt;(('Team_Info'!$E$2-COUNTIF($B228:K228,"W"))/('Team_Info'!$E$4-10)),"W","B")</x:f>
        <x:v>B</x:v>
      </x:c>
      <x:c r="M228" t="str">
        <x:f>IF(RAND()&lt;(('Team_Info'!$E$2-COUNTIF($B228:L228,"W"))/('Team_Info'!$E$4-11)),"W","B")</x:f>
        <x:v>B</x:v>
      </x:c>
      <x:c r="N228" t="str">
        <x:f>IF(RAND()&lt;(('Team_Info'!$E$2-COUNTIF($B228:M228,"W"))/('Team_Info'!$E$4-12)),"W","B")</x:f>
        <x:v>W</x:v>
      </x:c>
      <x:c r="O228" t="str">
        <x:f>IF(RAND()&lt;(('Team_Info'!$E$2-COUNTIF($B228:N228,"W"))/('Team_Info'!$E$4-13)),"W","B")</x:f>
        <x:v>W</x:v>
      </x:c>
      <x:c r="P228" t="str">
        <x:f>IF(RAND()&lt;(('Team_Info'!$E$2-COUNTIF($B228:O228,"W"))/('Team_Info'!$E$4-14)),"W","B")</x:f>
        <x:v>W</x:v>
      </x:c>
      <x:c r="Q228" t="str">
        <x:f>IF(RAND()&lt;(('Team_Info'!$E$2-COUNTIF($B228:P228,"W"))/('Team_Info'!$E$4-15)),"W","B")</x:f>
        <x:v>B</x:v>
      </x:c>
      <x:c r="R228" t="str">
        <x:f>IF(RAND()&lt;(('Team_Info'!$E$2-COUNTIF($B228:Q228,"W"))/('Team_Info'!$E$4-16)),"W","B")</x:f>
        <x:v>B</x:v>
      </x:c>
      <x:c r="S228" t="str">
        <x:f>IF(RAND()&lt;(('Team_Info'!$E$2-COUNTIF($B228:R228,"W"))/('Team_Info'!$E$4-17)),"W","B")</x:f>
        <x:v>B</x:v>
      </x:c>
      <x:c r="T228" t="str">
        <x:f>IF(RAND()&lt;(('Team_Info'!$E$2-COUNTIF($B228:S228,"W"))/('Team_Info'!$E$4-18)),"W","B")</x:f>
        <x:v>W</x:v>
      </x:c>
      <x:c r="U228" t="str">
        <x:f>IF(RAND()&lt;(('Team_Info'!$E$2-COUNTIF($B228:T228,"W"))/('Team_Info'!$E$4-19)),"W","B")</x:f>
        <x:v>W</x:v>
      </x:c>
    </x:row>
    <x:row r="229">
      <x:c r="A229" s="1">
        <x:v>228</x:v>
      </x:c>
      <x:c r="B229" t="str">
        <x:f>IF(RAND()&lt;'Team_Info'!$E$5,"W","B")</x:f>
        <x:v>B</x:v>
      </x:c>
      <x:c r="C229" t="str">
        <x:f>IF(RAND()&lt;(('Team_Info'!$E$2-COUNTIF($B229:B229,"W"))/('Team_Info'!$E$4-1)),"W","B")</x:f>
        <x:v>W</x:v>
      </x:c>
      <x:c r="D229" t="str">
        <x:f>IF(RAND()&lt;(('Team_Info'!$E$2-COUNTIF($B229:C229,"W"))/('Team_Info'!$E$4-2)),"W","B")</x:f>
        <x:v>W</x:v>
      </x:c>
      <x:c r="E229" t="str">
        <x:f>IF(RAND()&lt;(('Team_Info'!$E$2-COUNTIF($B229:D229,"W"))/('Team_Info'!$E$4-3)),"W","B")</x:f>
        <x:v>B</x:v>
      </x:c>
      <x:c r="F229" t="str">
        <x:f>IF(RAND()&lt;(('Team_Info'!$E$2-COUNTIF($B229:E229,"W"))/('Team_Info'!$E$4-4)),"W","B")</x:f>
        <x:v>W</x:v>
      </x:c>
      <x:c r="G229" t="str">
        <x:f>IF(RAND()&lt;(('Team_Info'!$E$2-COUNTIF($B229:F229,"W"))/('Team_Info'!$E$4-5)),"W","B")</x:f>
        <x:v>W</x:v>
      </x:c>
      <x:c r="H229" t="str">
        <x:f>IF(RAND()&lt;(('Team_Info'!$E$2-COUNTIF($B229:G229,"W"))/('Team_Info'!$E$4-6)),"W","B")</x:f>
        <x:v>B</x:v>
      </x:c>
      <x:c r="I229" t="str">
        <x:f>IF(RAND()&lt;(('Team_Info'!$E$2-COUNTIF($B229:H229,"W"))/('Team_Info'!$E$4-7)),"W","B")</x:f>
        <x:v>B</x:v>
      </x:c>
      <x:c r="J229" t="str">
        <x:f>IF(RAND()&lt;(('Team_Info'!$E$2-COUNTIF($B229:I229,"W"))/('Team_Info'!$E$4-8)),"W","B")</x:f>
        <x:v>W</x:v>
      </x:c>
      <x:c r="K229" t="str">
        <x:f>IF(RAND()&lt;(('Team_Info'!$E$2-COUNTIF($B229:J229,"W"))/('Team_Info'!$E$4-9)),"W","B")</x:f>
        <x:v>B</x:v>
      </x:c>
      <x:c r="L229" t="str">
        <x:f>IF(RAND()&lt;(('Team_Info'!$E$2-COUNTIF($B229:K229,"W"))/('Team_Info'!$E$4-10)),"W","B")</x:f>
        <x:v>B</x:v>
      </x:c>
      <x:c r="M229" t="str">
        <x:f>IF(RAND()&lt;(('Team_Info'!$E$2-COUNTIF($B229:L229,"W"))/('Team_Info'!$E$4-11)),"W","B")</x:f>
        <x:v>W</x:v>
      </x:c>
      <x:c r="N229" t="str">
        <x:f>IF(RAND()&lt;(('Team_Info'!$E$2-COUNTIF($B229:M229,"W"))/('Team_Info'!$E$4-12)),"W","B")</x:f>
        <x:v>B</x:v>
      </x:c>
      <x:c r="O229" t="str">
        <x:f>IF(RAND()&lt;(('Team_Info'!$E$2-COUNTIF($B229:N229,"W"))/('Team_Info'!$E$4-13)),"W","B")</x:f>
        <x:v>W</x:v>
      </x:c>
      <x:c r="P229" t="str">
        <x:f>IF(RAND()&lt;(('Team_Info'!$E$2-COUNTIF($B229:O229,"W"))/('Team_Info'!$E$4-14)),"W","B")</x:f>
        <x:v>W</x:v>
      </x:c>
      <x:c r="Q229" t="str">
        <x:f>IF(RAND()&lt;(('Team_Info'!$E$2-COUNTIF($B229:P229,"W"))/('Team_Info'!$E$4-15)),"W","B")</x:f>
        <x:v>W</x:v>
      </x:c>
      <x:c r="R229" t="str">
        <x:f>IF(RAND()&lt;(('Team_Info'!$E$2-COUNTIF($B229:Q229,"W"))/('Team_Info'!$E$4-16)),"W","B")</x:f>
        <x:v>W</x:v>
      </x:c>
      <x:c r="S229" t="str">
        <x:f>IF(RAND()&lt;(('Team_Info'!$E$2-COUNTIF($B229:R229,"W"))/('Team_Info'!$E$4-17)),"W","B")</x:f>
        <x:v>B</x:v>
      </x:c>
      <x:c r="T229" t="str">
        <x:f>IF(RAND()&lt;(('Team_Info'!$E$2-COUNTIF($B229:S229,"W"))/('Team_Info'!$E$4-18)),"W","B")</x:f>
        <x:v>B</x:v>
      </x:c>
      <x:c r="U229" t="str">
        <x:f>IF(RAND()&lt;(('Team_Info'!$E$2-COUNTIF($B229:T229,"W"))/('Team_Info'!$E$4-19)),"W","B")</x:f>
        <x:v>W</x:v>
      </x:c>
    </x:row>
    <x:row r="230">
      <x:c r="A230" s="1">
        <x:v>229</x:v>
      </x:c>
      <x:c r="B230" t="str">
        <x:f>IF(RAND()&lt;'Team_Info'!$E$5,"W","B")</x:f>
        <x:v>B</x:v>
      </x:c>
      <x:c r="C230" t="str">
        <x:f>IF(RAND()&lt;(('Team_Info'!$E$2-COUNTIF($B230:B230,"W"))/('Team_Info'!$E$4-1)),"W","B")</x:f>
        <x:v>B</x:v>
      </x:c>
      <x:c r="D230" t="str">
        <x:f>IF(RAND()&lt;(('Team_Info'!$E$2-COUNTIF($B230:C230,"W"))/('Team_Info'!$E$4-2)),"W","B")</x:f>
        <x:v>W</x:v>
      </x:c>
      <x:c r="E230" t="str">
        <x:f>IF(RAND()&lt;(('Team_Info'!$E$2-COUNTIF($B230:D230,"W"))/('Team_Info'!$E$4-3)),"W","B")</x:f>
        <x:v>B</x:v>
      </x:c>
      <x:c r="F230" t="str">
        <x:f>IF(RAND()&lt;(('Team_Info'!$E$2-COUNTIF($B230:E230,"W"))/('Team_Info'!$E$4-4)),"W","B")</x:f>
        <x:v>W</x:v>
      </x:c>
      <x:c r="G230" t="str">
        <x:f>IF(RAND()&lt;(('Team_Info'!$E$2-COUNTIF($B230:F230,"W"))/('Team_Info'!$E$4-5)),"W","B")</x:f>
        <x:v>B</x:v>
      </x:c>
      <x:c r="H230" t="str">
        <x:f>IF(RAND()&lt;(('Team_Info'!$E$2-COUNTIF($B230:G230,"W"))/('Team_Info'!$E$4-6)),"W","B")</x:f>
        <x:v>W</x:v>
      </x:c>
      <x:c r="I230" t="str">
        <x:f>IF(RAND()&lt;(('Team_Info'!$E$2-COUNTIF($B230:H230,"W"))/('Team_Info'!$E$4-7)),"W","B")</x:f>
        <x:v>W</x:v>
      </x:c>
      <x:c r="J230" t="str">
        <x:f>IF(RAND()&lt;(('Team_Info'!$E$2-COUNTIF($B230:I230,"W"))/('Team_Info'!$E$4-8)),"W","B")</x:f>
        <x:v>B</x:v>
      </x:c>
      <x:c r="K230" t="str">
        <x:f>IF(RAND()&lt;(('Team_Info'!$E$2-COUNTIF($B230:J230,"W"))/('Team_Info'!$E$4-9)),"W","B")</x:f>
        <x:v>W</x:v>
      </x:c>
      <x:c r="L230" t="str">
        <x:f>IF(RAND()&lt;(('Team_Info'!$E$2-COUNTIF($B230:K230,"W"))/('Team_Info'!$E$4-10)),"W","B")</x:f>
        <x:v>W</x:v>
      </x:c>
      <x:c r="M230" t="str">
        <x:f>IF(RAND()&lt;(('Team_Info'!$E$2-COUNTIF($B230:L230,"W"))/('Team_Info'!$E$4-11)),"W","B")</x:f>
        <x:v>W</x:v>
      </x:c>
      <x:c r="N230" t="str">
        <x:f>IF(RAND()&lt;(('Team_Info'!$E$2-COUNTIF($B230:M230,"W"))/('Team_Info'!$E$4-12)),"W","B")</x:f>
        <x:v>B</x:v>
      </x:c>
      <x:c r="O230" t="str">
        <x:f>IF(RAND()&lt;(('Team_Info'!$E$2-COUNTIF($B230:N230,"W"))/('Team_Info'!$E$4-13)),"W","B")</x:f>
        <x:v>B</x:v>
      </x:c>
      <x:c r="P230" t="str">
        <x:f>IF(RAND()&lt;(('Team_Info'!$E$2-COUNTIF($B230:O230,"W"))/('Team_Info'!$E$4-14)),"W","B")</x:f>
        <x:v>W</x:v>
      </x:c>
      <x:c r="Q230" t="str">
        <x:f>IF(RAND()&lt;(('Team_Info'!$E$2-COUNTIF($B230:P230,"W"))/('Team_Info'!$E$4-15)),"W","B")</x:f>
        <x:v>B</x:v>
      </x:c>
      <x:c r="R230" t="str">
        <x:f>IF(RAND()&lt;(('Team_Info'!$E$2-COUNTIF($B230:Q230,"W"))/('Team_Info'!$E$4-16)),"W","B")</x:f>
        <x:v>B</x:v>
      </x:c>
      <x:c r="S230" t="str">
        <x:f>IF(RAND()&lt;(('Team_Info'!$E$2-COUNTIF($B230:R230,"W"))/('Team_Info'!$E$4-17)),"W","B")</x:f>
        <x:v>B</x:v>
      </x:c>
      <x:c r="T230" t="str">
        <x:f>IF(RAND()&lt;(('Team_Info'!$E$2-COUNTIF($B230:S230,"W"))/('Team_Info'!$E$4-18)),"W","B")</x:f>
        <x:v>B</x:v>
      </x:c>
      <x:c r="U230" t="str">
        <x:f>IF(RAND()&lt;(('Team_Info'!$E$2-COUNTIF($B230:T230,"W"))/('Team_Info'!$E$4-19)),"W","B")</x:f>
        <x:v>B</x:v>
      </x:c>
    </x:row>
    <x:row r="231">
      <x:c r="A231" s="1">
        <x:v>230</x:v>
      </x:c>
      <x:c r="B231" t="str">
        <x:f>IF(RAND()&lt;'Team_Info'!$E$5,"W","B")</x:f>
        <x:v>B</x:v>
      </x:c>
      <x:c r="C231" t="str">
        <x:f>IF(RAND()&lt;(('Team_Info'!$E$2-COUNTIF($B231:B231,"W"))/('Team_Info'!$E$4-1)),"W","B")</x:f>
        <x:v>B</x:v>
      </x:c>
      <x:c r="D231" t="str">
        <x:f>IF(RAND()&lt;(('Team_Info'!$E$2-COUNTIF($B231:C231,"W"))/('Team_Info'!$E$4-2)),"W","B")</x:f>
        <x:v>B</x:v>
      </x:c>
      <x:c r="E231" t="str">
        <x:f>IF(RAND()&lt;(('Team_Info'!$E$2-COUNTIF($B231:D231,"W"))/('Team_Info'!$E$4-3)),"W","B")</x:f>
        <x:v>B</x:v>
      </x:c>
      <x:c r="F231" t="str">
        <x:f>IF(RAND()&lt;(('Team_Info'!$E$2-COUNTIF($B231:E231,"W"))/('Team_Info'!$E$4-4)),"W","B")</x:f>
        <x:v>W</x:v>
      </x:c>
      <x:c r="G231" t="str">
        <x:f>IF(RAND()&lt;(('Team_Info'!$E$2-COUNTIF($B231:F231,"W"))/('Team_Info'!$E$4-5)),"W","B")</x:f>
        <x:v>B</x:v>
      </x:c>
      <x:c r="H231" t="str">
        <x:f>IF(RAND()&lt;(('Team_Info'!$E$2-COUNTIF($B231:G231,"W"))/('Team_Info'!$E$4-6)),"W","B")</x:f>
        <x:v>W</x:v>
      </x:c>
      <x:c r="I231" t="str">
        <x:f>IF(RAND()&lt;(('Team_Info'!$E$2-COUNTIF($B231:H231,"W"))/('Team_Info'!$E$4-7)),"W","B")</x:f>
        <x:v>W</x:v>
      </x:c>
      <x:c r="J231" t="str">
        <x:f>IF(RAND()&lt;(('Team_Info'!$E$2-COUNTIF($B231:I231,"W"))/('Team_Info'!$E$4-8)),"W","B")</x:f>
        <x:v>W</x:v>
      </x:c>
      <x:c r="K231" t="str">
        <x:f>IF(RAND()&lt;(('Team_Info'!$E$2-COUNTIF($B231:J231,"W"))/('Team_Info'!$E$4-9)),"W","B")</x:f>
        <x:v>W</x:v>
      </x:c>
      <x:c r="L231" t="str">
        <x:f>IF(RAND()&lt;(('Team_Info'!$E$2-COUNTIF($B231:K231,"W"))/('Team_Info'!$E$4-10)),"W","B")</x:f>
        <x:v>B</x:v>
      </x:c>
      <x:c r="M231" t="str">
        <x:f>IF(RAND()&lt;(('Team_Info'!$E$2-COUNTIF($B231:L231,"W"))/('Team_Info'!$E$4-11)),"W","B")</x:f>
        <x:v>W</x:v>
      </x:c>
      <x:c r="N231" t="str">
        <x:f>IF(RAND()&lt;(('Team_Info'!$E$2-COUNTIF($B231:M231,"W"))/('Team_Info'!$E$4-12)),"W","B")</x:f>
        <x:v>B</x:v>
      </x:c>
      <x:c r="O231" t="str">
        <x:f>IF(RAND()&lt;(('Team_Info'!$E$2-COUNTIF($B231:N231,"W"))/('Team_Info'!$E$4-13)),"W","B")</x:f>
        <x:v>B</x:v>
      </x:c>
      <x:c r="P231" t="str">
        <x:f>IF(RAND()&lt;(('Team_Info'!$E$2-COUNTIF($B231:O231,"W"))/('Team_Info'!$E$4-14)),"W","B")</x:f>
        <x:v>W</x:v>
      </x:c>
      <x:c r="Q231" t="str">
        <x:f>IF(RAND()&lt;(('Team_Info'!$E$2-COUNTIF($B231:P231,"W"))/('Team_Info'!$E$4-15)),"W","B")</x:f>
        <x:v>W</x:v>
      </x:c>
      <x:c r="R231" t="str">
        <x:f>IF(RAND()&lt;(('Team_Info'!$E$2-COUNTIF($B231:Q231,"W"))/('Team_Info'!$E$4-16)),"W","B")</x:f>
        <x:v>B</x:v>
      </x:c>
      <x:c r="S231" t="str">
        <x:f>IF(RAND()&lt;(('Team_Info'!$E$2-COUNTIF($B231:R231,"W"))/('Team_Info'!$E$4-17)),"W","B")</x:f>
        <x:v>W</x:v>
      </x:c>
      <x:c r="T231" t="str">
        <x:f>IF(RAND()&lt;(('Team_Info'!$E$2-COUNTIF($B231:S231,"W"))/('Team_Info'!$E$4-18)),"W","B")</x:f>
        <x:v>B</x:v>
      </x:c>
      <x:c r="U231" t="str">
        <x:f>IF(RAND()&lt;(('Team_Info'!$E$2-COUNTIF($B231:T231,"W"))/('Team_Info'!$E$4-19)),"W","B")</x:f>
        <x:v>B</x:v>
      </x:c>
    </x:row>
    <x:row r="232">
      <x:c r="A232" s="1">
        <x:v>231</x:v>
      </x:c>
      <x:c r="B232" t="str">
        <x:f>IF(RAND()&lt;'Team_Info'!$E$5,"W","B")</x:f>
        <x:v>B</x:v>
      </x:c>
      <x:c r="C232" t="str">
        <x:f>IF(RAND()&lt;(('Team_Info'!$E$2-COUNTIF($B232:B232,"W"))/('Team_Info'!$E$4-1)),"W","B")</x:f>
        <x:v>B</x:v>
      </x:c>
      <x:c r="D232" t="str">
        <x:f>IF(RAND()&lt;(('Team_Info'!$E$2-COUNTIF($B232:C232,"W"))/('Team_Info'!$E$4-2)),"W","B")</x:f>
        <x:v>W</x:v>
      </x:c>
      <x:c r="E232" t="str">
        <x:f>IF(RAND()&lt;(('Team_Info'!$E$2-COUNTIF($B232:D232,"W"))/('Team_Info'!$E$4-3)),"W","B")</x:f>
        <x:v>W</x:v>
      </x:c>
      <x:c r="F232" t="str">
        <x:f>IF(RAND()&lt;(('Team_Info'!$E$2-COUNTIF($B232:E232,"W"))/('Team_Info'!$E$4-4)),"W","B")</x:f>
        <x:v>W</x:v>
      </x:c>
      <x:c r="G232" t="str">
        <x:f>IF(RAND()&lt;(('Team_Info'!$E$2-COUNTIF($B232:F232,"W"))/('Team_Info'!$E$4-5)),"W","B")</x:f>
        <x:v>W</x:v>
      </x:c>
      <x:c r="H232" t="str">
        <x:f>IF(RAND()&lt;(('Team_Info'!$E$2-COUNTIF($B232:G232,"W"))/('Team_Info'!$E$4-6)),"W","B")</x:f>
        <x:v>B</x:v>
      </x:c>
      <x:c r="I232" t="str">
        <x:f>IF(RAND()&lt;(('Team_Info'!$E$2-COUNTIF($B232:H232,"W"))/('Team_Info'!$E$4-7)),"W","B")</x:f>
        <x:v>B</x:v>
      </x:c>
      <x:c r="J232" t="str">
        <x:f>IF(RAND()&lt;(('Team_Info'!$E$2-COUNTIF($B232:I232,"W"))/('Team_Info'!$E$4-8)),"W","B")</x:f>
        <x:v>B</x:v>
      </x:c>
      <x:c r="K232" t="str">
        <x:f>IF(RAND()&lt;(('Team_Info'!$E$2-COUNTIF($B232:J232,"W"))/('Team_Info'!$E$4-9)),"W","B")</x:f>
        <x:v>W</x:v>
      </x:c>
      <x:c r="L232" t="str">
        <x:f>IF(RAND()&lt;(('Team_Info'!$E$2-COUNTIF($B232:K232,"W"))/('Team_Info'!$E$4-10)),"W","B")</x:f>
        <x:v>B</x:v>
      </x:c>
      <x:c r="M232" t="str">
        <x:f>IF(RAND()&lt;(('Team_Info'!$E$2-COUNTIF($B232:L232,"W"))/('Team_Info'!$E$4-11)),"W","B")</x:f>
        <x:v>B</x:v>
      </x:c>
      <x:c r="N232" t="str">
        <x:f>IF(RAND()&lt;(('Team_Info'!$E$2-COUNTIF($B232:M232,"W"))/('Team_Info'!$E$4-12)),"W","B")</x:f>
        <x:v>B</x:v>
      </x:c>
      <x:c r="O232" t="str">
        <x:f>IF(RAND()&lt;(('Team_Info'!$E$2-COUNTIF($B232:N232,"W"))/('Team_Info'!$E$4-13)),"W","B")</x:f>
        <x:v>B</x:v>
      </x:c>
      <x:c r="P232" t="str">
        <x:f>IF(RAND()&lt;(('Team_Info'!$E$2-COUNTIF($B232:O232,"W"))/('Team_Info'!$E$4-14)),"W","B")</x:f>
        <x:v>B</x:v>
      </x:c>
      <x:c r="Q232" t="str">
        <x:f>IF(RAND()&lt;(('Team_Info'!$E$2-COUNTIF($B232:P232,"W"))/('Team_Info'!$E$4-15)),"W","B")</x:f>
        <x:v>W</x:v>
      </x:c>
      <x:c r="R232" t="str">
        <x:f>IF(RAND()&lt;(('Team_Info'!$E$2-COUNTIF($B232:Q232,"W"))/('Team_Info'!$E$4-16)),"W","B")</x:f>
        <x:v>B</x:v>
      </x:c>
      <x:c r="S232" t="str">
        <x:f>IF(RAND()&lt;(('Team_Info'!$E$2-COUNTIF($B232:R232,"W"))/('Team_Info'!$E$4-17)),"W","B")</x:f>
        <x:v>W</x:v>
      </x:c>
      <x:c r="T232" t="str">
        <x:f>IF(RAND()&lt;(('Team_Info'!$E$2-COUNTIF($B232:S232,"W"))/('Team_Info'!$E$4-18)),"W","B")</x:f>
        <x:v>B</x:v>
      </x:c>
      <x:c r="U232" t="str">
        <x:f>IF(RAND()&lt;(('Team_Info'!$E$2-COUNTIF($B232:T232,"W"))/('Team_Info'!$E$4-19)),"W","B")</x:f>
        <x:v>B</x:v>
      </x:c>
    </x:row>
    <x:row r="233">
      <x:c r="A233" s="1">
        <x:v>232</x:v>
      </x:c>
      <x:c r="B233" t="str">
        <x:f>IF(RAND()&lt;'Team_Info'!$E$5,"W","B")</x:f>
        <x:v>W</x:v>
      </x:c>
      <x:c r="C233" t="str">
        <x:f>IF(RAND()&lt;(('Team_Info'!$E$2-COUNTIF($B233:B233,"W"))/('Team_Info'!$E$4-1)),"W","B")</x:f>
        <x:v>B</x:v>
      </x:c>
      <x:c r="D233" t="str">
        <x:f>IF(RAND()&lt;(('Team_Info'!$E$2-COUNTIF($B233:C233,"W"))/('Team_Info'!$E$4-2)),"W","B")</x:f>
        <x:v>W</x:v>
      </x:c>
      <x:c r="E233" t="str">
        <x:f>IF(RAND()&lt;(('Team_Info'!$E$2-COUNTIF($B233:D233,"W"))/('Team_Info'!$E$4-3)),"W","B")</x:f>
        <x:v>W</x:v>
      </x:c>
      <x:c r="F233" t="str">
        <x:f>IF(RAND()&lt;(('Team_Info'!$E$2-COUNTIF($B233:E233,"W"))/('Team_Info'!$E$4-4)),"W","B")</x:f>
        <x:v>B</x:v>
      </x:c>
      <x:c r="G233" t="str">
        <x:f>IF(RAND()&lt;(('Team_Info'!$E$2-COUNTIF($B233:F233,"W"))/('Team_Info'!$E$4-5)),"W","B")</x:f>
        <x:v>W</x:v>
      </x:c>
      <x:c r="H233" t="str">
        <x:f>IF(RAND()&lt;(('Team_Info'!$E$2-COUNTIF($B233:G233,"W"))/('Team_Info'!$E$4-6)),"W","B")</x:f>
        <x:v>B</x:v>
      </x:c>
      <x:c r="I233" t="str">
        <x:f>IF(RAND()&lt;(('Team_Info'!$E$2-COUNTIF($B233:H233,"W"))/('Team_Info'!$E$4-7)),"W","B")</x:f>
        <x:v>W</x:v>
      </x:c>
      <x:c r="J233" t="str">
        <x:f>IF(RAND()&lt;(('Team_Info'!$E$2-COUNTIF($B233:I233,"W"))/('Team_Info'!$E$4-8)),"W","B")</x:f>
        <x:v>B</x:v>
      </x:c>
      <x:c r="K233" t="str">
        <x:f>IF(RAND()&lt;(('Team_Info'!$E$2-COUNTIF($B233:J233,"W"))/('Team_Info'!$E$4-9)),"W","B")</x:f>
        <x:v>W</x:v>
      </x:c>
      <x:c r="L233" t="str">
        <x:f>IF(RAND()&lt;(('Team_Info'!$E$2-COUNTIF($B233:K233,"W"))/('Team_Info'!$E$4-10)),"W","B")</x:f>
        <x:v>B</x:v>
      </x:c>
      <x:c r="M233" t="str">
        <x:f>IF(RAND()&lt;(('Team_Info'!$E$2-COUNTIF($B233:L233,"W"))/('Team_Info'!$E$4-11)),"W","B")</x:f>
        <x:v>W</x:v>
      </x:c>
      <x:c r="N233" t="str">
        <x:f>IF(RAND()&lt;(('Team_Info'!$E$2-COUNTIF($B233:M233,"W"))/('Team_Info'!$E$4-12)),"W","B")</x:f>
        <x:v>B</x:v>
      </x:c>
      <x:c r="O233" t="str">
        <x:f>IF(RAND()&lt;(('Team_Info'!$E$2-COUNTIF($B233:N233,"W"))/('Team_Info'!$E$4-13)),"W","B")</x:f>
        <x:v>B</x:v>
      </x:c>
      <x:c r="P233" t="str">
        <x:f>IF(RAND()&lt;(('Team_Info'!$E$2-COUNTIF($B233:O233,"W"))/('Team_Info'!$E$4-14)),"W","B")</x:f>
        <x:v>B</x:v>
      </x:c>
      <x:c r="Q233" t="str">
        <x:f>IF(RAND()&lt;(('Team_Info'!$E$2-COUNTIF($B233:P233,"W"))/('Team_Info'!$E$4-15)),"W","B")</x:f>
        <x:v>B</x:v>
      </x:c>
      <x:c r="R233" t="str">
        <x:f>IF(RAND()&lt;(('Team_Info'!$E$2-COUNTIF($B233:Q233,"W"))/('Team_Info'!$E$4-16)),"W","B")</x:f>
        <x:v>B</x:v>
      </x:c>
      <x:c r="S233" t="str">
        <x:f>IF(RAND()&lt;(('Team_Info'!$E$2-COUNTIF($B233:R233,"W"))/('Team_Info'!$E$4-17)),"W","B")</x:f>
        <x:v>W</x:v>
      </x:c>
      <x:c r="T233" t="str">
        <x:f>IF(RAND()&lt;(('Team_Info'!$E$2-COUNTIF($B233:S233,"W"))/('Team_Info'!$E$4-18)),"W","B")</x:f>
        <x:v>B</x:v>
      </x:c>
      <x:c r="U233" t="str">
        <x:f>IF(RAND()&lt;(('Team_Info'!$E$2-COUNTIF($B233:T233,"W"))/('Team_Info'!$E$4-19)),"W","B")</x:f>
        <x:v>W</x:v>
      </x:c>
    </x:row>
    <x:row r="234">
      <x:c r="A234" s="1">
        <x:v>233</x:v>
      </x:c>
      <x:c r="B234" t="str">
        <x:f>IF(RAND()&lt;'Team_Info'!$E$5,"W","B")</x:f>
        <x:v>W</x:v>
      </x:c>
      <x:c r="C234" t="str">
        <x:f>IF(RAND()&lt;(('Team_Info'!$E$2-COUNTIF($B234:B234,"W"))/('Team_Info'!$E$4-1)),"W","B")</x:f>
        <x:v>B</x:v>
      </x:c>
      <x:c r="D234" t="str">
        <x:f>IF(RAND()&lt;(('Team_Info'!$E$2-COUNTIF($B234:C234,"W"))/('Team_Info'!$E$4-2)),"W","B")</x:f>
        <x:v>B</x:v>
      </x:c>
      <x:c r="E234" t="str">
        <x:f>IF(RAND()&lt;(('Team_Info'!$E$2-COUNTIF($B234:D234,"W"))/('Team_Info'!$E$4-3)),"W","B")</x:f>
        <x:v>B</x:v>
      </x:c>
      <x:c r="F234" t="str">
        <x:f>IF(RAND()&lt;(('Team_Info'!$E$2-COUNTIF($B234:E234,"W"))/('Team_Info'!$E$4-4)),"W","B")</x:f>
        <x:v>W</x:v>
      </x:c>
      <x:c r="G234" t="str">
        <x:f>IF(RAND()&lt;(('Team_Info'!$E$2-COUNTIF($B234:F234,"W"))/('Team_Info'!$E$4-5)),"W","B")</x:f>
        <x:v>B</x:v>
      </x:c>
      <x:c r="H234" t="str">
        <x:f>IF(RAND()&lt;(('Team_Info'!$E$2-COUNTIF($B234:G234,"W"))/('Team_Info'!$E$4-6)),"W","B")</x:f>
        <x:v>B</x:v>
      </x:c>
      <x:c r="I234" t="str">
        <x:f>IF(RAND()&lt;(('Team_Info'!$E$2-COUNTIF($B234:H234,"W"))/('Team_Info'!$E$4-7)),"W","B")</x:f>
        <x:v>B</x:v>
      </x:c>
      <x:c r="J234" t="str">
        <x:f>IF(RAND()&lt;(('Team_Info'!$E$2-COUNTIF($B234:I234,"W"))/('Team_Info'!$E$4-8)),"W","B")</x:f>
        <x:v>B</x:v>
      </x:c>
      <x:c r="K234" t="str">
        <x:f>IF(RAND()&lt;(('Team_Info'!$E$2-COUNTIF($B234:J234,"W"))/('Team_Info'!$E$4-9)),"W","B")</x:f>
        <x:v>W</x:v>
      </x:c>
      <x:c r="L234" t="str">
        <x:f>IF(RAND()&lt;(('Team_Info'!$E$2-COUNTIF($B234:K234,"W"))/('Team_Info'!$E$4-10)),"W","B")</x:f>
        <x:v>B</x:v>
      </x:c>
      <x:c r="M234" t="str">
        <x:f>IF(RAND()&lt;(('Team_Info'!$E$2-COUNTIF($B234:L234,"W"))/('Team_Info'!$E$4-11)),"W","B")</x:f>
        <x:v>B</x:v>
      </x:c>
      <x:c r="N234" t="str">
        <x:f>IF(RAND()&lt;(('Team_Info'!$E$2-COUNTIF($B234:M234,"W"))/('Team_Info'!$E$4-12)),"W","B")</x:f>
        <x:v>W</x:v>
      </x:c>
      <x:c r="O234" t="str">
        <x:f>IF(RAND()&lt;(('Team_Info'!$E$2-COUNTIF($B234:N234,"W"))/('Team_Info'!$E$4-13)),"W","B")</x:f>
        <x:v>B</x:v>
      </x:c>
      <x:c r="P234" t="str">
        <x:f>IF(RAND()&lt;(('Team_Info'!$E$2-COUNTIF($B234:O234,"W"))/('Team_Info'!$E$4-14)),"W","B")</x:f>
        <x:v>W</x:v>
      </x:c>
      <x:c r="Q234" t="str">
        <x:f>IF(RAND()&lt;(('Team_Info'!$E$2-COUNTIF($B234:P234,"W"))/('Team_Info'!$E$4-15)),"W","B")</x:f>
        <x:v>B</x:v>
      </x:c>
      <x:c r="R234" t="str">
        <x:f>IF(RAND()&lt;(('Team_Info'!$E$2-COUNTIF($B234:Q234,"W"))/('Team_Info'!$E$4-16)),"W","B")</x:f>
        <x:v>B</x:v>
      </x:c>
      <x:c r="S234" t="str">
        <x:f>IF(RAND()&lt;(('Team_Info'!$E$2-COUNTIF($B234:R234,"W"))/('Team_Info'!$E$4-17)),"W","B")</x:f>
        <x:v>B</x:v>
      </x:c>
      <x:c r="T234" t="str">
        <x:f>IF(RAND()&lt;(('Team_Info'!$E$2-COUNTIF($B234:S234,"W"))/('Team_Info'!$E$4-18)),"W","B")</x:f>
        <x:v>B</x:v>
      </x:c>
      <x:c r="U234" t="str">
        <x:f>IF(RAND()&lt;(('Team_Info'!$E$2-COUNTIF($B234:T234,"W"))/('Team_Info'!$E$4-19)),"W","B")</x:f>
        <x:v>B</x:v>
      </x:c>
    </x:row>
    <x:row r="235">
      <x:c r="A235" s="1">
        <x:v>234</x:v>
      </x:c>
      <x:c r="B235" t="str">
        <x:f>IF(RAND()&lt;'Team_Info'!$E$5,"W","B")</x:f>
        <x:v>W</x:v>
      </x:c>
      <x:c r="C235" t="str">
        <x:f>IF(RAND()&lt;(('Team_Info'!$E$2-COUNTIF($B235:B235,"W"))/('Team_Info'!$E$4-1)),"W","B")</x:f>
        <x:v>W</x:v>
      </x:c>
      <x:c r="D235" t="str">
        <x:f>IF(RAND()&lt;(('Team_Info'!$E$2-COUNTIF($B235:C235,"W"))/('Team_Info'!$E$4-2)),"W","B")</x:f>
        <x:v>B</x:v>
      </x:c>
      <x:c r="E235" t="str">
        <x:f>IF(RAND()&lt;(('Team_Info'!$E$2-COUNTIF($B235:D235,"W"))/('Team_Info'!$E$4-3)),"W","B")</x:f>
        <x:v>W</x:v>
      </x:c>
      <x:c r="F235" t="str">
        <x:f>IF(RAND()&lt;(('Team_Info'!$E$2-COUNTIF($B235:E235,"W"))/('Team_Info'!$E$4-4)),"W","B")</x:f>
        <x:v>W</x:v>
      </x:c>
      <x:c r="G235" t="str">
        <x:f>IF(RAND()&lt;(('Team_Info'!$E$2-COUNTIF($B235:F235,"W"))/('Team_Info'!$E$4-5)),"W","B")</x:f>
        <x:v>W</x:v>
      </x:c>
      <x:c r="H235" t="str">
        <x:f>IF(RAND()&lt;(('Team_Info'!$E$2-COUNTIF($B235:G235,"W"))/('Team_Info'!$E$4-6)),"W","B")</x:f>
        <x:v>B</x:v>
      </x:c>
      <x:c r="I235" t="str">
        <x:f>IF(RAND()&lt;(('Team_Info'!$E$2-COUNTIF($B235:H235,"W"))/('Team_Info'!$E$4-7)),"W","B")</x:f>
        <x:v>W</x:v>
      </x:c>
      <x:c r="J235" t="str">
        <x:f>IF(RAND()&lt;(('Team_Info'!$E$2-COUNTIF($B235:I235,"W"))/('Team_Info'!$E$4-8)),"W","B")</x:f>
        <x:v>B</x:v>
      </x:c>
      <x:c r="K235" t="str">
        <x:f>IF(RAND()&lt;(('Team_Info'!$E$2-COUNTIF($B235:J235,"W"))/('Team_Info'!$E$4-9)),"W","B")</x:f>
        <x:v>B</x:v>
      </x:c>
      <x:c r="L235" t="str">
        <x:f>IF(RAND()&lt;(('Team_Info'!$E$2-COUNTIF($B235:K235,"W"))/('Team_Info'!$E$4-10)),"W","B")</x:f>
        <x:v>B</x:v>
      </x:c>
      <x:c r="M235" t="str">
        <x:f>IF(RAND()&lt;(('Team_Info'!$E$2-COUNTIF($B235:L235,"W"))/('Team_Info'!$E$4-11)),"W","B")</x:f>
        <x:v>W</x:v>
      </x:c>
      <x:c r="N235" t="str">
        <x:f>IF(RAND()&lt;(('Team_Info'!$E$2-COUNTIF($B235:M235,"W"))/('Team_Info'!$E$4-12)),"W","B")</x:f>
        <x:v>B</x:v>
      </x:c>
      <x:c r="O235" t="str">
        <x:f>IF(RAND()&lt;(('Team_Info'!$E$2-COUNTIF($B235:N235,"W"))/('Team_Info'!$E$4-13)),"W","B")</x:f>
        <x:v>W</x:v>
      </x:c>
      <x:c r="P235" t="str">
        <x:f>IF(RAND()&lt;(('Team_Info'!$E$2-COUNTIF($B235:O235,"W"))/('Team_Info'!$E$4-14)),"W","B")</x:f>
        <x:v>B</x:v>
      </x:c>
      <x:c r="Q235" t="str">
        <x:f>IF(RAND()&lt;(('Team_Info'!$E$2-COUNTIF($B235:P235,"W"))/('Team_Info'!$E$4-15)),"W","B")</x:f>
        <x:v>W</x:v>
      </x:c>
      <x:c r="R235" t="str">
        <x:f>IF(RAND()&lt;(('Team_Info'!$E$2-COUNTIF($B235:Q235,"W"))/('Team_Info'!$E$4-16)),"W","B")</x:f>
        <x:v>B</x:v>
      </x:c>
      <x:c r="S235" t="str">
        <x:f>IF(RAND()&lt;(('Team_Info'!$E$2-COUNTIF($B235:R235,"W"))/('Team_Info'!$E$4-17)),"W","B")</x:f>
        <x:v>B</x:v>
      </x:c>
      <x:c r="T235" t="str">
        <x:f>IF(RAND()&lt;(('Team_Info'!$E$2-COUNTIF($B235:S235,"W"))/('Team_Info'!$E$4-18)),"W","B")</x:f>
        <x:v>W</x:v>
      </x:c>
      <x:c r="U235" t="str">
        <x:f>IF(RAND()&lt;(('Team_Info'!$E$2-COUNTIF($B235:T235,"W"))/('Team_Info'!$E$4-19)),"W","B")</x:f>
        <x:v>W</x:v>
      </x:c>
    </x:row>
    <x:row r="236">
      <x:c r="A236" s="1">
        <x:v>235</x:v>
      </x:c>
      <x:c r="B236" t="str">
        <x:f>IF(RAND()&lt;'Team_Info'!$E$5,"W","B")</x:f>
        <x:v>W</x:v>
      </x:c>
      <x:c r="C236" t="str">
        <x:f>IF(RAND()&lt;(('Team_Info'!$E$2-COUNTIF($B236:B236,"W"))/('Team_Info'!$E$4-1)),"W","B")</x:f>
        <x:v>B</x:v>
      </x:c>
      <x:c r="D236" t="str">
        <x:f>IF(RAND()&lt;(('Team_Info'!$E$2-COUNTIF($B236:C236,"W"))/('Team_Info'!$E$4-2)),"W","B")</x:f>
        <x:v>W</x:v>
      </x:c>
      <x:c r="E236" t="str">
        <x:f>IF(RAND()&lt;(('Team_Info'!$E$2-COUNTIF($B236:D236,"W"))/('Team_Info'!$E$4-3)),"W","B")</x:f>
        <x:v>W</x:v>
      </x:c>
      <x:c r="F236" t="str">
        <x:f>IF(RAND()&lt;(('Team_Info'!$E$2-COUNTIF($B236:E236,"W"))/('Team_Info'!$E$4-4)),"W","B")</x:f>
        <x:v>B</x:v>
      </x:c>
      <x:c r="G236" t="str">
        <x:f>IF(RAND()&lt;(('Team_Info'!$E$2-COUNTIF($B236:F236,"W"))/('Team_Info'!$E$4-5)),"W","B")</x:f>
        <x:v>W</x:v>
      </x:c>
      <x:c r="H236" t="str">
        <x:f>IF(RAND()&lt;(('Team_Info'!$E$2-COUNTIF($B236:G236,"W"))/('Team_Info'!$E$4-6)),"W","B")</x:f>
        <x:v>W</x:v>
      </x:c>
      <x:c r="I236" t="str">
        <x:f>IF(RAND()&lt;(('Team_Info'!$E$2-COUNTIF($B236:H236,"W"))/('Team_Info'!$E$4-7)),"W","B")</x:f>
        <x:v>B</x:v>
      </x:c>
      <x:c r="J236" t="str">
        <x:f>IF(RAND()&lt;(('Team_Info'!$E$2-COUNTIF($B236:I236,"W"))/('Team_Info'!$E$4-8)),"W","B")</x:f>
        <x:v>B</x:v>
      </x:c>
      <x:c r="K236" t="str">
        <x:f>IF(RAND()&lt;(('Team_Info'!$E$2-COUNTIF($B236:J236,"W"))/('Team_Info'!$E$4-9)),"W","B")</x:f>
        <x:v>W</x:v>
      </x:c>
      <x:c r="L236" t="str">
        <x:f>IF(RAND()&lt;(('Team_Info'!$E$2-COUNTIF($B236:K236,"W"))/('Team_Info'!$E$4-10)),"W","B")</x:f>
        <x:v>B</x:v>
      </x:c>
      <x:c r="M236" t="str">
        <x:f>IF(RAND()&lt;(('Team_Info'!$E$2-COUNTIF($B236:L236,"W"))/('Team_Info'!$E$4-11)),"W","B")</x:f>
        <x:v>B</x:v>
      </x:c>
      <x:c r="N236" t="str">
        <x:f>IF(RAND()&lt;(('Team_Info'!$E$2-COUNTIF($B236:M236,"W"))/('Team_Info'!$E$4-12)),"W","B")</x:f>
        <x:v>B</x:v>
      </x:c>
      <x:c r="O236" t="str">
        <x:f>IF(RAND()&lt;(('Team_Info'!$E$2-COUNTIF($B236:N236,"W"))/('Team_Info'!$E$4-13)),"W","B")</x:f>
        <x:v>B</x:v>
      </x:c>
      <x:c r="P236" t="str">
        <x:f>IF(RAND()&lt;(('Team_Info'!$E$2-COUNTIF($B236:O236,"W"))/('Team_Info'!$E$4-14)),"W","B")</x:f>
        <x:v>W</x:v>
      </x:c>
      <x:c r="Q236" t="str">
        <x:f>IF(RAND()&lt;(('Team_Info'!$E$2-COUNTIF($B236:P236,"W"))/('Team_Info'!$E$4-15)),"W","B")</x:f>
        <x:v>W</x:v>
      </x:c>
      <x:c r="R236" t="str">
        <x:f>IF(RAND()&lt;(('Team_Info'!$E$2-COUNTIF($B236:Q236,"W"))/('Team_Info'!$E$4-16)),"W","B")</x:f>
        <x:v>W</x:v>
      </x:c>
      <x:c r="S236" t="str">
        <x:f>IF(RAND()&lt;(('Team_Info'!$E$2-COUNTIF($B236:R236,"W"))/('Team_Info'!$E$4-17)),"W","B")</x:f>
        <x:v>B</x:v>
      </x:c>
      <x:c r="T236" t="str">
        <x:f>IF(RAND()&lt;(('Team_Info'!$E$2-COUNTIF($B236:S236,"W"))/('Team_Info'!$E$4-18)),"W","B")</x:f>
        <x:v>B</x:v>
      </x:c>
      <x:c r="U236" t="str">
        <x:f>IF(RAND()&lt;(('Team_Info'!$E$2-COUNTIF($B236:T236,"W"))/('Team_Info'!$E$4-19)),"W","B")</x:f>
        <x:v>B</x:v>
      </x:c>
    </x:row>
    <x:row r="237">
      <x:c r="A237" s="1">
        <x:v>236</x:v>
      </x:c>
      <x:c r="B237" t="str">
        <x:f>IF(RAND()&lt;'Team_Info'!$E$5,"W","B")</x:f>
        <x:v>B</x:v>
      </x:c>
      <x:c r="C237" t="str">
        <x:f>IF(RAND()&lt;(('Team_Info'!$E$2-COUNTIF($B237:B237,"W"))/('Team_Info'!$E$4-1)),"W","B")</x:f>
        <x:v>B</x:v>
      </x:c>
      <x:c r="D237" t="str">
        <x:f>IF(RAND()&lt;(('Team_Info'!$E$2-COUNTIF($B237:C237,"W"))/('Team_Info'!$E$4-2)),"W","B")</x:f>
        <x:v>W</x:v>
      </x:c>
      <x:c r="E237" t="str">
        <x:f>IF(RAND()&lt;(('Team_Info'!$E$2-COUNTIF($B237:D237,"W"))/('Team_Info'!$E$4-3)),"W","B")</x:f>
        <x:v>B</x:v>
      </x:c>
      <x:c r="F237" t="str">
        <x:f>IF(RAND()&lt;(('Team_Info'!$E$2-COUNTIF($B237:E237,"W"))/('Team_Info'!$E$4-4)),"W","B")</x:f>
        <x:v>B</x:v>
      </x:c>
      <x:c r="G237" t="str">
        <x:f>IF(RAND()&lt;(('Team_Info'!$E$2-COUNTIF($B237:F237,"W"))/('Team_Info'!$E$4-5)),"W","B")</x:f>
        <x:v>B</x:v>
      </x:c>
      <x:c r="H237" t="str">
        <x:f>IF(RAND()&lt;(('Team_Info'!$E$2-COUNTIF($B237:G237,"W"))/('Team_Info'!$E$4-6)),"W","B")</x:f>
        <x:v>B</x:v>
      </x:c>
      <x:c r="I237" t="str">
        <x:f>IF(RAND()&lt;(('Team_Info'!$E$2-COUNTIF($B237:H237,"W"))/('Team_Info'!$E$4-7)),"W","B")</x:f>
        <x:v>B</x:v>
      </x:c>
      <x:c r="J237" t="str">
        <x:f>IF(RAND()&lt;(('Team_Info'!$E$2-COUNTIF($B237:I237,"W"))/('Team_Info'!$E$4-8)),"W","B")</x:f>
        <x:v>B</x:v>
      </x:c>
      <x:c r="K237" t="str">
        <x:f>IF(RAND()&lt;(('Team_Info'!$E$2-COUNTIF($B237:J237,"W"))/('Team_Info'!$E$4-9)),"W","B")</x:f>
        <x:v>B</x:v>
      </x:c>
      <x:c r="L237" t="str">
        <x:f>IF(RAND()&lt;(('Team_Info'!$E$2-COUNTIF($B237:K237,"W"))/('Team_Info'!$E$4-10)),"W","B")</x:f>
        <x:v>B</x:v>
      </x:c>
      <x:c r="M237" t="str">
        <x:f>IF(RAND()&lt;(('Team_Info'!$E$2-COUNTIF($B237:L237,"W"))/('Team_Info'!$E$4-11)),"W","B")</x:f>
        <x:v>B</x:v>
      </x:c>
      <x:c r="N237" t="str">
        <x:f>IF(RAND()&lt;(('Team_Info'!$E$2-COUNTIF($B237:M237,"W"))/('Team_Info'!$E$4-12)),"W","B")</x:f>
        <x:v>W</x:v>
      </x:c>
      <x:c r="O237" t="str">
        <x:f>IF(RAND()&lt;(('Team_Info'!$E$2-COUNTIF($B237:N237,"W"))/('Team_Info'!$E$4-13)),"W","B")</x:f>
        <x:v>W</x:v>
      </x:c>
      <x:c r="P237" t="str">
        <x:f>IF(RAND()&lt;(('Team_Info'!$E$2-COUNTIF($B237:O237,"W"))/('Team_Info'!$E$4-14)),"W","B")</x:f>
        <x:v>W</x:v>
      </x:c>
      <x:c r="Q237" t="str">
        <x:f>IF(RAND()&lt;(('Team_Info'!$E$2-COUNTIF($B237:P237,"W"))/('Team_Info'!$E$4-15)),"W","B")</x:f>
        <x:v>W</x:v>
      </x:c>
      <x:c r="R237" t="str">
        <x:f>IF(RAND()&lt;(('Team_Info'!$E$2-COUNTIF($B237:Q237,"W"))/('Team_Info'!$E$4-16)),"W","B")</x:f>
        <x:v>B</x:v>
      </x:c>
      <x:c r="S237" t="str">
        <x:f>IF(RAND()&lt;(('Team_Info'!$E$2-COUNTIF($B237:R237,"W"))/('Team_Info'!$E$4-17)),"W","B")</x:f>
        <x:v>W</x:v>
      </x:c>
      <x:c r="T237" t="str">
        <x:f>IF(RAND()&lt;(('Team_Info'!$E$2-COUNTIF($B237:S237,"W"))/('Team_Info'!$E$4-18)),"W","B")</x:f>
        <x:v>W</x:v>
      </x:c>
      <x:c r="U237" t="str">
        <x:f>IF(RAND()&lt;(('Team_Info'!$E$2-COUNTIF($B237:T237,"W"))/('Team_Info'!$E$4-19)),"W","B")</x:f>
        <x:v>W</x:v>
      </x:c>
    </x:row>
    <x:row r="238">
      <x:c r="A238" s="1">
        <x:v>237</x:v>
      </x:c>
      <x:c r="B238" t="str">
        <x:f>IF(RAND()&lt;'Team_Info'!$E$5,"W","B")</x:f>
        <x:v>W</x:v>
      </x:c>
      <x:c r="C238" t="str">
        <x:f>IF(RAND()&lt;(('Team_Info'!$E$2-COUNTIF($B238:B238,"W"))/('Team_Info'!$E$4-1)),"W","B")</x:f>
        <x:v>B</x:v>
      </x:c>
      <x:c r="D238" t="str">
        <x:f>IF(RAND()&lt;(('Team_Info'!$E$2-COUNTIF($B238:C238,"W"))/('Team_Info'!$E$4-2)),"W","B")</x:f>
        <x:v>W</x:v>
      </x:c>
      <x:c r="E238" t="str">
        <x:f>IF(RAND()&lt;(('Team_Info'!$E$2-COUNTIF($B238:D238,"W"))/('Team_Info'!$E$4-3)),"W","B")</x:f>
        <x:v>B</x:v>
      </x:c>
      <x:c r="F238" t="str">
        <x:f>IF(RAND()&lt;(('Team_Info'!$E$2-COUNTIF($B238:E238,"W"))/('Team_Info'!$E$4-4)),"W","B")</x:f>
        <x:v>B</x:v>
      </x:c>
      <x:c r="G238" t="str">
        <x:f>IF(RAND()&lt;(('Team_Info'!$E$2-COUNTIF($B238:F238,"W"))/('Team_Info'!$E$4-5)),"W","B")</x:f>
        <x:v>B</x:v>
      </x:c>
      <x:c r="H238" t="str">
        <x:f>IF(RAND()&lt;(('Team_Info'!$E$2-COUNTIF($B238:G238,"W"))/('Team_Info'!$E$4-6)),"W","B")</x:f>
        <x:v>W</x:v>
      </x:c>
      <x:c r="I238" t="str">
        <x:f>IF(RAND()&lt;(('Team_Info'!$E$2-COUNTIF($B238:H238,"W"))/('Team_Info'!$E$4-7)),"W","B")</x:f>
        <x:v>B</x:v>
      </x:c>
      <x:c r="J238" t="str">
        <x:f>IF(RAND()&lt;(('Team_Info'!$E$2-COUNTIF($B238:I238,"W"))/('Team_Info'!$E$4-8)),"W","B")</x:f>
        <x:v>W</x:v>
      </x:c>
      <x:c r="K238" t="str">
        <x:f>IF(RAND()&lt;(('Team_Info'!$E$2-COUNTIF($B238:J238,"W"))/('Team_Info'!$E$4-9)),"W","B")</x:f>
        <x:v>B</x:v>
      </x:c>
      <x:c r="L238" t="str">
        <x:f>IF(RAND()&lt;(('Team_Info'!$E$2-COUNTIF($B238:K238,"W"))/('Team_Info'!$E$4-10)),"W","B")</x:f>
        <x:v>B</x:v>
      </x:c>
      <x:c r="M238" t="str">
        <x:f>IF(RAND()&lt;(('Team_Info'!$E$2-COUNTIF($B238:L238,"W"))/('Team_Info'!$E$4-11)),"W","B")</x:f>
        <x:v>W</x:v>
      </x:c>
      <x:c r="N238" t="str">
        <x:f>IF(RAND()&lt;(('Team_Info'!$E$2-COUNTIF($B238:M238,"W"))/('Team_Info'!$E$4-12)),"W","B")</x:f>
        <x:v>B</x:v>
      </x:c>
      <x:c r="O238" t="str">
        <x:f>IF(RAND()&lt;(('Team_Info'!$E$2-COUNTIF($B238:N238,"W"))/('Team_Info'!$E$4-13)),"W","B")</x:f>
        <x:v>B</x:v>
      </x:c>
      <x:c r="P238" t="str">
        <x:f>IF(RAND()&lt;(('Team_Info'!$E$2-COUNTIF($B238:O238,"W"))/('Team_Info'!$E$4-14)),"W","B")</x:f>
        <x:v>B</x:v>
      </x:c>
      <x:c r="Q238" t="str">
        <x:f>IF(RAND()&lt;(('Team_Info'!$E$2-COUNTIF($B238:P238,"W"))/('Team_Info'!$E$4-15)),"W","B")</x:f>
        <x:v>B</x:v>
      </x:c>
      <x:c r="R238" t="str">
        <x:f>IF(RAND()&lt;(('Team_Info'!$E$2-COUNTIF($B238:Q238,"W"))/('Team_Info'!$E$4-16)),"W","B")</x:f>
        <x:v>W</x:v>
      </x:c>
      <x:c r="S238" t="str">
        <x:f>IF(RAND()&lt;(('Team_Info'!$E$2-COUNTIF($B238:R238,"W"))/('Team_Info'!$E$4-17)),"W","B")</x:f>
        <x:v>W</x:v>
      </x:c>
      <x:c r="T238" t="str">
        <x:f>IF(RAND()&lt;(('Team_Info'!$E$2-COUNTIF($B238:S238,"W"))/('Team_Info'!$E$4-18)),"W","B")</x:f>
        <x:v>B</x:v>
      </x:c>
      <x:c r="U238" t="str">
        <x:f>IF(RAND()&lt;(('Team_Info'!$E$2-COUNTIF($B238:T238,"W"))/('Team_Info'!$E$4-19)),"W","B")</x:f>
        <x:v>W</x:v>
      </x:c>
    </x:row>
    <x:row r="239">
      <x:c r="A239" s="1">
        <x:v>238</x:v>
      </x:c>
      <x:c r="B239" t="str">
        <x:f>IF(RAND()&lt;'Team_Info'!$E$5,"W","B")</x:f>
        <x:v>W</x:v>
      </x:c>
      <x:c r="C239" t="str">
        <x:f>IF(RAND()&lt;(('Team_Info'!$E$2-COUNTIF($B239:B239,"W"))/('Team_Info'!$E$4-1)),"W","B")</x:f>
        <x:v>B</x:v>
      </x:c>
      <x:c r="D239" t="str">
        <x:f>IF(RAND()&lt;(('Team_Info'!$E$2-COUNTIF($B239:C239,"W"))/('Team_Info'!$E$4-2)),"W","B")</x:f>
        <x:v>W</x:v>
      </x:c>
      <x:c r="E239" t="str">
        <x:f>IF(RAND()&lt;(('Team_Info'!$E$2-COUNTIF($B239:D239,"W"))/('Team_Info'!$E$4-3)),"W","B")</x:f>
        <x:v>B</x:v>
      </x:c>
      <x:c r="F239" t="str">
        <x:f>IF(RAND()&lt;(('Team_Info'!$E$2-COUNTIF($B239:E239,"W"))/('Team_Info'!$E$4-4)),"W","B")</x:f>
        <x:v>B</x:v>
      </x:c>
      <x:c r="G239" t="str">
        <x:f>IF(RAND()&lt;(('Team_Info'!$E$2-COUNTIF($B239:F239,"W"))/('Team_Info'!$E$4-5)),"W","B")</x:f>
        <x:v>B</x:v>
      </x:c>
      <x:c r="H239" t="str">
        <x:f>IF(RAND()&lt;(('Team_Info'!$E$2-COUNTIF($B239:G239,"W"))/('Team_Info'!$E$4-6)),"W","B")</x:f>
        <x:v>W</x:v>
      </x:c>
      <x:c r="I239" t="str">
        <x:f>IF(RAND()&lt;(('Team_Info'!$E$2-COUNTIF($B239:H239,"W"))/('Team_Info'!$E$4-7)),"W","B")</x:f>
        <x:v>W</x:v>
      </x:c>
      <x:c r="J239" t="str">
        <x:f>IF(RAND()&lt;(('Team_Info'!$E$2-COUNTIF($B239:I239,"W"))/('Team_Info'!$E$4-8)),"W","B")</x:f>
        <x:v>W</x:v>
      </x:c>
      <x:c r="K239" t="str">
        <x:f>IF(RAND()&lt;(('Team_Info'!$E$2-COUNTIF($B239:J239,"W"))/('Team_Info'!$E$4-9)),"W","B")</x:f>
        <x:v>B</x:v>
      </x:c>
      <x:c r="L239" t="str">
        <x:f>IF(RAND()&lt;(('Team_Info'!$E$2-COUNTIF($B239:K239,"W"))/('Team_Info'!$E$4-10)),"W","B")</x:f>
        <x:v>W</x:v>
      </x:c>
      <x:c r="M239" t="str">
        <x:f>IF(RAND()&lt;(('Team_Info'!$E$2-COUNTIF($B239:L239,"W"))/('Team_Info'!$E$4-11)),"W","B")</x:f>
        <x:v>B</x:v>
      </x:c>
      <x:c r="N239" t="str">
        <x:f>IF(RAND()&lt;(('Team_Info'!$E$2-COUNTIF($B239:M239,"W"))/('Team_Info'!$E$4-12)),"W","B")</x:f>
        <x:v>W</x:v>
      </x:c>
      <x:c r="O239" t="str">
        <x:f>IF(RAND()&lt;(('Team_Info'!$E$2-COUNTIF($B239:N239,"W"))/('Team_Info'!$E$4-13)),"W","B")</x:f>
        <x:v>W</x:v>
      </x:c>
      <x:c r="P239" t="str">
        <x:f>IF(RAND()&lt;(('Team_Info'!$E$2-COUNTIF($B239:O239,"W"))/('Team_Info'!$E$4-14)),"W","B")</x:f>
        <x:v>W</x:v>
      </x:c>
      <x:c r="Q239" t="str">
        <x:f>IF(RAND()&lt;(('Team_Info'!$E$2-COUNTIF($B239:P239,"W"))/('Team_Info'!$E$4-15)),"W","B")</x:f>
        <x:v>B</x:v>
      </x:c>
      <x:c r="R239" t="str">
        <x:f>IF(RAND()&lt;(('Team_Info'!$E$2-COUNTIF($B239:Q239,"W"))/('Team_Info'!$E$4-16)),"W","B")</x:f>
        <x:v>B</x:v>
      </x:c>
      <x:c r="S239" t="str">
        <x:f>IF(RAND()&lt;(('Team_Info'!$E$2-COUNTIF($B239:R239,"W"))/('Team_Info'!$E$4-17)),"W","B")</x:f>
        <x:v>W</x:v>
      </x:c>
      <x:c r="T239" t="str">
        <x:f>IF(RAND()&lt;(('Team_Info'!$E$2-COUNTIF($B239:S239,"W"))/('Team_Info'!$E$4-18)),"W","B")</x:f>
        <x:v>B</x:v>
      </x:c>
      <x:c r="U239" t="str">
        <x:f>IF(RAND()&lt;(('Team_Info'!$E$2-COUNTIF($B239:T239,"W"))/('Team_Info'!$E$4-19)),"W","B")</x:f>
        <x:v>W</x:v>
      </x:c>
    </x:row>
    <x:row r="240">
      <x:c r="A240" s="1">
        <x:v>239</x:v>
      </x:c>
      <x:c r="B240" t="str">
        <x:f>IF(RAND()&lt;'Team_Info'!$E$5,"W","B")</x:f>
        <x:v>W</x:v>
      </x:c>
      <x:c r="C240" t="str">
        <x:f>IF(RAND()&lt;(('Team_Info'!$E$2-COUNTIF($B240:B240,"W"))/('Team_Info'!$E$4-1)),"W","B")</x:f>
        <x:v>B</x:v>
      </x:c>
      <x:c r="D240" t="str">
        <x:f>IF(RAND()&lt;(('Team_Info'!$E$2-COUNTIF($B240:C240,"W"))/('Team_Info'!$E$4-2)),"W","B")</x:f>
        <x:v>B</x:v>
      </x:c>
      <x:c r="E240" t="str">
        <x:f>IF(RAND()&lt;(('Team_Info'!$E$2-COUNTIF($B240:D240,"W"))/('Team_Info'!$E$4-3)),"W","B")</x:f>
        <x:v>B</x:v>
      </x:c>
      <x:c r="F240" t="str">
        <x:f>IF(RAND()&lt;(('Team_Info'!$E$2-COUNTIF($B240:E240,"W"))/('Team_Info'!$E$4-4)),"W","B")</x:f>
        <x:v>B</x:v>
      </x:c>
      <x:c r="G240" t="str">
        <x:f>IF(RAND()&lt;(('Team_Info'!$E$2-COUNTIF($B240:F240,"W"))/('Team_Info'!$E$4-5)),"W","B")</x:f>
        <x:v>B</x:v>
      </x:c>
      <x:c r="H240" t="str">
        <x:f>IF(RAND()&lt;(('Team_Info'!$E$2-COUNTIF($B240:G240,"W"))/('Team_Info'!$E$4-6)),"W","B")</x:f>
        <x:v>B</x:v>
      </x:c>
      <x:c r="I240" t="str">
        <x:f>IF(RAND()&lt;(('Team_Info'!$E$2-COUNTIF($B240:H240,"W"))/('Team_Info'!$E$4-7)),"W","B")</x:f>
        <x:v>B</x:v>
      </x:c>
      <x:c r="J240" t="str">
        <x:f>IF(RAND()&lt;(('Team_Info'!$E$2-COUNTIF($B240:I240,"W"))/('Team_Info'!$E$4-8)),"W","B")</x:f>
        <x:v>B</x:v>
      </x:c>
      <x:c r="K240" t="str">
        <x:f>IF(RAND()&lt;(('Team_Info'!$E$2-COUNTIF($B240:J240,"W"))/('Team_Info'!$E$4-9)),"W","B")</x:f>
        <x:v>B</x:v>
      </x:c>
      <x:c r="L240" t="str">
        <x:f>IF(RAND()&lt;(('Team_Info'!$E$2-COUNTIF($B240:K240,"W"))/('Team_Info'!$E$4-10)),"W","B")</x:f>
        <x:v>W</x:v>
      </x:c>
      <x:c r="M240" t="str">
        <x:f>IF(RAND()&lt;(('Team_Info'!$E$2-COUNTIF($B240:L240,"W"))/('Team_Info'!$E$4-11)),"W","B")</x:f>
        <x:v>B</x:v>
      </x:c>
      <x:c r="N240" t="str">
        <x:f>IF(RAND()&lt;(('Team_Info'!$E$2-COUNTIF($B240:M240,"W"))/('Team_Info'!$E$4-12)),"W","B")</x:f>
        <x:v>B</x:v>
      </x:c>
      <x:c r="O240" t="str">
        <x:f>IF(RAND()&lt;(('Team_Info'!$E$2-COUNTIF($B240:N240,"W"))/('Team_Info'!$E$4-13)),"W","B")</x:f>
        <x:v>B</x:v>
      </x:c>
      <x:c r="P240" t="str">
        <x:f>IF(RAND()&lt;(('Team_Info'!$E$2-COUNTIF($B240:O240,"W"))/('Team_Info'!$E$4-14)),"W","B")</x:f>
        <x:v>B</x:v>
      </x:c>
      <x:c r="Q240" t="str">
        <x:f>IF(RAND()&lt;(('Team_Info'!$E$2-COUNTIF($B240:P240,"W"))/('Team_Info'!$E$4-15)),"W","B")</x:f>
        <x:v>B</x:v>
      </x:c>
      <x:c r="R240" t="str">
        <x:f>IF(RAND()&lt;(('Team_Info'!$E$2-COUNTIF($B240:Q240,"W"))/('Team_Info'!$E$4-16)),"W","B")</x:f>
        <x:v>W</x:v>
      </x:c>
      <x:c r="S240" t="str">
        <x:f>IF(RAND()&lt;(('Team_Info'!$E$2-COUNTIF($B240:R240,"W"))/('Team_Info'!$E$4-17)),"W","B")</x:f>
        <x:v>W</x:v>
      </x:c>
      <x:c r="T240" t="str">
        <x:f>IF(RAND()&lt;(('Team_Info'!$E$2-COUNTIF($B240:S240,"W"))/('Team_Info'!$E$4-18)),"W","B")</x:f>
        <x:v>W</x:v>
      </x:c>
      <x:c r="U240" t="str">
        <x:f>IF(RAND()&lt;(('Team_Info'!$E$2-COUNTIF($B240:T240,"W"))/('Team_Info'!$E$4-19)),"W","B")</x:f>
        <x:v>B</x:v>
      </x:c>
    </x:row>
    <x:row r="241">
      <x:c r="A241" s="1">
        <x:v>240</x:v>
      </x:c>
      <x:c r="B241" t="str">
        <x:f>IF(RAND()&lt;'Team_Info'!$E$5,"W","B")</x:f>
        <x:v>B</x:v>
      </x:c>
      <x:c r="C241" t="str">
        <x:f>IF(RAND()&lt;(('Team_Info'!$E$2-COUNTIF($B241:B241,"W"))/('Team_Info'!$E$4-1)),"W","B")</x:f>
        <x:v>W</x:v>
      </x:c>
      <x:c r="D241" t="str">
        <x:f>IF(RAND()&lt;(('Team_Info'!$E$2-COUNTIF($B241:C241,"W"))/('Team_Info'!$E$4-2)),"W","B")</x:f>
        <x:v>B</x:v>
      </x:c>
      <x:c r="E241" t="str">
        <x:f>IF(RAND()&lt;(('Team_Info'!$E$2-COUNTIF($B241:D241,"W"))/('Team_Info'!$E$4-3)),"W","B")</x:f>
        <x:v>W</x:v>
      </x:c>
      <x:c r="F241" t="str">
        <x:f>IF(RAND()&lt;(('Team_Info'!$E$2-COUNTIF($B241:E241,"W"))/('Team_Info'!$E$4-4)),"W","B")</x:f>
        <x:v>B</x:v>
      </x:c>
      <x:c r="G241" t="str">
        <x:f>IF(RAND()&lt;(('Team_Info'!$E$2-COUNTIF($B241:F241,"W"))/('Team_Info'!$E$4-5)),"W","B")</x:f>
        <x:v>B</x:v>
      </x:c>
      <x:c r="H241" t="str">
        <x:f>IF(RAND()&lt;(('Team_Info'!$E$2-COUNTIF($B241:G241,"W"))/('Team_Info'!$E$4-6)),"W","B")</x:f>
        <x:v>B</x:v>
      </x:c>
      <x:c r="I241" t="str">
        <x:f>IF(RAND()&lt;(('Team_Info'!$E$2-COUNTIF($B241:H241,"W"))/('Team_Info'!$E$4-7)),"W","B")</x:f>
        <x:v>B</x:v>
      </x:c>
      <x:c r="J241" t="str">
        <x:f>IF(RAND()&lt;(('Team_Info'!$E$2-COUNTIF($B241:I241,"W"))/('Team_Info'!$E$4-8)),"W","B")</x:f>
        <x:v>B</x:v>
      </x:c>
      <x:c r="K241" t="str">
        <x:f>IF(RAND()&lt;(('Team_Info'!$E$2-COUNTIF($B241:J241,"W"))/('Team_Info'!$E$4-9)),"W","B")</x:f>
        <x:v>W</x:v>
      </x:c>
      <x:c r="L241" t="str">
        <x:f>IF(RAND()&lt;(('Team_Info'!$E$2-COUNTIF($B241:K241,"W"))/('Team_Info'!$E$4-10)),"W","B")</x:f>
        <x:v>W</x:v>
      </x:c>
      <x:c r="M241" t="str">
        <x:f>IF(RAND()&lt;(('Team_Info'!$E$2-COUNTIF($B241:L241,"W"))/('Team_Info'!$E$4-11)),"W","B")</x:f>
        <x:v>B</x:v>
      </x:c>
      <x:c r="N241" t="str">
        <x:f>IF(RAND()&lt;(('Team_Info'!$E$2-COUNTIF($B241:M241,"W"))/('Team_Info'!$E$4-12)),"W","B")</x:f>
        <x:v>B</x:v>
      </x:c>
      <x:c r="O241" t="str">
        <x:f>IF(RAND()&lt;(('Team_Info'!$E$2-COUNTIF($B241:N241,"W"))/('Team_Info'!$E$4-13)),"W","B")</x:f>
        <x:v>W</x:v>
      </x:c>
      <x:c r="P241" t="str">
        <x:f>IF(RAND()&lt;(('Team_Info'!$E$2-COUNTIF($B241:O241,"W"))/('Team_Info'!$E$4-14)),"W","B")</x:f>
        <x:v>W</x:v>
      </x:c>
      <x:c r="Q241" t="str">
        <x:f>IF(RAND()&lt;(('Team_Info'!$E$2-COUNTIF($B241:P241,"W"))/('Team_Info'!$E$4-15)),"W","B")</x:f>
        <x:v>W</x:v>
      </x:c>
      <x:c r="R241" t="str">
        <x:f>IF(RAND()&lt;(('Team_Info'!$E$2-COUNTIF($B241:Q241,"W"))/('Team_Info'!$E$4-16)),"W","B")</x:f>
        <x:v>B</x:v>
      </x:c>
      <x:c r="S241" t="str">
        <x:f>IF(RAND()&lt;(('Team_Info'!$E$2-COUNTIF($B241:R241,"W"))/('Team_Info'!$E$4-17)),"W","B")</x:f>
        <x:v>B</x:v>
      </x:c>
      <x:c r="T241" t="str">
        <x:f>IF(RAND()&lt;(('Team_Info'!$E$2-COUNTIF($B241:S241,"W"))/('Team_Info'!$E$4-18)),"W","B")</x:f>
        <x:v>W</x:v>
      </x:c>
      <x:c r="U241" t="str">
        <x:f>IF(RAND()&lt;(('Team_Info'!$E$2-COUNTIF($B241:T241,"W"))/('Team_Info'!$E$4-19)),"W","B")</x:f>
        <x:v>B</x:v>
      </x:c>
    </x:row>
    <x:row r="242">
      <x:c r="A242" s="1">
        <x:v>241</x:v>
      </x:c>
      <x:c r="B242" t="str">
        <x:f>IF(RAND()&lt;'Team_Info'!$E$5,"W","B")</x:f>
        <x:v>W</x:v>
      </x:c>
      <x:c r="C242" t="str">
        <x:f>IF(RAND()&lt;(('Team_Info'!$E$2-COUNTIF($B242:B242,"W"))/('Team_Info'!$E$4-1)),"W","B")</x:f>
        <x:v>W</x:v>
      </x:c>
      <x:c r="D242" t="str">
        <x:f>IF(RAND()&lt;(('Team_Info'!$E$2-COUNTIF($B242:C242,"W"))/('Team_Info'!$E$4-2)),"W","B")</x:f>
        <x:v>B</x:v>
      </x:c>
      <x:c r="E242" t="str">
        <x:f>IF(RAND()&lt;(('Team_Info'!$E$2-COUNTIF($B242:D242,"W"))/('Team_Info'!$E$4-3)),"W","B")</x:f>
        <x:v>W</x:v>
      </x:c>
      <x:c r="F242" t="str">
        <x:f>IF(RAND()&lt;(('Team_Info'!$E$2-COUNTIF($B242:E242,"W"))/('Team_Info'!$E$4-4)),"W","B")</x:f>
        <x:v>B</x:v>
      </x:c>
      <x:c r="G242" t="str">
        <x:f>IF(RAND()&lt;(('Team_Info'!$E$2-COUNTIF($B242:F242,"W"))/('Team_Info'!$E$4-5)),"W","B")</x:f>
        <x:v>B</x:v>
      </x:c>
      <x:c r="H242" t="str">
        <x:f>IF(RAND()&lt;(('Team_Info'!$E$2-COUNTIF($B242:G242,"W"))/('Team_Info'!$E$4-6)),"W","B")</x:f>
        <x:v>W</x:v>
      </x:c>
      <x:c r="I242" t="str">
        <x:f>IF(RAND()&lt;(('Team_Info'!$E$2-COUNTIF($B242:H242,"W"))/('Team_Info'!$E$4-7)),"W","B")</x:f>
        <x:v>W</x:v>
      </x:c>
      <x:c r="J242" t="str">
        <x:f>IF(RAND()&lt;(('Team_Info'!$E$2-COUNTIF($B242:I242,"W"))/('Team_Info'!$E$4-8)),"W","B")</x:f>
        <x:v>B</x:v>
      </x:c>
      <x:c r="K242" t="str">
        <x:f>IF(RAND()&lt;(('Team_Info'!$E$2-COUNTIF($B242:J242,"W"))/('Team_Info'!$E$4-9)),"W","B")</x:f>
        <x:v>B</x:v>
      </x:c>
      <x:c r="L242" t="str">
        <x:f>IF(RAND()&lt;(('Team_Info'!$E$2-COUNTIF($B242:K242,"W"))/('Team_Info'!$E$4-10)),"W","B")</x:f>
        <x:v>B</x:v>
      </x:c>
      <x:c r="M242" t="str">
        <x:f>IF(RAND()&lt;(('Team_Info'!$E$2-COUNTIF($B242:L242,"W"))/('Team_Info'!$E$4-11)),"W","B")</x:f>
        <x:v>B</x:v>
      </x:c>
      <x:c r="N242" t="str">
        <x:f>IF(RAND()&lt;(('Team_Info'!$E$2-COUNTIF($B242:M242,"W"))/('Team_Info'!$E$4-12)),"W","B")</x:f>
        <x:v>B</x:v>
      </x:c>
      <x:c r="O242" t="str">
        <x:f>IF(RAND()&lt;(('Team_Info'!$E$2-COUNTIF($B242:N242,"W"))/('Team_Info'!$E$4-13)),"W","B")</x:f>
        <x:v>W</x:v>
      </x:c>
      <x:c r="P242" t="str">
        <x:f>IF(RAND()&lt;(('Team_Info'!$E$2-COUNTIF($B242:O242,"W"))/('Team_Info'!$E$4-14)),"W","B")</x:f>
        <x:v>B</x:v>
      </x:c>
      <x:c r="Q242" t="str">
        <x:f>IF(RAND()&lt;(('Team_Info'!$E$2-COUNTIF($B242:P242,"W"))/('Team_Info'!$E$4-15)),"W","B")</x:f>
        <x:v>B</x:v>
      </x:c>
      <x:c r="R242" t="str">
        <x:f>IF(RAND()&lt;(('Team_Info'!$E$2-COUNTIF($B242:Q242,"W"))/('Team_Info'!$E$4-16)),"W","B")</x:f>
        <x:v>W</x:v>
      </x:c>
      <x:c r="S242" t="str">
        <x:f>IF(RAND()&lt;(('Team_Info'!$E$2-COUNTIF($B242:R242,"W"))/('Team_Info'!$E$4-17)),"W","B")</x:f>
        <x:v>W</x:v>
      </x:c>
      <x:c r="T242" t="str">
        <x:f>IF(RAND()&lt;(('Team_Info'!$E$2-COUNTIF($B242:S242,"W"))/('Team_Info'!$E$4-18)),"W","B")</x:f>
        <x:v>B</x:v>
      </x:c>
      <x:c r="U242" t="str">
        <x:f>IF(RAND()&lt;(('Team_Info'!$E$2-COUNTIF($B242:T242,"W"))/('Team_Info'!$E$4-19)),"W","B")</x:f>
        <x:v>W</x:v>
      </x:c>
    </x:row>
    <x:row r="243">
      <x:c r="A243" s="1">
        <x:v>242</x:v>
      </x:c>
      <x:c r="B243" t="str">
        <x:f>IF(RAND()&lt;'Team_Info'!$E$5,"W","B")</x:f>
        <x:v>W</x:v>
      </x:c>
      <x:c r="C243" t="str">
        <x:f>IF(RAND()&lt;(('Team_Info'!$E$2-COUNTIF($B243:B243,"W"))/('Team_Info'!$E$4-1)),"W","B")</x:f>
        <x:v>B</x:v>
      </x:c>
      <x:c r="D243" t="str">
        <x:f>IF(RAND()&lt;(('Team_Info'!$E$2-COUNTIF($B243:C243,"W"))/('Team_Info'!$E$4-2)),"W","B")</x:f>
        <x:v>B</x:v>
      </x:c>
      <x:c r="E243" t="str">
        <x:f>IF(RAND()&lt;(('Team_Info'!$E$2-COUNTIF($B243:D243,"W"))/('Team_Info'!$E$4-3)),"W","B")</x:f>
        <x:v>B</x:v>
      </x:c>
      <x:c r="F243" t="str">
        <x:f>IF(RAND()&lt;(('Team_Info'!$E$2-COUNTIF($B243:E243,"W"))/('Team_Info'!$E$4-4)),"W","B")</x:f>
        <x:v>B</x:v>
      </x:c>
      <x:c r="G243" t="str">
        <x:f>IF(RAND()&lt;(('Team_Info'!$E$2-COUNTIF($B243:F243,"W"))/('Team_Info'!$E$4-5)),"W","B")</x:f>
        <x:v>B</x:v>
      </x:c>
      <x:c r="H243" t="str">
        <x:f>IF(RAND()&lt;(('Team_Info'!$E$2-COUNTIF($B243:G243,"W"))/('Team_Info'!$E$4-6)),"W","B")</x:f>
        <x:v>W</x:v>
      </x:c>
      <x:c r="I243" t="str">
        <x:f>IF(RAND()&lt;(('Team_Info'!$E$2-COUNTIF($B243:H243,"W"))/('Team_Info'!$E$4-7)),"W","B")</x:f>
        <x:v>W</x:v>
      </x:c>
      <x:c r="J243" t="str">
        <x:f>IF(RAND()&lt;(('Team_Info'!$E$2-COUNTIF($B243:I243,"W"))/('Team_Info'!$E$4-8)),"W","B")</x:f>
        <x:v>B</x:v>
      </x:c>
      <x:c r="K243" t="str">
        <x:f>IF(RAND()&lt;(('Team_Info'!$E$2-COUNTIF($B243:J243,"W"))/('Team_Info'!$E$4-9)),"W","B")</x:f>
        <x:v>B</x:v>
      </x:c>
      <x:c r="L243" t="str">
        <x:f>IF(RAND()&lt;(('Team_Info'!$E$2-COUNTIF($B243:K243,"W"))/('Team_Info'!$E$4-10)),"W","B")</x:f>
        <x:v>B</x:v>
      </x:c>
      <x:c r="M243" t="str">
        <x:f>IF(RAND()&lt;(('Team_Info'!$E$2-COUNTIF($B243:L243,"W"))/('Team_Info'!$E$4-11)),"W","B")</x:f>
        <x:v>B</x:v>
      </x:c>
      <x:c r="N243" t="str">
        <x:f>IF(RAND()&lt;(('Team_Info'!$E$2-COUNTIF($B243:M243,"W"))/('Team_Info'!$E$4-12)),"W","B")</x:f>
        <x:v>B</x:v>
      </x:c>
      <x:c r="O243" t="str">
        <x:f>IF(RAND()&lt;(('Team_Info'!$E$2-COUNTIF($B243:N243,"W"))/('Team_Info'!$E$4-13)),"W","B")</x:f>
        <x:v>B</x:v>
      </x:c>
      <x:c r="P243" t="str">
        <x:f>IF(RAND()&lt;(('Team_Info'!$E$2-COUNTIF($B243:O243,"W"))/('Team_Info'!$E$4-14)),"W","B")</x:f>
        <x:v>B</x:v>
      </x:c>
      <x:c r="Q243" t="str">
        <x:f>IF(RAND()&lt;(('Team_Info'!$E$2-COUNTIF($B243:P243,"W"))/('Team_Info'!$E$4-15)),"W","B")</x:f>
        <x:v>B</x:v>
      </x:c>
      <x:c r="R243" t="str">
        <x:f>IF(RAND()&lt;(('Team_Info'!$E$2-COUNTIF($B243:Q243,"W"))/('Team_Info'!$E$4-16)),"W","B")</x:f>
        <x:v>W</x:v>
      </x:c>
      <x:c r="S243" t="str">
        <x:f>IF(RAND()&lt;(('Team_Info'!$E$2-COUNTIF($B243:R243,"W"))/('Team_Info'!$E$4-17)),"W","B")</x:f>
        <x:v>B</x:v>
      </x:c>
      <x:c r="T243" t="str">
        <x:f>IF(RAND()&lt;(('Team_Info'!$E$2-COUNTIF($B243:S243,"W"))/('Team_Info'!$E$4-18)),"W","B")</x:f>
        <x:v>B</x:v>
      </x:c>
      <x:c r="U243" t="str">
        <x:f>IF(RAND()&lt;(('Team_Info'!$E$2-COUNTIF($B243:T243,"W"))/('Team_Info'!$E$4-19)),"W","B")</x:f>
        <x:v>W</x:v>
      </x:c>
    </x:row>
    <x:row r="244">
      <x:c r="A244" s="1">
        <x:v>243</x:v>
      </x:c>
      <x:c r="B244" t="str">
        <x:f>IF(RAND()&lt;'Team_Info'!$E$5,"W","B")</x:f>
        <x:v>W</x:v>
      </x:c>
      <x:c r="C244" t="str">
        <x:f>IF(RAND()&lt;(('Team_Info'!$E$2-COUNTIF($B244:B244,"W"))/('Team_Info'!$E$4-1)),"W","B")</x:f>
        <x:v>B</x:v>
      </x:c>
      <x:c r="D244" t="str">
        <x:f>IF(RAND()&lt;(('Team_Info'!$E$2-COUNTIF($B244:C244,"W"))/('Team_Info'!$E$4-2)),"W","B")</x:f>
        <x:v>B</x:v>
      </x:c>
      <x:c r="E244" t="str">
        <x:f>IF(RAND()&lt;(('Team_Info'!$E$2-COUNTIF($B244:D244,"W"))/('Team_Info'!$E$4-3)),"W","B")</x:f>
        <x:v>W</x:v>
      </x:c>
      <x:c r="F244" t="str">
        <x:f>IF(RAND()&lt;(('Team_Info'!$E$2-COUNTIF($B244:E244,"W"))/('Team_Info'!$E$4-4)),"W","B")</x:f>
        <x:v>B</x:v>
      </x:c>
      <x:c r="G244" t="str">
        <x:f>IF(RAND()&lt;(('Team_Info'!$E$2-COUNTIF($B244:F244,"W"))/('Team_Info'!$E$4-5)),"W","B")</x:f>
        <x:v>B</x:v>
      </x:c>
      <x:c r="H244" t="str">
        <x:f>IF(RAND()&lt;(('Team_Info'!$E$2-COUNTIF($B244:G244,"W"))/('Team_Info'!$E$4-6)),"W","B")</x:f>
        <x:v>B</x:v>
      </x:c>
      <x:c r="I244" t="str">
        <x:f>IF(RAND()&lt;(('Team_Info'!$E$2-COUNTIF($B244:H244,"W"))/('Team_Info'!$E$4-7)),"W","B")</x:f>
        <x:v>B</x:v>
      </x:c>
      <x:c r="J244" t="str">
        <x:f>IF(RAND()&lt;(('Team_Info'!$E$2-COUNTIF($B244:I244,"W"))/('Team_Info'!$E$4-8)),"W","B")</x:f>
        <x:v>B</x:v>
      </x:c>
      <x:c r="K244" t="str">
        <x:f>IF(RAND()&lt;(('Team_Info'!$E$2-COUNTIF($B244:J244,"W"))/('Team_Info'!$E$4-9)),"W","B")</x:f>
        <x:v>W</x:v>
      </x:c>
      <x:c r="L244" t="str">
        <x:f>IF(RAND()&lt;(('Team_Info'!$E$2-COUNTIF($B244:K244,"W"))/('Team_Info'!$E$4-10)),"W","B")</x:f>
        <x:v>B</x:v>
      </x:c>
      <x:c r="M244" t="str">
        <x:f>IF(RAND()&lt;(('Team_Info'!$E$2-COUNTIF($B244:L244,"W"))/('Team_Info'!$E$4-11)),"W","B")</x:f>
        <x:v>B</x:v>
      </x:c>
      <x:c r="N244" t="str">
        <x:f>IF(RAND()&lt;(('Team_Info'!$E$2-COUNTIF($B244:M244,"W"))/('Team_Info'!$E$4-12)),"W","B")</x:f>
        <x:v>B</x:v>
      </x:c>
      <x:c r="O244" t="str">
        <x:f>IF(RAND()&lt;(('Team_Info'!$E$2-COUNTIF($B244:N244,"W"))/('Team_Info'!$E$4-13)),"W","B")</x:f>
        <x:v>W</x:v>
      </x:c>
      <x:c r="P244" t="str">
        <x:f>IF(RAND()&lt;(('Team_Info'!$E$2-COUNTIF($B244:O244,"W"))/('Team_Info'!$E$4-14)),"W","B")</x:f>
        <x:v>B</x:v>
      </x:c>
      <x:c r="Q244" t="str">
        <x:f>IF(RAND()&lt;(('Team_Info'!$E$2-COUNTIF($B244:P244,"W"))/('Team_Info'!$E$4-15)),"W","B")</x:f>
        <x:v>W</x:v>
      </x:c>
      <x:c r="R244" t="str">
        <x:f>IF(RAND()&lt;(('Team_Info'!$E$2-COUNTIF($B244:Q244,"W"))/('Team_Info'!$E$4-16)),"W","B")</x:f>
        <x:v>B</x:v>
      </x:c>
      <x:c r="S244" t="str">
        <x:f>IF(RAND()&lt;(('Team_Info'!$E$2-COUNTIF($B244:R244,"W"))/('Team_Info'!$E$4-17)),"W","B")</x:f>
        <x:v>B</x:v>
      </x:c>
      <x:c r="T244" t="str">
        <x:f>IF(RAND()&lt;(('Team_Info'!$E$2-COUNTIF($B244:S244,"W"))/('Team_Info'!$E$4-18)),"W","B")</x:f>
        <x:v>W</x:v>
      </x:c>
      <x:c r="U244" t="str">
        <x:f>IF(RAND()&lt;(('Team_Info'!$E$2-COUNTIF($B244:T244,"W"))/('Team_Info'!$E$4-19)),"W","B")</x:f>
        <x:v>B</x:v>
      </x:c>
    </x:row>
    <x:row r="245">
      <x:c r="A245" s="1">
        <x:v>244</x:v>
      </x:c>
      <x:c r="B245" t="str">
        <x:f>IF(RAND()&lt;'Team_Info'!$E$5,"W","B")</x:f>
        <x:v>B</x:v>
      </x:c>
      <x:c r="C245" t="str">
        <x:f>IF(RAND()&lt;(('Team_Info'!$E$2-COUNTIF($B245:B245,"W"))/('Team_Info'!$E$4-1)),"W","B")</x:f>
        <x:v>W</x:v>
      </x:c>
      <x:c r="D245" t="str">
        <x:f>IF(RAND()&lt;(('Team_Info'!$E$2-COUNTIF($B245:C245,"W"))/('Team_Info'!$E$4-2)),"W","B")</x:f>
        <x:v>B</x:v>
      </x:c>
      <x:c r="E245" t="str">
        <x:f>IF(RAND()&lt;(('Team_Info'!$E$2-COUNTIF($B245:D245,"W"))/('Team_Info'!$E$4-3)),"W","B")</x:f>
        <x:v>B</x:v>
      </x:c>
      <x:c r="F245" t="str">
        <x:f>IF(RAND()&lt;(('Team_Info'!$E$2-COUNTIF($B245:E245,"W"))/('Team_Info'!$E$4-4)),"W","B")</x:f>
        <x:v>W</x:v>
      </x:c>
      <x:c r="G245" t="str">
        <x:f>IF(RAND()&lt;(('Team_Info'!$E$2-COUNTIF($B245:F245,"W"))/('Team_Info'!$E$4-5)),"W","B")</x:f>
        <x:v>W</x:v>
      </x:c>
      <x:c r="H245" t="str">
        <x:f>IF(RAND()&lt;(('Team_Info'!$E$2-COUNTIF($B245:G245,"W"))/('Team_Info'!$E$4-6)),"W","B")</x:f>
        <x:v>B</x:v>
      </x:c>
      <x:c r="I245" t="str">
        <x:f>IF(RAND()&lt;(('Team_Info'!$E$2-COUNTIF($B245:H245,"W"))/('Team_Info'!$E$4-7)),"W","B")</x:f>
        <x:v>B</x:v>
      </x:c>
      <x:c r="J245" t="str">
        <x:f>IF(RAND()&lt;(('Team_Info'!$E$2-COUNTIF($B245:I245,"W"))/('Team_Info'!$E$4-8)),"W","B")</x:f>
        <x:v>B</x:v>
      </x:c>
      <x:c r="K245" t="str">
        <x:f>IF(RAND()&lt;(('Team_Info'!$E$2-COUNTIF($B245:J245,"W"))/('Team_Info'!$E$4-9)),"W","B")</x:f>
        <x:v>B</x:v>
      </x:c>
      <x:c r="L245" t="str">
        <x:f>IF(RAND()&lt;(('Team_Info'!$E$2-COUNTIF($B245:K245,"W"))/('Team_Info'!$E$4-10)),"W","B")</x:f>
        <x:v>B</x:v>
      </x:c>
      <x:c r="M245" t="str">
        <x:f>IF(RAND()&lt;(('Team_Info'!$E$2-COUNTIF($B245:L245,"W"))/('Team_Info'!$E$4-11)),"W","B")</x:f>
        <x:v>B</x:v>
      </x:c>
      <x:c r="N245" t="str">
        <x:f>IF(RAND()&lt;(('Team_Info'!$E$2-COUNTIF($B245:M245,"W"))/('Team_Info'!$E$4-12)),"W","B")</x:f>
        <x:v>W</x:v>
      </x:c>
      <x:c r="O245" t="str">
        <x:f>IF(RAND()&lt;(('Team_Info'!$E$2-COUNTIF($B245:N245,"W"))/('Team_Info'!$E$4-13)),"W","B")</x:f>
        <x:v>W</x:v>
      </x:c>
      <x:c r="P245" t="str">
        <x:f>IF(RAND()&lt;(('Team_Info'!$E$2-COUNTIF($B245:O245,"W"))/('Team_Info'!$E$4-14)),"W","B")</x:f>
        <x:v>B</x:v>
      </x:c>
      <x:c r="Q245" t="str">
        <x:f>IF(RAND()&lt;(('Team_Info'!$E$2-COUNTIF($B245:P245,"W"))/('Team_Info'!$E$4-15)),"W","B")</x:f>
        <x:v>B</x:v>
      </x:c>
      <x:c r="R245" t="str">
        <x:f>IF(RAND()&lt;(('Team_Info'!$E$2-COUNTIF($B245:Q245,"W"))/('Team_Info'!$E$4-16)),"W","B")</x:f>
        <x:v>W</x:v>
      </x:c>
      <x:c r="S245" t="str">
        <x:f>IF(RAND()&lt;(('Team_Info'!$E$2-COUNTIF($B245:R245,"W"))/('Team_Info'!$E$4-17)),"W","B")</x:f>
        <x:v>W</x:v>
      </x:c>
      <x:c r="T245" t="str">
        <x:f>IF(RAND()&lt;(('Team_Info'!$E$2-COUNTIF($B245:S245,"W"))/('Team_Info'!$E$4-18)),"W","B")</x:f>
        <x:v>B</x:v>
      </x:c>
      <x:c r="U245" t="str">
        <x:f>IF(RAND()&lt;(('Team_Info'!$E$2-COUNTIF($B245:T245,"W"))/('Team_Info'!$E$4-19)),"W","B")</x:f>
        <x:v>W</x:v>
      </x:c>
    </x:row>
    <x:row r="246">
      <x:c r="A246" s="1">
        <x:v>245</x:v>
      </x:c>
      <x:c r="B246" t="str">
        <x:f>IF(RAND()&lt;'Team_Info'!$E$5,"W","B")</x:f>
        <x:v>B</x:v>
      </x:c>
      <x:c r="C246" t="str">
        <x:f>IF(RAND()&lt;(('Team_Info'!$E$2-COUNTIF($B246:B246,"W"))/('Team_Info'!$E$4-1)),"W","B")</x:f>
        <x:v>W</x:v>
      </x:c>
      <x:c r="D246" t="str">
        <x:f>IF(RAND()&lt;(('Team_Info'!$E$2-COUNTIF($B246:C246,"W"))/('Team_Info'!$E$4-2)),"W","B")</x:f>
        <x:v>B</x:v>
      </x:c>
      <x:c r="E246" t="str">
        <x:f>IF(RAND()&lt;(('Team_Info'!$E$2-COUNTIF($B246:D246,"W"))/('Team_Info'!$E$4-3)),"W","B")</x:f>
        <x:v>B</x:v>
      </x:c>
      <x:c r="F246" t="str">
        <x:f>IF(RAND()&lt;(('Team_Info'!$E$2-COUNTIF($B246:E246,"W"))/('Team_Info'!$E$4-4)),"W","B")</x:f>
        <x:v>W</x:v>
      </x:c>
      <x:c r="G246" t="str">
        <x:f>IF(RAND()&lt;(('Team_Info'!$E$2-COUNTIF($B246:F246,"W"))/('Team_Info'!$E$4-5)),"W","B")</x:f>
        <x:v>B</x:v>
      </x:c>
      <x:c r="H246" t="str">
        <x:f>IF(RAND()&lt;(('Team_Info'!$E$2-COUNTIF($B246:G246,"W"))/('Team_Info'!$E$4-6)),"W","B")</x:f>
        <x:v>B</x:v>
      </x:c>
      <x:c r="I246" t="str">
        <x:f>IF(RAND()&lt;(('Team_Info'!$E$2-COUNTIF($B246:H246,"W"))/('Team_Info'!$E$4-7)),"W","B")</x:f>
        <x:v>B</x:v>
      </x:c>
      <x:c r="J246" t="str">
        <x:f>IF(RAND()&lt;(('Team_Info'!$E$2-COUNTIF($B246:I246,"W"))/('Team_Info'!$E$4-8)),"W","B")</x:f>
        <x:v>B</x:v>
      </x:c>
      <x:c r="K246" t="str">
        <x:f>IF(RAND()&lt;(('Team_Info'!$E$2-COUNTIF($B246:J246,"W"))/('Team_Info'!$E$4-9)),"W","B")</x:f>
        <x:v>B</x:v>
      </x:c>
      <x:c r="L246" t="str">
        <x:f>IF(RAND()&lt;(('Team_Info'!$E$2-COUNTIF($B246:K246,"W"))/('Team_Info'!$E$4-10)),"W","B")</x:f>
        <x:v>W</x:v>
      </x:c>
      <x:c r="M246" t="str">
        <x:f>IF(RAND()&lt;(('Team_Info'!$E$2-COUNTIF($B246:L246,"W"))/('Team_Info'!$E$4-11)),"W","B")</x:f>
        <x:v>B</x:v>
      </x:c>
      <x:c r="N246" t="str">
        <x:f>IF(RAND()&lt;(('Team_Info'!$E$2-COUNTIF($B246:M246,"W"))/('Team_Info'!$E$4-12)),"W","B")</x:f>
        <x:v>B</x:v>
      </x:c>
      <x:c r="O246" t="str">
        <x:f>IF(RAND()&lt;(('Team_Info'!$E$2-COUNTIF($B246:N246,"W"))/('Team_Info'!$E$4-13)),"W","B")</x:f>
        <x:v>W</x:v>
      </x:c>
      <x:c r="P246" t="str">
        <x:f>IF(RAND()&lt;(('Team_Info'!$E$2-COUNTIF($B246:O246,"W"))/('Team_Info'!$E$4-14)),"W","B")</x:f>
        <x:v>B</x:v>
      </x:c>
      <x:c r="Q246" t="str">
        <x:f>IF(RAND()&lt;(('Team_Info'!$E$2-COUNTIF($B246:P246,"W"))/('Team_Info'!$E$4-15)),"W","B")</x:f>
        <x:v>B</x:v>
      </x:c>
      <x:c r="R246" t="str">
        <x:f>IF(RAND()&lt;(('Team_Info'!$E$2-COUNTIF($B246:Q246,"W"))/('Team_Info'!$E$4-16)),"W","B")</x:f>
        <x:v>B</x:v>
      </x:c>
      <x:c r="S246" t="str">
        <x:f>IF(RAND()&lt;(('Team_Info'!$E$2-COUNTIF($B246:R246,"W"))/('Team_Info'!$E$4-17)),"W","B")</x:f>
        <x:v>B</x:v>
      </x:c>
      <x:c r="T246" t="str">
        <x:f>IF(RAND()&lt;(('Team_Info'!$E$2-COUNTIF($B246:S246,"W"))/('Team_Info'!$E$4-18)),"W","B")</x:f>
        <x:v>B</x:v>
      </x:c>
      <x:c r="U246" t="str">
        <x:f>IF(RAND()&lt;(('Team_Info'!$E$2-COUNTIF($B246:T246,"W"))/('Team_Info'!$E$4-19)),"W","B")</x:f>
        <x:v>B</x:v>
      </x:c>
    </x:row>
    <x:row r="247">
      <x:c r="A247" s="1">
        <x:v>246</x:v>
      </x:c>
      <x:c r="B247" t="str">
        <x:f>IF(RAND()&lt;'Team_Info'!$E$5,"W","B")</x:f>
        <x:v>B</x:v>
      </x:c>
      <x:c r="C247" t="str">
        <x:f>IF(RAND()&lt;(('Team_Info'!$E$2-COUNTIF($B247:B247,"W"))/('Team_Info'!$E$4-1)),"W","B")</x:f>
        <x:v>B</x:v>
      </x:c>
      <x:c r="D247" t="str">
        <x:f>IF(RAND()&lt;(('Team_Info'!$E$2-COUNTIF($B247:C247,"W"))/('Team_Info'!$E$4-2)),"W","B")</x:f>
        <x:v>B</x:v>
      </x:c>
      <x:c r="E247" t="str">
        <x:f>IF(RAND()&lt;(('Team_Info'!$E$2-COUNTIF($B247:D247,"W"))/('Team_Info'!$E$4-3)),"W","B")</x:f>
        <x:v>B</x:v>
      </x:c>
      <x:c r="F247" t="str">
        <x:f>IF(RAND()&lt;(('Team_Info'!$E$2-COUNTIF($B247:E247,"W"))/('Team_Info'!$E$4-4)),"W","B")</x:f>
        <x:v>B</x:v>
      </x:c>
      <x:c r="G247" t="str">
        <x:f>IF(RAND()&lt;(('Team_Info'!$E$2-COUNTIF($B247:F247,"W"))/('Team_Info'!$E$4-5)),"W","B")</x:f>
        <x:v>B</x:v>
      </x:c>
      <x:c r="H247" t="str">
        <x:f>IF(RAND()&lt;(('Team_Info'!$E$2-COUNTIF($B247:G247,"W"))/('Team_Info'!$E$4-6)),"W","B")</x:f>
        <x:v>W</x:v>
      </x:c>
      <x:c r="I247" t="str">
        <x:f>IF(RAND()&lt;(('Team_Info'!$E$2-COUNTIF($B247:H247,"W"))/('Team_Info'!$E$4-7)),"W","B")</x:f>
        <x:v>B</x:v>
      </x:c>
      <x:c r="J247" t="str">
        <x:f>IF(RAND()&lt;(('Team_Info'!$E$2-COUNTIF($B247:I247,"W"))/('Team_Info'!$E$4-8)),"W","B")</x:f>
        <x:v>W</x:v>
      </x:c>
      <x:c r="K247" t="str">
        <x:f>IF(RAND()&lt;(('Team_Info'!$E$2-COUNTIF($B247:J247,"W"))/('Team_Info'!$E$4-9)),"W","B")</x:f>
        <x:v>B</x:v>
      </x:c>
      <x:c r="L247" t="str">
        <x:f>IF(RAND()&lt;(('Team_Info'!$E$2-COUNTIF($B247:K247,"W"))/('Team_Info'!$E$4-10)),"W","B")</x:f>
        <x:v>W</x:v>
      </x:c>
      <x:c r="M247" t="str">
        <x:f>IF(RAND()&lt;(('Team_Info'!$E$2-COUNTIF($B247:L247,"W"))/('Team_Info'!$E$4-11)),"W","B")</x:f>
        <x:v>W</x:v>
      </x:c>
      <x:c r="N247" t="str">
        <x:f>IF(RAND()&lt;(('Team_Info'!$E$2-COUNTIF($B247:M247,"W"))/('Team_Info'!$E$4-12)),"W","B")</x:f>
        <x:v>W</x:v>
      </x:c>
      <x:c r="O247" t="str">
        <x:f>IF(RAND()&lt;(('Team_Info'!$E$2-COUNTIF($B247:N247,"W"))/('Team_Info'!$E$4-13)),"W","B")</x:f>
        <x:v>W</x:v>
      </x:c>
      <x:c r="P247" t="str">
        <x:f>IF(RAND()&lt;(('Team_Info'!$E$2-COUNTIF($B247:O247,"W"))/('Team_Info'!$E$4-14)),"W","B")</x:f>
        <x:v>B</x:v>
      </x:c>
      <x:c r="Q247" t="str">
        <x:f>IF(RAND()&lt;(('Team_Info'!$E$2-COUNTIF($B247:P247,"W"))/('Team_Info'!$E$4-15)),"W","B")</x:f>
        <x:v>B</x:v>
      </x:c>
      <x:c r="R247" t="str">
        <x:f>IF(RAND()&lt;(('Team_Info'!$E$2-COUNTIF($B247:Q247,"W"))/('Team_Info'!$E$4-16)),"W","B")</x:f>
        <x:v>B</x:v>
      </x:c>
      <x:c r="S247" t="str">
        <x:f>IF(RAND()&lt;(('Team_Info'!$E$2-COUNTIF($B247:R247,"W"))/('Team_Info'!$E$4-17)),"W","B")</x:f>
        <x:v>B</x:v>
      </x:c>
      <x:c r="T247" t="str">
        <x:f>IF(RAND()&lt;(('Team_Info'!$E$2-COUNTIF($B247:S247,"W"))/('Team_Info'!$E$4-18)),"W","B")</x:f>
        <x:v>W</x:v>
      </x:c>
      <x:c r="U247" t="str">
        <x:f>IF(RAND()&lt;(('Team_Info'!$E$2-COUNTIF($B247:T247,"W"))/('Team_Info'!$E$4-19)),"W","B")</x:f>
        <x:v>W</x:v>
      </x:c>
    </x:row>
    <x:row r="248">
      <x:c r="A248" s="1">
        <x:v>247</x:v>
      </x:c>
      <x:c r="B248" t="str">
        <x:f>IF(RAND()&lt;'Team_Info'!$E$5,"W","B")</x:f>
        <x:v>B</x:v>
      </x:c>
      <x:c r="C248" t="str">
        <x:f>IF(RAND()&lt;(('Team_Info'!$E$2-COUNTIF($B248:B248,"W"))/('Team_Info'!$E$4-1)),"W","B")</x:f>
        <x:v>W</x:v>
      </x:c>
      <x:c r="D248" t="str">
        <x:f>IF(RAND()&lt;(('Team_Info'!$E$2-COUNTIF($B248:C248,"W"))/('Team_Info'!$E$4-2)),"W","B")</x:f>
        <x:v>B</x:v>
      </x:c>
      <x:c r="E248" t="str">
        <x:f>IF(RAND()&lt;(('Team_Info'!$E$2-COUNTIF($B248:D248,"W"))/('Team_Info'!$E$4-3)),"W","B")</x:f>
        <x:v>B</x:v>
      </x:c>
      <x:c r="F248" t="str">
        <x:f>IF(RAND()&lt;(('Team_Info'!$E$2-COUNTIF($B248:E248,"W"))/('Team_Info'!$E$4-4)),"W","B")</x:f>
        <x:v>B</x:v>
      </x:c>
      <x:c r="G248" t="str">
        <x:f>IF(RAND()&lt;(('Team_Info'!$E$2-COUNTIF($B248:F248,"W"))/('Team_Info'!$E$4-5)),"W","B")</x:f>
        <x:v>W</x:v>
      </x:c>
      <x:c r="H248" t="str">
        <x:f>IF(RAND()&lt;(('Team_Info'!$E$2-COUNTIF($B248:G248,"W"))/('Team_Info'!$E$4-6)),"W","B")</x:f>
        <x:v>B</x:v>
      </x:c>
      <x:c r="I248" t="str">
        <x:f>IF(RAND()&lt;(('Team_Info'!$E$2-COUNTIF($B248:H248,"W"))/('Team_Info'!$E$4-7)),"W","B")</x:f>
        <x:v>W</x:v>
      </x:c>
      <x:c r="J248" t="str">
        <x:f>IF(RAND()&lt;(('Team_Info'!$E$2-COUNTIF($B248:I248,"W"))/('Team_Info'!$E$4-8)),"W","B")</x:f>
        <x:v>B</x:v>
      </x:c>
      <x:c r="K248" t="str">
        <x:f>IF(RAND()&lt;(('Team_Info'!$E$2-COUNTIF($B248:J248,"W"))/('Team_Info'!$E$4-9)),"W","B")</x:f>
        <x:v>B</x:v>
      </x:c>
      <x:c r="L248" t="str">
        <x:f>IF(RAND()&lt;(('Team_Info'!$E$2-COUNTIF($B248:K248,"W"))/('Team_Info'!$E$4-10)),"W","B")</x:f>
        <x:v>B</x:v>
      </x:c>
      <x:c r="M248" t="str">
        <x:f>IF(RAND()&lt;(('Team_Info'!$E$2-COUNTIF($B248:L248,"W"))/('Team_Info'!$E$4-11)),"W","B")</x:f>
        <x:v>B</x:v>
      </x:c>
      <x:c r="N248" t="str">
        <x:f>IF(RAND()&lt;(('Team_Info'!$E$2-COUNTIF($B248:M248,"W"))/('Team_Info'!$E$4-12)),"W","B")</x:f>
        <x:v>B</x:v>
      </x:c>
      <x:c r="O248" t="str">
        <x:f>IF(RAND()&lt;(('Team_Info'!$E$2-COUNTIF($B248:N248,"W"))/('Team_Info'!$E$4-13)),"W","B")</x:f>
        <x:v>B</x:v>
      </x:c>
      <x:c r="P248" t="str">
        <x:f>IF(RAND()&lt;(('Team_Info'!$E$2-COUNTIF($B248:O248,"W"))/('Team_Info'!$E$4-14)),"W","B")</x:f>
        <x:v>B</x:v>
      </x:c>
      <x:c r="Q248" t="str">
        <x:f>IF(RAND()&lt;(('Team_Info'!$E$2-COUNTIF($B248:P248,"W"))/('Team_Info'!$E$4-15)),"W","B")</x:f>
        <x:v>W</x:v>
      </x:c>
      <x:c r="R248" t="str">
        <x:f>IF(RAND()&lt;(('Team_Info'!$E$2-COUNTIF($B248:Q248,"W"))/('Team_Info'!$E$4-16)),"W","B")</x:f>
        <x:v>B</x:v>
      </x:c>
      <x:c r="S248" t="str">
        <x:f>IF(RAND()&lt;(('Team_Info'!$E$2-COUNTIF($B248:R248,"W"))/('Team_Info'!$E$4-17)),"W","B")</x:f>
        <x:v>B</x:v>
      </x:c>
      <x:c r="T248" t="str">
        <x:f>IF(RAND()&lt;(('Team_Info'!$E$2-COUNTIF($B248:S248,"W"))/('Team_Info'!$E$4-18)),"W","B")</x:f>
        <x:v>W</x:v>
      </x:c>
      <x:c r="U248" t="str">
        <x:f>IF(RAND()&lt;(('Team_Info'!$E$2-COUNTIF($B248:T248,"W"))/('Team_Info'!$E$4-19)),"W","B")</x:f>
        <x:v>B</x:v>
      </x:c>
    </x:row>
    <x:row r="249">
      <x:c r="A249" s="1">
        <x:v>248</x:v>
      </x:c>
      <x:c r="B249" t="str">
        <x:f>IF(RAND()&lt;'Team_Info'!$E$5,"W","B")</x:f>
        <x:v>B</x:v>
      </x:c>
      <x:c r="C249" t="str">
        <x:f>IF(RAND()&lt;(('Team_Info'!$E$2-COUNTIF($B249:B249,"W"))/('Team_Info'!$E$4-1)),"W","B")</x:f>
        <x:v>W</x:v>
      </x:c>
      <x:c r="D249" t="str">
        <x:f>IF(RAND()&lt;(('Team_Info'!$E$2-COUNTIF($B249:C249,"W"))/('Team_Info'!$E$4-2)),"W","B")</x:f>
        <x:v>B</x:v>
      </x:c>
      <x:c r="E249" t="str">
        <x:f>IF(RAND()&lt;(('Team_Info'!$E$2-COUNTIF($B249:D249,"W"))/('Team_Info'!$E$4-3)),"W","B")</x:f>
        <x:v>B</x:v>
      </x:c>
      <x:c r="F249" t="str">
        <x:f>IF(RAND()&lt;(('Team_Info'!$E$2-COUNTIF($B249:E249,"W"))/('Team_Info'!$E$4-4)),"W","B")</x:f>
        <x:v>B</x:v>
      </x:c>
      <x:c r="G249" t="str">
        <x:f>IF(RAND()&lt;(('Team_Info'!$E$2-COUNTIF($B249:F249,"W"))/('Team_Info'!$E$4-5)),"W","B")</x:f>
        <x:v>W</x:v>
      </x:c>
      <x:c r="H249" t="str">
        <x:f>IF(RAND()&lt;(('Team_Info'!$E$2-COUNTIF($B249:G249,"W"))/('Team_Info'!$E$4-6)),"W","B")</x:f>
        <x:v>B</x:v>
      </x:c>
      <x:c r="I249" t="str">
        <x:f>IF(RAND()&lt;(('Team_Info'!$E$2-COUNTIF($B249:H249,"W"))/('Team_Info'!$E$4-7)),"W","B")</x:f>
        <x:v>B</x:v>
      </x:c>
      <x:c r="J249" t="str">
        <x:f>IF(RAND()&lt;(('Team_Info'!$E$2-COUNTIF($B249:I249,"W"))/('Team_Info'!$E$4-8)),"W","B")</x:f>
        <x:v>B</x:v>
      </x:c>
      <x:c r="K249" t="str">
        <x:f>IF(RAND()&lt;(('Team_Info'!$E$2-COUNTIF($B249:J249,"W"))/('Team_Info'!$E$4-9)),"W","B")</x:f>
        <x:v>W</x:v>
      </x:c>
      <x:c r="L249" t="str">
        <x:f>IF(RAND()&lt;(('Team_Info'!$E$2-COUNTIF($B249:K249,"W"))/('Team_Info'!$E$4-10)),"W","B")</x:f>
        <x:v>B</x:v>
      </x:c>
      <x:c r="M249" t="str">
        <x:f>IF(RAND()&lt;(('Team_Info'!$E$2-COUNTIF($B249:L249,"W"))/('Team_Info'!$E$4-11)),"W","B")</x:f>
        <x:v>B</x:v>
      </x:c>
      <x:c r="N249" t="str">
        <x:f>IF(RAND()&lt;(('Team_Info'!$E$2-COUNTIF($B249:M249,"W"))/('Team_Info'!$E$4-12)),"W","B")</x:f>
        <x:v>B</x:v>
      </x:c>
      <x:c r="O249" t="str">
        <x:f>IF(RAND()&lt;(('Team_Info'!$E$2-COUNTIF($B249:N249,"W"))/('Team_Info'!$E$4-13)),"W","B")</x:f>
        <x:v>B</x:v>
      </x:c>
      <x:c r="P249" t="str">
        <x:f>IF(RAND()&lt;(('Team_Info'!$E$2-COUNTIF($B249:O249,"W"))/('Team_Info'!$E$4-14)),"W","B")</x:f>
        <x:v>W</x:v>
      </x:c>
      <x:c r="Q249" t="str">
        <x:f>IF(RAND()&lt;(('Team_Info'!$E$2-COUNTIF($B249:P249,"W"))/('Team_Info'!$E$4-15)),"W","B")</x:f>
        <x:v>W</x:v>
      </x:c>
      <x:c r="R249" t="str">
        <x:f>IF(RAND()&lt;(('Team_Info'!$E$2-COUNTIF($B249:Q249,"W"))/('Team_Info'!$E$4-16)),"W","B")</x:f>
        <x:v>W</x:v>
      </x:c>
      <x:c r="S249" t="str">
        <x:f>IF(RAND()&lt;(('Team_Info'!$E$2-COUNTIF($B249:R249,"W"))/('Team_Info'!$E$4-17)),"W","B")</x:f>
        <x:v>B</x:v>
      </x:c>
      <x:c r="T249" t="str">
        <x:f>IF(RAND()&lt;(('Team_Info'!$E$2-COUNTIF($B249:S249,"W"))/('Team_Info'!$E$4-18)),"W","B")</x:f>
        <x:v>W</x:v>
      </x:c>
      <x:c r="U249" t="str">
        <x:f>IF(RAND()&lt;(('Team_Info'!$E$2-COUNTIF($B249:T249,"W"))/('Team_Info'!$E$4-19)),"W","B")</x:f>
        <x:v>B</x:v>
      </x:c>
    </x:row>
    <x:row r="250">
      <x:c r="A250" s="1">
        <x:v>249</x:v>
      </x:c>
      <x:c r="B250" t="str">
        <x:f>IF(RAND()&lt;'Team_Info'!$E$5,"W","B")</x:f>
        <x:v>B</x:v>
      </x:c>
      <x:c r="C250" t="str">
        <x:f>IF(RAND()&lt;(('Team_Info'!$E$2-COUNTIF($B250:B250,"W"))/('Team_Info'!$E$4-1)),"W","B")</x:f>
        <x:v>W</x:v>
      </x:c>
      <x:c r="D250" t="str">
        <x:f>IF(RAND()&lt;(('Team_Info'!$E$2-COUNTIF($B250:C250,"W"))/('Team_Info'!$E$4-2)),"W","B")</x:f>
        <x:v>W</x:v>
      </x:c>
      <x:c r="E250" t="str">
        <x:f>IF(RAND()&lt;(('Team_Info'!$E$2-COUNTIF($B250:D250,"W"))/('Team_Info'!$E$4-3)),"W","B")</x:f>
        <x:v>B</x:v>
      </x:c>
      <x:c r="F250" t="str">
        <x:f>IF(RAND()&lt;(('Team_Info'!$E$2-COUNTIF($B250:E250,"W"))/('Team_Info'!$E$4-4)),"W","B")</x:f>
        <x:v>W</x:v>
      </x:c>
      <x:c r="G250" t="str">
        <x:f>IF(RAND()&lt;(('Team_Info'!$E$2-COUNTIF($B250:F250,"W"))/('Team_Info'!$E$4-5)),"W","B")</x:f>
        <x:v>W</x:v>
      </x:c>
      <x:c r="H250" t="str">
        <x:f>IF(RAND()&lt;(('Team_Info'!$E$2-COUNTIF($B250:G250,"W"))/('Team_Info'!$E$4-6)),"W","B")</x:f>
        <x:v>W</x:v>
      </x:c>
      <x:c r="I250" t="str">
        <x:f>IF(RAND()&lt;(('Team_Info'!$E$2-COUNTIF($B250:H250,"W"))/('Team_Info'!$E$4-7)),"W","B")</x:f>
        <x:v>B</x:v>
      </x:c>
      <x:c r="J250" t="str">
        <x:f>IF(RAND()&lt;(('Team_Info'!$E$2-COUNTIF($B250:I250,"W"))/('Team_Info'!$E$4-8)),"W","B")</x:f>
        <x:v>B</x:v>
      </x:c>
      <x:c r="K250" t="str">
        <x:f>IF(RAND()&lt;(('Team_Info'!$E$2-COUNTIF($B250:J250,"W"))/('Team_Info'!$E$4-9)),"W","B")</x:f>
        <x:v>W</x:v>
      </x:c>
      <x:c r="L250" t="str">
        <x:f>IF(RAND()&lt;(('Team_Info'!$E$2-COUNTIF($B250:K250,"W"))/('Team_Info'!$E$4-10)),"W","B")</x:f>
        <x:v>B</x:v>
      </x:c>
      <x:c r="M250" t="str">
        <x:f>IF(RAND()&lt;(('Team_Info'!$E$2-COUNTIF($B250:L250,"W"))/('Team_Info'!$E$4-11)),"W","B")</x:f>
        <x:v>B</x:v>
      </x:c>
      <x:c r="N250" t="str">
        <x:f>IF(RAND()&lt;(('Team_Info'!$E$2-COUNTIF($B250:M250,"W"))/('Team_Info'!$E$4-12)),"W","B")</x:f>
        <x:v>B</x:v>
      </x:c>
      <x:c r="O250" t="str">
        <x:f>IF(RAND()&lt;(('Team_Info'!$E$2-COUNTIF($B250:N250,"W"))/('Team_Info'!$E$4-13)),"W","B")</x:f>
        <x:v>B</x:v>
      </x:c>
      <x:c r="P250" t="str">
        <x:f>IF(RAND()&lt;(('Team_Info'!$E$2-COUNTIF($B250:O250,"W"))/('Team_Info'!$E$4-14)),"W","B")</x:f>
        <x:v>W</x:v>
      </x:c>
      <x:c r="Q250" t="str">
        <x:f>IF(RAND()&lt;(('Team_Info'!$E$2-COUNTIF($B250:P250,"W"))/('Team_Info'!$E$4-15)),"W","B")</x:f>
        <x:v>B</x:v>
      </x:c>
      <x:c r="R250" t="str">
        <x:f>IF(RAND()&lt;(('Team_Info'!$E$2-COUNTIF($B250:Q250,"W"))/('Team_Info'!$E$4-16)),"W","B")</x:f>
        <x:v>B</x:v>
      </x:c>
      <x:c r="S250" t="str">
        <x:f>IF(RAND()&lt;(('Team_Info'!$E$2-COUNTIF($B250:R250,"W"))/('Team_Info'!$E$4-17)),"W","B")</x:f>
        <x:v>B</x:v>
      </x:c>
      <x:c r="T250" t="str">
        <x:f>IF(RAND()&lt;(('Team_Info'!$E$2-COUNTIF($B250:S250,"W"))/('Team_Info'!$E$4-18)),"W","B")</x:f>
        <x:v>B</x:v>
      </x:c>
      <x:c r="U250" t="str">
        <x:f>IF(RAND()&lt;(('Team_Info'!$E$2-COUNTIF($B250:T250,"W"))/('Team_Info'!$E$4-19)),"W","B")</x:f>
        <x:v>B</x:v>
      </x:c>
    </x:row>
    <x:row r="251">
      <x:c r="A251" s="1">
        <x:v>250</x:v>
      </x:c>
      <x:c r="B251" t="str">
        <x:f>IF(RAND()&lt;'Team_Info'!$E$5,"W","B")</x:f>
        <x:v>B</x:v>
      </x:c>
      <x:c r="C251" t="str">
        <x:f>IF(RAND()&lt;(('Team_Info'!$E$2-COUNTIF($B251:B251,"W"))/('Team_Info'!$E$4-1)),"W","B")</x:f>
        <x:v>B</x:v>
      </x:c>
      <x:c r="D251" t="str">
        <x:f>IF(RAND()&lt;(('Team_Info'!$E$2-COUNTIF($B251:C251,"W"))/('Team_Info'!$E$4-2)),"W","B")</x:f>
        <x:v>B</x:v>
      </x:c>
      <x:c r="E251" t="str">
        <x:f>IF(RAND()&lt;(('Team_Info'!$E$2-COUNTIF($B251:D251,"W"))/('Team_Info'!$E$4-3)),"W","B")</x:f>
        <x:v>B</x:v>
      </x:c>
      <x:c r="F251" t="str">
        <x:f>IF(RAND()&lt;(('Team_Info'!$E$2-COUNTIF($B251:E251,"W"))/('Team_Info'!$E$4-4)),"W","B")</x:f>
        <x:v>B</x:v>
      </x:c>
      <x:c r="G251" t="str">
        <x:f>IF(RAND()&lt;(('Team_Info'!$E$2-COUNTIF($B251:F251,"W"))/('Team_Info'!$E$4-5)),"W","B")</x:f>
        <x:v>B</x:v>
      </x:c>
      <x:c r="H251" t="str">
        <x:f>IF(RAND()&lt;(('Team_Info'!$E$2-COUNTIF($B251:G251,"W"))/('Team_Info'!$E$4-6)),"W","B")</x:f>
        <x:v>B</x:v>
      </x:c>
      <x:c r="I251" t="str">
        <x:f>IF(RAND()&lt;(('Team_Info'!$E$2-COUNTIF($B251:H251,"W"))/('Team_Info'!$E$4-7)),"W","B")</x:f>
        <x:v>B</x:v>
      </x:c>
      <x:c r="J251" t="str">
        <x:f>IF(RAND()&lt;(('Team_Info'!$E$2-COUNTIF($B251:I251,"W"))/('Team_Info'!$E$4-8)),"W","B")</x:f>
        <x:v>W</x:v>
      </x:c>
      <x:c r="K251" t="str">
        <x:f>IF(RAND()&lt;(('Team_Info'!$E$2-COUNTIF($B251:J251,"W"))/('Team_Info'!$E$4-9)),"W","B")</x:f>
        <x:v>B</x:v>
      </x:c>
      <x:c r="L251" t="str">
        <x:f>IF(RAND()&lt;(('Team_Info'!$E$2-COUNTIF($B251:K251,"W"))/('Team_Info'!$E$4-10)),"W","B")</x:f>
        <x:v>W</x:v>
      </x:c>
      <x:c r="M251" t="str">
        <x:f>IF(RAND()&lt;(('Team_Info'!$E$2-COUNTIF($B251:L251,"W"))/('Team_Info'!$E$4-11)),"W","B")</x:f>
        <x:v>B</x:v>
      </x:c>
      <x:c r="N251" t="str">
        <x:f>IF(RAND()&lt;(('Team_Info'!$E$2-COUNTIF($B251:M251,"W"))/('Team_Info'!$E$4-12)),"W","B")</x:f>
        <x:v>B</x:v>
      </x:c>
      <x:c r="O251" t="str">
        <x:f>IF(RAND()&lt;(('Team_Info'!$E$2-COUNTIF($B251:N251,"W"))/('Team_Info'!$E$4-13)),"W","B")</x:f>
        <x:v>W</x:v>
      </x:c>
      <x:c r="P251" t="str">
        <x:f>IF(RAND()&lt;(('Team_Info'!$E$2-COUNTIF($B251:O251,"W"))/('Team_Info'!$E$4-14)),"W","B")</x:f>
        <x:v>B</x:v>
      </x:c>
      <x:c r="Q251" t="str">
        <x:f>IF(RAND()&lt;(('Team_Info'!$E$2-COUNTIF($B251:P251,"W"))/('Team_Info'!$E$4-15)),"W","B")</x:f>
        <x:v>B</x:v>
      </x:c>
      <x:c r="R251" t="str">
        <x:f>IF(RAND()&lt;(('Team_Info'!$E$2-COUNTIF($B251:Q251,"W"))/('Team_Info'!$E$4-16)),"W","B")</x:f>
        <x:v>W</x:v>
      </x:c>
      <x:c r="S251" t="str">
        <x:f>IF(RAND()&lt;(('Team_Info'!$E$2-COUNTIF($B251:R251,"W"))/('Team_Info'!$E$4-17)),"W","B")</x:f>
        <x:v>B</x:v>
      </x:c>
      <x:c r="T251" t="str">
        <x:f>IF(RAND()&lt;(('Team_Info'!$E$2-COUNTIF($B251:S251,"W"))/('Team_Info'!$E$4-18)),"W","B")</x:f>
        <x:v>W</x:v>
      </x:c>
      <x:c r="U251" t="str">
        <x:f>IF(RAND()&lt;(('Team_Info'!$E$2-COUNTIF($B251:T251,"W"))/('Team_Info'!$E$4-19)),"W","B")</x:f>
        <x:v>W</x:v>
      </x:c>
    </x:row>
    <x:row r="252">
      <x:c r="A252" s="1">
        <x:v>251</x:v>
      </x:c>
      <x:c r="B252" t="str">
        <x:f>IF(RAND()&lt;'Team_Info'!$E$5,"W","B")</x:f>
        <x:v>B</x:v>
      </x:c>
      <x:c r="C252" t="str">
        <x:f>IF(RAND()&lt;(('Team_Info'!$E$2-COUNTIF($B252:B252,"W"))/('Team_Info'!$E$4-1)),"W","B")</x:f>
        <x:v>B</x:v>
      </x:c>
      <x:c r="D252" t="str">
        <x:f>IF(RAND()&lt;(('Team_Info'!$E$2-COUNTIF($B252:C252,"W"))/('Team_Info'!$E$4-2)),"W","B")</x:f>
        <x:v>B</x:v>
      </x:c>
      <x:c r="E252" t="str">
        <x:f>IF(RAND()&lt;(('Team_Info'!$E$2-COUNTIF($B252:D252,"W"))/('Team_Info'!$E$4-3)),"W","B")</x:f>
        <x:v>W</x:v>
      </x:c>
      <x:c r="F252" t="str">
        <x:f>IF(RAND()&lt;(('Team_Info'!$E$2-COUNTIF($B252:E252,"W"))/('Team_Info'!$E$4-4)),"W","B")</x:f>
        <x:v>B</x:v>
      </x:c>
      <x:c r="G252" t="str">
        <x:f>IF(RAND()&lt;(('Team_Info'!$E$2-COUNTIF($B252:F252,"W"))/('Team_Info'!$E$4-5)),"W","B")</x:f>
        <x:v>W</x:v>
      </x:c>
      <x:c r="H252" t="str">
        <x:f>IF(RAND()&lt;(('Team_Info'!$E$2-COUNTIF($B252:G252,"W"))/('Team_Info'!$E$4-6)),"W","B")</x:f>
        <x:v>B</x:v>
      </x:c>
      <x:c r="I252" t="str">
        <x:f>IF(RAND()&lt;(('Team_Info'!$E$2-COUNTIF($B252:H252,"W"))/('Team_Info'!$E$4-7)),"W","B")</x:f>
        <x:v>W</x:v>
      </x:c>
      <x:c r="J252" t="str">
        <x:f>IF(RAND()&lt;(('Team_Info'!$E$2-COUNTIF($B252:I252,"W"))/('Team_Info'!$E$4-8)),"W","B")</x:f>
        <x:v>B</x:v>
      </x:c>
      <x:c r="K252" t="str">
        <x:f>IF(RAND()&lt;(('Team_Info'!$E$2-COUNTIF($B252:J252,"W"))/('Team_Info'!$E$4-9)),"W","B")</x:f>
        <x:v>W</x:v>
      </x:c>
      <x:c r="L252" t="str">
        <x:f>IF(RAND()&lt;(('Team_Info'!$E$2-COUNTIF($B252:K252,"W"))/('Team_Info'!$E$4-10)),"W","B")</x:f>
        <x:v>B</x:v>
      </x:c>
      <x:c r="M252" t="str">
        <x:f>IF(RAND()&lt;(('Team_Info'!$E$2-COUNTIF($B252:L252,"W"))/('Team_Info'!$E$4-11)),"W","B")</x:f>
        <x:v>W</x:v>
      </x:c>
      <x:c r="N252" t="str">
        <x:f>IF(RAND()&lt;(('Team_Info'!$E$2-COUNTIF($B252:M252,"W"))/('Team_Info'!$E$4-12)),"W","B")</x:f>
        <x:v>B</x:v>
      </x:c>
      <x:c r="O252" t="str">
        <x:f>IF(RAND()&lt;(('Team_Info'!$E$2-COUNTIF($B252:N252,"W"))/('Team_Info'!$E$4-13)),"W","B")</x:f>
        <x:v>B</x:v>
      </x:c>
      <x:c r="P252" t="str">
        <x:f>IF(RAND()&lt;(('Team_Info'!$E$2-COUNTIF($B252:O252,"W"))/('Team_Info'!$E$4-14)),"W","B")</x:f>
        <x:v>B</x:v>
      </x:c>
      <x:c r="Q252" t="str">
        <x:f>IF(RAND()&lt;(('Team_Info'!$E$2-COUNTIF($B252:P252,"W"))/('Team_Info'!$E$4-15)),"W","B")</x:f>
        <x:v>B</x:v>
      </x:c>
      <x:c r="R252" t="str">
        <x:f>IF(RAND()&lt;(('Team_Info'!$E$2-COUNTIF($B252:Q252,"W"))/('Team_Info'!$E$4-16)),"W","B")</x:f>
        <x:v>W</x:v>
      </x:c>
      <x:c r="S252" t="str">
        <x:f>IF(RAND()&lt;(('Team_Info'!$E$2-COUNTIF($B252:R252,"W"))/('Team_Info'!$E$4-17)),"W","B")</x:f>
        <x:v>B</x:v>
      </x:c>
      <x:c r="T252" t="str">
        <x:f>IF(RAND()&lt;(('Team_Info'!$E$2-COUNTIF($B252:S252,"W"))/('Team_Info'!$E$4-18)),"W","B")</x:f>
        <x:v>W</x:v>
      </x:c>
      <x:c r="U252" t="str">
        <x:f>IF(RAND()&lt;(('Team_Info'!$E$2-COUNTIF($B252:T252,"W"))/('Team_Info'!$E$4-19)),"W","B")</x:f>
        <x:v>W</x:v>
      </x:c>
    </x:row>
    <x:row r="253">
      <x:c r="A253" s="1">
        <x:v>252</x:v>
      </x:c>
      <x:c r="B253" t="str">
        <x:f>IF(RAND()&lt;'Team_Info'!$E$5,"W","B")</x:f>
        <x:v>W</x:v>
      </x:c>
      <x:c r="C253" t="str">
        <x:f>IF(RAND()&lt;(('Team_Info'!$E$2-COUNTIF($B253:B253,"W"))/('Team_Info'!$E$4-1)),"W","B")</x:f>
        <x:v>B</x:v>
      </x:c>
      <x:c r="D253" t="str">
        <x:f>IF(RAND()&lt;(('Team_Info'!$E$2-COUNTIF($B253:C253,"W"))/('Team_Info'!$E$4-2)),"W","B")</x:f>
        <x:v>B</x:v>
      </x:c>
      <x:c r="E253" t="str">
        <x:f>IF(RAND()&lt;(('Team_Info'!$E$2-COUNTIF($B253:D253,"W"))/('Team_Info'!$E$4-3)),"W","B")</x:f>
        <x:v>B</x:v>
      </x:c>
      <x:c r="F253" t="str">
        <x:f>IF(RAND()&lt;(('Team_Info'!$E$2-COUNTIF($B253:E253,"W"))/('Team_Info'!$E$4-4)),"W","B")</x:f>
        <x:v>W</x:v>
      </x:c>
      <x:c r="G253" t="str">
        <x:f>IF(RAND()&lt;(('Team_Info'!$E$2-COUNTIF($B253:F253,"W"))/('Team_Info'!$E$4-5)),"W","B")</x:f>
        <x:v>B</x:v>
      </x:c>
      <x:c r="H253" t="str">
        <x:f>IF(RAND()&lt;(('Team_Info'!$E$2-COUNTIF($B253:G253,"W"))/('Team_Info'!$E$4-6)),"W","B")</x:f>
        <x:v>B</x:v>
      </x:c>
      <x:c r="I253" t="str">
        <x:f>IF(RAND()&lt;(('Team_Info'!$E$2-COUNTIF($B253:H253,"W"))/('Team_Info'!$E$4-7)),"W","B")</x:f>
        <x:v>W</x:v>
      </x:c>
      <x:c r="J253" t="str">
        <x:f>IF(RAND()&lt;(('Team_Info'!$E$2-COUNTIF($B253:I253,"W"))/('Team_Info'!$E$4-8)),"W","B")</x:f>
        <x:v>B</x:v>
      </x:c>
      <x:c r="K253" t="str">
        <x:f>IF(RAND()&lt;(('Team_Info'!$E$2-COUNTIF($B253:J253,"W"))/('Team_Info'!$E$4-9)),"W","B")</x:f>
        <x:v>B</x:v>
      </x:c>
      <x:c r="L253" t="str">
        <x:f>IF(RAND()&lt;(('Team_Info'!$E$2-COUNTIF($B253:K253,"W"))/('Team_Info'!$E$4-10)),"W","B")</x:f>
        <x:v>W</x:v>
      </x:c>
      <x:c r="M253" t="str">
        <x:f>IF(RAND()&lt;(('Team_Info'!$E$2-COUNTIF($B253:L253,"W"))/('Team_Info'!$E$4-11)),"W","B")</x:f>
        <x:v>B</x:v>
      </x:c>
      <x:c r="N253" t="str">
        <x:f>IF(RAND()&lt;(('Team_Info'!$E$2-COUNTIF($B253:M253,"W"))/('Team_Info'!$E$4-12)),"W","B")</x:f>
        <x:v>W</x:v>
      </x:c>
      <x:c r="O253" t="str">
        <x:f>IF(RAND()&lt;(('Team_Info'!$E$2-COUNTIF($B253:N253,"W"))/('Team_Info'!$E$4-13)),"W","B")</x:f>
        <x:v>B</x:v>
      </x:c>
      <x:c r="P253" t="str">
        <x:f>IF(RAND()&lt;(('Team_Info'!$E$2-COUNTIF($B253:O253,"W"))/('Team_Info'!$E$4-14)),"W","B")</x:f>
        <x:v>B</x:v>
      </x:c>
      <x:c r="Q253" t="str">
        <x:f>IF(RAND()&lt;(('Team_Info'!$E$2-COUNTIF($B253:P253,"W"))/('Team_Info'!$E$4-15)),"W","B")</x:f>
        <x:v>B</x:v>
      </x:c>
      <x:c r="R253" t="str">
        <x:f>IF(RAND()&lt;(('Team_Info'!$E$2-COUNTIF($B253:Q253,"W"))/('Team_Info'!$E$4-16)),"W","B")</x:f>
        <x:v>B</x:v>
      </x:c>
      <x:c r="S253" t="str">
        <x:f>IF(RAND()&lt;(('Team_Info'!$E$2-COUNTIF($B253:R253,"W"))/('Team_Info'!$E$4-17)),"W","B")</x:f>
        <x:v>B</x:v>
      </x:c>
      <x:c r="T253" t="str">
        <x:f>IF(RAND()&lt;(('Team_Info'!$E$2-COUNTIF($B253:S253,"W"))/('Team_Info'!$E$4-18)),"W","B")</x:f>
        <x:v>W</x:v>
      </x:c>
      <x:c r="U253" t="str">
        <x:f>IF(RAND()&lt;(('Team_Info'!$E$2-COUNTIF($B253:T253,"W"))/('Team_Info'!$E$4-19)),"W","B")</x:f>
        <x:v>B</x:v>
      </x:c>
    </x:row>
    <x:row r="254">
      <x:c r="A254" s="1">
        <x:v>253</x:v>
      </x:c>
      <x:c r="B254" t="str">
        <x:f>IF(RAND()&lt;'Team_Info'!$E$5,"W","B")</x:f>
        <x:v>B</x:v>
      </x:c>
      <x:c r="C254" t="str">
        <x:f>IF(RAND()&lt;(('Team_Info'!$E$2-COUNTIF($B254:B254,"W"))/('Team_Info'!$E$4-1)),"W","B")</x:f>
        <x:v>B</x:v>
      </x:c>
      <x:c r="D254" t="str">
        <x:f>IF(RAND()&lt;(('Team_Info'!$E$2-COUNTIF($B254:C254,"W"))/('Team_Info'!$E$4-2)),"W","B")</x:f>
        <x:v>W</x:v>
      </x:c>
      <x:c r="E254" t="str">
        <x:f>IF(RAND()&lt;(('Team_Info'!$E$2-COUNTIF($B254:D254,"W"))/('Team_Info'!$E$4-3)),"W","B")</x:f>
        <x:v>W</x:v>
      </x:c>
      <x:c r="F254" t="str">
        <x:f>IF(RAND()&lt;(('Team_Info'!$E$2-COUNTIF($B254:E254,"W"))/('Team_Info'!$E$4-4)),"W","B")</x:f>
        <x:v>B</x:v>
      </x:c>
      <x:c r="G254" t="str">
        <x:f>IF(RAND()&lt;(('Team_Info'!$E$2-COUNTIF($B254:F254,"W"))/('Team_Info'!$E$4-5)),"W","B")</x:f>
        <x:v>W</x:v>
      </x:c>
      <x:c r="H254" t="str">
        <x:f>IF(RAND()&lt;(('Team_Info'!$E$2-COUNTIF($B254:G254,"W"))/('Team_Info'!$E$4-6)),"W","B")</x:f>
        <x:v>W</x:v>
      </x:c>
      <x:c r="I254" t="str">
        <x:f>IF(RAND()&lt;(('Team_Info'!$E$2-COUNTIF($B254:H254,"W"))/('Team_Info'!$E$4-7)),"W","B")</x:f>
        <x:v>B</x:v>
      </x:c>
      <x:c r="J254" t="str">
        <x:f>IF(RAND()&lt;(('Team_Info'!$E$2-COUNTIF($B254:I254,"W"))/('Team_Info'!$E$4-8)),"W","B")</x:f>
        <x:v>B</x:v>
      </x:c>
      <x:c r="K254" t="str">
        <x:f>IF(RAND()&lt;(('Team_Info'!$E$2-COUNTIF($B254:J254,"W"))/('Team_Info'!$E$4-9)),"W","B")</x:f>
        <x:v>B</x:v>
      </x:c>
      <x:c r="L254" t="str">
        <x:f>IF(RAND()&lt;(('Team_Info'!$E$2-COUNTIF($B254:K254,"W"))/('Team_Info'!$E$4-10)),"W","B")</x:f>
        <x:v>B</x:v>
      </x:c>
      <x:c r="M254" t="str">
        <x:f>IF(RAND()&lt;(('Team_Info'!$E$2-COUNTIF($B254:L254,"W"))/('Team_Info'!$E$4-11)),"W","B")</x:f>
        <x:v>W</x:v>
      </x:c>
      <x:c r="N254" t="str">
        <x:f>IF(RAND()&lt;(('Team_Info'!$E$2-COUNTIF($B254:M254,"W"))/('Team_Info'!$E$4-12)),"W","B")</x:f>
        <x:v>W</x:v>
      </x:c>
      <x:c r="O254" t="str">
        <x:f>IF(RAND()&lt;(('Team_Info'!$E$2-COUNTIF($B254:N254,"W"))/('Team_Info'!$E$4-13)),"W","B")</x:f>
        <x:v>B</x:v>
      </x:c>
      <x:c r="P254" t="str">
        <x:f>IF(RAND()&lt;(('Team_Info'!$E$2-COUNTIF($B254:O254,"W"))/('Team_Info'!$E$4-14)),"W","B")</x:f>
        <x:v>W</x:v>
      </x:c>
      <x:c r="Q254" t="str">
        <x:f>IF(RAND()&lt;(('Team_Info'!$E$2-COUNTIF($B254:P254,"W"))/('Team_Info'!$E$4-15)),"W","B")</x:f>
        <x:v>B</x:v>
      </x:c>
      <x:c r="R254" t="str">
        <x:f>IF(RAND()&lt;(('Team_Info'!$E$2-COUNTIF($B254:Q254,"W"))/('Team_Info'!$E$4-16)),"W","B")</x:f>
        <x:v>B</x:v>
      </x:c>
      <x:c r="S254" t="str">
        <x:f>IF(RAND()&lt;(('Team_Info'!$E$2-COUNTIF($B254:R254,"W"))/('Team_Info'!$E$4-17)),"W","B")</x:f>
        <x:v>W</x:v>
      </x:c>
      <x:c r="T254" t="str">
        <x:f>IF(RAND()&lt;(('Team_Info'!$E$2-COUNTIF($B254:S254,"W"))/('Team_Info'!$E$4-18)),"W","B")</x:f>
        <x:v>B</x:v>
      </x:c>
      <x:c r="U254" t="str">
        <x:f>IF(RAND()&lt;(('Team_Info'!$E$2-COUNTIF($B254:T254,"W"))/('Team_Info'!$E$4-19)),"W","B")</x:f>
        <x:v>W</x:v>
      </x:c>
    </x:row>
    <x:row r="255">
      <x:c r="A255" s="1">
        <x:v>254</x:v>
      </x:c>
      <x:c r="B255" t="str">
        <x:f>IF(RAND()&lt;'Team_Info'!$E$5,"W","B")</x:f>
        <x:v>B</x:v>
      </x:c>
      <x:c r="C255" t="str">
        <x:f>IF(RAND()&lt;(('Team_Info'!$E$2-COUNTIF($B255:B255,"W"))/('Team_Info'!$E$4-1)),"W","B")</x:f>
        <x:v>W</x:v>
      </x:c>
      <x:c r="D255" t="str">
        <x:f>IF(RAND()&lt;(('Team_Info'!$E$2-COUNTIF($B255:C255,"W"))/('Team_Info'!$E$4-2)),"W","B")</x:f>
        <x:v>B</x:v>
      </x:c>
      <x:c r="E255" t="str">
        <x:f>IF(RAND()&lt;(('Team_Info'!$E$2-COUNTIF($B255:D255,"W"))/('Team_Info'!$E$4-3)),"W","B")</x:f>
        <x:v>B</x:v>
      </x:c>
      <x:c r="F255" t="str">
        <x:f>IF(RAND()&lt;(('Team_Info'!$E$2-COUNTIF($B255:E255,"W"))/('Team_Info'!$E$4-4)),"W","B")</x:f>
        <x:v>B</x:v>
      </x:c>
      <x:c r="G255" t="str">
        <x:f>IF(RAND()&lt;(('Team_Info'!$E$2-COUNTIF($B255:F255,"W"))/('Team_Info'!$E$4-5)),"W","B")</x:f>
        <x:v>B</x:v>
      </x:c>
      <x:c r="H255" t="str">
        <x:f>IF(RAND()&lt;(('Team_Info'!$E$2-COUNTIF($B255:G255,"W"))/('Team_Info'!$E$4-6)),"W","B")</x:f>
        <x:v>B</x:v>
      </x:c>
      <x:c r="I255" t="str">
        <x:f>IF(RAND()&lt;(('Team_Info'!$E$2-COUNTIF($B255:H255,"W"))/('Team_Info'!$E$4-7)),"W","B")</x:f>
        <x:v>B</x:v>
      </x:c>
      <x:c r="J255" t="str">
        <x:f>IF(RAND()&lt;(('Team_Info'!$E$2-COUNTIF($B255:I255,"W"))/('Team_Info'!$E$4-8)),"W","B")</x:f>
        <x:v>B</x:v>
      </x:c>
      <x:c r="K255" t="str">
        <x:f>IF(RAND()&lt;(('Team_Info'!$E$2-COUNTIF($B255:J255,"W"))/('Team_Info'!$E$4-9)),"W","B")</x:f>
        <x:v>B</x:v>
      </x:c>
      <x:c r="L255" t="str">
        <x:f>IF(RAND()&lt;(('Team_Info'!$E$2-COUNTIF($B255:K255,"W"))/('Team_Info'!$E$4-10)),"W","B")</x:f>
        <x:v>B</x:v>
      </x:c>
      <x:c r="M255" t="str">
        <x:f>IF(RAND()&lt;(('Team_Info'!$E$2-COUNTIF($B255:L255,"W"))/('Team_Info'!$E$4-11)),"W","B")</x:f>
        <x:v>B</x:v>
      </x:c>
      <x:c r="N255" t="str">
        <x:f>IF(RAND()&lt;(('Team_Info'!$E$2-COUNTIF($B255:M255,"W"))/('Team_Info'!$E$4-12)),"W","B")</x:f>
        <x:v>B</x:v>
      </x:c>
      <x:c r="O255" t="str">
        <x:f>IF(RAND()&lt;(('Team_Info'!$E$2-COUNTIF($B255:N255,"W"))/('Team_Info'!$E$4-13)),"W","B")</x:f>
        <x:v>B</x:v>
      </x:c>
      <x:c r="P255" t="str">
        <x:f>IF(RAND()&lt;(('Team_Info'!$E$2-COUNTIF($B255:O255,"W"))/('Team_Info'!$E$4-14)),"W","B")</x:f>
        <x:v>B</x:v>
      </x:c>
      <x:c r="Q255" t="str">
        <x:f>IF(RAND()&lt;(('Team_Info'!$E$2-COUNTIF($B255:P255,"W"))/('Team_Info'!$E$4-15)),"W","B")</x:f>
        <x:v>W</x:v>
      </x:c>
      <x:c r="R255" t="str">
        <x:f>IF(RAND()&lt;(('Team_Info'!$E$2-COUNTIF($B255:Q255,"W"))/('Team_Info'!$E$4-16)),"W","B")</x:f>
        <x:v>W</x:v>
      </x:c>
      <x:c r="S255" t="str">
        <x:f>IF(RAND()&lt;(('Team_Info'!$E$2-COUNTIF($B255:R255,"W"))/('Team_Info'!$E$4-17)),"W","B")</x:f>
        <x:v>B</x:v>
      </x:c>
      <x:c r="T255" t="str">
        <x:f>IF(RAND()&lt;(('Team_Info'!$E$2-COUNTIF($B255:S255,"W"))/('Team_Info'!$E$4-18)),"W","B")</x:f>
        <x:v>W</x:v>
      </x:c>
      <x:c r="U255" t="str">
        <x:f>IF(RAND()&lt;(('Team_Info'!$E$2-COUNTIF($B255:T255,"W"))/('Team_Info'!$E$4-19)),"W","B")</x:f>
        <x:v>B</x:v>
      </x:c>
    </x:row>
    <x:row r="256">
      <x:c r="A256" s="1">
        <x:v>255</x:v>
      </x:c>
      <x:c r="B256" t="str">
        <x:f>IF(RAND()&lt;'Team_Info'!$E$5,"W","B")</x:f>
        <x:v>B</x:v>
      </x:c>
      <x:c r="C256" t="str">
        <x:f>IF(RAND()&lt;(('Team_Info'!$E$2-COUNTIF($B256:B256,"W"))/('Team_Info'!$E$4-1)),"W","B")</x:f>
        <x:v>W</x:v>
      </x:c>
      <x:c r="D256" t="str">
        <x:f>IF(RAND()&lt;(('Team_Info'!$E$2-COUNTIF($B256:C256,"W"))/('Team_Info'!$E$4-2)),"W","B")</x:f>
        <x:v>B</x:v>
      </x:c>
      <x:c r="E256" t="str">
        <x:f>IF(RAND()&lt;(('Team_Info'!$E$2-COUNTIF($B256:D256,"W"))/('Team_Info'!$E$4-3)),"W","B")</x:f>
        <x:v>W</x:v>
      </x:c>
      <x:c r="F256" t="str">
        <x:f>IF(RAND()&lt;(('Team_Info'!$E$2-COUNTIF($B256:E256,"W"))/('Team_Info'!$E$4-4)),"W","B")</x:f>
        <x:v>B</x:v>
      </x:c>
      <x:c r="G256" t="str">
        <x:f>IF(RAND()&lt;(('Team_Info'!$E$2-COUNTIF($B256:F256,"W"))/('Team_Info'!$E$4-5)),"W","B")</x:f>
        <x:v>W</x:v>
      </x:c>
      <x:c r="H256" t="str">
        <x:f>IF(RAND()&lt;(('Team_Info'!$E$2-COUNTIF($B256:G256,"W"))/('Team_Info'!$E$4-6)),"W","B")</x:f>
        <x:v>W</x:v>
      </x:c>
      <x:c r="I256" t="str">
        <x:f>IF(RAND()&lt;(('Team_Info'!$E$2-COUNTIF($B256:H256,"W"))/('Team_Info'!$E$4-7)),"W","B")</x:f>
        <x:v>B</x:v>
      </x:c>
      <x:c r="J256" t="str">
        <x:f>IF(RAND()&lt;(('Team_Info'!$E$2-COUNTIF($B256:I256,"W"))/('Team_Info'!$E$4-8)),"W","B")</x:f>
        <x:v>B</x:v>
      </x:c>
      <x:c r="K256" t="str">
        <x:f>IF(RAND()&lt;(('Team_Info'!$E$2-COUNTIF($B256:J256,"W"))/('Team_Info'!$E$4-9)),"W","B")</x:f>
        <x:v>B</x:v>
      </x:c>
      <x:c r="L256" t="str">
        <x:f>IF(RAND()&lt;(('Team_Info'!$E$2-COUNTIF($B256:K256,"W"))/('Team_Info'!$E$4-10)),"W","B")</x:f>
        <x:v>W</x:v>
      </x:c>
      <x:c r="M256" t="str">
        <x:f>IF(RAND()&lt;(('Team_Info'!$E$2-COUNTIF($B256:L256,"W"))/('Team_Info'!$E$4-11)),"W","B")</x:f>
        <x:v>B</x:v>
      </x:c>
      <x:c r="N256" t="str">
        <x:f>IF(RAND()&lt;(('Team_Info'!$E$2-COUNTIF($B256:M256,"W"))/('Team_Info'!$E$4-12)),"W","B")</x:f>
        <x:v>B</x:v>
      </x:c>
      <x:c r="O256" t="str">
        <x:f>IF(RAND()&lt;(('Team_Info'!$E$2-COUNTIF($B256:N256,"W"))/('Team_Info'!$E$4-13)),"W","B")</x:f>
        <x:v>B</x:v>
      </x:c>
      <x:c r="P256" t="str">
        <x:f>IF(RAND()&lt;(('Team_Info'!$E$2-COUNTIF($B256:O256,"W"))/('Team_Info'!$E$4-14)),"W","B")</x:f>
        <x:v>B</x:v>
      </x:c>
      <x:c r="Q256" t="str">
        <x:f>IF(RAND()&lt;(('Team_Info'!$E$2-COUNTIF($B256:P256,"W"))/('Team_Info'!$E$4-15)),"W","B")</x:f>
        <x:v>B</x:v>
      </x:c>
      <x:c r="R256" t="str">
        <x:f>IF(RAND()&lt;(('Team_Info'!$E$2-COUNTIF($B256:Q256,"W"))/('Team_Info'!$E$4-16)),"W","B")</x:f>
        <x:v>B</x:v>
      </x:c>
      <x:c r="S256" t="str">
        <x:f>IF(RAND()&lt;(('Team_Info'!$E$2-COUNTIF($B256:R256,"W"))/('Team_Info'!$E$4-17)),"W","B")</x:f>
        <x:v>B</x:v>
      </x:c>
      <x:c r="T256" t="str">
        <x:f>IF(RAND()&lt;(('Team_Info'!$E$2-COUNTIF($B256:S256,"W"))/('Team_Info'!$E$4-18)),"W","B")</x:f>
        <x:v>B</x:v>
      </x:c>
      <x:c r="U256" t="str">
        <x:f>IF(RAND()&lt;(('Team_Info'!$E$2-COUNTIF($B256:T256,"W"))/('Team_Info'!$E$4-19)),"W","B")</x:f>
        <x:v>B</x:v>
      </x:c>
    </x:row>
    <x:row r="257">
      <x:c r="A257" s="1">
        <x:v>256</x:v>
      </x:c>
      <x:c r="B257" t="str">
        <x:f>IF(RAND()&lt;'Team_Info'!$E$5,"W","B")</x:f>
        <x:v>W</x:v>
      </x:c>
      <x:c r="C257" t="str">
        <x:f>IF(RAND()&lt;(('Team_Info'!$E$2-COUNTIF($B257:B257,"W"))/('Team_Info'!$E$4-1)),"W","B")</x:f>
        <x:v>B</x:v>
      </x:c>
      <x:c r="D257" t="str">
        <x:f>IF(RAND()&lt;(('Team_Info'!$E$2-COUNTIF($B257:C257,"W"))/('Team_Info'!$E$4-2)),"W","B")</x:f>
        <x:v>W</x:v>
      </x:c>
      <x:c r="E257" t="str">
        <x:f>IF(RAND()&lt;(('Team_Info'!$E$2-COUNTIF($B257:D257,"W"))/('Team_Info'!$E$4-3)),"W","B")</x:f>
        <x:v>B</x:v>
      </x:c>
      <x:c r="F257" t="str">
        <x:f>IF(RAND()&lt;(('Team_Info'!$E$2-COUNTIF($B257:E257,"W"))/('Team_Info'!$E$4-4)),"W","B")</x:f>
        <x:v>B</x:v>
      </x:c>
      <x:c r="G257" t="str">
        <x:f>IF(RAND()&lt;(('Team_Info'!$E$2-COUNTIF($B257:F257,"W"))/('Team_Info'!$E$4-5)),"W","B")</x:f>
        <x:v>W</x:v>
      </x:c>
      <x:c r="H257" t="str">
        <x:f>IF(RAND()&lt;(('Team_Info'!$E$2-COUNTIF($B257:G257,"W"))/('Team_Info'!$E$4-6)),"W","B")</x:f>
        <x:v>B</x:v>
      </x:c>
      <x:c r="I257" t="str">
        <x:f>IF(RAND()&lt;(('Team_Info'!$E$2-COUNTIF($B257:H257,"W"))/('Team_Info'!$E$4-7)),"W","B")</x:f>
        <x:v>B</x:v>
      </x:c>
      <x:c r="J257" t="str">
        <x:f>IF(RAND()&lt;(('Team_Info'!$E$2-COUNTIF($B257:I257,"W"))/('Team_Info'!$E$4-8)),"W","B")</x:f>
        <x:v>B</x:v>
      </x:c>
      <x:c r="K257" t="str">
        <x:f>IF(RAND()&lt;(('Team_Info'!$E$2-COUNTIF($B257:J257,"W"))/('Team_Info'!$E$4-9)),"W","B")</x:f>
        <x:v>W</x:v>
      </x:c>
      <x:c r="L257" t="str">
        <x:f>IF(RAND()&lt;(('Team_Info'!$E$2-COUNTIF($B257:K257,"W"))/('Team_Info'!$E$4-10)),"W","B")</x:f>
        <x:v>B</x:v>
      </x:c>
      <x:c r="M257" t="str">
        <x:f>IF(RAND()&lt;(('Team_Info'!$E$2-COUNTIF($B257:L257,"W"))/('Team_Info'!$E$4-11)),"W","B")</x:f>
        <x:v>W</x:v>
      </x:c>
      <x:c r="N257" t="str">
        <x:f>IF(RAND()&lt;(('Team_Info'!$E$2-COUNTIF($B257:M257,"W"))/('Team_Info'!$E$4-12)),"W","B")</x:f>
        <x:v>W</x:v>
      </x:c>
      <x:c r="O257" t="str">
        <x:f>IF(RAND()&lt;(('Team_Info'!$E$2-COUNTIF($B257:N257,"W"))/('Team_Info'!$E$4-13)),"W","B")</x:f>
        <x:v>B</x:v>
      </x:c>
      <x:c r="P257" t="str">
        <x:f>IF(RAND()&lt;(('Team_Info'!$E$2-COUNTIF($B257:O257,"W"))/('Team_Info'!$E$4-14)),"W","B")</x:f>
        <x:v>B</x:v>
      </x:c>
      <x:c r="Q257" t="str">
        <x:f>IF(RAND()&lt;(('Team_Info'!$E$2-COUNTIF($B257:P257,"W"))/('Team_Info'!$E$4-15)),"W","B")</x:f>
        <x:v>B</x:v>
      </x:c>
      <x:c r="R257" t="str">
        <x:f>IF(RAND()&lt;(('Team_Info'!$E$2-COUNTIF($B257:Q257,"W"))/('Team_Info'!$E$4-16)),"W","B")</x:f>
        <x:v>B</x:v>
      </x:c>
      <x:c r="S257" t="str">
        <x:f>IF(RAND()&lt;(('Team_Info'!$E$2-COUNTIF($B257:R257,"W"))/('Team_Info'!$E$4-17)),"W","B")</x:f>
        <x:v>B</x:v>
      </x:c>
      <x:c r="T257" t="str">
        <x:f>IF(RAND()&lt;(('Team_Info'!$E$2-COUNTIF($B257:S257,"W"))/('Team_Info'!$E$4-18)),"W","B")</x:f>
        <x:v>B</x:v>
      </x:c>
      <x:c r="U257" t="str">
        <x:f>IF(RAND()&lt;(('Team_Info'!$E$2-COUNTIF($B257:T257,"W"))/('Team_Info'!$E$4-19)),"W","B")</x:f>
        <x:v>B</x:v>
      </x:c>
    </x:row>
    <x:row r="258">
      <x:c r="A258" s="1">
        <x:v>257</x:v>
      </x:c>
      <x:c r="B258" t="str">
        <x:f>IF(RAND()&lt;'Team_Info'!$E$5,"W","B")</x:f>
        <x:v>B</x:v>
      </x:c>
      <x:c r="C258" t="str">
        <x:f>IF(RAND()&lt;(('Team_Info'!$E$2-COUNTIF($B258:B258,"W"))/('Team_Info'!$E$4-1)),"W","B")</x:f>
        <x:v>W</x:v>
      </x:c>
      <x:c r="D258" t="str">
        <x:f>IF(RAND()&lt;(('Team_Info'!$E$2-COUNTIF($B258:C258,"W"))/('Team_Info'!$E$4-2)),"W","B")</x:f>
        <x:v>B</x:v>
      </x:c>
      <x:c r="E258" t="str">
        <x:f>IF(RAND()&lt;(('Team_Info'!$E$2-COUNTIF($B258:D258,"W"))/('Team_Info'!$E$4-3)),"W","B")</x:f>
        <x:v>B</x:v>
      </x:c>
      <x:c r="F258" t="str">
        <x:f>IF(RAND()&lt;(('Team_Info'!$E$2-COUNTIF($B258:E258,"W"))/('Team_Info'!$E$4-4)),"W","B")</x:f>
        <x:v>W</x:v>
      </x:c>
      <x:c r="G258" t="str">
        <x:f>IF(RAND()&lt;(('Team_Info'!$E$2-COUNTIF($B258:F258,"W"))/('Team_Info'!$E$4-5)),"W","B")</x:f>
        <x:v>B</x:v>
      </x:c>
      <x:c r="H258" t="str">
        <x:f>IF(RAND()&lt;(('Team_Info'!$E$2-COUNTIF($B258:G258,"W"))/('Team_Info'!$E$4-6)),"W","B")</x:f>
        <x:v>W</x:v>
      </x:c>
      <x:c r="I258" t="str">
        <x:f>IF(RAND()&lt;(('Team_Info'!$E$2-COUNTIF($B258:H258,"W"))/('Team_Info'!$E$4-7)),"W","B")</x:f>
        <x:v>B</x:v>
      </x:c>
      <x:c r="J258" t="str">
        <x:f>IF(RAND()&lt;(('Team_Info'!$E$2-COUNTIF($B258:I258,"W"))/('Team_Info'!$E$4-8)),"W","B")</x:f>
        <x:v>B</x:v>
      </x:c>
      <x:c r="K258" t="str">
        <x:f>IF(RAND()&lt;(('Team_Info'!$E$2-COUNTIF($B258:J258,"W"))/('Team_Info'!$E$4-9)),"W","B")</x:f>
        <x:v>W</x:v>
      </x:c>
      <x:c r="L258" t="str">
        <x:f>IF(RAND()&lt;(('Team_Info'!$E$2-COUNTIF($B258:K258,"W"))/('Team_Info'!$E$4-10)),"W","B")</x:f>
        <x:v>B</x:v>
      </x:c>
      <x:c r="M258" t="str">
        <x:f>IF(RAND()&lt;(('Team_Info'!$E$2-COUNTIF($B258:L258,"W"))/('Team_Info'!$E$4-11)),"W","B")</x:f>
        <x:v>W</x:v>
      </x:c>
      <x:c r="N258" t="str">
        <x:f>IF(RAND()&lt;(('Team_Info'!$E$2-COUNTIF($B258:M258,"W"))/('Team_Info'!$E$4-12)),"W","B")</x:f>
        <x:v>B</x:v>
      </x:c>
      <x:c r="O258" t="str">
        <x:f>IF(RAND()&lt;(('Team_Info'!$E$2-COUNTIF($B258:N258,"W"))/('Team_Info'!$E$4-13)),"W","B")</x:f>
        <x:v>W</x:v>
      </x:c>
      <x:c r="P258" t="str">
        <x:f>IF(RAND()&lt;(('Team_Info'!$E$2-COUNTIF($B258:O258,"W"))/('Team_Info'!$E$4-14)),"W","B")</x:f>
        <x:v>B</x:v>
      </x:c>
      <x:c r="Q258" t="str">
        <x:f>IF(RAND()&lt;(('Team_Info'!$E$2-COUNTIF($B258:P258,"W"))/('Team_Info'!$E$4-15)),"W","B")</x:f>
        <x:v>W</x:v>
      </x:c>
      <x:c r="R258" t="str">
        <x:f>IF(RAND()&lt;(('Team_Info'!$E$2-COUNTIF($B258:Q258,"W"))/('Team_Info'!$E$4-16)),"W","B")</x:f>
        <x:v>B</x:v>
      </x:c>
      <x:c r="S258" t="str">
        <x:f>IF(RAND()&lt;(('Team_Info'!$E$2-COUNTIF($B258:R258,"W"))/('Team_Info'!$E$4-17)),"W","B")</x:f>
        <x:v>B</x:v>
      </x:c>
      <x:c r="T258" t="str">
        <x:f>IF(RAND()&lt;(('Team_Info'!$E$2-COUNTIF($B258:S258,"W"))/('Team_Info'!$E$4-18)),"W","B")</x:f>
        <x:v>B</x:v>
      </x:c>
      <x:c r="U258" t="str">
        <x:f>IF(RAND()&lt;(('Team_Info'!$E$2-COUNTIF($B258:T258,"W"))/('Team_Info'!$E$4-19)),"W","B")</x:f>
        <x:v>B</x:v>
      </x:c>
    </x:row>
    <x:row r="259">
      <x:c r="A259" s="1">
        <x:v>258</x:v>
      </x:c>
      <x:c r="B259" t="str">
        <x:f>IF(RAND()&lt;'Team_Info'!$E$5,"W","B")</x:f>
        <x:v>B</x:v>
      </x:c>
      <x:c r="C259" t="str">
        <x:f>IF(RAND()&lt;(('Team_Info'!$E$2-COUNTIF($B259:B259,"W"))/('Team_Info'!$E$4-1)),"W","B")</x:f>
        <x:v>B</x:v>
      </x:c>
      <x:c r="D259" t="str">
        <x:f>IF(RAND()&lt;(('Team_Info'!$E$2-COUNTIF($B259:C259,"W"))/('Team_Info'!$E$4-2)),"W","B")</x:f>
        <x:v>B</x:v>
      </x:c>
      <x:c r="E259" t="str">
        <x:f>IF(RAND()&lt;(('Team_Info'!$E$2-COUNTIF($B259:D259,"W"))/('Team_Info'!$E$4-3)),"W","B")</x:f>
        <x:v>B</x:v>
      </x:c>
      <x:c r="F259" t="str">
        <x:f>IF(RAND()&lt;(('Team_Info'!$E$2-COUNTIF($B259:E259,"W"))/('Team_Info'!$E$4-4)),"W","B")</x:f>
        <x:v>B</x:v>
      </x:c>
      <x:c r="G259" t="str">
        <x:f>IF(RAND()&lt;(('Team_Info'!$E$2-COUNTIF($B259:F259,"W"))/('Team_Info'!$E$4-5)),"W","B")</x:f>
        <x:v>B</x:v>
      </x:c>
      <x:c r="H259" t="str">
        <x:f>IF(RAND()&lt;(('Team_Info'!$E$2-COUNTIF($B259:G259,"W"))/('Team_Info'!$E$4-6)),"W","B")</x:f>
        <x:v>B</x:v>
      </x:c>
      <x:c r="I259" t="str">
        <x:f>IF(RAND()&lt;(('Team_Info'!$E$2-COUNTIF($B259:H259,"W"))/('Team_Info'!$E$4-7)),"W","B")</x:f>
        <x:v>B</x:v>
      </x:c>
      <x:c r="J259" t="str">
        <x:f>IF(RAND()&lt;(('Team_Info'!$E$2-COUNTIF($B259:I259,"W"))/('Team_Info'!$E$4-8)),"W","B")</x:f>
        <x:v>B</x:v>
      </x:c>
      <x:c r="K259" t="str">
        <x:f>IF(RAND()&lt;(('Team_Info'!$E$2-COUNTIF($B259:J259,"W"))/('Team_Info'!$E$4-9)),"W","B")</x:f>
        <x:v>W</x:v>
      </x:c>
      <x:c r="L259" t="str">
        <x:f>IF(RAND()&lt;(('Team_Info'!$E$2-COUNTIF($B259:K259,"W"))/('Team_Info'!$E$4-10)),"W","B")</x:f>
        <x:v>W</x:v>
      </x:c>
      <x:c r="M259" t="str">
        <x:f>IF(RAND()&lt;(('Team_Info'!$E$2-COUNTIF($B259:L259,"W"))/('Team_Info'!$E$4-11)),"W","B")</x:f>
        <x:v>W</x:v>
      </x:c>
      <x:c r="N259" t="str">
        <x:f>IF(RAND()&lt;(('Team_Info'!$E$2-COUNTIF($B259:M259,"W"))/('Team_Info'!$E$4-12)),"W","B")</x:f>
        <x:v>B</x:v>
      </x:c>
      <x:c r="O259" t="str">
        <x:f>IF(RAND()&lt;(('Team_Info'!$E$2-COUNTIF($B259:N259,"W"))/('Team_Info'!$E$4-13)),"W","B")</x:f>
        <x:v>B</x:v>
      </x:c>
      <x:c r="P259" t="str">
        <x:f>IF(RAND()&lt;(('Team_Info'!$E$2-COUNTIF($B259:O259,"W"))/('Team_Info'!$E$4-14)),"W","B")</x:f>
        <x:v>B</x:v>
      </x:c>
      <x:c r="Q259" t="str">
        <x:f>IF(RAND()&lt;(('Team_Info'!$E$2-COUNTIF($B259:P259,"W"))/('Team_Info'!$E$4-15)),"W","B")</x:f>
        <x:v>W</x:v>
      </x:c>
      <x:c r="R259" t="str">
        <x:f>IF(RAND()&lt;(('Team_Info'!$E$2-COUNTIF($B259:Q259,"W"))/('Team_Info'!$E$4-16)),"W","B")</x:f>
        <x:v>B</x:v>
      </x:c>
      <x:c r="S259" t="str">
        <x:f>IF(RAND()&lt;(('Team_Info'!$E$2-COUNTIF($B259:R259,"W"))/('Team_Info'!$E$4-17)),"W","B")</x:f>
        <x:v>W</x:v>
      </x:c>
      <x:c r="T259" t="str">
        <x:f>IF(RAND()&lt;(('Team_Info'!$E$2-COUNTIF($B259:S259,"W"))/('Team_Info'!$E$4-18)),"W","B")</x:f>
        <x:v>W</x:v>
      </x:c>
      <x:c r="U259" t="str">
        <x:f>IF(RAND()&lt;(('Team_Info'!$E$2-COUNTIF($B259:T259,"W"))/('Team_Info'!$E$4-19)),"W","B")</x:f>
        <x:v>B</x:v>
      </x:c>
    </x:row>
    <x:row r="260">
      <x:c r="A260" s="1">
        <x:v>259</x:v>
      </x:c>
      <x:c r="B260" t="str">
        <x:f>IF(RAND()&lt;'Team_Info'!$E$5,"W","B")</x:f>
        <x:v>B</x:v>
      </x:c>
      <x:c r="C260" t="str">
        <x:f>IF(RAND()&lt;(('Team_Info'!$E$2-COUNTIF($B260:B260,"W"))/('Team_Info'!$E$4-1)),"W","B")</x:f>
        <x:v>B</x:v>
      </x:c>
      <x:c r="D260" t="str">
        <x:f>IF(RAND()&lt;(('Team_Info'!$E$2-COUNTIF($B260:C260,"W"))/('Team_Info'!$E$4-2)),"W","B")</x:f>
        <x:v>B</x:v>
      </x:c>
      <x:c r="E260" t="str">
        <x:f>IF(RAND()&lt;(('Team_Info'!$E$2-COUNTIF($B260:D260,"W"))/('Team_Info'!$E$4-3)),"W","B")</x:f>
        <x:v>B</x:v>
      </x:c>
      <x:c r="F260" t="str">
        <x:f>IF(RAND()&lt;(('Team_Info'!$E$2-COUNTIF($B260:E260,"W"))/('Team_Info'!$E$4-4)),"W","B")</x:f>
        <x:v>B</x:v>
      </x:c>
      <x:c r="G260" t="str">
        <x:f>IF(RAND()&lt;(('Team_Info'!$E$2-COUNTIF($B260:F260,"W"))/('Team_Info'!$E$4-5)),"W","B")</x:f>
        <x:v>W</x:v>
      </x:c>
      <x:c r="H260" t="str">
        <x:f>IF(RAND()&lt;(('Team_Info'!$E$2-COUNTIF($B260:G260,"W"))/('Team_Info'!$E$4-6)),"W","B")</x:f>
        <x:v>W</x:v>
      </x:c>
      <x:c r="I260" t="str">
        <x:f>IF(RAND()&lt;(('Team_Info'!$E$2-COUNTIF($B260:H260,"W"))/('Team_Info'!$E$4-7)),"W","B")</x:f>
        <x:v>B</x:v>
      </x:c>
      <x:c r="J260" t="str">
        <x:f>IF(RAND()&lt;(('Team_Info'!$E$2-COUNTIF($B260:I260,"W"))/('Team_Info'!$E$4-8)),"W","B")</x:f>
        <x:v>B</x:v>
      </x:c>
      <x:c r="K260" t="str">
        <x:f>IF(RAND()&lt;(('Team_Info'!$E$2-COUNTIF($B260:J260,"W"))/('Team_Info'!$E$4-9)),"W","B")</x:f>
        <x:v>B</x:v>
      </x:c>
      <x:c r="L260" t="str">
        <x:f>IF(RAND()&lt;(('Team_Info'!$E$2-COUNTIF($B260:K260,"W"))/('Team_Info'!$E$4-10)),"W","B")</x:f>
        <x:v>B</x:v>
      </x:c>
      <x:c r="M260" t="str">
        <x:f>IF(RAND()&lt;(('Team_Info'!$E$2-COUNTIF($B260:L260,"W"))/('Team_Info'!$E$4-11)),"W","B")</x:f>
        <x:v>W</x:v>
      </x:c>
      <x:c r="N260" t="str">
        <x:f>IF(RAND()&lt;(('Team_Info'!$E$2-COUNTIF($B260:M260,"W"))/('Team_Info'!$E$4-12)),"W","B")</x:f>
        <x:v>B</x:v>
      </x:c>
      <x:c r="O260" t="str">
        <x:f>IF(RAND()&lt;(('Team_Info'!$E$2-COUNTIF($B260:N260,"W"))/('Team_Info'!$E$4-13)),"W","B")</x:f>
        <x:v>B</x:v>
      </x:c>
      <x:c r="P260" t="str">
        <x:f>IF(RAND()&lt;(('Team_Info'!$E$2-COUNTIF($B260:O260,"W"))/('Team_Info'!$E$4-14)),"W","B")</x:f>
        <x:v>B</x:v>
      </x:c>
      <x:c r="Q260" t="str">
        <x:f>IF(RAND()&lt;(('Team_Info'!$E$2-COUNTIF($B260:P260,"W"))/('Team_Info'!$E$4-15)),"W","B")</x:f>
        <x:v>B</x:v>
      </x:c>
      <x:c r="R260" t="str">
        <x:f>IF(RAND()&lt;(('Team_Info'!$E$2-COUNTIF($B260:Q260,"W"))/('Team_Info'!$E$4-16)),"W","B")</x:f>
        <x:v>B</x:v>
      </x:c>
      <x:c r="S260" t="str">
        <x:f>IF(RAND()&lt;(('Team_Info'!$E$2-COUNTIF($B260:R260,"W"))/('Team_Info'!$E$4-17)),"W","B")</x:f>
        <x:v>B</x:v>
      </x:c>
      <x:c r="T260" t="str">
        <x:f>IF(RAND()&lt;(('Team_Info'!$E$2-COUNTIF($B260:S260,"W"))/('Team_Info'!$E$4-18)),"W","B")</x:f>
        <x:v>W</x:v>
      </x:c>
      <x:c r="U260" t="str">
        <x:f>IF(RAND()&lt;(('Team_Info'!$E$2-COUNTIF($B260:T260,"W"))/('Team_Info'!$E$4-19)),"W","B")</x:f>
        <x:v>W</x:v>
      </x:c>
    </x:row>
    <x:row r="261">
      <x:c r="A261" s="1">
        <x:v>260</x:v>
      </x:c>
      <x:c r="B261" t="str">
        <x:f>IF(RAND()&lt;'Team_Info'!$E$5,"W","B")</x:f>
        <x:v>B</x:v>
      </x:c>
      <x:c r="C261" t="str">
        <x:f>IF(RAND()&lt;(('Team_Info'!$E$2-COUNTIF($B261:B261,"W"))/('Team_Info'!$E$4-1)),"W","B")</x:f>
        <x:v>B</x:v>
      </x:c>
      <x:c r="D261" t="str">
        <x:f>IF(RAND()&lt;(('Team_Info'!$E$2-COUNTIF($B261:C261,"W"))/('Team_Info'!$E$4-2)),"W","B")</x:f>
        <x:v>W</x:v>
      </x:c>
      <x:c r="E261" t="str">
        <x:f>IF(RAND()&lt;(('Team_Info'!$E$2-COUNTIF($B261:D261,"W"))/('Team_Info'!$E$4-3)),"W","B")</x:f>
        <x:v>B</x:v>
      </x:c>
      <x:c r="F261" t="str">
        <x:f>IF(RAND()&lt;(('Team_Info'!$E$2-COUNTIF($B261:E261,"W"))/('Team_Info'!$E$4-4)),"W","B")</x:f>
        <x:v>B</x:v>
      </x:c>
      <x:c r="G261" t="str">
        <x:f>IF(RAND()&lt;(('Team_Info'!$E$2-COUNTIF($B261:F261,"W"))/('Team_Info'!$E$4-5)),"W","B")</x:f>
        <x:v>B</x:v>
      </x:c>
      <x:c r="H261" t="str">
        <x:f>IF(RAND()&lt;(('Team_Info'!$E$2-COUNTIF($B261:G261,"W"))/('Team_Info'!$E$4-6)),"W","B")</x:f>
        <x:v>B</x:v>
      </x:c>
      <x:c r="I261" t="str">
        <x:f>IF(RAND()&lt;(('Team_Info'!$E$2-COUNTIF($B261:H261,"W"))/('Team_Info'!$E$4-7)),"W","B")</x:f>
        <x:v>W</x:v>
      </x:c>
      <x:c r="J261" t="str">
        <x:f>IF(RAND()&lt;(('Team_Info'!$E$2-COUNTIF($B261:I261,"W"))/('Team_Info'!$E$4-8)),"W","B")</x:f>
        <x:v>W</x:v>
      </x:c>
      <x:c r="K261" t="str">
        <x:f>IF(RAND()&lt;(('Team_Info'!$E$2-COUNTIF($B261:J261,"W"))/('Team_Info'!$E$4-9)),"W","B")</x:f>
        <x:v>B</x:v>
      </x:c>
      <x:c r="L261" t="str">
        <x:f>IF(RAND()&lt;(('Team_Info'!$E$2-COUNTIF($B261:K261,"W"))/('Team_Info'!$E$4-10)),"W","B")</x:f>
        <x:v>W</x:v>
      </x:c>
      <x:c r="M261" t="str">
        <x:f>IF(RAND()&lt;(('Team_Info'!$E$2-COUNTIF($B261:L261,"W"))/('Team_Info'!$E$4-11)),"W","B")</x:f>
        <x:v>B</x:v>
      </x:c>
      <x:c r="N261" t="str">
        <x:f>IF(RAND()&lt;(('Team_Info'!$E$2-COUNTIF($B261:M261,"W"))/('Team_Info'!$E$4-12)),"W","B")</x:f>
        <x:v>B</x:v>
      </x:c>
      <x:c r="O261" t="str">
        <x:f>IF(RAND()&lt;(('Team_Info'!$E$2-COUNTIF($B261:N261,"W"))/('Team_Info'!$E$4-13)),"W","B")</x:f>
        <x:v>B</x:v>
      </x:c>
      <x:c r="P261" t="str">
        <x:f>IF(RAND()&lt;(('Team_Info'!$E$2-COUNTIF($B261:O261,"W"))/('Team_Info'!$E$4-14)),"W","B")</x:f>
        <x:v>W</x:v>
      </x:c>
      <x:c r="Q261" t="str">
        <x:f>IF(RAND()&lt;(('Team_Info'!$E$2-COUNTIF($B261:P261,"W"))/('Team_Info'!$E$4-15)),"W","B")</x:f>
        <x:v>B</x:v>
      </x:c>
      <x:c r="R261" t="str">
        <x:f>IF(RAND()&lt;(('Team_Info'!$E$2-COUNTIF($B261:Q261,"W"))/('Team_Info'!$E$4-16)),"W","B")</x:f>
        <x:v>B</x:v>
      </x:c>
      <x:c r="S261" t="str">
        <x:f>IF(RAND()&lt;(('Team_Info'!$E$2-COUNTIF($B261:R261,"W"))/('Team_Info'!$E$4-17)),"W","B")</x:f>
        <x:v>W</x:v>
      </x:c>
      <x:c r="T261" t="str">
        <x:f>IF(RAND()&lt;(('Team_Info'!$E$2-COUNTIF($B261:S261,"W"))/('Team_Info'!$E$4-18)),"W","B")</x:f>
        <x:v>B</x:v>
      </x:c>
      <x:c r="U261" t="str">
        <x:f>IF(RAND()&lt;(('Team_Info'!$E$2-COUNTIF($B261:T261,"W"))/('Team_Info'!$E$4-19)),"W","B")</x:f>
        <x:v>B</x:v>
      </x:c>
    </x:row>
    <x:row r="262">
      <x:c r="A262" s="1">
        <x:v>261</x:v>
      </x:c>
      <x:c r="B262" t="str">
        <x:f>IF(RAND()&lt;'Team_Info'!$E$5,"W","B")</x:f>
        <x:v>W</x:v>
      </x:c>
      <x:c r="C262" t="str">
        <x:f>IF(RAND()&lt;(('Team_Info'!$E$2-COUNTIF($B262:B262,"W"))/('Team_Info'!$E$4-1)),"W","B")</x:f>
        <x:v>B</x:v>
      </x:c>
      <x:c r="D262" t="str">
        <x:f>IF(RAND()&lt;(('Team_Info'!$E$2-COUNTIF($B262:C262,"W"))/('Team_Info'!$E$4-2)),"W","B")</x:f>
        <x:v>B</x:v>
      </x:c>
      <x:c r="E262" t="str">
        <x:f>IF(RAND()&lt;(('Team_Info'!$E$2-COUNTIF($B262:D262,"W"))/('Team_Info'!$E$4-3)),"W","B")</x:f>
        <x:v>B</x:v>
      </x:c>
      <x:c r="F262" t="str">
        <x:f>IF(RAND()&lt;(('Team_Info'!$E$2-COUNTIF($B262:E262,"W"))/('Team_Info'!$E$4-4)),"W","B")</x:f>
        <x:v>B</x:v>
      </x:c>
      <x:c r="G262" t="str">
        <x:f>IF(RAND()&lt;(('Team_Info'!$E$2-COUNTIF($B262:F262,"W"))/('Team_Info'!$E$4-5)),"W","B")</x:f>
        <x:v>B</x:v>
      </x:c>
      <x:c r="H262" t="str">
        <x:f>IF(RAND()&lt;(('Team_Info'!$E$2-COUNTIF($B262:G262,"W"))/('Team_Info'!$E$4-6)),"W","B")</x:f>
        <x:v>B</x:v>
      </x:c>
      <x:c r="I262" t="str">
        <x:f>IF(RAND()&lt;(('Team_Info'!$E$2-COUNTIF($B262:H262,"W"))/('Team_Info'!$E$4-7)),"W","B")</x:f>
        <x:v>B</x:v>
      </x:c>
      <x:c r="J262" t="str">
        <x:f>IF(RAND()&lt;(('Team_Info'!$E$2-COUNTIF($B262:I262,"W"))/('Team_Info'!$E$4-8)),"W","B")</x:f>
        <x:v>W</x:v>
      </x:c>
      <x:c r="K262" t="str">
        <x:f>IF(RAND()&lt;(('Team_Info'!$E$2-COUNTIF($B262:J262,"W"))/('Team_Info'!$E$4-9)),"W","B")</x:f>
        <x:v>B</x:v>
      </x:c>
      <x:c r="L262" t="str">
        <x:f>IF(RAND()&lt;(('Team_Info'!$E$2-COUNTIF($B262:K262,"W"))/('Team_Info'!$E$4-10)),"W","B")</x:f>
        <x:v>W</x:v>
      </x:c>
      <x:c r="M262" t="str">
        <x:f>IF(RAND()&lt;(('Team_Info'!$E$2-COUNTIF($B262:L262,"W"))/('Team_Info'!$E$4-11)),"W","B")</x:f>
        <x:v>B</x:v>
      </x:c>
      <x:c r="N262" t="str">
        <x:f>IF(RAND()&lt;(('Team_Info'!$E$2-COUNTIF($B262:M262,"W"))/('Team_Info'!$E$4-12)),"W","B")</x:f>
        <x:v>W</x:v>
      </x:c>
      <x:c r="O262" t="str">
        <x:f>IF(RAND()&lt;(('Team_Info'!$E$2-COUNTIF($B262:N262,"W"))/('Team_Info'!$E$4-13)),"W","B")</x:f>
        <x:v>B</x:v>
      </x:c>
      <x:c r="P262" t="str">
        <x:f>IF(RAND()&lt;(('Team_Info'!$E$2-COUNTIF($B262:O262,"W"))/('Team_Info'!$E$4-14)),"W","B")</x:f>
        <x:v>B</x:v>
      </x:c>
      <x:c r="Q262" t="str">
        <x:f>IF(RAND()&lt;(('Team_Info'!$E$2-COUNTIF($B262:P262,"W"))/('Team_Info'!$E$4-15)),"W","B")</x:f>
        <x:v>B</x:v>
      </x:c>
      <x:c r="R262" t="str">
        <x:f>IF(RAND()&lt;(('Team_Info'!$E$2-COUNTIF($B262:Q262,"W"))/('Team_Info'!$E$4-16)),"W","B")</x:f>
        <x:v>W</x:v>
      </x:c>
      <x:c r="S262" t="str">
        <x:f>IF(RAND()&lt;(('Team_Info'!$E$2-COUNTIF($B262:R262,"W"))/('Team_Info'!$E$4-17)),"W","B")</x:f>
        <x:v>W</x:v>
      </x:c>
      <x:c r="T262" t="str">
        <x:f>IF(RAND()&lt;(('Team_Info'!$E$2-COUNTIF($B262:S262,"W"))/('Team_Info'!$E$4-18)),"W","B")</x:f>
        <x:v>B</x:v>
      </x:c>
      <x:c r="U262" t="str">
        <x:f>IF(RAND()&lt;(('Team_Info'!$E$2-COUNTIF($B262:T262,"W"))/('Team_Info'!$E$4-19)),"W","B")</x:f>
        <x:v>W</x:v>
      </x:c>
    </x:row>
    <x:row r="263">
      <x:c r="A263" s="1">
        <x:v>262</x:v>
      </x:c>
      <x:c r="B263" t="str">
        <x:f>IF(RAND()&lt;'Team_Info'!$E$5,"W","B")</x:f>
        <x:v>B</x:v>
      </x:c>
      <x:c r="C263" t="str">
        <x:f>IF(RAND()&lt;(('Team_Info'!$E$2-COUNTIF($B263:B263,"W"))/('Team_Info'!$E$4-1)),"W","B")</x:f>
        <x:v>B</x:v>
      </x:c>
      <x:c r="D263" t="str">
        <x:f>IF(RAND()&lt;(('Team_Info'!$E$2-COUNTIF($B263:C263,"W"))/('Team_Info'!$E$4-2)),"W","B")</x:f>
        <x:v>W</x:v>
      </x:c>
      <x:c r="E263" t="str">
        <x:f>IF(RAND()&lt;(('Team_Info'!$E$2-COUNTIF($B263:D263,"W"))/('Team_Info'!$E$4-3)),"W","B")</x:f>
        <x:v>B</x:v>
      </x:c>
      <x:c r="F263" t="str">
        <x:f>IF(RAND()&lt;(('Team_Info'!$E$2-COUNTIF($B263:E263,"W"))/('Team_Info'!$E$4-4)),"W","B")</x:f>
        <x:v>B</x:v>
      </x:c>
      <x:c r="G263" t="str">
        <x:f>IF(RAND()&lt;(('Team_Info'!$E$2-COUNTIF($B263:F263,"W"))/('Team_Info'!$E$4-5)),"W","B")</x:f>
        <x:v>B</x:v>
      </x:c>
      <x:c r="H263" t="str">
        <x:f>IF(RAND()&lt;(('Team_Info'!$E$2-COUNTIF($B263:G263,"W"))/('Team_Info'!$E$4-6)),"W","B")</x:f>
        <x:v>B</x:v>
      </x:c>
      <x:c r="I263" t="str">
        <x:f>IF(RAND()&lt;(('Team_Info'!$E$2-COUNTIF($B263:H263,"W"))/('Team_Info'!$E$4-7)),"W","B")</x:f>
        <x:v>B</x:v>
      </x:c>
      <x:c r="J263" t="str">
        <x:f>IF(RAND()&lt;(('Team_Info'!$E$2-COUNTIF($B263:I263,"W"))/('Team_Info'!$E$4-8)),"W","B")</x:f>
        <x:v>W</x:v>
      </x:c>
      <x:c r="K263" t="str">
        <x:f>IF(RAND()&lt;(('Team_Info'!$E$2-COUNTIF($B263:J263,"W"))/('Team_Info'!$E$4-9)),"W","B")</x:f>
        <x:v>B</x:v>
      </x:c>
      <x:c r="L263" t="str">
        <x:f>IF(RAND()&lt;(('Team_Info'!$E$2-COUNTIF($B263:K263,"W"))/('Team_Info'!$E$4-10)),"W","B")</x:f>
        <x:v>W</x:v>
      </x:c>
      <x:c r="M263" t="str">
        <x:f>IF(RAND()&lt;(('Team_Info'!$E$2-COUNTIF($B263:L263,"W"))/('Team_Info'!$E$4-11)),"W","B")</x:f>
        <x:v>B</x:v>
      </x:c>
      <x:c r="N263" t="str">
        <x:f>IF(RAND()&lt;(('Team_Info'!$E$2-COUNTIF($B263:M263,"W"))/('Team_Info'!$E$4-12)),"W","B")</x:f>
        <x:v>B</x:v>
      </x:c>
      <x:c r="O263" t="str">
        <x:f>IF(RAND()&lt;(('Team_Info'!$E$2-COUNTIF($B263:N263,"W"))/('Team_Info'!$E$4-13)),"W","B")</x:f>
        <x:v>B</x:v>
      </x:c>
      <x:c r="P263" t="str">
        <x:f>IF(RAND()&lt;(('Team_Info'!$E$2-COUNTIF($B263:O263,"W"))/('Team_Info'!$E$4-14)),"W","B")</x:f>
        <x:v>W</x:v>
      </x:c>
      <x:c r="Q263" t="str">
        <x:f>IF(RAND()&lt;(('Team_Info'!$E$2-COUNTIF($B263:P263,"W"))/('Team_Info'!$E$4-15)),"W","B")</x:f>
        <x:v>B</x:v>
      </x:c>
      <x:c r="R263" t="str">
        <x:f>IF(RAND()&lt;(('Team_Info'!$E$2-COUNTIF($B263:Q263,"W"))/('Team_Info'!$E$4-16)),"W","B")</x:f>
        <x:v>W</x:v>
      </x:c>
      <x:c r="S263" t="str">
        <x:f>IF(RAND()&lt;(('Team_Info'!$E$2-COUNTIF($B263:R263,"W"))/('Team_Info'!$E$4-17)),"W","B")</x:f>
        <x:v>B</x:v>
      </x:c>
      <x:c r="T263" t="str">
        <x:f>IF(RAND()&lt;(('Team_Info'!$E$2-COUNTIF($B263:S263,"W"))/('Team_Info'!$E$4-18)),"W","B")</x:f>
        <x:v>W</x:v>
      </x:c>
      <x:c r="U263" t="str">
        <x:f>IF(RAND()&lt;(('Team_Info'!$E$2-COUNTIF($B263:T263,"W"))/('Team_Info'!$E$4-19)),"W","B")</x:f>
        <x:v>W</x:v>
      </x:c>
    </x:row>
    <x:row r="264">
      <x:c r="A264" s="1">
        <x:v>263</x:v>
      </x:c>
      <x:c r="B264" t="str">
        <x:f>IF(RAND()&lt;'Team_Info'!$E$5,"W","B")</x:f>
        <x:v>W</x:v>
      </x:c>
      <x:c r="C264" t="str">
        <x:f>IF(RAND()&lt;(('Team_Info'!$E$2-COUNTIF($B264:B264,"W"))/('Team_Info'!$E$4-1)),"W","B")</x:f>
        <x:v>W</x:v>
      </x:c>
      <x:c r="D264" t="str">
        <x:f>IF(RAND()&lt;(('Team_Info'!$E$2-COUNTIF($B264:C264,"W"))/('Team_Info'!$E$4-2)),"W","B")</x:f>
        <x:v>B</x:v>
      </x:c>
      <x:c r="E264" t="str">
        <x:f>IF(RAND()&lt;(('Team_Info'!$E$2-COUNTIF($B264:D264,"W"))/('Team_Info'!$E$4-3)),"W","B")</x:f>
        <x:v>B</x:v>
      </x:c>
      <x:c r="F264" t="str">
        <x:f>IF(RAND()&lt;(('Team_Info'!$E$2-COUNTIF($B264:E264,"W"))/('Team_Info'!$E$4-4)),"W","B")</x:f>
        <x:v>B</x:v>
      </x:c>
      <x:c r="G264" t="str">
        <x:f>IF(RAND()&lt;(('Team_Info'!$E$2-COUNTIF($B264:F264,"W"))/('Team_Info'!$E$4-5)),"W","B")</x:f>
        <x:v>B</x:v>
      </x:c>
      <x:c r="H264" t="str">
        <x:f>IF(RAND()&lt;(('Team_Info'!$E$2-COUNTIF($B264:G264,"W"))/('Team_Info'!$E$4-6)),"W","B")</x:f>
        <x:v>B</x:v>
      </x:c>
      <x:c r="I264" t="str">
        <x:f>IF(RAND()&lt;(('Team_Info'!$E$2-COUNTIF($B264:H264,"W"))/('Team_Info'!$E$4-7)),"W","B")</x:f>
        <x:v>B</x:v>
      </x:c>
      <x:c r="J264" t="str">
        <x:f>IF(RAND()&lt;(('Team_Info'!$E$2-COUNTIF($B264:I264,"W"))/('Team_Info'!$E$4-8)),"W","B")</x:f>
        <x:v>W</x:v>
      </x:c>
      <x:c r="K264" t="str">
        <x:f>IF(RAND()&lt;(('Team_Info'!$E$2-COUNTIF($B264:J264,"W"))/('Team_Info'!$E$4-9)),"W","B")</x:f>
        <x:v>W</x:v>
      </x:c>
      <x:c r="L264" t="str">
        <x:f>IF(RAND()&lt;(('Team_Info'!$E$2-COUNTIF($B264:K264,"W"))/('Team_Info'!$E$4-10)),"W","B")</x:f>
        <x:v>W</x:v>
      </x:c>
      <x:c r="M264" t="str">
        <x:f>IF(RAND()&lt;(('Team_Info'!$E$2-COUNTIF($B264:L264,"W"))/('Team_Info'!$E$4-11)),"W","B")</x:f>
        <x:v>B</x:v>
      </x:c>
      <x:c r="N264" t="str">
        <x:f>IF(RAND()&lt;(('Team_Info'!$E$2-COUNTIF($B264:M264,"W"))/('Team_Info'!$E$4-12)),"W","B")</x:f>
        <x:v>B</x:v>
      </x:c>
      <x:c r="O264" t="str">
        <x:f>IF(RAND()&lt;(('Team_Info'!$E$2-COUNTIF($B264:N264,"W"))/('Team_Info'!$E$4-13)),"W","B")</x:f>
        <x:v>B</x:v>
      </x:c>
      <x:c r="P264" t="str">
        <x:f>IF(RAND()&lt;(('Team_Info'!$E$2-COUNTIF($B264:O264,"W"))/('Team_Info'!$E$4-14)),"W","B")</x:f>
        <x:v>B</x:v>
      </x:c>
      <x:c r="Q264" t="str">
        <x:f>IF(RAND()&lt;(('Team_Info'!$E$2-COUNTIF($B264:P264,"W"))/('Team_Info'!$E$4-15)),"W","B")</x:f>
        <x:v>W</x:v>
      </x:c>
      <x:c r="R264" t="str">
        <x:f>IF(RAND()&lt;(('Team_Info'!$E$2-COUNTIF($B264:Q264,"W"))/('Team_Info'!$E$4-16)),"W","B")</x:f>
        <x:v>B</x:v>
      </x:c>
      <x:c r="S264" t="str">
        <x:f>IF(RAND()&lt;(('Team_Info'!$E$2-COUNTIF($B264:R264,"W"))/('Team_Info'!$E$4-17)),"W","B")</x:f>
        <x:v>W</x:v>
      </x:c>
      <x:c r="T264" t="str">
        <x:f>IF(RAND()&lt;(('Team_Info'!$E$2-COUNTIF($B264:S264,"W"))/('Team_Info'!$E$4-18)),"W","B")</x:f>
        <x:v>B</x:v>
      </x:c>
      <x:c r="U264" t="str">
        <x:f>IF(RAND()&lt;(('Team_Info'!$E$2-COUNTIF($B264:T264,"W"))/('Team_Info'!$E$4-19)),"W","B")</x:f>
        <x:v>B</x:v>
      </x:c>
    </x:row>
    <x:row r="265">
      <x:c r="A265" s="1">
        <x:v>264</x:v>
      </x:c>
      <x:c r="B265" t="str">
        <x:f>IF(RAND()&lt;'Team_Info'!$E$5,"W","B")</x:f>
        <x:v>B</x:v>
      </x:c>
      <x:c r="C265" t="str">
        <x:f>IF(RAND()&lt;(('Team_Info'!$E$2-COUNTIF($B265:B265,"W"))/('Team_Info'!$E$4-1)),"W","B")</x:f>
        <x:v>B</x:v>
      </x:c>
      <x:c r="D265" t="str">
        <x:f>IF(RAND()&lt;(('Team_Info'!$E$2-COUNTIF($B265:C265,"W"))/('Team_Info'!$E$4-2)),"W","B")</x:f>
        <x:v>W</x:v>
      </x:c>
      <x:c r="E265" t="str">
        <x:f>IF(RAND()&lt;(('Team_Info'!$E$2-COUNTIF($B265:D265,"W"))/('Team_Info'!$E$4-3)),"W","B")</x:f>
        <x:v>B</x:v>
      </x:c>
      <x:c r="F265" t="str">
        <x:f>IF(RAND()&lt;(('Team_Info'!$E$2-COUNTIF($B265:E265,"W"))/('Team_Info'!$E$4-4)),"W","B")</x:f>
        <x:v>W</x:v>
      </x:c>
      <x:c r="G265" t="str">
        <x:f>IF(RAND()&lt;(('Team_Info'!$E$2-COUNTIF($B265:F265,"W"))/('Team_Info'!$E$4-5)),"W","B")</x:f>
        <x:v>B</x:v>
      </x:c>
      <x:c r="H265" t="str">
        <x:f>IF(RAND()&lt;(('Team_Info'!$E$2-COUNTIF($B265:G265,"W"))/('Team_Info'!$E$4-6)),"W","B")</x:f>
        <x:v>W</x:v>
      </x:c>
      <x:c r="I265" t="str">
        <x:f>IF(RAND()&lt;(('Team_Info'!$E$2-COUNTIF($B265:H265,"W"))/('Team_Info'!$E$4-7)),"W","B")</x:f>
        <x:v>B</x:v>
      </x:c>
      <x:c r="J265" t="str">
        <x:f>IF(RAND()&lt;(('Team_Info'!$E$2-COUNTIF($B265:I265,"W"))/('Team_Info'!$E$4-8)),"W","B")</x:f>
        <x:v>W</x:v>
      </x:c>
      <x:c r="K265" t="str">
        <x:f>IF(RAND()&lt;(('Team_Info'!$E$2-COUNTIF($B265:J265,"W"))/('Team_Info'!$E$4-9)),"W","B")</x:f>
        <x:v>B</x:v>
      </x:c>
      <x:c r="L265" t="str">
        <x:f>IF(RAND()&lt;(('Team_Info'!$E$2-COUNTIF($B265:K265,"W"))/('Team_Info'!$E$4-10)),"W","B")</x:f>
        <x:v>W</x:v>
      </x:c>
      <x:c r="M265" t="str">
        <x:f>IF(RAND()&lt;(('Team_Info'!$E$2-COUNTIF($B265:L265,"W"))/('Team_Info'!$E$4-11)),"W","B")</x:f>
        <x:v>W</x:v>
      </x:c>
      <x:c r="N265" t="str">
        <x:f>IF(RAND()&lt;(('Team_Info'!$E$2-COUNTIF($B265:M265,"W"))/('Team_Info'!$E$4-12)),"W","B")</x:f>
        <x:v>W</x:v>
      </x:c>
      <x:c r="O265" t="str">
        <x:f>IF(RAND()&lt;(('Team_Info'!$E$2-COUNTIF($B265:N265,"W"))/('Team_Info'!$E$4-13)),"W","B")</x:f>
        <x:v>B</x:v>
      </x:c>
      <x:c r="P265" t="str">
        <x:f>IF(RAND()&lt;(('Team_Info'!$E$2-COUNTIF($B265:O265,"W"))/('Team_Info'!$E$4-14)),"W","B")</x:f>
        <x:v>W</x:v>
      </x:c>
      <x:c r="Q265" t="str">
        <x:f>IF(RAND()&lt;(('Team_Info'!$E$2-COUNTIF($B265:P265,"W"))/('Team_Info'!$E$4-15)),"W","B")</x:f>
        <x:v>W</x:v>
      </x:c>
      <x:c r="R265" t="str">
        <x:f>IF(RAND()&lt;(('Team_Info'!$E$2-COUNTIF($B265:Q265,"W"))/('Team_Info'!$E$4-16)),"W","B")</x:f>
        <x:v>B</x:v>
      </x:c>
      <x:c r="S265" t="str">
        <x:f>IF(RAND()&lt;(('Team_Info'!$E$2-COUNTIF($B265:R265,"W"))/('Team_Info'!$E$4-17)),"W","B")</x:f>
        <x:v>B</x:v>
      </x:c>
      <x:c r="T265" t="str">
        <x:f>IF(RAND()&lt;(('Team_Info'!$E$2-COUNTIF($B265:S265,"W"))/('Team_Info'!$E$4-18)),"W","B")</x:f>
        <x:v>B</x:v>
      </x:c>
      <x:c r="U265" t="str">
        <x:f>IF(RAND()&lt;(('Team_Info'!$E$2-COUNTIF($B265:T265,"W"))/('Team_Info'!$E$4-19)),"W","B")</x:f>
        <x:v>B</x:v>
      </x:c>
    </x:row>
    <x:row r="266">
      <x:c r="A266" s="1">
        <x:v>265</x:v>
      </x:c>
      <x:c r="B266" t="str">
        <x:f>IF(RAND()&lt;'Team_Info'!$E$5,"W","B")</x:f>
        <x:v>B</x:v>
      </x:c>
      <x:c r="C266" t="str">
        <x:f>IF(RAND()&lt;(('Team_Info'!$E$2-COUNTIF($B266:B266,"W"))/('Team_Info'!$E$4-1)),"W","B")</x:f>
        <x:v>W</x:v>
      </x:c>
      <x:c r="D266" t="str">
        <x:f>IF(RAND()&lt;(('Team_Info'!$E$2-COUNTIF($B266:C266,"W"))/('Team_Info'!$E$4-2)),"W","B")</x:f>
        <x:v>B</x:v>
      </x:c>
      <x:c r="E266" t="str">
        <x:f>IF(RAND()&lt;(('Team_Info'!$E$2-COUNTIF($B266:D266,"W"))/('Team_Info'!$E$4-3)),"W","B")</x:f>
        <x:v>B</x:v>
      </x:c>
      <x:c r="F266" t="str">
        <x:f>IF(RAND()&lt;(('Team_Info'!$E$2-COUNTIF($B266:E266,"W"))/('Team_Info'!$E$4-4)),"W","B")</x:f>
        <x:v>W</x:v>
      </x:c>
      <x:c r="G266" t="str">
        <x:f>IF(RAND()&lt;(('Team_Info'!$E$2-COUNTIF($B266:F266,"W"))/('Team_Info'!$E$4-5)),"W","B")</x:f>
        <x:v>W</x:v>
      </x:c>
      <x:c r="H266" t="str">
        <x:f>IF(RAND()&lt;(('Team_Info'!$E$2-COUNTIF($B266:G266,"W"))/('Team_Info'!$E$4-6)),"W","B")</x:f>
        <x:v>W</x:v>
      </x:c>
      <x:c r="I266" t="str">
        <x:f>IF(RAND()&lt;(('Team_Info'!$E$2-COUNTIF($B266:H266,"W"))/('Team_Info'!$E$4-7)),"W","B")</x:f>
        <x:v>W</x:v>
      </x:c>
      <x:c r="J266" t="str">
        <x:f>IF(RAND()&lt;(('Team_Info'!$E$2-COUNTIF($B266:I266,"W"))/('Team_Info'!$E$4-8)),"W","B")</x:f>
        <x:v>W</x:v>
      </x:c>
      <x:c r="K266" t="str">
        <x:f>IF(RAND()&lt;(('Team_Info'!$E$2-COUNTIF($B266:J266,"W"))/('Team_Info'!$E$4-9)),"W","B")</x:f>
        <x:v>B</x:v>
      </x:c>
      <x:c r="L266" t="str">
        <x:f>IF(RAND()&lt;(('Team_Info'!$E$2-COUNTIF($B266:K266,"W"))/('Team_Info'!$E$4-10)),"W","B")</x:f>
        <x:v>B</x:v>
      </x:c>
      <x:c r="M266" t="str">
        <x:f>IF(RAND()&lt;(('Team_Info'!$E$2-COUNTIF($B266:L266,"W"))/('Team_Info'!$E$4-11)),"W","B")</x:f>
        <x:v>B</x:v>
      </x:c>
      <x:c r="N266" t="str">
        <x:f>IF(RAND()&lt;(('Team_Info'!$E$2-COUNTIF($B266:M266,"W"))/('Team_Info'!$E$4-12)),"W","B")</x:f>
        <x:v>B</x:v>
      </x:c>
      <x:c r="O266" t="str">
        <x:f>IF(RAND()&lt;(('Team_Info'!$E$2-COUNTIF($B266:N266,"W"))/('Team_Info'!$E$4-13)),"W","B")</x:f>
        <x:v>B</x:v>
      </x:c>
      <x:c r="P266" t="str">
        <x:f>IF(RAND()&lt;(('Team_Info'!$E$2-COUNTIF($B266:O266,"W"))/('Team_Info'!$E$4-14)),"W","B")</x:f>
        <x:v>W</x:v>
      </x:c>
      <x:c r="Q266" t="str">
        <x:f>IF(RAND()&lt;(('Team_Info'!$E$2-COUNTIF($B266:P266,"W"))/('Team_Info'!$E$4-15)),"W","B")</x:f>
        <x:v>W</x:v>
      </x:c>
      <x:c r="R266" t="str">
        <x:f>IF(RAND()&lt;(('Team_Info'!$E$2-COUNTIF($B266:Q266,"W"))/('Team_Info'!$E$4-16)),"W","B")</x:f>
        <x:v>W</x:v>
      </x:c>
      <x:c r="S266" t="str">
        <x:f>IF(RAND()&lt;(('Team_Info'!$E$2-COUNTIF($B266:R266,"W"))/('Team_Info'!$E$4-17)),"W","B")</x:f>
        <x:v>B</x:v>
      </x:c>
      <x:c r="T266" t="str">
        <x:f>IF(RAND()&lt;(('Team_Info'!$E$2-COUNTIF($B266:S266,"W"))/('Team_Info'!$E$4-18)),"W","B")</x:f>
        <x:v>B</x:v>
      </x:c>
      <x:c r="U266" t="str">
        <x:f>IF(RAND()&lt;(('Team_Info'!$E$2-COUNTIF($B266:T266,"W"))/('Team_Info'!$E$4-19)),"W","B")</x:f>
        <x:v>W</x:v>
      </x:c>
    </x:row>
    <x:row r="267">
      <x:c r="A267" s="1">
        <x:v>266</x:v>
      </x:c>
      <x:c r="B267" t="str">
        <x:f>IF(RAND()&lt;'Team_Info'!$E$5,"W","B")</x:f>
        <x:v>W</x:v>
      </x:c>
      <x:c r="C267" t="str">
        <x:f>IF(RAND()&lt;(('Team_Info'!$E$2-COUNTIF($B267:B267,"W"))/('Team_Info'!$E$4-1)),"W","B")</x:f>
        <x:v>W</x:v>
      </x:c>
      <x:c r="D267" t="str">
        <x:f>IF(RAND()&lt;(('Team_Info'!$E$2-COUNTIF($B267:C267,"W"))/('Team_Info'!$E$4-2)),"W","B")</x:f>
        <x:v>B</x:v>
      </x:c>
      <x:c r="E267" t="str">
        <x:f>IF(RAND()&lt;(('Team_Info'!$E$2-COUNTIF($B267:D267,"W"))/('Team_Info'!$E$4-3)),"W","B")</x:f>
        <x:v>W</x:v>
      </x:c>
      <x:c r="F267" t="str">
        <x:f>IF(RAND()&lt;(('Team_Info'!$E$2-COUNTIF($B267:E267,"W"))/('Team_Info'!$E$4-4)),"W","B")</x:f>
        <x:v>W</x:v>
      </x:c>
      <x:c r="G267" t="str">
        <x:f>IF(RAND()&lt;(('Team_Info'!$E$2-COUNTIF($B267:F267,"W"))/('Team_Info'!$E$4-5)),"W","B")</x:f>
        <x:v>W</x:v>
      </x:c>
      <x:c r="H267" t="str">
        <x:f>IF(RAND()&lt;(('Team_Info'!$E$2-COUNTIF($B267:G267,"W"))/('Team_Info'!$E$4-6)),"W","B")</x:f>
        <x:v>W</x:v>
      </x:c>
      <x:c r="I267" t="str">
        <x:f>IF(RAND()&lt;(('Team_Info'!$E$2-COUNTIF($B267:H267,"W"))/('Team_Info'!$E$4-7)),"W","B")</x:f>
        <x:v>W</x:v>
      </x:c>
      <x:c r="J267" t="str">
        <x:f>IF(RAND()&lt;(('Team_Info'!$E$2-COUNTIF($B267:I267,"W"))/('Team_Info'!$E$4-8)),"W","B")</x:f>
        <x:v>B</x:v>
      </x:c>
      <x:c r="K267" t="str">
        <x:f>IF(RAND()&lt;(('Team_Info'!$E$2-COUNTIF($B267:J267,"W"))/('Team_Info'!$E$4-9)),"W","B")</x:f>
        <x:v>B</x:v>
      </x:c>
      <x:c r="L267" t="str">
        <x:f>IF(RAND()&lt;(('Team_Info'!$E$2-COUNTIF($B267:K267,"W"))/('Team_Info'!$E$4-10)),"W","B")</x:f>
        <x:v>W</x:v>
      </x:c>
      <x:c r="M267" t="str">
        <x:f>IF(RAND()&lt;(('Team_Info'!$E$2-COUNTIF($B267:L267,"W"))/('Team_Info'!$E$4-11)),"W","B")</x:f>
        <x:v>B</x:v>
      </x:c>
      <x:c r="N267" t="str">
        <x:f>IF(RAND()&lt;(('Team_Info'!$E$2-COUNTIF($B267:M267,"W"))/('Team_Info'!$E$4-12)),"W","B")</x:f>
        <x:v>B</x:v>
      </x:c>
      <x:c r="O267" t="str">
        <x:f>IF(RAND()&lt;(('Team_Info'!$E$2-COUNTIF($B267:N267,"W"))/('Team_Info'!$E$4-13)),"W","B")</x:f>
        <x:v>B</x:v>
      </x:c>
      <x:c r="P267" t="str">
        <x:f>IF(RAND()&lt;(('Team_Info'!$E$2-COUNTIF($B267:O267,"W"))/('Team_Info'!$E$4-14)),"W","B")</x:f>
        <x:v>B</x:v>
      </x:c>
      <x:c r="Q267" t="str">
        <x:f>IF(RAND()&lt;(('Team_Info'!$E$2-COUNTIF($B267:P267,"W"))/('Team_Info'!$E$4-15)),"W","B")</x:f>
        <x:v>B</x:v>
      </x:c>
      <x:c r="R267" t="str">
        <x:f>IF(RAND()&lt;(('Team_Info'!$E$2-COUNTIF($B267:Q267,"W"))/('Team_Info'!$E$4-16)),"W","B")</x:f>
        <x:v>B</x:v>
      </x:c>
      <x:c r="S267" t="str">
        <x:f>IF(RAND()&lt;(('Team_Info'!$E$2-COUNTIF($B267:R267,"W"))/('Team_Info'!$E$4-17)),"W","B")</x:f>
        <x:v>W</x:v>
      </x:c>
      <x:c r="T267" t="str">
        <x:f>IF(RAND()&lt;(('Team_Info'!$E$2-COUNTIF($B267:S267,"W"))/('Team_Info'!$E$4-18)),"W","B")</x:f>
        <x:v>B</x:v>
      </x:c>
      <x:c r="U267" t="str">
        <x:f>IF(RAND()&lt;(('Team_Info'!$E$2-COUNTIF($B267:T267,"W"))/('Team_Info'!$E$4-19)),"W","B")</x:f>
        <x:v>B</x:v>
      </x:c>
    </x:row>
    <x:row r="268">
      <x:c r="A268" s="1">
        <x:v>267</x:v>
      </x:c>
      <x:c r="B268" t="str">
        <x:f>IF(RAND()&lt;'Team_Info'!$E$5,"W","B")</x:f>
        <x:v>B</x:v>
      </x:c>
      <x:c r="C268" t="str">
        <x:f>IF(RAND()&lt;(('Team_Info'!$E$2-COUNTIF($B268:B268,"W"))/('Team_Info'!$E$4-1)),"W","B")</x:f>
        <x:v>W</x:v>
      </x:c>
      <x:c r="D268" t="str">
        <x:f>IF(RAND()&lt;(('Team_Info'!$E$2-COUNTIF($B268:C268,"W"))/('Team_Info'!$E$4-2)),"W","B")</x:f>
        <x:v>W</x:v>
      </x:c>
      <x:c r="E268" t="str">
        <x:f>IF(RAND()&lt;(('Team_Info'!$E$2-COUNTIF($B268:D268,"W"))/('Team_Info'!$E$4-3)),"W","B")</x:f>
        <x:v>W</x:v>
      </x:c>
      <x:c r="F268" t="str">
        <x:f>IF(RAND()&lt;(('Team_Info'!$E$2-COUNTIF($B268:E268,"W"))/('Team_Info'!$E$4-4)),"W","B")</x:f>
        <x:v>B</x:v>
      </x:c>
      <x:c r="G268" t="str">
        <x:f>IF(RAND()&lt;(('Team_Info'!$E$2-COUNTIF($B268:F268,"W"))/('Team_Info'!$E$4-5)),"W","B")</x:f>
        <x:v>W</x:v>
      </x:c>
      <x:c r="H268" t="str">
        <x:f>IF(RAND()&lt;(('Team_Info'!$E$2-COUNTIF($B268:G268,"W"))/('Team_Info'!$E$4-6)),"W","B")</x:f>
        <x:v>W</x:v>
      </x:c>
      <x:c r="I268" t="str">
        <x:f>IF(RAND()&lt;(('Team_Info'!$E$2-COUNTIF($B268:H268,"W"))/('Team_Info'!$E$4-7)),"W","B")</x:f>
        <x:v>B</x:v>
      </x:c>
      <x:c r="J268" t="str">
        <x:f>IF(RAND()&lt;(('Team_Info'!$E$2-COUNTIF($B268:I268,"W"))/('Team_Info'!$E$4-8)),"W","B")</x:f>
        <x:v>W</x:v>
      </x:c>
      <x:c r="K268" t="str">
        <x:f>IF(RAND()&lt;(('Team_Info'!$E$2-COUNTIF($B268:J268,"W"))/('Team_Info'!$E$4-9)),"W","B")</x:f>
        <x:v>W</x:v>
      </x:c>
      <x:c r="L268" t="str">
        <x:f>IF(RAND()&lt;(('Team_Info'!$E$2-COUNTIF($B268:K268,"W"))/('Team_Info'!$E$4-10)),"W","B")</x:f>
        <x:v>B</x:v>
      </x:c>
      <x:c r="M268" t="str">
        <x:f>IF(RAND()&lt;(('Team_Info'!$E$2-COUNTIF($B268:L268,"W"))/('Team_Info'!$E$4-11)),"W","B")</x:f>
        <x:v>B</x:v>
      </x:c>
      <x:c r="N268" t="str">
        <x:f>IF(RAND()&lt;(('Team_Info'!$E$2-COUNTIF($B268:M268,"W"))/('Team_Info'!$E$4-12)),"W","B")</x:f>
        <x:v>B</x:v>
      </x:c>
      <x:c r="O268" t="str">
        <x:f>IF(RAND()&lt;(('Team_Info'!$E$2-COUNTIF($B268:N268,"W"))/('Team_Info'!$E$4-13)),"W","B")</x:f>
        <x:v>B</x:v>
      </x:c>
      <x:c r="P268" t="str">
        <x:f>IF(RAND()&lt;(('Team_Info'!$E$2-COUNTIF($B268:O268,"W"))/('Team_Info'!$E$4-14)),"W","B")</x:f>
        <x:v>B</x:v>
      </x:c>
      <x:c r="Q268" t="str">
        <x:f>IF(RAND()&lt;(('Team_Info'!$E$2-COUNTIF($B268:P268,"W"))/('Team_Info'!$E$4-15)),"W","B")</x:f>
        <x:v>W</x:v>
      </x:c>
      <x:c r="R268" t="str">
        <x:f>IF(RAND()&lt;(('Team_Info'!$E$2-COUNTIF($B268:Q268,"W"))/('Team_Info'!$E$4-16)),"W","B")</x:f>
        <x:v>B</x:v>
      </x:c>
      <x:c r="S268" t="str">
        <x:f>IF(RAND()&lt;(('Team_Info'!$E$2-COUNTIF($B268:R268,"W"))/('Team_Info'!$E$4-17)),"W","B")</x:f>
        <x:v>B</x:v>
      </x:c>
      <x:c r="T268" t="str">
        <x:f>IF(RAND()&lt;(('Team_Info'!$E$2-COUNTIF($B268:S268,"W"))/('Team_Info'!$E$4-18)),"W","B")</x:f>
        <x:v>W</x:v>
      </x:c>
      <x:c r="U268" t="str">
        <x:f>IF(RAND()&lt;(('Team_Info'!$E$2-COUNTIF($B268:T268,"W"))/('Team_Info'!$E$4-19)),"W","B")</x:f>
        <x:v>B</x:v>
      </x:c>
    </x:row>
    <x:row r="269">
      <x:c r="A269" s="1">
        <x:v>268</x:v>
      </x:c>
      <x:c r="B269" t="str">
        <x:f>IF(RAND()&lt;'Team_Info'!$E$5,"W","B")</x:f>
        <x:v>B</x:v>
      </x:c>
      <x:c r="C269" t="str">
        <x:f>IF(RAND()&lt;(('Team_Info'!$E$2-COUNTIF($B269:B269,"W"))/('Team_Info'!$E$4-1)),"W","B")</x:f>
        <x:v>B</x:v>
      </x:c>
      <x:c r="D269" t="str">
        <x:f>IF(RAND()&lt;(('Team_Info'!$E$2-COUNTIF($B269:C269,"W"))/('Team_Info'!$E$4-2)),"W","B")</x:f>
        <x:v>B</x:v>
      </x:c>
      <x:c r="E269" t="str">
        <x:f>IF(RAND()&lt;(('Team_Info'!$E$2-COUNTIF($B269:D269,"W"))/('Team_Info'!$E$4-3)),"W","B")</x:f>
        <x:v>B</x:v>
      </x:c>
      <x:c r="F269" t="str">
        <x:f>IF(RAND()&lt;(('Team_Info'!$E$2-COUNTIF($B269:E269,"W"))/('Team_Info'!$E$4-4)),"W","B")</x:f>
        <x:v>W</x:v>
      </x:c>
      <x:c r="G269" t="str">
        <x:f>IF(RAND()&lt;(('Team_Info'!$E$2-COUNTIF($B269:F269,"W"))/('Team_Info'!$E$4-5)),"W","B")</x:f>
        <x:v>W</x:v>
      </x:c>
      <x:c r="H269" t="str">
        <x:f>IF(RAND()&lt;(('Team_Info'!$E$2-COUNTIF($B269:G269,"W"))/('Team_Info'!$E$4-6)),"W","B")</x:f>
        <x:v>B</x:v>
      </x:c>
      <x:c r="I269" t="str">
        <x:f>IF(RAND()&lt;(('Team_Info'!$E$2-COUNTIF($B269:H269,"W"))/('Team_Info'!$E$4-7)),"W","B")</x:f>
        <x:v>W</x:v>
      </x:c>
      <x:c r="J269" t="str">
        <x:f>IF(RAND()&lt;(('Team_Info'!$E$2-COUNTIF($B269:I269,"W"))/('Team_Info'!$E$4-8)),"W","B")</x:f>
        <x:v>B</x:v>
      </x:c>
      <x:c r="K269" t="str">
        <x:f>IF(RAND()&lt;(('Team_Info'!$E$2-COUNTIF($B269:J269,"W"))/('Team_Info'!$E$4-9)),"W","B")</x:f>
        <x:v>W</x:v>
      </x:c>
      <x:c r="L269" t="str">
        <x:f>IF(RAND()&lt;(('Team_Info'!$E$2-COUNTIF($B269:K269,"W"))/('Team_Info'!$E$4-10)),"W","B")</x:f>
        <x:v>W</x:v>
      </x:c>
      <x:c r="M269" t="str">
        <x:f>IF(RAND()&lt;(('Team_Info'!$E$2-COUNTIF($B269:L269,"W"))/('Team_Info'!$E$4-11)),"W","B")</x:f>
        <x:v>B</x:v>
      </x:c>
      <x:c r="N269" t="str">
        <x:f>IF(RAND()&lt;(('Team_Info'!$E$2-COUNTIF($B269:M269,"W"))/('Team_Info'!$E$4-12)),"W","B")</x:f>
        <x:v>W</x:v>
      </x:c>
      <x:c r="O269" t="str">
        <x:f>IF(RAND()&lt;(('Team_Info'!$E$2-COUNTIF($B269:N269,"W"))/('Team_Info'!$E$4-13)),"W","B")</x:f>
        <x:v>W</x:v>
      </x:c>
      <x:c r="P269" t="str">
        <x:f>IF(RAND()&lt;(('Team_Info'!$E$2-COUNTIF($B269:O269,"W"))/('Team_Info'!$E$4-14)),"W","B")</x:f>
        <x:v>B</x:v>
      </x:c>
      <x:c r="Q269" t="str">
        <x:f>IF(RAND()&lt;(('Team_Info'!$E$2-COUNTIF($B269:P269,"W"))/('Team_Info'!$E$4-15)),"W","B")</x:f>
        <x:v>B</x:v>
      </x:c>
      <x:c r="R269" t="str">
        <x:f>IF(RAND()&lt;(('Team_Info'!$E$2-COUNTIF($B269:Q269,"W"))/('Team_Info'!$E$4-16)),"W","B")</x:f>
        <x:v>W</x:v>
      </x:c>
      <x:c r="S269" t="str">
        <x:f>IF(RAND()&lt;(('Team_Info'!$E$2-COUNTIF($B269:R269,"W"))/('Team_Info'!$E$4-17)),"W","B")</x:f>
        <x:v>W</x:v>
      </x:c>
      <x:c r="T269" t="str">
        <x:f>IF(RAND()&lt;(('Team_Info'!$E$2-COUNTIF($B269:S269,"W"))/('Team_Info'!$E$4-18)),"W","B")</x:f>
        <x:v>B</x:v>
      </x:c>
      <x:c r="U269" t="str">
        <x:f>IF(RAND()&lt;(('Team_Info'!$E$2-COUNTIF($B269:T269,"W"))/('Team_Info'!$E$4-19)),"W","B")</x:f>
        <x:v>B</x:v>
      </x:c>
    </x:row>
    <x:row r="270">
      <x:c r="A270" s="1">
        <x:v>269</x:v>
      </x:c>
      <x:c r="B270" t="str">
        <x:f>IF(RAND()&lt;'Team_Info'!$E$5,"W","B")</x:f>
        <x:v>B</x:v>
      </x:c>
      <x:c r="C270" t="str">
        <x:f>IF(RAND()&lt;(('Team_Info'!$E$2-COUNTIF($B270:B270,"W"))/('Team_Info'!$E$4-1)),"W","B")</x:f>
        <x:v>B</x:v>
      </x:c>
      <x:c r="D270" t="str">
        <x:f>IF(RAND()&lt;(('Team_Info'!$E$2-COUNTIF($B270:C270,"W"))/('Team_Info'!$E$4-2)),"W","B")</x:f>
        <x:v>B</x:v>
      </x:c>
      <x:c r="E270" t="str">
        <x:f>IF(RAND()&lt;(('Team_Info'!$E$2-COUNTIF($B270:D270,"W"))/('Team_Info'!$E$4-3)),"W","B")</x:f>
        <x:v>W</x:v>
      </x:c>
      <x:c r="F270" t="str">
        <x:f>IF(RAND()&lt;(('Team_Info'!$E$2-COUNTIF($B270:E270,"W"))/('Team_Info'!$E$4-4)),"W","B")</x:f>
        <x:v>W</x:v>
      </x:c>
      <x:c r="G270" t="str">
        <x:f>IF(RAND()&lt;(('Team_Info'!$E$2-COUNTIF($B270:F270,"W"))/('Team_Info'!$E$4-5)),"W","B")</x:f>
        <x:v>B</x:v>
      </x:c>
      <x:c r="H270" t="str">
        <x:f>IF(RAND()&lt;(('Team_Info'!$E$2-COUNTIF($B270:G270,"W"))/('Team_Info'!$E$4-6)),"W","B")</x:f>
        <x:v>B</x:v>
      </x:c>
      <x:c r="I270" t="str">
        <x:f>IF(RAND()&lt;(('Team_Info'!$E$2-COUNTIF($B270:H270,"W"))/('Team_Info'!$E$4-7)),"W","B")</x:f>
        <x:v>B</x:v>
      </x:c>
      <x:c r="J270" t="str">
        <x:f>IF(RAND()&lt;(('Team_Info'!$E$2-COUNTIF($B270:I270,"W"))/('Team_Info'!$E$4-8)),"W","B")</x:f>
        <x:v>B</x:v>
      </x:c>
      <x:c r="K270" t="str">
        <x:f>IF(RAND()&lt;(('Team_Info'!$E$2-COUNTIF($B270:J270,"W"))/('Team_Info'!$E$4-9)),"W","B")</x:f>
        <x:v>W</x:v>
      </x:c>
      <x:c r="L270" t="str">
        <x:f>IF(RAND()&lt;(('Team_Info'!$E$2-COUNTIF($B270:K270,"W"))/('Team_Info'!$E$4-10)),"W","B")</x:f>
        <x:v>W</x:v>
      </x:c>
      <x:c r="M270" t="str">
        <x:f>IF(RAND()&lt;(('Team_Info'!$E$2-COUNTIF($B270:L270,"W"))/('Team_Info'!$E$4-11)),"W","B")</x:f>
        <x:v>B</x:v>
      </x:c>
      <x:c r="N270" t="str">
        <x:f>IF(RAND()&lt;(('Team_Info'!$E$2-COUNTIF($B270:M270,"W"))/('Team_Info'!$E$4-12)),"W","B")</x:f>
        <x:v>W</x:v>
      </x:c>
      <x:c r="O270" t="str">
        <x:f>IF(RAND()&lt;(('Team_Info'!$E$2-COUNTIF($B270:N270,"W"))/('Team_Info'!$E$4-13)),"W","B")</x:f>
        <x:v>W</x:v>
      </x:c>
      <x:c r="P270" t="str">
        <x:f>IF(RAND()&lt;(('Team_Info'!$E$2-COUNTIF($B270:O270,"W"))/('Team_Info'!$E$4-14)),"W","B")</x:f>
        <x:v>W</x:v>
      </x:c>
      <x:c r="Q270" t="str">
        <x:f>IF(RAND()&lt;(('Team_Info'!$E$2-COUNTIF($B270:P270,"W"))/('Team_Info'!$E$4-15)),"W","B")</x:f>
        <x:v>W</x:v>
      </x:c>
      <x:c r="R270" t="str">
        <x:f>IF(RAND()&lt;(('Team_Info'!$E$2-COUNTIF($B270:Q270,"W"))/('Team_Info'!$E$4-16)),"W","B")</x:f>
        <x:v>B</x:v>
      </x:c>
      <x:c r="S270" t="str">
        <x:f>IF(RAND()&lt;(('Team_Info'!$E$2-COUNTIF($B270:R270,"W"))/('Team_Info'!$E$4-17)),"W","B")</x:f>
        <x:v>W</x:v>
      </x:c>
      <x:c r="T270" t="str">
        <x:f>IF(RAND()&lt;(('Team_Info'!$E$2-COUNTIF($B270:S270,"W"))/('Team_Info'!$E$4-18)),"W","B")</x:f>
        <x:v>B</x:v>
      </x:c>
      <x:c r="U270" t="str">
        <x:f>IF(RAND()&lt;(('Team_Info'!$E$2-COUNTIF($B270:T270,"W"))/('Team_Info'!$E$4-19)),"W","B")</x:f>
        <x:v>B</x:v>
      </x:c>
    </x:row>
    <x:row r="271">
      <x:c r="A271" s="1">
        <x:v>270</x:v>
      </x:c>
      <x:c r="B271" t="str">
        <x:f>IF(RAND()&lt;'Team_Info'!$E$5,"W","B")</x:f>
        <x:v>B</x:v>
      </x:c>
      <x:c r="C271" t="str">
        <x:f>IF(RAND()&lt;(('Team_Info'!$E$2-COUNTIF($B271:B271,"W"))/('Team_Info'!$E$4-1)),"W","B")</x:f>
        <x:v>W</x:v>
      </x:c>
      <x:c r="D271" t="str">
        <x:f>IF(RAND()&lt;(('Team_Info'!$E$2-COUNTIF($B271:C271,"W"))/('Team_Info'!$E$4-2)),"W","B")</x:f>
        <x:v>B</x:v>
      </x:c>
      <x:c r="E271" t="str">
        <x:f>IF(RAND()&lt;(('Team_Info'!$E$2-COUNTIF($B271:D271,"W"))/('Team_Info'!$E$4-3)),"W","B")</x:f>
        <x:v>B</x:v>
      </x:c>
      <x:c r="F271" t="str">
        <x:f>IF(RAND()&lt;(('Team_Info'!$E$2-COUNTIF($B271:E271,"W"))/('Team_Info'!$E$4-4)),"W","B")</x:f>
        <x:v>B</x:v>
      </x:c>
      <x:c r="G271" t="str">
        <x:f>IF(RAND()&lt;(('Team_Info'!$E$2-COUNTIF($B271:F271,"W"))/('Team_Info'!$E$4-5)),"W","B")</x:f>
        <x:v>B</x:v>
      </x:c>
      <x:c r="H271" t="str">
        <x:f>IF(RAND()&lt;(('Team_Info'!$E$2-COUNTIF($B271:G271,"W"))/('Team_Info'!$E$4-6)),"W","B")</x:f>
        <x:v>W</x:v>
      </x:c>
      <x:c r="I271" t="str">
        <x:f>IF(RAND()&lt;(('Team_Info'!$E$2-COUNTIF($B271:H271,"W"))/('Team_Info'!$E$4-7)),"W","B")</x:f>
        <x:v>W</x:v>
      </x:c>
      <x:c r="J271" t="str">
        <x:f>IF(RAND()&lt;(('Team_Info'!$E$2-COUNTIF($B271:I271,"W"))/('Team_Info'!$E$4-8)),"W","B")</x:f>
        <x:v>B</x:v>
      </x:c>
      <x:c r="K271" t="str">
        <x:f>IF(RAND()&lt;(('Team_Info'!$E$2-COUNTIF($B271:J271,"W"))/('Team_Info'!$E$4-9)),"W","B")</x:f>
        <x:v>B</x:v>
      </x:c>
      <x:c r="L271" t="str">
        <x:f>IF(RAND()&lt;(('Team_Info'!$E$2-COUNTIF($B271:K271,"W"))/('Team_Info'!$E$4-10)),"W","B")</x:f>
        <x:v>B</x:v>
      </x:c>
      <x:c r="M271" t="str">
        <x:f>IF(RAND()&lt;(('Team_Info'!$E$2-COUNTIF($B271:L271,"W"))/('Team_Info'!$E$4-11)),"W","B")</x:f>
        <x:v>W</x:v>
      </x:c>
      <x:c r="N271" t="str">
        <x:f>IF(RAND()&lt;(('Team_Info'!$E$2-COUNTIF($B271:M271,"W"))/('Team_Info'!$E$4-12)),"W","B")</x:f>
        <x:v>W</x:v>
      </x:c>
      <x:c r="O271" t="str">
        <x:f>IF(RAND()&lt;(('Team_Info'!$E$2-COUNTIF($B271:N271,"W"))/('Team_Info'!$E$4-13)),"W","B")</x:f>
        <x:v>W</x:v>
      </x:c>
      <x:c r="P271" t="str">
        <x:f>IF(RAND()&lt;(('Team_Info'!$E$2-COUNTIF($B271:O271,"W"))/('Team_Info'!$E$4-14)),"W","B")</x:f>
        <x:v>B</x:v>
      </x:c>
      <x:c r="Q271" t="str">
        <x:f>IF(RAND()&lt;(('Team_Info'!$E$2-COUNTIF($B271:P271,"W"))/('Team_Info'!$E$4-15)),"W","B")</x:f>
        <x:v>B</x:v>
      </x:c>
      <x:c r="R271" t="str">
        <x:f>IF(RAND()&lt;(('Team_Info'!$E$2-COUNTIF($B271:Q271,"W"))/('Team_Info'!$E$4-16)),"W","B")</x:f>
        <x:v>W</x:v>
      </x:c>
      <x:c r="S271" t="str">
        <x:f>IF(RAND()&lt;(('Team_Info'!$E$2-COUNTIF($B271:R271,"W"))/('Team_Info'!$E$4-17)),"W","B")</x:f>
        <x:v>W</x:v>
      </x:c>
      <x:c r="T271" t="str">
        <x:f>IF(RAND()&lt;(('Team_Info'!$E$2-COUNTIF($B271:S271,"W"))/('Team_Info'!$E$4-18)),"W","B")</x:f>
        <x:v>B</x:v>
      </x:c>
      <x:c r="U271" t="str">
        <x:f>IF(RAND()&lt;(('Team_Info'!$E$2-COUNTIF($B271:T271,"W"))/('Team_Info'!$E$4-19)),"W","B")</x:f>
        <x:v>B</x:v>
      </x:c>
    </x:row>
    <x:row r="272">
      <x:c r="A272" s="1">
        <x:v>271</x:v>
      </x:c>
      <x:c r="B272" t="str">
        <x:f>IF(RAND()&lt;'Team_Info'!$E$5,"W","B")</x:f>
        <x:v>W</x:v>
      </x:c>
      <x:c r="C272" t="str">
        <x:f>IF(RAND()&lt;(('Team_Info'!$E$2-COUNTIF($B272:B272,"W"))/('Team_Info'!$E$4-1)),"W","B")</x:f>
        <x:v>W</x:v>
      </x:c>
      <x:c r="D272" t="str">
        <x:f>IF(RAND()&lt;(('Team_Info'!$E$2-COUNTIF($B272:C272,"W"))/('Team_Info'!$E$4-2)),"W","B")</x:f>
        <x:v>B</x:v>
      </x:c>
      <x:c r="E272" t="str">
        <x:f>IF(RAND()&lt;(('Team_Info'!$E$2-COUNTIF($B272:D272,"W"))/('Team_Info'!$E$4-3)),"W","B")</x:f>
        <x:v>B</x:v>
      </x:c>
      <x:c r="F272" t="str">
        <x:f>IF(RAND()&lt;(('Team_Info'!$E$2-COUNTIF($B272:E272,"W"))/('Team_Info'!$E$4-4)),"W","B")</x:f>
        <x:v>W</x:v>
      </x:c>
      <x:c r="G272" t="str">
        <x:f>IF(RAND()&lt;(('Team_Info'!$E$2-COUNTIF($B272:F272,"W"))/('Team_Info'!$E$4-5)),"W","B")</x:f>
        <x:v>B</x:v>
      </x:c>
      <x:c r="H272" t="str">
        <x:f>IF(RAND()&lt;(('Team_Info'!$E$2-COUNTIF($B272:G272,"W"))/('Team_Info'!$E$4-6)),"W","B")</x:f>
        <x:v>B</x:v>
      </x:c>
      <x:c r="I272" t="str">
        <x:f>IF(RAND()&lt;(('Team_Info'!$E$2-COUNTIF($B272:H272,"W"))/('Team_Info'!$E$4-7)),"W","B")</x:f>
        <x:v>B</x:v>
      </x:c>
      <x:c r="J272" t="str">
        <x:f>IF(RAND()&lt;(('Team_Info'!$E$2-COUNTIF($B272:I272,"W"))/('Team_Info'!$E$4-8)),"W","B")</x:f>
        <x:v>W</x:v>
      </x:c>
      <x:c r="K272" t="str">
        <x:f>IF(RAND()&lt;(('Team_Info'!$E$2-COUNTIF($B272:J272,"W"))/('Team_Info'!$E$4-9)),"W","B")</x:f>
        <x:v>B</x:v>
      </x:c>
      <x:c r="L272" t="str">
        <x:f>IF(RAND()&lt;(('Team_Info'!$E$2-COUNTIF($B272:K272,"W"))/('Team_Info'!$E$4-10)),"W","B")</x:f>
        <x:v>B</x:v>
      </x:c>
      <x:c r="M272" t="str">
        <x:f>IF(RAND()&lt;(('Team_Info'!$E$2-COUNTIF($B272:L272,"W"))/('Team_Info'!$E$4-11)),"W","B")</x:f>
        <x:v>B</x:v>
      </x:c>
      <x:c r="N272" t="str">
        <x:f>IF(RAND()&lt;(('Team_Info'!$E$2-COUNTIF($B272:M272,"W"))/('Team_Info'!$E$4-12)),"W","B")</x:f>
        <x:v>B</x:v>
      </x:c>
      <x:c r="O272" t="str">
        <x:f>IF(RAND()&lt;(('Team_Info'!$E$2-COUNTIF($B272:N272,"W"))/('Team_Info'!$E$4-13)),"W","B")</x:f>
        <x:v>W</x:v>
      </x:c>
      <x:c r="P272" t="str">
        <x:f>IF(RAND()&lt;(('Team_Info'!$E$2-COUNTIF($B272:O272,"W"))/('Team_Info'!$E$4-14)),"W","B")</x:f>
        <x:v>B</x:v>
      </x:c>
      <x:c r="Q272" t="str">
        <x:f>IF(RAND()&lt;(('Team_Info'!$E$2-COUNTIF($B272:P272,"W"))/('Team_Info'!$E$4-15)),"W","B")</x:f>
        <x:v>W</x:v>
      </x:c>
      <x:c r="R272" t="str">
        <x:f>IF(RAND()&lt;(('Team_Info'!$E$2-COUNTIF($B272:Q272,"W"))/('Team_Info'!$E$4-16)),"W","B")</x:f>
        <x:v>W</x:v>
      </x:c>
      <x:c r="S272" t="str">
        <x:f>IF(RAND()&lt;(('Team_Info'!$E$2-COUNTIF($B272:R272,"W"))/('Team_Info'!$E$4-17)),"W","B")</x:f>
        <x:v>B</x:v>
      </x:c>
      <x:c r="T272" t="str">
        <x:f>IF(RAND()&lt;(('Team_Info'!$E$2-COUNTIF($B272:S272,"W"))/('Team_Info'!$E$4-18)),"W","B")</x:f>
        <x:v>W</x:v>
      </x:c>
      <x:c r="U272" t="str">
        <x:f>IF(RAND()&lt;(('Team_Info'!$E$2-COUNTIF($B272:T272,"W"))/('Team_Info'!$E$4-19)),"W","B")</x:f>
        <x:v>B</x:v>
      </x:c>
    </x:row>
    <x:row r="273">
      <x:c r="A273" s="1">
        <x:v>272</x:v>
      </x:c>
      <x:c r="B273" t="str">
        <x:f>IF(RAND()&lt;'Team_Info'!$E$5,"W","B")</x:f>
        <x:v>W</x:v>
      </x:c>
      <x:c r="C273" t="str">
        <x:f>IF(RAND()&lt;(('Team_Info'!$E$2-COUNTIF($B273:B273,"W"))/('Team_Info'!$E$4-1)),"W","B")</x:f>
        <x:v>W</x:v>
      </x:c>
      <x:c r="D273" t="str">
        <x:f>IF(RAND()&lt;(('Team_Info'!$E$2-COUNTIF($B273:C273,"W"))/('Team_Info'!$E$4-2)),"W","B")</x:f>
        <x:v>W</x:v>
      </x:c>
      <x:c r="E273" t="str">
        <x:f>IF(RAND()&lt;(('Team_Info'!$E$2-COUNTIF($B273:D273,"W"))/('Team_Info'!$E$4-3)),"W","B")</x:f>
        <x:v>B</x:v>
      </x:c>
      <x:c r="F273" t="str">
        <x:f>IF(RAND()&lt;(('Team_Info'!$E$2-COUNTIF($B273:E273,"W"))/('Team_Info'!$E$4-4)),"W","B")</x:f>
        <x:v>W</x:v>
      </x:c>
      <x:c r="G273" t="str">
        <x:f>IF(RAND()&lt;(('Team_Info'!$E$2-COUNTIF($B273:F273,"W"))/('Team_Info'!$E$4-5)),"W","B")</x:f>
        <x:v>B</x:v>
      </x:c>
      <x:c r="H273" t="str">
        <x:f>IF(RAND()&lt;(('Team_Info'!$E$2-COUNTIF($B273:G273,"W"))/('Team_Info'!$E$4-6)),"W","B")</x:f>
        <x:v>B</x:v>
      </x:c>
      <x:c r="I273" t="str">
        <x:f>IF(RAND()&lt;(('Team_Info'!$E$2-COUNTIF($B273:H273,"W"))/('Team_Info'!$E$4-7)),"W","B")</x:f>
        <x:v>W</x:v>
      </x:c>
      <x:c r="J273" t="str">
        <x:f>IF(RAND()&lt;(('Team_Info'!$E$2-COUNTIF($B273:I273,"W"))/('Team_Info'!$E$4-8)),"W","B")</x:f>
        <x:v>W</x:v>
      </x:c>
      <x:c r="K273" t="str">
        <x:f>IF(RAND()&lt;(('Team_Info'!$E$2-COUNTIF($B273:J273,"W"))/('Team_Info'!$E$4-9)),"W","B")</x:f>
        <x:v>B</x:v>
      </x:c>
      <x:c r="L273" t="str">
        <x:f>IF(RAND()&lt;(('Team_Info'!$E$2-COUNTIF($B273:K273,"W"))/('Team_Info'!$E$4-10)),"W","B")</x:f>
        <x:v>B</x:v>
      </x:c>
      <x:c r="M273" t="str">
        <x:f>IF(RAND()&lt;(('Team_Info'!$E$2-COUNTIF($B273:L273,"W"))/('Team_Info'!$E$4-11)),"W","B")</x:f>
        <x:v>B</x:v>
      </x:c>
      <x:c r="N273" t="str">
        <x:f>IF(RAND()&lt;(('Team_Info'!$E$2-COUNTIF($B273:M273,"W"))/('Team_Info'!$E$4-12)),"W","B")</x:f>
        <x:v>W</x:v>
      </x:c>
      <x:c r="O273" t="str">
        <x:f>IF(RAND()&lt;(('Team_Info'!$E$2-COUNTIF($B273:N273,"W"))/('Team_Info'!$E$4-13)),"W","B")</x:f>
        <x:v>W</x:v>
      </x:c>
      <x:c r="P273" t="str">
        <x:f>IF(RAND()&lt;(('Team_Info'!$E$2-COUNTIF($B273:O273,"W"))/('Team_Info'!$E$4-14)),"W","B")</x:f>
        <x:v>B</x:v>
      </x:c>
      <x:c r="Q273" t="str">
        <x:f>IF(RAND()&lt;(('Team_Info'!$E$2-COUNTIF($B273:P273,"W"))/('Team_Info'!$E$4-15)),"W","B")</x:f>
        <x:v>B</x:v>
      </x:c>
      <x:c r="R273" t="str">
        <x:f>IF(RAND()&lt;(('Team_Info'!$E$2-COUNTIF($B273:Q273,"W"))/('Team_Info'!$E$4-16)),"W","B")</x:f>
        <x:v>W</x:v>
      </x:c>
      <x:c r="S273" t="str">
        <x:f>IF(RAND()&lt;(('Team_Info'!$E$2-COUNTIF($B273:R273,"W"))/('Team_Info'!$E$4-17)),"W","B")</x:f>
        <x:v>W</x:v>
      </x:c>
      <x:c r="T273" t="str">
        <x:f>IF(RAND()&lt;(('Team_Info'!$E$2-COUNTIF($B273:S273,"W"))/('Team_Info'!$E$4-18)),"W","B")</x:f>
        <x:v>B</x:v>
      </x:c>
      <x:c r="U273" t="str">
        <x:f>IF(RAND()&lt;(('Team_Info'!$E$2-COUNTIF($B273:T273,"W"))/('Team_Info'!$E$4-19)),"W","B")</x:f>
        <x:v>B</x:v>
      </x:c>
    </x:row>
    <x:row r="274">
      <x:c r="A274" s="1">
        <x:v>273</x:v>
      </x:c>
      <x:c r="B274" t="str">
        <x:f>IF(RAND()&lt;'Team_Info'!$E$5,"W","B")</x:f>
        <x:v>B</x:v>
      </x:c>
      <x:c r="C274" t="str">
        <x:f>IF(RAND()&lt;(('Team_Info'!$E$2-COUNTIF($B274:B274,"W"))/('Team_Info'!$E$4-1)),"W","B")</x:f>
        <x:v>B</x:v>
      </x:c>
      <x:c r="D274" t="str">
        <x:f>IF(RAND()&lt;(('Team_Info'!$E$2-COUNTIF($B274:C274,"W"))/('Team_Info'!$E$4-2)),"W","B")</x:f>
        <x:v>W</x:v>
      </x:c>
      <x:c r="E274" t="str">
        <x:f>IF(RAND()&lt;(('Team_Info'!$E$2-COUNTIF($B274:D274,"W"))/('Team_Info'!$E$4-3)),"W","B")</x:f>
        <x:v>W</x:v>
      </x:c>
      <x:c r="F274" t="str">
        <x:f>IF(RAND()&lt;(('Team_Info'!$E$2-COUNTIF($B274:E274,"W"))/('Team_Info'!$E$4-4)),"W","B")</x:f>
        <x:v>B</x:v>
      </x:c>
      <x:c r="G274" t="str">
        <x:f>IF(RAND()&lt;(('Team_Info'!$E$2-COUNTIF($B274:F274,"W"))/('Team_Info'!$E$4-5)),"W","B")</x:f>
        <x:v>W</x:v>
      </x:c>
      <x:c r="H274" t="str">
        <x:f>IF(RAND()&lt;(('Team_Info'!$E$2-COUNTIF($B274:G274,"W"))/('Team_Info'!$E$4-6)),"W","B")</x:f>
        <x:v>B</x:v>
      </x:c>
      <x:c r="I274" t="str">
        <x:f>IF(RAND()&lt;(('Team_Info'!$E$2-COUNTIF($B274:H274,"W"))/('Team_Info'!$E$4-7)),"W","B")</x:f>
        <x:v>W</x:v>
      </x:c>
      <x:c r="J274" t="str">
        <x:f>IF(RAND()&lt;(('Team_Info'!$E$2-COUNTIF($B274:I274,"W"))/('Team_Info'!$E$4-8)),"W","B")</x:f>
        <x:v>B</x:v>
      </x:c>
      <x:c r="K274" t="str">
        <x:f>IF(RAND()&lt;(('Team_Info'!$E$2-COUNTIF($B274:J274,"W"))/('Team_Info'!$E$4-9)),"W","B")</x:f>
        <x:v>B</x:v>
      </x:c>
      <x:c r="L274" t="str">
        <x:f>IF(RAND()&lt;(('Team_Info'!$E$2-COUNTIF($B274:K274,"W"))/('Team_Info'!$E$4-10)),"W","B")</x:f>
        <x:v>B</x:v>
      </x:c>
      <x:c r="M274" t="str">
        <x:f>IF(RAND()&lt;(('Team_Info'!$E$2-COUNTIF($B274:L274,"W"))/('Team_Info'!$E$4-11)),"W","B")</x:f>
        <x:v>B</x:v>
      </x:c>
      <x:c r="N274" t="str">
        <x:f>IF(RAND()&lt;(('Team_Info'!$E$2-COUNTIF($B274:M274,"W"))/('Team_Info'!$E$4-12)),"W","B")</x:f>
        <x:v>W</x:v>
      </x:c>
      <x:c r="O274" t="str">
        <x:f>IF(RAND()&lt;(('Team_Info'!$E$2-COUNTIF($B274:N274,"W"))/('Team_Info'!$E$4-13)),"W","B")</x:f>
        <x:v>B</x:v>
      </x:c>
      <x:c r="P274" t="str">
        <x:f>IF(RAND()&lt;(('Team_Info'!$E$2-COUNTIF($B274:O274,"W"))/('Team_Info'!$E$4-14)),"W","B")</x:f>
        <x:v>B</x:v>
      </x:c>
      <x:c r="Q274" t="str">
        <x:f>IF(RAND()&lt;(('Team_Info'!$E$2-COUNTIF($B274:P274,"W"))/('Team_Info'!$E$4-15)),"W","B")</x:f>
        <x:v>W</x:v>
      </x:c>
      <x:c r="R274" t="str">
        <x:f>IF(RAND()&lt;(('Team_Info'!$E$2-COUNTIF($B274:Q274,"W"))/('Team_Info'!$E$4-16)),"W","B")</x:f>
        <x:v>W</x:v>
      </x:c>
      <x:c r="S274" t="str">
        <x:f>IF(RAND()&lt;(('Team_Info'!$E$2-COUNTIF($B274:R274,"W"))/('Team_Info'!$E$4-17)),"W","B")</x:f>
        <x:v>W</x:v>
      </x:c>
      <x:c r="T274" t="str">
        <x:f>IF(RAND()&lt;(('Team_Info'!$E$2-COUNTIF($B274:S274,"W"))/('Team_Info'!$E$4-18)),"W","B")</x:f>
        <x:v>W</x:v>
      </x:c>
      <x:c r="U274" t="str">
        <x:f>IF(RAND()&lt;(('Team_Info'!$E$2-COUNTIF($B274:T274,"W"))/('Team_Info'!$E$4-19)),"W","B")</x:f>
        <x:v>B</x:v>
      </x:c>
    </x:row>
    <x:row r="275">
      <x:c r="A275" s="1">
        <x:v>274</x:v>
      </x:c>
      <x:c r="B275" t="str">
        <x:f>IF(RAND()&lt;'Team_Info'!$E$5,"W","B")</x:f>
        <x:v>W</x:v>
      </x:c>
      <x:c r="C275" t="str">
        <x:f>IF(RAND()&lt;(('Team_Info'!$E$2-COUNTIF($B275:B275,"W"))/('Team_Info'!$E$4-1)),"W","B")</x:f>
        <x:v>W</x:v>
      </x:c>
      <x:c r="D275" t="str">
        <x:f>IF(RAND()&lt;(('Team_Info'!$E$2-COUNTIF($B275:C275,"W"))/('Team_Info'!$E$4-2)),"W","B")</x:f>
        <x:v>B</x:v>
      </x:c>
      <x:c r="E275" t="str">
        <x:f>IF(RAND()&lt;(('Team_Info'!$E$2-COUNTIF($B275:D275,"W"))/('Team_Info'!$E$4-3)),"W","B")</x:f>
        <x:v>W</x:v>
      </x:c>
      <x:c r="F275" t="str">
        <x:f>IF(RAND()&lt;(('Team_Info'!$E$2-COUNTIF($B275:E275,"W"))/('Team_Info'!$E$4-4)),"W","B")</x:f>
        <x:v>B</x:v>
      </x:c>
      <x:c r="G275" t="str">
        <x:f>IF(RAND()&lt;(('Team_Info'!$E$2-COUNTIF($B275:F275,"W"))/('Team_Info'!$E$4-5)),"W","B")</x:f>
        <x:v>B</x:v>
      </x:c>
      <x:c r="H275" t="str">
        <x:f>IF(RAND()&lt;(('Team_Info'!$E$2-COUNTIF($B275:G275,"W"))/('Team_Info'!$E$4-6)),"W","B")</x:f>
        <x:v>W</x:v>
      </x:c>
      <x:c r="I275" t="str">
        <x:f>IF(RAND()&lt;(('Team_Info'!$E$2-COUNTIF($B275:H275,"W"))/('Team_Info'!$E$4-7)),"W","B")</x:f>
        <x:v>B</x:v>
      </x:c>
      <x:c r="J275" t="str">
        <x:f>IF(RAND()&lt;(('Team_Info'!$E$2-COUNTIF($B275:I275,"W"))/('Team_Info'!$E$4-8)),"W","B")</x:f>
        <x:v>B</x:v>
      </x:c>
      <x:c r="K275" t="str">
        <x:f>IF(RAND()&lt;(('Team_Info'!$E$2-COUNTIF($B275:J275,"W"))/('Team_Info'!$E$4-9)),"W","B")</x:f>
        <x:v>W</x:v>
      </x:c>
      <x:c r="L275" t="str">
        <x:f>IF(RAND()&lt;(('Team_Info'!$E$2-COUNTIF($B275:K275,"W"))/('Team_Info'!$E$4-10)),"W","B")</x:f>
        <x:v>B</x:v>
      </x:c>
      <x:c r="M275" t="str">
        <x:f>IF(RAND()&lt;(('Team_Info'!$E$2-COUNTIF($B275:L275,"W"))/('Team_Info'!$E$4-11)),"W","B")</x:f>
        <x:v>B</x:v>
      </x:c>
      <x:c r="N275" t="str">
        <x:f>IF(RAND()&lt;(('Team_Info'!$E$2-COUNTIF($B275:M275,"W"))/('Team_Info'!$E$4-12)),"W","B")</x:f>
        <x:v>B</x:v>
      </x:c>
      <x:c r="O275" t="str">
        <x:f>IF(RAND()&lt;(('Team_Info'!$E$2-COUNTIF($B275:N275,"W"))/('Team_Info'!$E$4-13)),"W","B")</x:f>
        <x:v>B</x:v>
      </x:c>
      <x:c r="P275" t="str">
        <x:f>IF(RAND()&lt;(('Team_Info'!$E$2-COUNTIF($B275:O275,"W"))/('Team_Info'!$E$4-14)),"W","B")</x:f>
        <x:v>W</x:v>
      </x:c>
      <x:c r="Q275" t="str">
        <x:f>IF(RAND()&lt;(('Team_Info'!$E$2-COUNTIF($B275:P275,"W"))/('Team_Info'!$E$4-15)),"W","B")</x:f>
        <x:v>B</x:v>
      </x:c>
      <x:c r="R275" t="str">
        <x:f>IF(RAND()&lt;(('Team_Info'!$E$2-COUNTIF($B275:Q275,"W"))/('Team_Info'!$E$4-16)),"W","B")</x:f>
        <x:v>B</x:v>
      </x:c>
      <x:c r="S275" t="str">
        <x:f>IF(RAND()&lt;(('Team_Info'!$E$2-COUNTIF($B275:R275,"W"))/('Team_Info'!$E$4-17)),"W","B")</x:f>
        <x:v>B</x:v>
      </x:c>
      <x:c r="T275" t="str">
        <x:f>IF(RAND()&lt;(('Team_Info'!$E$2-COUNTIF($B275:S275,"W"))/('Team_Info'!$E$4-18)),"W","B")</x:f>
        <x:v>W</x:v>
      </x:c>
      <x:c r="U275" t="str">
        <x:f>IF(RAND()&lt;(('Team_Info'!$E$2-COUNTIF($B275:T275,"W"))/('Team_Info'!$E$4-19)),"W","B")</x:f>
        <x:v>B</x:v>
      </x:c>
    </x:row>
    <x:row r="276">
      <x:c r="A276" s="1">
        <x:v>275</x:v>
      </x:c>
      <x:c r="B276" t="str">
        <x:f>IF(RAND()&lt;'Team_Info'!$E$5,"W","B")</x:f>
        <x:v>B</x:v>
      </x:c>
      <x:c r="C276" t="str">
        <x:f>IF(RAND()&lt;(('Team_Info'!$E$2-COUNTIF($B276:B276,"W"))/('Team_Info'!$E$4-1)),"W","B")</x:f>
        <x:v>W</x:v>
      </x:c>
      <x:c r="D276" t="str">
        <x:f>IF(RAND()&lt;(('Team_Info'!$E$2-COUNTIF($B276:C276,"W"))/('Team_Info'!$E$4-2)),"W","B")</x:f>
        <x:v>B</x:v>
      </x:c>
      <x:c r="E276" t="str">
        <x:f>IF(RAND()&lt;(('Team_Info'!$E$2-COUNTIF($B276:D276,"W"))/('Team_Info'!$E$4-3)),"W","B")</x:f>
        <x:v>W</x:v>
      </x:c>
      <x:c r="F276" t="str">
        <x:f>IF(RAND()&lt;(('Team_Info'!$E$2-COUNTIF($B276:E276,"W"))/('Team_Info'!$E$4-4)),"W","B")</x:f>
        <x:v>W</x:v>
      </x:c>
      <x:c r="G276" t="str">
        <x:f>IF(RAND()&lt;(('Team_Info'!$E$2-COUNTIF($B276:F276,"W"))/('Team_Info'!$E$4-5)),"W","B")</x:f>
        <x:v>B</x:v>
      </x:c>
      <x:c r="H276" t="str">
        <x:f>IF(RAND()&lt;(('Team_Info'!$E$2-COUNTIF($B276:G276,"W"))/('Team_Info'!$E$4-6)),"W","B")</x:f>
        <x:v>B</x:v>
      </x:c>
      <x:c r="I276" t="str">
        <x:f>IF(RAND()&lt;(('Team_Info'!$E$2-COUNTIF($B276:H276,"W"))/('Team_Info'!$E$4-7)),"W","B")</x:f>
        <x:v>B</x:v>
      </x:c>
      <x:c r="J276" t="str">
        <x:f>IF(RAND()&lt;(('Team_Info'!$E$2-COUNTIF($B276:I276,"W"))/('Team_Info'!$E$4-8)),"W","B")</x:f>
        <x:v>W</x:v>
      </x:c>
      <x:c r="K276" t="str">
        <x:f>IF(RAND()&lt;(('Team_Info'!$E$2-COUNTIF($B276:J276,"W"))/('Team_Info'!$E$4-9)),"W","B")</x:f>
        <x:v>B</x:v>
      </x:c>
      <x:c r="L276" t="str">
        <x:f>IF(RAND()&lt;(('Team_Info'!$E$2-COUNTIF($B276:K276,"W"))/('Team_Info'!$E$4-10)),"W","B")</x:f>
        <x:v>W</x:v>
      </x:c>
      <x:c r="M276" t="str">
        <x:f>IF(RAND()&lt;(('Team_Info'!$E$2-COUNTIF($B276:L276,"W"))/('Team_Info'!$E$4-11)),"W","B")</x:f>
        <x:v>B</x:v>
      </x:c>
      <x:c r="N276" t="str">
        <x:f>IF(RAND()&lt;(('Team_Info'!$E$2-COUNTIF($B276:M276,"W"))/('Team_Info'!$E$4-12)),"W","B")</x:f>
        <x:v>W</x:v>
      </x:c>
      <x:c r="O276" t="str">
        <x:f>IF(RAND()&lt;(('Team_Info'!$E$2-COUNTIF($B276:N276,"W"))/('Team_Info'!$E$4-13)),"W","B")</x:f>
        <x:v>B</x:v>
      </x:c>
      <x:c r="P276" t="str">
        <x:f>IF(RAND()&lt;(('Team_Info'!$E$2-COUNTIF($B276:O276,"W"))/('Team_Info'!$E$4-14)),"W","B")</x:f>
        <x:v>B</x:v>
      </x:c>
      <x:c r="Q276" t="str">
        <x:f>IF(RAND()&lt;(('Team_Info'!$E$2-COUNTIF($B276:P276,"W"))/('Team_Info'!$E$4-15)),"W","B")</x:f>
        <x:v>W</x:v>
      </x:c>
      <x:c r="R276" t="str">
        <x:f>IF(RAND()&lt;(('Team_Info'!$E$2-COUNTIF($B276:Q276,"W"))/('Team_Info'!$E$4-16)),"W","B")</x:f>
        <x:v>B</x:v>
      </x:c>
      <x:c r="S276" t="str">
        <x:f>IF(RAND()&lt;(('Team_Info'!$E$2-COUNTIF($B276:R276,"W"))/('Team_Info'!$E$4-17)),"W","B")</x:f>
        <x:v>W</x:v>
      </x:c>
      <x:c r="T276" t="str">
        <x:f>IF(RAND()&lt;(('Team_Info'!$E$2-COUNTIF($B276:S276,"W"))/('Team_Info'!$E$4-18)),"W","B")</x:f>
        <x:v>W</x:v>
      </x:c>
      <x:c r="U276" t="str">
        <x:f>IF(RAND()&lt;(('Team_Info'!$E$2-COUNTIF($B276:T276,"W"))/('Team_Info'!$E$4-19)),"W","B")</x:f>
        <x:v>W</x:v>
      </x:c>
    </x:row>
    <x:row r="277">
      <x:c r="A277" s="1">
        <x:v>276</x:v>
      </x:c>
      <x:c r="B277" t="str">
        <x:f>IF(RAND()&lt;'Team_Info'!$E$5,"W","B")</x:f>
        <x:v>W</x:v>
      </x:c>
      <x:c r="C277" t="str">
        <x:f>IF(RAND()&lt;(('Team_Info'!$E$2-COUNTIF($B277:B277,"W"))/('Team_Info'!$E$4-1)),"W","B")</x:f>
        <x:v>B</x:v>
      </x:c>
      <x:c r="D277" t="str">
        <x:f>IF(RAND()&lt;(('Team_Info'!$E$2-COUNTIF($B277:C277,"W"))/('Team_Info'!$E$4-2)),"W","B")</x:f>
        <x:v>W</x:v>
      </x:c>
      <x:c r="E277" t="str">
        <x:f>IF(RAND()&lt;(('Team_Info'!$E$2-COUNTIF($B277:D277,"W"))/('Team_Info'!$E$4-3)),"W","B")</x:f>
        <x:v>W</x:v>
      </x:c>
      <x:c r="F277" t="str">
        <x:f>IF(RAND()&lt;(('Team_Info'!$E$2-COUNTIF($B277:E277,"W"))/('Team_Info'!$E$4-4)),"W","B")</x:f>
        <x:v>B</x:v>
      </x:c>
      <x:c r="G277" t="str">
        <x:f>IF(RAND()&lt;(('Team_Info'!$E$2-COUNTIF($B277:F277,"W"))/('Team_Info'!$E$4-5)),"W","B")</x:f>
        <x:v>W</x:v>
      </x:c>
      <x:c r="H277" t="str">
        <x:f>IF(RAND()&lt;(('Team_Info'!$E$2-COUNTIF($B277:G277,"W"))/('Team_Info'!$E$4-6)),"W","B")</x:f>
        <x:v>B</x:v>
      </x:c>
      <x:c r="I277" t="str">
        <x:f>IF(RAND()&lt;(('Team_Info'!$E$2-COUNTIF($B277:H277,"W"))/('Team_Info'!$E$4-7)),"W","B")</x:f>
        <x:v>W</x:v>
      </x:c>
      <x:c r="J277" t="str">
        <x:f>IF(RAND()&lt;(('Team_Info'!$E$2-COUNTIF($B277:I277,"W"))/('Team_Info'!$E$4-8)),"W","B")</x:f>
        <x:v>B</x:v>
      </x:c>
      <x:c r="K277" t="str">
        <x:f>IF(RAND()&lt;(('Team_Info'!$E$2-COUNTIF($B277:J277,"W"))/('Team_Info'!$E$4-9)),"W","B")</x:f>
        <x:v>W</x:v>
      </x:c>
      <x:c r="L277" t="str">
        <x:f>IF(RAND()&lt;(('Team_Info'!$E$2-COUNTIF($B277:K277,"W"))/('Team_Info'!$E$4-10)),"W","B")</x:f>
        <x:v>B</x:v>
      </x:c>
      <x:c r="M277" t="str">
        <x:f>IF(RAND()&lt;(('Team_Info'!$E$2-COUNTIF($B277:L277,"W"))/('Team_Info'!$E$4-11)),"W","B")</x:f>
        <x:v>B</x:v>
      </x:c>
      <x:c r="N277" t="str">
        <x:f>IF(RAND()&lt;(('Team_Info'!$E$2-COUNTIF($B277:M277,"W"))/('Team_Info'!$E$4-12)),"W","B")</x:f>
        <x:v>W</x:v>
      </x:c>
      <x:c r="O277" t="str">
        <x:f>IF(RAND()&lt;(('Team_Info'!$E$2-COUNTIF($B277:N277,"W"))/('Team_Info'!$E$4-13)),"W","B")</x:f>
        <x:v>W</x:v>
      </x:c>
      <x:c r="P277" t="str">
        <x:f>IF(RAND()&lt;(('Team_Info'!$E$2-COUNTIF($B277:O277,"W"))/('Team_Info'!$E$4-14)),"W","B")</x:f>
        <x:v>W</x:v>
      </x:c>
      <x:c r="Q277" t="str">
        <x:f>IF(RAND()&lt;(('Team_Info'!$E$2-COUNTIF($B277:P277,"W"))/('Team_Info'!$E$4-15)),"W","B")</x:f>
        <x:v>B</x:v>
      </x:c>
      <x:c r="R277" t="str">
        <x:f>IF(RAND()&lt;(('Team_Info'!$E$2-COUNTIF($B277:Q277,"W"))/('Team_Info'!$E$4-16)),"W","B")</x:f>
        <x:v>B</x:v>
      </x:c>
      <x:c r="S277" t="str">
        <x:f>IF(RAND()&lt;(('Team_Info'!$E$2-COUNTIF($B277:R277,"W"))/('Team_Info'!$E$4-17)),"W","B")</x:f>
        <x:v>B</x:v>
      </x:c>
      <x:c r="T277" t="str">
        <x:f>IF(RAND()&lt;(('Team_Info'!$E$2-COUNTIF($B277:S277,"W"))/('Team_Info'!$E$4-18)),"W","B")</x:f>
        <x:v>W</x:v>
      </x:c>
      <x:c r="U277" t="str">
        <x:f>IF(RAND()&lt;(('Team_Info'!$E$2-COUNTIF($B277:T277,"W"))/('Team_Info'!$E$4-19)),"W","B")</x:f>
        <x:v>B</x:v>
      </x:c>
    </x:row>
    <x:row r="278">
      <x:c r="A278" s="1">
        <x:v>277</x:v>
      </x:c>
      <x:c r="B278" t="str">
        <x:f>IF(RAND()&lt;'Team_Info'!$E$5,"W","B")</x:f>
        <x:v>B</x:v>
      </x:c>
      <x:c r="C278" t="str">
        <x:f>IF(RAND()&lt;(('Team_Info'!$E$2-COUNTIF($B278:B278,"W"))/('Team_Info'!$E$4-1)),"W","B")</x:f>
        <x:v>W</x:v>
      </x:c>
      <x:c r="D278" t="str">
        <x:f>IF(RAND()&lt;(('Team_Info'!$E$2-COUNTIF($B278:C278,"W"))/('Team_Info'!$E$4-2)),"W","B")</x:f>
        <x:v>B</x:v>
      </x:c>
      <x:c r="E278" t="str">
        <x:f>IF(RAND()&lt;(('Team_Info'!$E$2-COUNTIF($B278:D278,"W"))/('Team_Info'!$E$4-3)),"W","B")</x:f>
        <x:v>B</x:v>
      </x:c>
      <x:c r="F278" t="str">
        <x:f>IF(RAND()&lt;(('Team_Info'!$E$2-COUNTIF($B278:E278,"W"))/('Team_Info'!$E$4-4)),"W","B")</x:f>
        <x:v>W</x:v>
      </x:c>
      <x:c r="G278" t="str">
        <x:f>IF(RAND()&lt;(('Team_Info'!$E$2-COUNTIF($B278:F278,"W"))/('Team_Info'!$E$4-5)),"W","B")</x:f>
        <x:v>W</x:v>
      </x:c>
      <x:c r="H278" t="str">
        <x:f>IF(RAND()&lt;(('Team_Info'!$E$2-COUNTIF($B278:G278,"W"))/('Team_Info'!$E$4-6)),"W","B")</x:f>
        <x:v>W</x:v>
      </x:c>
      <x:c r="I278" t="str">
        <x:f>IF(RAND()&lt;(('Team_Info'!$E$2-COUNTIF($B278:H278,"W"))/('Team_Info'!$E$4-7)),"W","B")</x:f>
        <x:v>B</x:v>
      </x:c>
      <x:c r="J278" t="str">
        <x:f>IF(RAND()&lt;(('Team_Info'!$E$2-COUNTIF($B278:I278,"W"))/('Team_Info'!$E$4-8)),"W","B")</x:f>
        <x:v>B</x:v>
      </x:c>
      <x:c r="K278" t="str">
        <x:f>IF(RAND()&lt;(('Team_Info'!$E$2-COUNTIF($B278:J278,"W"))/('Team_Info'!$E$4-9)),"W","B")</x:f>
        <x:v>W</x:v>
      </x:c>
      <x:c r="L278" t="str">
        <x:f>IF(RAND()&lt;(('Team_Info'!$E$2-COUNTIF($B278:K278,"W"))/('Team_Info'!$E$4-10)),"W","B")</x:f>
        <x:v>B</x:v>
      </x:c>
      <x:c r="M278" t="str">
        <x:f>IF(RAND()&lt;(('Team_Info'!$E$2-COUNTIF($B278:L278,"W"))/('Team_Info'!$E$4-11)),"W","B")</x:f>
        <x:v>W</x:v>
      </x:c>
      <x:c r="N278" t="str">
        <x:f>IF(RAND()&lt;(('Team_Info'!$E$2-COUNTIF($B278:M278,"W"))/('Team_Info'!$E$4-12)),"W","B")</x:f>
        <x:v>W</x:v>
      </x:c>
      <x:c r="O278" t="str">
        <x:f>IF(RAND()&lt;(('Team_Info'!$E$2-COUNTIF($B278:N278,"W"))/('Team_Info'!$E$4-13)),"W","B")</x:f>
        <x:v>B</x:v>
      </x:c>
      <x:c r="P278" t="str">
        <x:f>IF(RAND()&lt;(('Team_Info'!$E$2-COUNTIF($B278:O278,"W"))/('Team_Info'!$E$4-14)),"W","B")</x:f>
        <x:v>W</x:v>
      </x:c>
      <x:c r="Q278" t="str">
        <x:f>IF(RAND()&lt;(('Team_Info'!$E$2-COUNTIF($B278:P278,"W"))/('Team_Info'!$E$4-15)),"W","B")</x:f>
        <x:v>B</x:v>
      </x:c>
      <x:c r="R278" t="str">
        <x:f>IF(RAND()&lt;(('Team_Info'!$E$2-COUNTIF($B278:Q278,"W"))/('Team_Info'!$E$4-16)),"W","B")</x:f>
        <x:v>W</x:v>
      </x:c>
      <x:c r="S278" t="str">
        <x:f>IF(RAND()&lt;(('Team_Info'!$E$2-COUNTIF($B278:R278,"W"))/('Team_Info'!$E$4-17)),"W","B")</x:f>
        <x:v>W</x:v>
      </x:c>
      <x:c r="T278" t="str">
        <x:f>IF(RAND()&lt;(('Team_Info'!$E$2-COUNTIF($B278:S278,"W"))/('Team_Info'!$E$4-18)),"W","B")</x:f>
        <x:v>W</x:v>
      </x:c>
      <x:c r="U278" t="str">
        <x:f>IF(RAND()&lt;(('Team_Info'!$E$2-COUNTIF($B278:T278,"W"))/('Team_Info'!$E$4-19)),"W","B")</x:f>
        <x:v>B</x:v>
      </x:c>
    </x:row>
    <x:row r="279">
      <x:c r="A279" s="1">
        <x:v>278</x:v>
      </x:c>
      <x:c r="B279" t="str">
        <x:f>IF(RAND()&lt;'Team_Info'!$E$5,"W","B")</x:f>
        <x:v>B</x:v>
      </x:c>
      <x:c r="C279" t="str">
        <x:f>IF(RAND()&lt;(('Team_Info'!$E$2-COUNTIF($B279:B279,"W"))/('Team_Info'!$E$4-1)),"W","B")</x:f>
        <x:v>W</x:v>
      </x:c>
      <x:c r="D279" t="str">
        <x:f>IF(RAND()&lt;(('Team_Info'!$E$2-COUNTIF($B279:C279,"W"))/('Team_Info'!$E$4-2)),"W","B")</x:f>
        <x:v>W</x:v>
      </x:c>
      <x:c r="E279" t="str">
        <x:f>IF(RAND()&lt;(('Team_Info'!$E$2-COUNTIF($B279:D279,"W"))/('Team_Info'!$E$4-3)),"W","B")</x:f>
        <x:v>B</x:v>
      </x:c>
      <x:c r="F279" t="str">
        <x:f>IF(RAND()&lt;(('Team_Info'!$E$2-COUNTIF($B279:E279,"W"))/('Team_Info'!$E$4-4)),"W","B")</x:f>
        <x:v>B</x:v>
      </x:c>
      <x:c r="G279" t="str">
        <x:f>IF(RAND()&lt;(('Team_Info'!$E$2-COUNTIF($B279:F279,"W"))/('Team_Info'!$E$4-5)),"W","B")</x:f>
        <x:v>W</x:v>
      </x:c>
      <x:c r="H279" t="str">
        <x:f>IF(RAND()&lt;(('Team_Info'!$E$2-COUNTIF($B279:G279,"W"))/('Team_Info'!$E$4-6)),"W","B")</x:f>
        <x:v>B</x:v>
      </x:c>
      <x:c r="I279" t="str">
        <x:f>IF(RAND()&lt;(('Team_Info'!$E$2-COUNTIF($B279:H279,"W"))/('Team_Info'!$E$4-7)),"W","B")</x:f>
        <x:v>B</x:v>
      </x:c>
      <x:c r="J279" t="str">
        <x:f>IF(RAND()&lt;(('Team_Info'!$E$2-COUNTIF($B279:I279,"W"))/('Team_Info'!$E$4-8)),"W","B")</x:f>
        <x:v>B</x:v>
      </x:c>
      <x:c r="K279" t="str">
        <x:f>IF(RAND()&lt;(('Team_Info'!$E$2-COUNTIF($B279:J279,"W"))/('Team_Info'!$E$4-9)),"W","B")</x:f>
        <x:v>W</x:v>
      </x:c>
      <x:c r="L279" t="str">
        <x:f>IF(RAND()&lt;(('Team_Info'!$E$2-COUNTIF($B279:K279,"W"))/('Team_Info'!$E$4-10)),"W","B")</x:f>
        <x:v>B</x:v>
      </x:c>
      <x:c r="M279" t="str">
        <x:f>IF(RAND()&lt;(('Team_Info'!$E$2-COUNTIF($B279:L279,"W"))/('Team_Info'!$E$4-11)),"W","B")</x:f>
        <x:v>B</x:v>
      </x:c>
      <x:c r="N279" t="str">
        <x:f>IF(RAND()&lt;(('Team_Info'!$E$2-COUNTIF($B279:M279,"W"))/('Team_Info'!$E$4-12)),"W","B")</x:f>
        <x:v>B</x:v>
      </x:c>
      <x:c r="O279" t="str">
        <x:f>IF(RAND()&lt;(('Team_Info'!$E$2-COUNTIF($B279:N279,"W"))/('Team_Info'!$E$4-13)),"W","B")</x:f>
        <x:v>B</x:v>
      </x:c>
      <x:c r="P279" t="str">
        <x:f>IF(RAND()&lt;(('Team_Info'!$E$2-COUNTIF($B279:O279,"W"))/('Team_Info'!$E$4-14)),"W","B")</x:f>
        <x:v>W</x:v>
      </x:c>
      <x:c r="Q279" t="str">
        <x:f>IF(RAND()&lt;(('Team_Info'!$E$2-COUNTIF($B279:P279,"W"))/('Team_Info'!$E$4-15)),"W","B")</x:f>
        <x:v>W</x:v>
      </x:c>
      <x:c r="R279" t="str">
        <x:f>IF(RAND()&lt;(('Team_Info'!$E$2-COUNTIF($B279:Q279,"W"))/('Team_Info'!$E$4-16)),"W","B")</x:f>
        <x:v>W</x:v>
      </x:c>
      <x:c r="S279" t="str">
        <x:f>IF(RAND()&lt;(('Team_Info'!$E$2-COUNTIF($B279:R279,"W"))/('Team_Info'!$E$4-17)),"W","B")</x:f>
        <x:v>W</x:v>
      </x:c>
      <x:c r="T279" t="str">
        <x:f>IF(RAND()&lt;(('Team_Info'!$E$2-COUNTIF($B279:S279,"W"))/('Team_Info'!$E$4-18)),"W","B")</x:f>
        <x:v>W</x:v>
      </x:c>
      <x:c r="U279" t="str">
        <x:f>IF(RAND()&lt;(('Team_Info'!$E$2-COUNTIF($B279:T279,"W"))/('Team_Info'!$E$4-19)),"W","B")</x:f>
        <x:v>B</x:v>
      </x:c>
    </x:row>
    <x:row r="280">
      <x:c r="A280" s="1">
        <x:v>279</x:v>
      </x:c>
      <x:c r="B280" t="str">
        <x:f>IF(RAND()&lt;'Team_Info'!$E$5,"W","B")</x:f>
        <x:v>W</x:v>
      </x:c>
      <x:c r="C280" t="str">
        <x:f>IF(RAND()&lt;(('Team_Info'!$E$2-COUNTIF($B280:B280,"W"))/('Team_Info'!$E$4-1)),"W","B")</x:f>
        <x:v>B</x:v>
      </x:c>
      <x:c r="D280" t="str">
        <x:f>IF(RAND()&lt;(('Team_Info'!$E$2-COUNTIF($B280:C280,"W"))/('Team_Info'!$E$4-2)),"W","B")</x:f>
        <x:v>W</x:v>
      </x:c>
      <x:c r="E280" t="str">
        <x:f>IF(RAND()&lt;(('Team_Info'!$E$2-COUNTIF($B280:D280,"W"))/('Team_Info'!$E$4-3)),"W","B")</x:f>
        <x:v>W</x:v>
      </x:c>
      <x:c r="F280" t="str">
        <x:f>IF(RAND()&lt;(('Team_Info'!$E$2-COUNTIF($B280:E280,"W"))/('Team_Info'!$E$4-4)),"W","B")</x:f>
        <x:v>W</x:v>
      </x:c>
      <x:c r="G280" t="str">
        <x:f>IF(RAND()&lt;(('Team_Info'!$E$2-COUNTIF($B280:F280,"W"))/('Team_Info'!$E$4-5)),"W","B")</x:f>
        <x:v>B</x:v>
      </x:c>
      <x:c r="H280" t="str">
        <x:f>IF(RAND()&lt;(('Team_Info'!$E$2-COUNTIF($B280:G280,"W"))/('Team_Info'!$E$4-6)),"W","B")</x:f>
        <x:v>W</x:v>
      </x:c>
      <x:c r="I280" t="str">
        <x:f>IF(RAND()&lt;(('Team_Info'!$E$2-COUNTIF($B280:H280,"W"))/('Team_Info'!$E$4-7)),"W","B")</x:f>
        <x:v>B</x:v>
      </x:c>
      <x:c r="J280" t="str">
        <x:f>IF(RAND()&lt;(('Team_Info'!$E$2-COUNTIF($B280:I280,"W"))/('Team_Info'!$E$4-8)),"W","B")</x:f>
        <x:v>B</x:v>
      </x:c>
      <x:c r="K280" t="str">
        <x:f>IF(RAND()&lt;(('Team_Info'!$E$2-COUNTIF($B280:J280,"W"))/('Team_Info'!$E$4-9)),"W","B")</x:f>
        <x:v>B</x:v>
      </x:c>
      <x:c r="L280" t="str">
        <x:f>IF(RAND()&lt;(('Team_Info'!$E$2-COUNTIF($B280:K280,"W"))/('Team_Info'!$E$4-10)),"W","B")</x:f>
        <x:v>W</x:v>
      </x:c>
      <x:c r="M280" t="str">
        <x:f>IF(RAND()&lt;(('Team_Info'!$E$2-COUNTIF($B280:L280,"W"))/('Team_Info'!$E$4-11)),"W","B")</x:f>
        <x:v>W</x:v>
      </x:c>
      <x:c r="N280" t="str">
        <x:f>IF(RAND()&lt;(('Team_Info'!$E$2-COUNTIF($B280:M280,"W"))/('Team_Info'!$E$4-12)),"W","B")</x:f>
        <x:v>B</x:v>
      </x:c>
      <x:c r="O280" t="str">
        <x:f>IF(RAND()&lt;(('Team_Info'!$E$2-COUNTIF($B280:N280,"W"))/('Team_Info'!$E$4-13)),"W","B")</x:f>
        <x:v>B</x:v>
      </x:c>
      <x:c r="P280" t="str">
        <x:f>IF(RAND()&lt;(('Team_Info'!$E$2-COUNTIF($B280:O280,"W"))/('Team_Info'!$E$4-14)),"W","B")</x:f>
        <x:v>W</x:v>
      </x:c>
      <x:c r="Q280" t="str">
        <x:f>IF(RAND()&lt;(('Team_Info'!$E$2-COUNTIF($B280:P280,"W"))/('Team_Info'!$E$4-15)),"W","B")</x:f>
        <x:v>B</x:v>
      </x:c>
      <x:c r="R280" t="str">
        <x:f>IF(RAND()&lt;(('Team_Info'!$E$2-COUNTIF($B280:Q280,"W"))/('Team_Info'!$E$4-16)),"W","B")</x:f>
        <x:v>W</x:v>
      </x:c>
      <x:c r="S280" t="str">
        <x:f>IF(RAND()&lt;(('Team_Info'!$E$2-COUNTIF($B280:R280,"W"))/('Team_Info'!$E$4-17)),"W","B")</x:f>
        <x:v>B</x:v>
      </x:c>
      <x:c r="T280" t="str">
        <x:f>IF(RAND()&lt;(('Team_Info'!$E$2-COUNTIF($B280:S280,"W"))/('Team_Info'!$E$4-18)),"W","B")</x:f>
        <x:v>B</x:v>
      </x:c>
      <x:c r="U280" t="str">
        <x:f>IF(RAND()&lt;(('Team_Info'!$E$2-COUNTIF($B280:T280,"W"))/('Team_Info'!$E$4-19)),"W","B")</x:f>
        <x:v>B</x:v>
      </x:c>
    </x:row>
    <x:row r="281">
      <x:c r="A281" s="1">
        <x:v>280</x:v>
      </x:c>
      <x:c r="B281" t="str">
        <x:f>IF(RAND()&lt;'Team_Info'!$E$5,"W","B")</x:f>
        <x:v>B</x:v>
      </x:c>
      <x:c r="C281" t="str">
        <x:f>IF(RAND()&lt;(('Team_Info'!$E$2-COUNTIF($B281:B281,"W"))/('Team_Info'!$E$4-1)),"W","B")</x:f>
        <x:v>B</x:v>
      </x:c>
      <x:c r="D281" t="str">
        <x:f>IF(RAND()&lt;(('Team_Info'!$E$2-COUNTIF($B281:C281,"W"))/('Team_Info'!$E$4-2)),"W","B")</x:f>
        <x:v>B</x:v>
      </x:c>
      <x:c r="E281" t="str">
        <x:f>IF(RAND()&lt;(('Team_Info'!$E$2-COUNTIF($B281:D281,"W"))/('Team_Info'!$E$4-3)),"W","B")</x:f>
        <x:v>B</x:v>
      </x:c>
      <x:c r="F281" t="str">
        <x:f>IF(RAND()&lt;(('Team_Info'!$E$2-COUNTIF($B281:E281,"W"))/('Team_Info'!$E$4-4)),"W","B")</x:f>
        <x:v>B</x:v>
      </x:c>
      <x:c r="G281" t="str">
        <x:f>IF(RAND()&lt;(('Team_Info'!$E$2-COUNTIF($B281:F281,"W"))/('Team_Info'!$E$4-5)),"W","B")</x:f>
        <x:v>B</x:v>
      </x:c>
      <x:c r="H281" t="str">
        <x:f>IF(RAND()&lt;(('Team_Info'!$E$2-COUNTIF($B281:G281,"W"))/('Team_Info'!$E$4-6)),"W","B")</x:f>
        <x:v>W</x:v>
      </x:c>
      <x:c r="I281" t="str">
        <x:f>IF(RAND()&lt;(('Team_Info'!$E$2-COUNTIF($B281:H281,"W"))/('Team_Info'!$E$4-7)),"W","B")</x:f>
        <x:v>W</x:v>
      </x:c>
      <x:c r="J281" t="str">
        <x:f>IF(RAND()&lt;(('Team_Info'!$E$2-COUNTIF($B281:I281,"W"))/('Team_Info'!$E$4-8)),"W","B")</x:f>
        <x:v>B</x:v>
      </x:c>
      <x:c r="K281" t="str">
        <x:f>IF(RAND()&lt;(('Team_Info'!$E$2-COUNTIF($B281:J281,"W"))/('Team_Info'!$E$4-9)),"W","B")</x:f>
        <x:v>W</x:v>
      </x:c>
      <x:c r="L281" t="str">
        <x:f>IF(RAND()&lt;(('Team_Info'!$E$2-COUNTIF($B281:K281,"W"))/('Team_Info'!$E$4-10)),"W","B")</x:f>
        <x:v>B</x:v>
      </x:c>
      <x:c r="M281" t="str">
        <x:f>IF(RAND()&lt;(('Team_Info'!$E$2-COUNTIF($B281:L281,"W"))/('Team_Info'!$E$4-11)),"W","B")</x:f>
        <x:v>B</x:v>
      </x:c>
      <x:c r="N281" t="str">
        <x:f>IF(RAND()&lt;(('Team_Info'!$E$2-COUNTIF($B281:M281,"W"))/('Team_Info'!$E$4-12)),"W","B")</x:f>
        <x:v>B</x:v>
      </x:c>
      <x:c r="O281" t="str">
        <x:f>IF(RAND()&lt;(('Team_Info'!$E$2-COUNTIF($B281:N281,"W"))/('Team_Info'!$E$4-13)),"W","B")</x:f>
        <x:v>W</x:v>
      </x:c>
      <x:c r="P281" t="str">
        <x:f>IF(RAND()&lt;(('Team_Info'!$E$2-COUNTIF($B281:O281,"W"))/('Team_Info'!$E$4-14)),"W","B")</x:f>
        <x:v>W</x:v>
      </x:c>
      <x:c r="Q281" t="str">
        <x:f>IF(RAND()&lt;(('Team_Info'!$E$2-COUNTIF($B281:P281,"W"))/('Team_Info'!$E$4-15)),"W","B")</x:f>
        <x:v>B</x:v>
      </x:c>
      <x:c r="R281" t="str">
        <x:f>IF(RAND()&lt;(('Team_Info'!$E$2-COUNTIF($B281:Q281,"W"))/('Team_Info'!$E$4-16)),"W","B")</x:f>
        <x:v>W</x:v>
      </x:c>
      <x:c r="S281" t="str">
        <x:f>IF(RAND()&lt;(('Team_Info'!$E$2-COUNTIF($B281:R281,"W"))/('Team_Info'!$E$4-17)),"W","B")</x:f>
        <x:v>B</x:v>
      </x:c>
      <x:c r="T281" t="str">
        <x:f>IF(RAND()&lt;(('Team_Info'!$E$2-COUNTIF($B281:S281,"W"))/('Team_Info'!$E$4-18)),"W","B")</x:f>
        <x:v>B</x:v>
      </x:c>
      <x:c r="U281" t="str">
        <x:f>IF(RAND()&lt;(('Team_Info'!$E$2-COUNTIF($B281:T281,"W"))/('Team_Info'!$E$4-19)),"W","B")</x:f>
        <x:v>B</x:v>
      </x:c>
    </x:row>
    <x:row r="282">
      <x:c r="A282" s="1">
        <x:v>281</x:v>
      </x:c>
      <x:c r="B282" t="str">
        <x:f>IF(RAND()&lt;'Team_Info'!$E$5,"W","B")</x:f>
        <x:v>B</x:v>
      </x:c>
      <x:c r="C282" t="str">
        <x:f>IF(RAND()&lt;(('Team_Info'!$E$2-COUNTIF($B282:B282,"W"))/('Team_Info'!$E$4-1)),"W","B")</x:f>
        <x:v>B</x:v>
      </x:c>
      <x:c r="D282" t="str">
        <x:f>IF(RAND()&lt;(('Team_Info'!$E$2-COUNTIF($B282:C282,"W"))/('Team_Info'!$E$4-2)),"W","B")</x:f>
        <x:v>W</x:v>
      </x:c>
      <x:c r="E282" t="str">
        <x:f>IF(RAND()&lt;(('Team_Info'!$E$2-COUNTIF($B282:D282,"W"))/('Team_Info'!$E$4-3)),"W","B")</x:f>
        <x:v>B</x:v>
      </x:c>
      <x:c r="F282" t="str">
        <x:f>IF(RAND()&lt;(('Team_Info'!$E$2-COUNTIF($B282:E282,"W"))/('Team_Info'!$E$4-4)),"W","B")</x:f>
        <x:v>B</x:v>
      </x:c>
      <x:c r="G282" t="str">
        <x:f>IF(RAND()&lt;(('Team_Info'!$E$2-COUNTIF($B282:F282,"W"))/('Team_Info'!$E$4-5)),"W","B")</x:f>
        <x:v>B</x:v>
      </x:c>
      <x:c r="H282" t="str">
        <x:f>IF(RAND()&lt;(('Team_Info'!$E$2-COUNTIF($B282:G282,"W"))/('Team_Info'!$E$4-6)),"W","B")</x:f>
        <x:v>W</x:v>
      </x:c>
      <x:c r="I282" t="str">
        <x:f>IF(RAND()&lt;(('Team_Info'!$E$2-COUNTIF($B282:H282,"W"))/('Team_Info'!$E$4-7)),"W","B")</x:f>
        <x:v>W</x:v>
      </x:c>
      <x:c r="J282" t="str">
        <x:f>IF(RAND()&lt;(('Team_Info'!$E$2-COUNTIF($B282:I282,"W"))/('Team_Info'!$E$4-8)),"W","B")</x:f>
        <x:v>W</x:v>
      </x:c>
      <x:c r="K282" t="str">
        <x:f>IF(RAND()&lt;(('Team_Info'!$E$2-COUNTIF($B282:J282,"W"))/('Team_Info'!$E$4-9)),"W","B")</x:f>
        <x:v>W</x:v>
      </x:c>
      <x:c r="L282" t="str">
        <x:f>IF(RAND()&lt;(('Team_Info'!$E$2-COUNTIF($B282:K282,"W"))/('Team_Info'!$E$4-10)),"W","B")</x:f>
        <x:v>B</x:v>
      </x:c>
      <x:c r="M282" t="str">
        <x:f>IF(RAND()&lt;(('Team_Info'!$E$2-COUNTIF($B282:L282,"W"))/('Team_Info'!$E$4-11)),"W","B")</x:f>
        <x:v>B</x:v>
      </x:c>
      <x:c r="N282" t="str">
        <x:f>IF(RAND()&lt;(('Team_Info'!$E$2-COUNTIF($B282:M282,"W"))/('Team_Info'!$E$4-12)),"W","B")</x:f>
        <x:v>W</x:v>
      </x:c>
      <x:c r="O282" t="str">
        <x:f>IF(RAND()&lt;(('Team_Info'!$E$2-COUNTIF($B282:N282,"W"))/('Team_Info'!$E$4-13)),"W","B")</x:f>
        <x:v>W</x:v>
      </x:c>
      <x:c r="P282" t="str">
        <x:f>IF(RAND()&lt;(('Team_Info'!$E$2-COUNTIF($B282:O282,"W"))/('Team_Info'!$E$4-14)),"W","B")</x:f>
        <x:v>B</x:v>
      </x:c>
      <x:c r="Q282" t="str">
        <x:f>IF(RAND()&lt;(('Team_Info'!$E$2-COUNTIF($B282:P282,"W"))/('Team_Info'!$E$4-15)),"W","B")</x:f>
        <x:v>W</x:v>
      </x:c>
      <x:c r="R282" t="str">
        <x:f>IF(RAND()&lt;(('Team_Info'!$E$2-COUNTIF($B282:Q282,"W"))/('Team_Info'!$E$4-16)),"W","B")</x:f>
        <x:v>B</x:v>
      </x:c>
      <x:c r="S282" t="str">
        <x:f>IF(RAND()&lt;(('Team_Info'!$E$2-COUNTIF($B282:R282,"W"))/('Team_Info'!$E$4-17)),"W","B")</x:f>
        <x:v>W</x:v>
      </x:c>
      <x:c r="T282" t="str">
        <x:f>IF(RAND()&lt;(('Team_Info'!$E$2-COUNTIF($B282:S282,"W"))/('Team_Info'!$E$4-18)),"W","B")</x:f>
        <x:v>B</x:v>
      </x:c>
      <x:c r="U282" t="str">
        <x:f>IF(RAND()&lt;(('Team_Info'!$E$2-COUNTIF($B282:T282,"W"))/('Team_Info'!$E$4-19)),"W","B")</x:f>
        <x:v>W</x:v>
      </x:c>
    </x:row>
    <x:row r="283">
      <x:c r="A283" s="1">
        <x:v>282</x:v>
      </x:c>
      <x:c r="B283" t="str">
        <x:f>IF(RAND()&lt;'Team_Info'!$E$5,"W","B")</x:f>
        <x:v>B</x:v>
      </x:c>
      <x:c r="C283" t="str">
        <x:f>IF(RAND()&lt;(('Team_Info'!$E$2-COUNTIF($B283:B283,"W"))/('Team_Info'!$E$4-1)),"W","B")</x:f>
        <x:v>B</x:v>
      </x:c>
      <x:c r="D283" t="str">
        <x:f>IF(RAND()&lt;(('Team_Info'!$E$2-COUNTIF($B283:C283,"W"))/('Team_Info'!$E$4-2)),"W","B")</x:f>
        <x:v>W</x:v>
      </x:c>
      <x:c r="E283" t="str">
        <x:f>IF(RAND()&lt;(('Team_Info'!$E$2-COUNTIF($B283:D283,"W"))/('Team_Info'!$E$4-3)),"W","B")</x:f>
        <x:v>B</x:v>
      </x:c>
      <x:c r="F283" t="str">
        <x:f>IF(RAND()&lt;(('Team_Info'!$E$2-COUNTIF($B283:E283,"W"))/('Team_Info'!$E$4-4)),"W","B")</x:f>
        <x:v>W</x:v>
      </x:c>
      <x:c r="G283" t="str">
        <x:f>IF(RAND()&lt;(('Team_Info'!$E$2-COUNTIF($B283:F283,"W"))/('Team_Info'!$E$4-5)),"W","B")</x:f>
        <x:v>B</x:v>
      </x:c>
      <x:c r="H283" t="str">
        <x:f>IF(RAND()&lt;(('Team_Info'!$E$2-COUNTIF($B283:G283,"W"))/('Team_Info'!$E$4-6)),"W","B")</x:f>
        <x:v>W</x:v>
      </x:c>
      <x:c r="I283" t="str">
        <x:f>IF(RAND()&lt;(('Team_Info'!$E$2-COUNTIF($B283:H283,"W"))/('Team_Info'!$E$4-7)),"W","B")</x:f>
        <x:v>B</x:v>
      </x:c>
      <x:c r="J283" t="str">
        <x:f>IF(RAND()&lt;(('Team_Info'!$E$2-COUNTIF($B283:I283,"W"))/('Team_Info'!$E$4-8)),"W","B")</x:f>
        <x:v>B</x:v>
      </x:c>
      <x:c r="K283" t="str">
        <x:f>IF(RAND()&lt;(('Team_Info'!$E$2-COUNTIF($B283:J283,"W"))/('Team_Info'!$E$4-9)),"W","B")</x:f>
        <x:v>B</x:v>
      </x:c>
      <x:c r="L283" t="str">
        <x:f>IF(RAND()&lt;(('Team_Info'!$E$2-COUNTIF($B283:K283,"W"))/('Team_Info'!$E$4-10)),"W","B")</x:f>
        <x:v>B</x:v>
      </x:c>
      <x:c r="M283" t="str">
        <x:f>IF(RAND()&lt;(('Team_Info'!$E$2-COUNTIF($B283:L283,"W"))/('Team_Info'!$E$4-11)),"W","B")</x:f>
        <x:v>B</x:v>
      </x:c>
      <x:c r="N283" t="str">
        <x:f>IF(RAND()&lt;(('Team_Info'!$E$2-COUNTIF($B283:M283,"W"))/('Team_Info'!$E$4-12)),"W","B")</x:f>
        <x:v>B</x:v>
      </x:c>
      <x:c r="O283" t="str">
        <x:f>IF(RAND()&lt;(('Team_Info'!$E$2-COUNTIF($B283:N283,"W"))/('Team_Info'!$E$4-13)),"W","B")</x:f>
        <x:v>W</x:v>
      </x:c>
      <x:c r="P283" t="str">
        <x:f>IF(RAND()&lt;(('Team_Info'!$E$2-COUNTIF($B283:O283,"W"))/('Team_Info'!$E$4-14)),"W","B")</x:f>
        <x:v>B</x:v>
      </x:c>
      <x:c r="Q283" t="str">
        <x:f>IF(RAND()&lt;(('Team_Info'!$E$2-COUNTIF($B283:P283,"W"))/('Team_Info'!$E$4-15)),"W","B")</x:f>
        <x:v>B</x:v>
      </x:c>
      <x:c r="R283" t="str">
        <x:f>IF(RAND()&lt;(('Team_Info'!$E$2-COUNTIF($B283:Q283,"W"))/('Team_Info'!$E$4-16)),"W","B")</x:f>
        <x:v>B</x:v>
      </x:c>
      <x:c r="S283" t="str">
        <x:f>IF(RAND()&lt;(('Team_Info'!$E$2-COUNTIF($B283:R283,"W"))/('Team_Info'!$E$4-17)),"W","B")</x:f>
        <x:v>B</x:v>
      </x:c>
      <x:c r="T283" t="str">
        <x:f>IF(RAND()&lt;(('Team_Info'!$E$2-COUNTIF($B283:S283,"W"))/('Team_Info'!$E$4-18)),"W","B")</x:f>
        <x:v>B</x:v>
      </x:c>
      <x:c r="U283" t="str">
        <x:f>IF(RAND()&lt;(('Team_Info'!$E$2-COUNTIF($B283:T283,"W"))/('Team_Info'!$E$4-19)),"W","B")</x:f>
        <x:v>B</x:v>
      </x:c>
    </x:row>
    <x:row r="284">
      <x:c r="A284" s="1">
        <x:v>283</x:v>
      </x:c>
      <x:c r="B284" t="str">
        <x:f>IF(RAND()&lt;'Team_Info'!$E$5,"W","B")</x:f>
        <x:v>B</x:v>
      </x:c>
      <x:c r="C284" t="str">
        <x:f>IF(RAND()&lt;(('Team_Info'!$E$2-COUNTIF($B284:B284,"W"))/('Team_Info'!$E$4-1)),"W","B")</x:f>
        <x:v>W</x:v>
      </x:c>
      <x:c r="D284" t="str">
        <x:f>IF(RAND()&lt;(('Team_Info'!$E$2-COUNTIF($B284:C284,"W"))/('Team_Info'!$E$4-2)),"W","B")</x:f>
        <x:v>B</x:v>
      </x:c>
      <x:c r="E284" t="str">
        <x:f>IF(RAND()&lt;(('Team_Info'!$E$2-COUNTIF($B284:D284,"W"))/('Team_Info'!$E$4-3)),"W","B")</x:f>
        <x:v>W</x:v>
      </x:c>
      <x:c r="F284" t="str">
        <x:f>IF(RAND()&lt;(('Team_Info'!$E$2-COUNTIF($B284:E284,"W"))/('Team_Info'!$E$4-4)),"W","B")</x:f>
        <x:v>W</x:v>
      </x:c>
      <x:c r="G284" t="str">
        <x:f>IF(RAND()&lt;(('Team_Info'!$E$2-COUNTIF($B284:F284,"W"))/('Team_Info'!$E$4-5)),"W","B")</x:f>
        <x:v>W</x:v>
      </x:c>
      <x:c r="H284" t="str">
        <x:f>IF(RAND()&lt;(('Team_Info'!$E$2-COUNTIF($B284:G284,"W"))/('Team_Info'!$E$4-6)),"W","B")</x:f>
        <x:v>B</x:v>
      </x:c>
      <x:c r="I284" t="str">
        <x:f>IF(RAND()&lt;(('Team_Info'!$E$2-COUNTIF($B284:H284,"W"))/('Team_Info'!$E$4-7)),"W","B")</x:f>
        <x:v>W</x:v>
      </x:c>
      <x:c r="J284" t="str">
        <x:f>IF(RAND()&lt;(('Team_Info'!$E$2-COUNTIF($B284:I284,"W"))/('Team_Info'!$E$4-8)),"W","B")</x:f>
        <x:v>B</x:v>
      </x:c>
      <x:c r="K284" t="str">
        <x:f>IF(RAND()&lt;(('Team_Info'!$E$2-COUNTIF($B284:J284,"W"))/('Team_Info'!$E$4-9)),"W","B")</x:f>
        <x:v>W</x:v>
      </x:c>
      <x:c r="L284" t="str">
        <x:f>IF(RAND()&lt;(('Team_Info'!$E$2-COUNTIF($B284:K284,"W"))/('Team_Info'!$E$4-10)),"W","B")</x:f>
        <x:v>W</x:v>
      </x:c>
      <x:c r="M284" t="str">
        <x:f>IF(RAND()&lt;(('Team_Info'!$E$2-COUNTIF($B284:L284,"W"))/('Team_Info'!$E$4-11)),"W","B")</x:f>
        <x:v>W</x:v>
      </x:c>
      <x:c r="N284" t="str">
        <x:f>IF(RAND()&lt;(('Team_Info'!$E$2-COUNTIF($B284:M284,"W"))/('Team_Info'!$E$4-12)),"W","B")</x:f>
        <x:v>B</x:v>
      </x:c>
      <x:c r="O284" t="str">
        <x:f>IF(RAND()&lt;(('Team_Info'!$E$2-COUNTIF($B284:N284,"W"))/('Team_Info'!$E$4-13)),"W","B")</x:f>
        <x:v>B</x:v>
      </x:c>
      <x:c r="P284" t="str">
        <x:f>IF(RAND()&lt;(('Team_Info'!$E$2-COUNTIF($B284:O284,"W"))/('Team_Info'!$E$4-14)),"W","B")</x:f>
        <x:v>B</x:v>
      </x:c>
      <x:c r="Q284" t="str">
        <x:f>IF(RAND()&lt;(('Team_Info'!$E$2-COUNTIF($B284:P284,"W"))/('Team_Info'!$E$4-15)),"W","B")</x:f>
        <x:v>B</x:v>
      </x:c>
      <x:c r="R284" t="str">
        <x:f>IF(RAND()&lt;(('Team_Info'!$E$2-COUNTIF($B284:Q284,"W"))/('Team_Info'!$E$4-16)),"W","B")</x:f>
        <x:v>B</x:v>
      </x:c>
      <x:c r="S284" t="str">
        <x:f>IF(RAND()&lt;(('Team_Info'!$E$2-COUNTIF($B284:R284,"W"))/('Team_Info'!$E$4-17)),"W","B")</x:f>
        <x:v>B</x:v>
      </x:c>
      <x:c r="T284" t="str">
        <x:f>IF(RAND()&lt;(('Team_Info'!$E$2-COUNTIF($B284:S284,"W"))/('Team_Info'!$E$4-18)),"W","B")</x:f>
        <x:v>B</x:v>
      </x:c>
      <x:c r="U284" t="str">
        <x:f>IF(RAND()&lt;(('Team_Info'!$E$2-COUNTIF($B284:T284,"W"))/('Team_Info'!$E$4-19)),"W","B")</x:f>
        <x:v>W</x:v>
      </x:c>
    </x:row>
    <x:row r="285">
      <x:c r="A285" s="1">
        <x:v>284</x:v>
      </x:c>
      <x:c r="B285" t="str">
        <x:f>IF(RAND()&lt;'Team_Info'!$E$5,"W","B")</x:f>
        <x:v>B</x:v>
      </x:c>
      <x:c r="C285" t="str">
        <x:f>IF(RAND()&lt;(('Team_Info'!$E$2-COUNTIF($B285:B285,"W"))/('Team_Info'!$E$4-1)),"W","B")</x:f>
        <x:v>B</x:v>
      </x:c>
      <x:c r="D285" t="str">
        <x:f>IF(RAND()&lt;(('Team_Info'!$E$2-COUNTIF($B285:C285,"W"))/('Team_Info'!$E$4-2)),"W","B")</x:f>
        <x:v>B</x:v>
      </x:c>
      <x:c r="E285" t="str">
        <x:f>IF(RAND()&lt;(('Team_Info'!$E$2-COUNTIF($B285:D285,"W"))/('Team_Info'!$E$4-3)),"W","B")</x:f>
        <x:v>B</x:v>
      </x:c>
      <x:c r="F285" t="str">
        <x:f>IF(RAND()&lt;(('Team_Info'!$E$2-COUNTIF($B285:E285,"W"))/('Team_Info'!$E$4-4)),"W","B")</x:f>
        <x:v>B</x:v>
      </x:c>
      <x:c r="G285" t="str">
        <x:f>IF(RAND()&lt;(('Team_Info'!$E$2-COUNTIF($B285:F285,"W"))/('Team_Info'!$E$4-5)),"W","B")</x:f>
        <x:v>B</x:v>
      </x:c>
      <x:c r="H285" t="str">
        <x:f>IF(RAND()&lt;(('Team_Info'!$E$2-COUNTIF($B285:G285,"W"))/('Team_Info'!$E$4-6)),"W","B")</x:f>
        <x:v>B</x:v>
      </x:c>
      <x:c r="I285" t="str">
        <x:f>IF(RAND()&lt;(('Team_Info'!$E$2-COUNTIF($B285:H285,"W"))/('Team_Info'!$E$4-7)),"W","B")</x:f>
        <x:v>B</x:v>
      </x:c>
      <x:c r="J285" t="str">
        <x:f>IF(RAND()&lt;(('Team_Info'!$E$2-COUNTIF($B285:I285,"W"))/('Team_Info'!$E$4-8)),"W","B")</x:f>
        <x:v>W</x:v>
      </x:c>
      <x:c r="K285" t="str">
        <x:f>IF(RAND()&lt;(('Team_Info'!$E$2-COUNTIF($B285:J285,"W"))/('Team_Info'!$E$4-9)),"W","B")</x:f>
        <x:v>W</x:v>
      </x:c>
      <x:c r="L285" t="str">
        <x:f>IF(RAND()&lt;(('Team_Info'!$E$2-COUNTIF($B285:K285,"W"))/('Team_Info'!$E$4-10)),"W","B")</x:f>
        <x:v>W</x:v>
      </x:c>
      <x:c r="M285" t="str">
        <x:f>IF(RAND()&lt;(('Team_Info'!$E$2-COUNTIF($B285:L285,"W"))/('Team_Info'!$E$4-11)),"W","B")</x:f>
        <x:v>W</x:v>
      </x:c>
      <x:c r="N285" t="str">
        <x:f>IF(RAND()&lt;(('Team_Info'!$E$2-COUNTIF($B285:M285,"W"))/('Team_Info'!$E$4-12)),"W","B")</x:f>
        <x:v>W</x:v>
      </x:c>
      <x:c r="O285" t="str">
        <x:f>IF(RAND()&lt;(('Team_Info'!$E$2-COUNTIF($B285:N285,"W"))/('Team_Info'!$E$4-13)),"W","B")</x:f>
        <x:v>W</x:v>
      </x:c>
      <x:c r="P285" t="str">
        <x:f>IF(RAND()&lt;(('Team_Info'!$E$2-COUNTIF($B285:O285,"W"))/('Team_Info'!$E$4-14)),"W","B")</x:f>
        <x:v>B</x:v>
      </x:c>
      <x:c r="Q285" t="str">
        <x:f>IF(RAND()&lt;(('Team_Info'!$E$2-COUNTIF($B285:P285,"W"))/('Team_Info'!$E$4-15)),"W","B")</x:f>
        <x:v>W</x:v>
      </x:c>
      <x:c r="R285" t="str">
        <x:f>IF(RAND()&lt;(('Team_Info'!$E$2-COUNTIF($B285:Q285,"W"))/('Team_Info'!$E$4-16)),"W","B")</x:f>
        <x:v>B</x:v>
      </x:c>
      <x:c r="S285" t="str">
        <x:f>IF(RAND()&lt;(('Team_Info'!$E$2-COUNTIF($B285:R285,"W"))/('Team_Info'!$E$4-17)),"W","B")</x:f>
        <x:v>B</x:v>
      </x:c>
      <x:c r="T285" t="str">
        <x:f>IF(RAND()&lt;(('Team_Info'!$E$2-COUNTIF($B285:S285,"W"))/('Team_Info'!$E$4-18)),"W","B")</x:f>
        <x:v>B</x:v>
      </x:c>
      <x:c r="U285" t="str">
        <x:f>IF(RAND()&lt;(('Team_Info'!$E$2-COUNTIF($B285:T285,"W"))/('Team_Info'!$E$4-19)),"W","B")</x:f>
        <x:v>W</x:v>
      </x:c>
    </x:row>
    <x:row r="286">
      <x:c r="A286" s="1">
        <x:v>285</x:v>
      </x:c>
      <x:c r="B286" t="str">
        <x:f>IF(RAND()&lt;'Team_Info'!$E$5,"W","B")</x:f>
        <x:v>B</x:v>
      </x:c>
      <x:c r="C286" t="str">
        <x:f>IF(RAND()&lt;(('Team_Info'!$E$2-COUNTIF($B286:B286,"W"))/('Team_Info'!$E$4-1)),"W","B")</x:f>
        <x:v>B</x:v>
      </x:c>
      <x:c r="D286" t="str">
        <x:f>IF(RAND()&lt;(('Team_Info'!$E$2-COUNTIF($B286:C286,"W"))/('Team_Info'!$E$4-2)),"W","B")</x:f>
        <x:v>B</x:v>
      </x:c>
      <x:c r="E286" t="str">
        <x:f>IF(RAND()&lt;(('Team_Info'!$E$2-COUNTIF($B286:D286,"W"))/('Team_Info'!$E$4-3)),"W","B")</x:f>
        <x:v>B</x:v>
      </x:c>
      <x:c r="F286" t="str">
        <x:f>IF(RAND()&lt;(('Team_Info'!$E$2-COUNTIF($B286:E286,"W"))/('Team_Info'!$E$4-4)),"W","B")</x:f>
        <x:v>W</x:v>
      </x:c>
      <x:c r="G286" t="str">
        <x:f>IF(RAND()&lt;(('Team_Info'!$E$2-COUNTIF($B286:F286,"W"))/('Team_Info'!$E$4-5)),"W","B")</x:f>
        <x:v>B</x:v>
      </x:c>
      <x:c r="H286" t="str">
        <x:f>IF(RAND()&lt;(('Team_Info'!$E$2-COUNTIF($B286:G286,"W"))/('Team_Info'!$E$4-6)),"W","B")</x:f>
        <x:v>B</x:v>
      </x:c>
      <x:c r="I286" t="str">
        <x:f>IF(RAND()&lt;(('Team_Info'!$E$2-COUNTIF($B286:H286,"W"))/('Team_Info'!$E$4-7)),"W","B")</x:f>
        <x:v>W</x:v>
      </x:c>
      <x:c r="J286" t="str">
        <x:f>IF(RAND()&lt;(('Team_Info'!$E$2-COUNTIF($B286:I286,"W"))/('Team_Info'!$E$4-8)),"W","B")</x:f>
        <x:v>W</x:v>
      </x:c>
      <x:c r="K286" t="str">
        <x:f>IF(RAND()&lt;(('Team_Info'!$E$2-COUNTIF($B286:J286,"W"))/('Team_Info'!$E$4-9)),"W","B")</x:f>
        <x:v>B</x:v>
      </x:c>
      <x:c r="L286" t="str">
        <x:f>IF(RAND()&lt;(('Team_Info'!$E$2-COUNTIF($B286:K286,"W"))/('Team_Info'!$E$4-10)),"W","B")</x:f>
        <x:v>B</x:v>
      </x:c>
      <x:c r="M286" t="str">
        <x:f>IF(RAND()&lt;(('Team_Info'!$E$2-COUNTIF($B286:L286,"W"))/('Team_Info'!$E$4-11)),"W","B")</x:f>
        <x:v>B</x:v>
      </x:c>
      <x:c r="N286" t="str">
        <x:f>IF(RAND()&lt;(('Team_Info'!$E$2-COUNTIF($B286:M286,"W"))/('Team_Info'!$E$4-12)),"W","B")</x:f>
        <x:v>B</x:v>
      </x:c>
      <x:c r="O286" t="str">
        <x:f>IF(RAND()&lt;(('Team_Info'!$E$2-COUNTIF($B286:N286,"W"))/('Team_Info'!$E$4-13)),"W","B")</x:f>
        <x:v>B</x:v>
      </x:c>
      <x:c r="P286" t="str">
        <x:f>IF(RAND()&lt;(('Team_Info'!$E$2-COUNTIF($B286:O286,"W"))/('Team_Info'!$E$4-14)),"W","B")</x:f>
        <x:v>W</x:v>
      </x:c>
      <x:c r="Q286" t="str">
        <x:f>IF(RAND()&lt;(('Team_Info'!$E$2-COUNTIF($B286:P286,"W"))/('Team_Info'!$E$4-15)),"W","B")</x:f>
        <x:v>B</x:v>
      </x:c>
      <x:c r="R286" t="str">
        <x:f>IF(RAND()&lt;(('Team_Info'!$E$2-COUNTIF($B286:Q286,"W"))/('Team_Info'!$E$4-16)),"W","B")</x:f>
        <x:v>W</x:v>
      </x:c>
      <x:c r="S286" t="str">
        <x:f>IF(RAND()&lt;(('Team_Info'!$E$2-COUNTIF($B286:R286,"W"))/('Team_Info'!$E$4-17)),"W","B")</x:f>
        <x:v>W</x:v>
      </x:c>
      <x:c r="T286" t="str">
        <x:f>IF(RAND()&lt;(('Team_Info'!$E$2-COUNTIF($B286:S286,"W"))/('Team_Info'!$E$4-18)),"W","B")</x:f>
        <x:v>W</x:v>
      </x:c>
      <x:c r="U286" t="str">
        <x:f>IF(RAND()&lt;(('Team_Info'!$E$2-COUNTIF($B286:T286,"W"))/('Team_Info'!$E$4-19)),"W","B")</x:f>
        <x:v>B</x:v>
      </x:c>
    </x:row>
    <x:row r="287">
      <x:c r="A287" s="1">
        <x:v>286</x:v>
      </x:c>
      <x:c r="B287" t="str">
        <x:f>IF(RAND()&lt;'Team_Info'!$E$5,"W","B")</x:f>
        <x:v>B</x:v>
      </x:c>
      <x:c r="C287" t="str">
        <x:f>IF(RAND()&lt;(('Team_Info'!$E$2-COUNTIF($B287:B287,"W"))/('Team_Info'!$E$4-1)),"W","B")</x:f>
        <x:v>W</x:v>
      </x:c>
      <x:c r="D287" t="str">
        <x:f>IF(RAND()&lt;(('Team_Info'!$E$2-COUNTIF($B287:C287,"W"))/('Team_Info'!$E$4-2)),"W","B")</x:f>
        <x:v>W</x:v>
      </x:c>
      <x:c r="E287" t="str">
        <x:f>IF(RAND()&lt;(('Team_Info'!$E$2-COUNTIF($B287:D287,"W"))/('Team_Info'!$E$4-3)),"W","B")</x:f>
        <x:v>W</x:v>
      </x:c>
      <x:c r="F287" t="str">
        <x:f>IF(RAND()&lt;(('Team_Info'!$E$2-COUNTIF($B287:E287,"W"))/('Team_Info'!$E$4-4)),"W","B")</x:f>
        <x:v>W</x:v>
      </x:c>
      <x:c r="G287" t="str">
        <x:f>IF(RAND()&lt;(('Team_Info'!$E$2-COUNTIF($B287:F287,"W"))/('Team_Info'!$E$4-5)),"W","B")</x:f>
        <x:v>W</x:v>
      </x:c>
      <x:c r="H287" t="str">
        <x:f>IF(RAND()&lt;(('Team_Info'!$E$2-COUNTIF($B287:G287,"W"))/('Team_Info'!$E$4-6)),"W","B")</x:f>
        <x:v>W</x:v>
      </x:c>
      <x:c r="I287" t="str">
        <x:f>IF(RAND()&lt;(('Team_Info'!$E$2-COUNTIF($B287:H287,"W"))/('Team_Info'!$E$4-7)),"W","B")</x:f>
        <x:v>B</x:v>
      </x:c>
      <x:c r="J287" t="str">
        <x:f>IF(RAND()&lt;(('Team_Info'!$E$2-COUNTIF($B287:I287,"W"))/('Team_Info'!$E$4-8)),"W","B")</x:f>
        <x:v>B</x:v>
      </x:c>
      <x:c r="K287" t="str">
        <x:f>IF(RAND()&lt;(('Team_Info'!$E$2-COUNTIF($B287:J287,"W"))/('Team_Info'!$E$4-9)),"W","B")</x:f>
        <x:v>B</x:v>
      </x:c>
      <x:c r="L287" t="str">
        <x:f>IF(RAND()&lt;(('Team_Info'!$E$2-COUNTIF($B287:K287,"W"))/('Team_Info'!$E$4-10)),"W","B")</x:f>
        <x:v>W</x:v>
      </x:c>
      <x:c r="M287" t="str">
        <x:f>IF(RAND()&lt;(('Team_Info'!$E$2-COUNTIF($B287:L287,"W"))/('Team_Info'!$E$4-11)),"W","B")</x:f>
        <x:v>B</x:v>
      </x:c>
      <x:c r="N287" t="str">
        <x:f>IF(RAND()&lt;(('Team_Info'!$E$2-COUNTIF($B287:M287,"W"))/('Team_Info'!$E$4-12)),"W","B")</x:f>
        <x:v>W</x:v>
      </x:c>
      <x:c r="O287" t="str">
        <x:f>IF(RAND()&lt;(('Team_Info'!$E$2-COUNTIF($B287:N287,"W"))/('Team_Info'!$E$4-13)),"W","B")</x:f>
        <x:v>B</x:v>
      </x:c>
      <x:c r="P287" t="str">
        <x:f>IF(RAND()&lt;(('Team_Info'!$E$2-COUNTIF($B287:O287,"W"))/('Team_Info'!$E$4-14)),"W","B")</x:f>
        <x:v>W</x:v>
      </x:c>
      <x:c r="Q287" t="str">
        <x:f>IF(RAND()&lt;(('Team_Info'!$E$2-COUNTIF($B287:P287,"W"))/('Team_Info'!$E$4-15)),"W","B")</x:f>
        <x:v>B</x:v>
      </x:c>
      <x:c r="R287" t="str">
        <x:f>IF(RAND()&lt;(('Team_Info'!$E$2-COUNTIF($B287:Q287,"W"))/('Team_Info'!$E$4-16)),"W","B")</x:f>
        <x:v>B</x:v>
      </x:c>
      <x:c r="S287" t="str">
        <x:f>IF(RAND()&lt;(('Team_Info'!$E$2-COUNTIF($B287:R287,"W"))/('Team_Info'!$E$4-17)),"W","B")</x:f>
        <x:v>W</x:v>
      </x:c>
      <x:c r="T287" t="str">
        <x:f>IF(RAND()&lt;(('Team_Info'!$E$2-COUNTIF($B287:S287,"W"))/('Team_Info'!$E$4-18)),"W","B")</x:f>
        <x:v>B</x:v>
      </x:c>
      <x:c r="U287" t="str">
        <x:f>IF(RAND()&lt;(('Team_Info'!$E$2-COUNTIF($B287:T287,"W"))/('Team_Info'!$E$4-19)),"W","B")</x:f>
        <x:v>B</x:v>
      </x:c>
    </x:row>
    <x:row r="288">
      <x:c r="A288" s="1">
        <x:v>287</x:v>
      </x:c>
      <x:c r="B288" t="str">
        <x:f>IF(RAND()&lt;'Team_Info'!$E$5,"W","B")</x:f>
        <x:v>B</x:v>
      </x:c>
      <x:c r="C288" t="str">
        <x:f>IF(RAND()&lt;(('Team_Info'!$E$2-COUNTIF($B288:B288,"W"))/('Team_Info'!$E$4-1)),"W","B")</x:f>
        <x:v>B</x:v>
      </x:c>
      <x:c r="D288" t="str">
        <x:f>IF(RAND()&lt;(('Team_Info'!$E$2-COUNTIF($B288:C288,"W"))/('Team_Info'!$E$4-2)),"W","B")</x:f>
        <x:v>B</x:v>
      </x:c>
      <x:c r="E288" t="str">
        <x:f>IF(RAND()&lt;(('Team_Info'!$E$2-COUNTIF($B288:D288,"W"))/('Team_Info'!$E$4-3)),"W","B")</x:f>
        <x:v>B</x:v>
      </x:c>
      <x:c r="F288" t="str">
        <x:f>IF(RAND()&lt;(('Team_Info'!$E$2-COUNTIF($B288:E288,"W"))/('Team_Info'!$E$4-4)),"W","B")</x:f>
        <x:v>W</x:v>
      </x:c>
      <x:c r="G288" t="str">
        <x:f>IF(RAND()&lt;(('Team_Info'!$E$2-COUNTIF($B288:F288,"W"))/('Team_Info'!$E$4-5)),"W","B")</x:f>
        <x:v>B</x:v>
      </x:c>
      <x:c r="H288" t="str">
        <x:f>IF(RAND()&lt;(('Team_Info'!$E$2-COUNTIF($B288:G288,"W"))/('Team_Info'!$E$4-6)),"W","B")</x:f>
        <x:v>B</x:v>
      </x:c>
      <x:c r="I288" t="str">
        <x:f>IF(RAND()&lt;(('Team_Info'!$E$2-COUNTIF($B288:H288,"W"))/('Team_Info'!$E$4-7)),"W","B")</x:f>
        <x:v>B</x:v>
      </x:c>
      <x:c r="J288" t="str">
        <x:f>IF(RAND()&lt;(('Team_Info'!$E$2-COUNTIF($B288:I288,"W"))/('Team_Info'!$E$4-8)),"W","B")</x:f>
        <x:v>B</x:v>
      </x:c>
      <x:c r="K288" t="str">
        <x:f>IF(RAND()&lt;(('Team_Info'!$E$2-COUNTIF($B288:J288,"W"))/('Team_Info'!$E$4-9)),"W","B")</x:f>
        <x:v>W</x:v>
      </x:c>
      <x:c r="L288" t="str">
        <x:f>IF(RAND()&lt;(('Team_Info'!$E$2-COUNTIF($B288:K288,"W"))/('Team_Info'!$E$4-10)),"W","B")</x:f>
        <x:v>W</x:v>
      </x:c>
      <x:c r="M288" t="str">
        <x:f>IF(RAND()&lt;(('Team_Info'!$E$2-COUNTIF($B288:L288,"W"))/('Team_Info'!$E$4-11)),"W","B")</x:f>
        <x:v>W</x:v>
      </x:c>
      <x:c r="N288" t="str">
        <x:f>IF(RAND()&lt;(('Team_Info'!$E$2-COUNTIF($B288:M288,"W"))/('Team_Info'!$E$4-12)),"W","B")</x:f>
        <x:v>W</x:v>
      </x:c>
      <x:c r="O288" t="str">
        <x:f>IF(RAND()&lt;(('Team_Info'!$E$2-COUNTIF($B288:N288,"W"))/('Team_Info'!$E$4-13)),"W","B")</x:f>
        <x:v>W</x:v>
      </x:c>
      <x:c r="P288" t="str">
        <x:f>IF(RAND()&lt;(('Team_Info'!$E$2-COUNTIF($B288:O288,"W"))/('Team_Info'!$E$4-14)),"W","B")</x:f>
        <x:v>W</x:v>
      </x:c>
      <x:c r="Q288" t="str">
        <x:f>IF(RAND()&lt;(('Team_Info'!$E$2-COUNTIF($B288:P288,"W"))/('Team_Info'!$E$4-15)),"W","B")</x:f>
        <x:v>B</x:v>
      </x:c>
      <x:c r="R288" t="str">
        <x:f>IF(RAND()&lt;(('Team_Info'!$E$2-COUNTIF($B288:Q288,"W"))/('Team_Info'!$E$4-16)),"W","B")</x:f>
        <x:v>W</x:v>
      </x:c>
      <x:c r="S288" t="str">
        <x:f>IF(RAND()&lt;(('Team_Info'!$E$2-COUNTIF($B288:R288,"W"))/('Team_Info'!$E$4-17)),"W","B")</x:f>
        <x:v>B</x:v>
      </x:c>
      <x:c r="T288" t="str">
        <x:f>IF(RAND()&lt;(('Team_Info'!$E$2-COUNTIF($B288:S288,"W"))/('Team_Info'!$E$4-18)),"W","B")</x:f>
        <x:v>W</x:v>
      </x:c>
      <x:c r="U288" t="str">
        <x:f>IF(RAND()&lt;(('Team_Info'!$E$2-COUNTIF($B288:T288,"W"))/('Team_Info'!$E$4-19)),"W","B")</x:f>
        <x:v>B</x:v>
      </x:c>
    </x:row>
    <x:row r="289">
      <x:c r="A289" s="1">
        <x:v>288</x:v>
      </x:c>
      <x:c r="B289" t="str">
        <x:f>IF(RAND()&lt;'Team_Info'!$E$5,"W","B")</x:f>
        <x:v>W</x:v>
      </x:c>
      <x:c r="C289" t="str">
        <x:f>IF(RAND()&lt;(('Team_Info'!$E$2-COUNTIF($B289:B289,"W"))/('Team_Info'!$E$4-1)),"W","B")</x:f>
        <x:v>W</x:v>
      </x:c>
      <x:c r="D289" t="str">
        <x:f>IF(RAND()&lt;(('Team_Info'!$E$2-COUNTIF($B289:C289,"W"))/('Team_Info'!$E$4-2)),"W","B")</x:f>
        <x:v>B</x:v>
      </x:c>
      <x:c r="E289" t="str">
        <x:f>IF(RAND()&lt;(('Team_Info'!$E$2-COUNTIF($B289:D289,"W"))/('Team_Info'!$E$4-3)),"W","B")</x:f>
        <x:v>B</x:v>
      </x:c>
      <x:c r="F289" t="str">
        <x:f>IF(RAND()&lt;(('Team_Info'!$E$2-COUNTIF($B289:E289,"W"))/('Team_Info'!$E$4-4)),"W","B")</x:f>
        <x:v>W</x:v>
      </x:c>
      <x:c r="G289" t="str">
        <x:f>IF(RAND()&lt;(('Team_Info'!$E$2-COUNTIF($B289:F289,"W"))/('Team_Info'!$E$4-5)),"W","B")</x:f>
        <x:v>B</x:v>
      </x:c>
      <x:c r="H289" t="str">
        <x:f>IF(RAND()&lt;(('Team_Info'!$E$2-COUNTIF($B289:G289,"W"))/('Team_Info'!$E$4-6)),"W","B")</x:f>
        <x:v>W</x:v>
      </x:c>
      <x:c r="I289" t="str">
        <x:f>IF(RAND()&lt;(('Team_Info'!$E$2-COUNTIF($B289:H289,"W"))/('Team_Info'!$E$4-7)),"W","B")</x:f>
        <x:v>B</x:v>
      </x:c>
      <x:c r="J289" t="str">
        <x:f>IF(RAND()&lt;(('Team_Info'!$E$2-COUNTIF($B289:I289,"W"))/('Team_Info'!$E$4-8)),"W","B")</x:f>
        <x:v>B</x:v>
      </x:c>
      <x:c r="K289" t="str">
        <x:f>IF(RAND()&lt;(('Team_Info'!$E$2-COUNTIF($B289:J289,"W"))/('Team_Info'!$E$4-9)),"W","B")</x:f>
        <x:v>B</x:v>
      </x:c>
      <x:c r="L289" t="str">
        <x:f>IF(RAND()&lt;(('Team_Info'!$E$2-COUNTIF($B289:K289,"W"))/('Team_Info'!$E$4-10)),"W","B")</x:f>
        <x:v>B</x:v>
      </x:c>
      <x:c r="M289" t="str">
        <x:f>IF(RAND()&lt;(('Team_Info'!$E$2-COUNTIF($B289:L289,"W"))/('Team_Info'!$E$4-11)),"W","B")</x:f>
        <x:v>B</x:v>
      </x:c>
      <x:c r="N289" t="str">
        <x:f>IF(RAND()&lt;(('Team_Info'!$E$2-COUNTIF($B289:M289,"W"))/('Team_Info'!$E$4-12)),"W","B")</x:f>
        <x:v>B</x:v>
      </x:c>
      <x:c r="O289" t="str">
        <x:f>IF(RAND()&lt;(('Team_Info'!$E$2-COUNTIF($B289:N289,"W"))/('Team_Info'!$E$4-13)),"W","B")</x:f>
        <x:v>W</x:v>
      </x:c>
      <x:c r="P289" t="str">
        <x:f>IF(RAND()&lt;(('Team_Info'!$E$2-COUNTIF($B289:O289,"W"))/('Team_Info'!$E$4-14)),"W","B")</x:f>
        <x:v>B</x:v>
      </x:c>
      <x:c r="Q289" t="str">
        <x:f>IF(RAND()&lt;(('Team_Info'!$E$2-COUNTIF($B289:P289,"W"))/('Team_Info'!$E$4-15)),"W","B")</x:f>
        <x:v>W</x:v>
      </x:c>
      <x:c r="R289" t="str">
        <x:f>IF(RAND()&lt;(('Team_Info'!$E$2-COUNTIF($B289:Q289,"W"))/('Team_Info'!$E$4-16)),"W","B")</x:f>
        <x:v>B</x:v>
      </x:c>
      <x:c r="S289" t="str">
        <x:f>IF(RAND()&lt;(('Team_Info'!$E$2-COUNTIF($B289:R289,"W"))/('Team_Info'!$E$4-17)),"W","B")</x:f>
        <x:v>B</x:v>
      </x:c>
      <x:c r="T289" t="str">
        <x:f>IF(RAND()&lt;(('Team_Info'!$E$2-COUNTIF($B289:S289,"W"))/('Team_Info'!$E$4-18)),"W","B")</x:f>
        <x:v>B</x:v>
      </x:c>
      <x:c r="U289" t="str">
        <x:f>IF(RAND()&lt;(('Team_Info'!$E$2-COUNTIF($B289:T289,"W"))/('Team_Info'!$E$4-19)),"W","B")</x:f>
        <x:v>B</x:v>
      </x:c>
    </x:row>
    <x:row r="290">
      <x:c r="A290" s="1">
        <x:v>289</x:v>
      </x:c>
      <x:c r="B290" t="str">
        <x:f>IF(RAND()&lt;'Team_Info'!$E$5,"W","B")</x:f>
        <x:v>B</x:v>
      </x:c>
      <x:c r="C290" t="str">
        <x:f>IF(RAND()&lt;(('Team_Info'!$E$2-COUNTIF($B290:B290,"W"))/('Team_Info'!$E$4-1)),"W","B")</x:f>
        <x:v>W</x:v>
      </x:c>
      <x:c r="D290" t="str">
        <x:f>IF(RAND()&lt;(('Team_Info'!$E$2-COUNTIF($B290:C290,"W"))/('Team_Info'!$E$4-2)),"W","B")</x:f>
        <x:v>B</x:v>
      </x:c>
      <x:c r="E290" t="str">
        <x:f>IF(RAND()&lt;(('Team_Info'!$E$2-COUNTIF($B290:D290,"W"))/('Team_Info'!$E$4-3)),"W","B")</x:f>
        <x:v>B</x:v>
      </x:c>
      <x:c r="F290" t="str">
        <x:f>IF(RAND()&lt;(('Team_Info'!$E$2-COUNTIF($B290:E290,"W"))/('Team_Info'!$E$4-4)),"W","B")</x:f>
        <x:v>W</x:v>
      </x:c>
      <x:c r="G290" t="str">
        <x:f>IF(RAND()&lt;(('Team_Info'!$E$2-COUNTIF($B290:F290,"W"))/('Team_Info'!$E$4-5)),"W","B")</x:f>
        <x:v>B</x:v>
      </x:c>
      <x:c r="H290" t="str">
        <x:f>IF(RAND()&lt;(('Team_Info'!$E$2-COUNTIF($B290:G290,"W"))/('Team_Info'!$E$4-6)),"W","B")</x:f>
        <x:v>B</x:v>
      </x:c>
      <x:c r="I290" t="str">
        <x:f>IF(RAND()&lt;(('Team_Info'!$E$2-COUNTIF($B290:H290,"W"))/('Team_Info'!$E$4-7)),"W","B")</x:f>
        <x:v>W</x:v>
      </x:c>
      <x:c r="J290" t="str">
        <x:f>IF(RAND()&lt;(('Team_Info'!$E$2-COUNTIF($B290:I290,"W"))/('Team_Info'!$E$4-8)),"W","B")</x:f>
        <x:v>B</x:v>
      </x:c>
      <x:c r="K290" t="str">
        <x:f>IF(RAND()&lt;(('Team_Info'!$E$2-COUNTIF($B290:J290,"W"))/('Team_Info'!$E$4-9)),"W","B")</x:f>
        <x:v>B</x:v>
      </x:c>
      <x:c r="L290" t="str">
        <x:f>IF(RAND()&lt;(('Team_Info'!$E$2-COUNTIF($B290:K290,"W"))/('Team_Info'!$E$4-10)),"W","B")</x:f>
        <x:v>B</x:v>
      </x:c>
      <x:c r="M290" t="str">
        <x:f>IF(RAND()&lt;(('Team_Info'!$E$2-COUNTIF($B290:L290,"W"))/('Team_Info'!$E$4-11)),"W","B")</x:f>
        <x:v>B</x:v>
      </x:c>
      <x:c r="N290" t="str">
        <x:f>IF(RAND()&lt;(('Team_Info'!$E$2-COUNTIF($B290:M290,"W"))/('Team_Info'!$E$4-12)),"W","B")</x:f>
        <x:v>W</x:v>
      </x:c>
      <x:c r="O290" t="str">
        <x:f>IF(RAND()&lt;(('Team_Info'!$E$2-COUNTIF($B290:N290,"W"))/('Team_Info'!$E$4-13)),"W","B")</x:f>
        <x:v>W</x:v>
      </x:c>
      <x:c r="P290" t="str">
        <x:f>IF(RAND()&lt;(('Team_Info'!$E$2-COUNTIF($B290:O290,"W"))/('Team_Info'!$E$4-14)),"W","B")</x:f>
        <x:v>B</x:v>
      </x:c>
      <x:c r="Q290" t="str">
        <x:f>IF(RAND()&lt;(('Team_Info'!$E$2-COUNTIF($B290:P290,"W"))/('Team_Info'!$E$4-15)),"W","B")</x:f>
        <x:v>W</x:v>
      </x:c>
      <x:c r="R290" t="str">
        <x:f>IF(RAND()&lt;(('Team_Info'!$E$2-COUNTIF($B290:Q290,"W"))/('Team_Info'!$E$4-16)),"W","B")</x:f>
        <x:v>B</x:v>
      </x:c>
      <x:c r="S290" t="str">
        <x:f>IF(RAND()&lt;(('Team_Info'!$E$2-COUNTIF($B290:R290,"W"))/('Team_Info'!$E$4-17)),"W","B")</x:f>
        <x:v>W</x:v>
      </x:c>
      <x:c r="T290" t="str">
        <x:f>IF(RAND()&lt;(('Team_Info'!$E$2-COUNTIF($B290:S290,"W"))/('Team_Info'!$E$4-18)),"W","B")</x:f>
        <x:v>B</x:v>
      </x:c>
      <x:c r="U290" t="str">
        <x:f>IF(RAND()&lt;(('Team_Info'!$E$2-COUNTIF($B290:T290,"W"))/('Team_Info'!$E$4-19)),"W","B")</x:f>
        <x:v>W</x:v>
      </x:c>
    </x:row>
    <x:row r="291">
      <x:c r="A291" s="1">
        <x:v>290</x:v>
      </x:c>
      <x:c r="B291" t="str">
        <x:f>IF(RAND()&lt;'Team_Info'!$E$5,"W","B")</x:f>
        <x:v>B</x:v>
      </x:c>
      <x:c r="C291" t="str">
        <x:f>IF(RAND()&lt;(('Team_Info'!$E$2-COUNTIF($B291:B291,"W"))/('Team_Info'!$E$4-1)),"W","B")</x:f>
        <x:v>B</x:v>
      </x:c>
      <x:c r="D291" t="str">
        <x:f>IF(RAND()&lt;(('Team_Info'!$E$2-COUNTIF($B291:C291,"W"))/('Team_Info'!$E$4-2)),"W","B")</x:f>
        <x:v>B</x:v>
      </x:c>
      <x:c r="E291" t="str">
        <x:f>IF(RAND()&lt;(('Team_Info'!$E$2-COUNTIF($B291:D291,"W"))/('Team_Info'!$E$4-3)),"W","B")</x:f>
        <x:v>B</x:v>
      </x:c>
      <x:c r="F291" t="str">
        <x:f>IF(RAND()&lt;(('Team_Info'!$E$2-COUNTIF($B291:E291,"W"))/('Team_Info'!$E$4-4)),"W","B")</x:f>
        <x:v>W</x:v>
      </x:c>
      <x:c r="G291" t="str">
        <x:f>IF(RAND()&lt;(('Team_Info'!$E$2-COUNTIF($B291:F291,"W"))/('Team_Info'!$E$4-5)),"W","B")</x:f>
        <x:v>B</x:v>
      </x:c>
      <x:c r="H291" t="str">
        <x:f>IF(RAND()&lt;(('Team_Info'!$E$2-COUNTIF($B291:G291,"W"))/('Team_Info'!$E$4-6)),"W","B")</x:f>
        <x:v>W</x:v>
      </x:c>
      <x:c r="I291" t="str">
        <x:f>IF(RAND()&lt;(('Team_Info'!$E$2-COUNTIF($B291:H291,"W"))/('Team_Info'!$E$4-7)),"W","B")</x:f>
        <x:v>B</x:v>
      </x:c>
      <x:c r="J291" t="str">
        <x:f>IF(RAND()&lt;(('Team_Info'!$E$2-COUNTIF($B291:I291,"W"))/('Team_Info'!$E$4-8)),"W","B")</x:f>
        <x:v>B</x:v>
      </x:c>
      <x:c r="K291" t="str">
        <x:f>IF(RAND()&lt;(('Team_Info'!$E$2-COUNTIF($B291:J291,"W"))/('Team_Info'!$E$4-9)),"W","B")</x:f>
        <x:v>B</x:v>
      </x:c>
      <x:c r="L291" t="str">
        <x:f>IF(RAND()&lt;(('Team_Info'!$E$2-COUNTIF($B291:K291,"W"))/('Team_Info'!$E$4-10)),"W","B")</x:f>
        <x:v>W</x:v>
      </x:c>
      <x:c r="M291" t="str">
        <x:f>IF(RAND()&lt;(('Team_Info'!$E$2-COUNTIF($B291:L291,"W"))/('Team_Info'!$E$4-11)),"W","B")</x:f>
        <x:v>B</x:v>
      </x:c>
      <x:c r="N291" t="str">
        <x:f>IF(RAND()&lt;(('Team_Info'!$E$2-COUNTIF($B291:M291,"W"))/('Team_Info'!$E$4-12)),"W","B")</x:f>
        <x:v>B</x:v>
      </x:c>
      <x:c r="O291" t="str">
        <x:f>IF(RAND()&lt;(('Team_Info'!$E$2-COUNTIF($B291:N291,"W"))/('Team_Info'!$E$4-13)),"W","B")</x:f>
        <x:v>B</x:v>
      </x:c>
      <x:c r="P291" t="str">
        <x:f>IF(RAND()&lt;(('Team_Info'!$E$2-COUNTIF($B291:O291,"W"))/('Team_Info'!$E$4-14)),"W","B")</x:f>
        <x:v>B</x:v>
      </x:c>
      <x:c r="Q291" t="str">
        <x:f>IF(RAND()&lt;(('Team_Info'!$E$2-COUNTIF($B291:P291,"W"))/('Team_Info'!$E$4-15)),"W","B")</x:f>
        <x:v>W</x:v>
      </x:c>
      <x:c r="R291" t="str">
        <x:f>IF(RAND()&lt;(('Team_Info'!$E$2-COUNTIF($B291:Q291,"W"))/('Team_Info'!$E$4-16)),"W","B")</x:f>
        <x:v>B</x:v>
      </x:c>
      <x:c r="S291" t="str">
        <x:f>IF(RAND()&lt;(('Team_Info'!$E$2-COUNTIF($B291:R291,"W"))/('Team_Info'!$E$4-17)),"W","B")</x:f>
        <x:v>B</x:v>
      </x:c>
      <x:c r="T291" t="str">
        <x:f>IF(RAND()&lt;(('Team_Info'!$E$2-COUNTIF($B291:S291,"W"))/('Team_Info'!$E$4-18)),"W","B")</x:f>
        <x:v>W</x:v>
      </x:c>
      <x:c r="U291" t="str">
        <x:f>IF(RAND()&lt;(('Team_Info'!$E$2-COUNTIF($B291:T291,"W"))/('Team_Info'!$E$4-19)),"W","B")</x:f>
        <x:v>B</x:v>
      </x:c>
    </x:row>
    <x:row r="292">
      <x:c r="A292" s="1">
        <x:v>291</x:v>
      </x:c>
      <x:c r="B292" t="str">
        <x:f>IF(RAND()&lt;'Team_Info'!$E$5,"W","B")</x:f>
        <x:v>W</x:v>
      </x:c>
      <x:c r="C292" t="str">
        <x:f>IF(RAND()&lt;(('Team_Info'!$E$2-COUNTIF($B292:B292,"W"))/('Team_Info'!$E$4-1)),"W","B")</x:f>
        <x:v>B</x:v>
      </x:c>
      <x:c r="D292" t="str">
        <x:f>IF(RAND()&lt;(('Team_Info'!$E$2-COUNTIF($B292:C292,"W"))/('Team_Info'!$E$4-2)),"W","B")</x:f>
        <x:v>W</x:v>
      </x:c>
      <x:c r="E292" t="str">
        <x:f>IF(RAND()&lt;(('Team_Info'!$E$2-COUNTIF($B292:D292,"W"))/('Team_Info'!$E$4-3)),"W","B")</x:f>
        <x:v>B</x:v>
      </x:c>
      <x:c r="F292" t="str">
        <x:f>IF(RAND()&lt;(('Team_Info'!$E$2-COUNTIF($B292:E292,"W"))/('Team_Info'!$E$4-4)),"W","B")</x:f>
        <x:v>B</x:v>
      </x:c>
      <x:c r="G292" t="str">
        <x:f>IF(RAND()&lt;(('Team_Info'!$E$2-COUNTIF($B292:F292,"W"))/('Team_Info'!$E$4-5)),"W","B")</x:f>
        <x:v>B</x:v>
      </x:c>
      <x:c r="H292" t="str">
        <x:f>IF(RAND()&lt;(('Team_Info'!$E$2-COUNTIF($B292:G292,"W"))/('Team_Info'!$E$4-6)),"W","B")</x:f>
        <x:v>B</x:v>
      </x:c>
      <x:c r="I292" t="str">
        <x:f>IF(RAND()&lt;(('Team_Info'!$E$2-COUNTIF($B292:H292,"W"))/('Team_Info'!$E$4-7)),"W","B")</x:f>
        <x:v>B</x:v>
      </x:c>
      <x:c r="J292" t="str">
        <x:f>IF(RAND()&lt;(('Team_Info'!$E$2-COUNTIF($B292:I292,"W"))/('Team_Info'!$E$4-8)),"W","B")</x:f>
        <x:v>B</x:v>
      </x:c>
      <x:c r="K292" t="str">
        <x:f>IF(RAND()&lt;(('Team_Info'!$E$2-COUNTIF($B292:J292,"W"))/('Team_Info'!$E$4-9)),"W","B")</x:f>
        <x:v>B</x:v>
      </x:c>
      <x:c r="L292" t="str">
        <x:f>IF(RAND()&lt;(('Team_Info'!$E$2-COUNTIF($B292:K292,"W"))/('Team_Info'!$E$4-10)),"W","B")</x:f>
        <x:v>B</x:v>
      </x:c>
      <x:c r="M292" t="str">
        <x:f>IF(RAND()&lt;(('Team_Info'!$E$2-COUNTIF($B292:L292,"W"))/('Team_Info'!$E$4-11)),"W","B")</x:f>
        <x:v>B</x:v>
      </x:c>
      <x:c r="N292" t="str">
        <x:f>IF(RAND()&lt;(('Team_Info'!$E$2-COUNTIF($B292:M292,"W"))/('Team_Info'!$E$4-12)),"W","B")</x:f>
        <x:v>B</x:v>
      </x:c>
      <x:c r="O292" t="str">
        <x:f>IF(RAND()&lt;(('Team_Info'!$E$2-COUNTIF($B292:N292,"W"))/('Team_Info'!$E$4-13)),"W","B")</x:f>
        <x:v>B</x:v>
      </x:c>
      <x:c r="P292" t="str">
        <x:f>IF(RAND()&lt;(('Team_Info'!$E$2-COUNTIF($B292:O292,"W"))/('Team_Info'!$E$4-14)),"W","B")</x:f>
        <x:v>W</x:v>
      </x:c>
      <x:c r="Q292" t="str">
        <x:f>IF(RAND()&lt;(('Team_Info'!$E$2-COUNTIF($B292:P292,"W"))/('Team_Info'!$E$4-15)),"W","B")</x:f>
        <x:v>W</x:v>
      </x:c>
      <x:c r="R292" t="str">
        <x:f>IF(RAND()&lt;(('Team_Info'!$E$2-COUNTIF($B292:Q292,"W"))/('Team_Info'!$E$4-16)),"W","B")</x:f>
        <x:v>B</x:v>
      </x:c>
      <x:c r="S292" t="str">
        <x:f>IF(RAND()&lt;(('Team_Info'!$E$2-COUNTIF($B292:R292,"W"))/('Team_Info'!$E$4-17)),"W","B")</x:f>
        <x:v>B</x:v>
      </x:c>
      <x:c r="T292" t="str">
        <x:f>IF(RAND()&lt;(('Team_Info'!$E$2-COUNTIF($B292:S292,"W"))/('Team_Info'!$E$4-18)),"W","B")</x:f>
        <x:v>B</x:v>
      </x:c>
      <x:c r="U292" t="str">
        <x:f>IF(RAND()&lt;(('Team_Info'!$E$2-COUNTIF($B292:T292,"W"))/('Team_Info'!$E$4-19)),"W","B")</x:f>
        <x:v>B</x:v>
      </x:c>
    </x:row>
    <x:row r="293">
      <x:c r="A293" s="1">
        <x:v>292</x:v>
      </x:c>
      <x:c r="B293" t="str">
        <x:f>IF(RAND()&lt;'Team_Info'!$E$5,"W","B")</x:f>
        <x:v>W</x:v>
      </x:c>
      <x:c r="C293" t="str">
        <x:f>IF(RAND()&lt;(('Team_Info'!$E$2-COUNTIF($B293:B293,"W"))/('Team_Info'!$E$4-1)),"W","B")</x:f>
        <x:v>W</x:v>
      </x:c>
      <x:c r="D293" t="str">
        <x:f>IF(RAND()&lt;(('Team_Info'!$E$2-COUNTIF($B293:C293,"W"))/('Team_Info'!$E$4-2)),"W","B")</x:f>
        <x:v>W</x:v>
      </x:c>
      <x:c r="E293" t="str">
        <x:f>IF(RAND()&lt;(('Team_Info'!$E$2-COUNTIF($B293:D293,"W"))/('Team_Info'!$E$4-3)),"W","B")</x:f>
        <x:v>W</x:v>
      </x:c>
      <x:c r="F293" t="str">
        <x:f>IF(RAND()&lt;(('Team_Info'!$E$2-COUNTIF($B293:E293,"W"))/('Team_Info'!$E$4-4)),"W","B")</x:f>
        <x:v>B</x:v>
      </x:c>
      <x:c r="G293" t="str">
        <x:f>IF(RAND()&lt;(('Team_Info'!$E$2-COUNTIF($B293:F293,"W"))/('Team_Info'!$E$4-5)),"W","B")</x:f>
        <x:v>W</x:v>
      </x:c>
      <x:c r="H293" t="str">
        <x:f>IF(RAND()&lt;(('Team_Info'!$E$2-COUNTIF($B293:G293,"W"))/('Team_Info'!$E$4-6)),"W","B")</x:f>
        <x:v>B</x:v>
      </x:c>
      <x:c r="I293" t="str">
        <x:f>IF(RAND()&lt;(('Team_Info'!$E$2-COUNTIF($B293:H293,"W"))/('Team_Info'!$E$4-7)),"W","B")</x:f>
        <x:v>W</x:v>
      </x:c>
      <x:c r="J293" t="str">
        <x:f>IF(RAND()&lt;(('Team_Info'!$E$2-COUNTIF($B293:I293,"W"))/('Team_Info'!$E$4-8)),"W","B")</x:f>
        <x:v>W</x:v>
      </x:c>
      <x:c r="K293" t="str">
        <x:f>IF(RAND()&lt;(('Team_Info'!$E$2-COUNTIF($B293:J293,"W"))/('Team_Info'!$E$4-9)),"W","B")</x:f>
        <x:v>B</x:v>
      </x:c>
      <x:c r="L293" t="str">
        <x:f>IF(RAND()&lt;(('Team_Info'!$E$2-COUNTIF($B293:K293,"W"))/('Team_Info'!$E$4-10)),"W","B")</x:f>
        <x:v>B</x:v>
      </x:c>
      <x:c r="M293" t="str">
        <x:f>IF(RAND()&lt;(('Team_Info'!$E$2-COUNTIF($B293:L293,"W"))/('Team_Info'!$E$4-11)),"W","B")</x:f>
        <x:v>W</x:v>
      </x:c>
      <x:c r="N293" t="str">
        <x:f>IF(RAND()&lt;(('Team_Info'!$E$2-COUNTIF($B293:M293,"W"))/('Team_Info'!$E$4-12)),"W","B")</x:f>
        <x:v>B</x:v>
      </x:c>
      <x:c r="O293" t="str">
        <x:f>IF(RAND()&lt;(('Team_Info'!$E$2-COUNTIF($B293:N293,"W"))/('Team_Info'!$E$4-13)),"W","B")</x:f>
        <x:v>B</x:v>
      </x:c>
      <x:c r="P293" t="str">
        <x:f>IF(RAND()&lt;(('Team_Info'!$E$2-COUNTIF($B293:O293,"W"))/('Team_Info'!$E$4-14)),"W","B")</x:f>
        <x:v>W</x:v>
      </x:c>
      <x:c r="Q293" t="str">
        <x:f>IF(RAND()&lt;(('Team_Info'!$E$2-COUNTIF($B293:P293,"W"))/('Team_Info'!$E$4-15)),"W","B")</x:f>
        <x:v>B</x:v>
      </x:c>
      <x:c r="R293" t="str">
        <x:f>IF(RAND()&lt;(('Team_Info'!$E$2-COUNTIF($B293:Q293,"W"))/('Team_Info'!$E$4-16)),"W","B")</x:f>
        <x:v>B</x:v>
      </x:c>
      <x:c r="S293" t="str">
        <x:f>IF(RAND()&lt;(('Team_Info'!$E$2-COUNTIF($B293:R293,"W"))/('Team_Info'!$E$4-17)),"W","B")</x:f>
        <x:v>W</x:v>
      </x:c>
      <x:c r="T293" t="str">
        <x:f>IF(RAND()&lt;(('Team_Info'!$E$2-COUNTIF($B293:S293,"W"))/('Team_Info'!$E$4-18)),"W","B")</x:f>
        <x:v>B</x:v>
      </x:c>
      <x:c r="U293" t="str">
        <x:f>IF(RAND()&lt;(('Team_Info'!$E$2-COUNTIF($B293:T293,"W"))/('Team_Info'!$E$4-19)),"W","B")</x:f>
        <x:v>W</x:v>
      </x:c>
    </x:row>
    <x:row r="294">
      <x:c r="A294" s="1">
        <x:v>293</x:v>
      </x:c>
      <x:c r="B294" t="str">
        <x:f>IF(RAND()&lt;'Team_Info'!$E$5,"W","B")</x:f>
        <x:v>B</x:v>
      </x:c>
      <x:c r="C294" t="str">
        <x:f>IF(RAND()&lt;(('Team_Info'!$E$2-COUNTIF($B294:B294,"W"))/('Team_Info'!$E$4-1)),"W","B")</x:f>
        <x:v>B</x:v>
      </x:c>
      <x:c r="D294" t="str">
        <x:f>IF(RAND()&lt;(('Team_Info'!$E$2-COUNTIF($B294:C294,"W"))/('Team_Info'!$E$4-2)),"W","B")</x:f>
        <x:v>W</x:v>
      </x:c>
      <x:c r="E294" t="str">
        <x:f>IF(RAND()&lt;(('Team_Info'!$E$2-COUNTIF($B294:D294,"W"))/('Team_Info'!$E$4-3)),"W","B")</x:f>
        <x:v>B</x:v>
      </x:c>
      <x:c r="F294" t="str">
        <x:f>IF(RAND()&lt;(('Team_Info'!$E$2-COUNTIF($B294:E294,"W"))/('Team_Info'!$E$4-4)),"W","B")</x:f>
        <x:v>B</x:v>
      </x:c>
      <x:c r="G294" t="str">
        <x:f>IF(RAND()&lt;(('Team_Info'!$E$2-COUNTIF($B294:F294,"W"))/('Team_Info'!$E$4-5)),"W","B")</x:f>
        <x:v>B</x:v>
      </x:c>
      <x:c r="H294" t="str">
        <x:f>IF(RAND()&lt;(('Team_Info'!$E$2-COUNTIF($B294:G294,"W"))/('Team_Info'!$E$4-6)),"W","B")</x:f>
        <x:v>B</x:v>
      </x:c>
      <x:c r="I294" t="str">
        <x:f>IF(RAND()&lt;(('Team_Info'!$E$2-COUNTIF($B294:H294,"W"))/('Team_Info'!$E$4-7)),"W","B")</x:f>
        <x:v>B</x:v>
      </x:c>
      <x:c r="J294" t="str">
        <x:f>IF(RAND()&lt;(('Team_Info'!$E$2-COUNTIF($B294:I294,"W"))/('Team_Info'!$E$4-8)),"W","B")</x:f>
        <x:v>B</x:v>
      </x:c>
      <x:c r="K294" t="str">
        <x:f>IF(RAND()&lt;(('Team_Info'!$E$2-COUNTIF($B294:J294,"W"))/('Team_Info'!$E$4-9)),"W","B")</x:f>
        <x:v>W</x:v>
      </x:c>
      <x:c r="L294" t="str">
        <x:f>IF(RAND()&lt;(('Team_Info'!$E$2-COUNTIF($B294:K294,"W"))/('Team_Info'!$E$4-10)),"W","B")</x:f>
        <x:v>B</x:v>
      </x:c>
      <x:c r="M294" t="str">
        <x:f>IF(RAND()&lt;(('Team_Info'!$E$2-COUNTIF($B294:L294,"W"))/('Team_Info'!$E$4-11)),"W","B")</x:f>
        <x:v>W</x:v>
      </x:c>
      <x:c r="N294" t="str">
        <x:f>IF(RAND()&lt;(('Team_Info'!$E$2-COUNTIF($B294:M294,"W"))/('Team_Info'!$E$4-12)),"W","B")</x:f>
        <x:v>B</x:v>
      </x:c>
      <x:c r="O294" t="str">
        <x:f>IF(RAND()&lt;(('Team_Info'!$E$2-COUNTIF($B294:N294,"W"))/('Team_Info'!$E$4-13)),"W","B")</x:f>
        <x:v>B</x:v>
      </x:c>
      <x:c r="P294" t="str">
        <x:f>IF(RAND()&lt;(('Team_Info'!$E$2-COUNTIF($B294:O294,"W"))/('Team_Info'!$E$4-14)),"W","B")</x:f>
        <x:v>B</x:v>
      </x:c>
      <x:c r="Q294" t="str">
        <x:f>IF(RAND()&lt;(('Team_Info'!$E$2-COUNTIF($B294:P294,"W"))/('Team_Info'!$E$4-15)),"W","B")</x:f>
        <x:v>W</x:v>
      </x:c>
      <x:c r="R294" t="str">
        <x:f>IF(RAND()&lt;(('Team_Info'!$E$2-COUNTIF($B294:Q294,"W"))/('Team_Info'!$E$4-16)),"W","B")</x:f>
        <x:v>B</x:v>
      </x:c>
      <x:c r="S294" t="str">
        <x:f>IF(RAND()&lt;(('Team_Info'!$E$2-COUNTIF($B294:R294,"W"))/('Team_Info'!$E$4-17)),"W","B")</x:f>
        <x:v>B</x:v>
      </x:c>
      <x:c r="T294" t="str">
        <x:f>IF(RAND()&lt;(('Team_Info'!$E$2-COUNTIF($B294:S294,"W"))/('Team_Info'!$E$4-18)),"W","B")</x:f>
        <x:v>W</x:v>
      </x:c>
      <x:c r="U294" t="str">
        <x:f>IF(RAND()&lt;(('Team_Info'!$E$2-COUNTIF($B294:T294,"W"))/('Team_Info'!$E$4-19)),"W","B")</x:f>
        <x:v>B</x:v>
      </x:c>
    </x:row>
    <x:row r="295">
      <x:c r="A295" s="1">
        <x:v>294</x:v>
      </x:c>
      <x:c r="B295" t="str">
        <x:f>IF(RAND()&lt;'Team_Info'!$E$5,"W","B")</x:f>
        <x:v>B</x:v>
      </x:c>
      <x:c r="C295" t="str">
        <x:f>IF(RAND()&lt;(('Team_Info'!$E$2-COUNTIF($B295:B295,"W"))/('Team_Info'!$E$4-1)),"W","B")</x:f>
        <x:v>B</x:v>
      </x:c>
      <x:c r="D295" t="str">
        <x:f>IF(RAND()&lt;(('Team_Info'!$E$2-COUNTIF($B295:C295,"W"))/('Team_Info'!$E$4-2)),"W","B")</x:f>
        <x:v>B</x:v>
      </x:c>
      <x:c r="E295" t="str">
        <x:f>IF(RAND()&lt;(('Team_Info'!$E$2-COUNTIF($B295:D295,"W"))/('Team_Info'!$E$4-3)),"W","B")</x:f>
        <x:v>B</x:v>
      </x:c>
      <x:c r="F295" t="str">
        <x:f>IF(RAND()&lt;(('Team_Info'!$E$2-COUNTIF($B295:E295,"W"))/('Team_Info'!$E$4-4)),"W","B")</x:f>
        <x:v>B</x:v>
      </x:c>
      <x:c r="G295" t="str">
        <x:f>IF(RAND()&lt;(('Team_Info'!$E$2-COUNTIF($B295:F295,"W"))/('Team_Info'!$E$4-5)),"W","B")</x:f>
        <x:v>B</x:v>
      </x:c>
      <x:c r="H295" t="str">
        <x:f>IF(RAND()&lt;(('Team_Info'!$E$2-COUNTIF($B295:G295,"W"))/('Team_Info'!$E$4-6)),"W","B")</x:f>
        <x:v>B</x:v>
      </x:c>
      <x:c r="I295" t="str">
        <x:f>IF(RAND()&lt;(('Team_Info'!$E$2-COUNTIF($B295:H295,"W"))/('Team_Info'!$E$4-7)),"W","B")</x:f>
        <x:v>B</x:v>
      </x:c>
      <x:c r="J295" t="str">
        <x:f>IF(RAND()&lt;(('Team_Info'!$E$2-COUNTIF($B295:I295,"W"))/('Team_Info'!$E$4-8)),"W","B")</x:f>
        <x:v>B</x:v>
      </x:c>
      <x:c r="K295" t="str">
        <x:f>IF(RAND()&lt;(('Team_Info'!$E$2-COUNTIF($B295:J295,"W"))/('Team_Info'!$E$4-9)),"W","B")</x:f>
        <x:v>W</x:v>
      </x:c>
      <x:c r="L295" t="str">
        <x:f>IF(RAND()&lt;(('Team_Info'!$E$2-COUNTIF($B295:K295,"W"))/('Team_Info'!$E$4-10)),"W","B")</x:f>
        <x:v>B</x:v>
      </x:c>
      <x:c r="M295" t="str">
        <x:f>IF(RAND()&lt;(('Team_Info'!$E$2-COUNTIF($B295:L295,"W"))/('Team_Info'!$E$4-11)),"W","B")</x:f>
        <x:v>W</x:v>
      </x:c>
      <x:c r="N295" t="str">
        <x:f>IF(RAND()&lt;(('Team_Info'!$E$2-COUNTIF($B295:M295,"W"))/('Team_Info'!$E$4-12)),"W","B")</x:f>
        <x:v>B</x:v>
      </x:c>
      <x:c r="O295" t="str">
        <x:f>IF(RAND()&lt;(('Team_Info'!$E$2-COUNTIF($B295:N295,"W"))/('Team_Info'!$E$4-13)),"W","B")</x:f>
        <x:v>W</x:v>
      </x:c>
      <x:c r="P295" t="str">
        <x:f>IF(RAND()&lt;(('Team_Info'!$E$2-COUNTIF($B295:O295,"W"))/('Team_Info'!$E$4-14)),"W","B")</x:f>
        <x:v>B</x:v>
      </x:c>
      <x:c r="Q295" t="str">
        <x:f>IF(RAND()&lt;(('Team_Info'!$E$2-COUNTIF($B295:P295,"W"))/('Team_Info'!$E$4-15)),"W","B")</x:f>
        <x:v>W</x:v>
      </x:c>
      <x:c r="R295" t="str">
        <x:f>IF(RAND()&lt;(('Team_Info'!$E$2-COUNTIF($B295:Q295,"W"))/('Team_Info'!$E$4-16)),"W","B")</x:f>
        <x:v>B</x:v>
      </x:c>
      <x:c r="S295" t="str">
        <x:f>IF(RAND()&lt;(('Team_Info'!$E$2-COUNTIF($B295:R295,"W"))/('Team_Info'!$E$4-17)),"W","B")</x:f>
        <x:v>W</x:v>
      </x:c>
      <x:c r="T295" t="str">
        <x:f>IF(RAND()&lt;(('Team_Info'!$E$2-COUNTIF($B295:S295,"W"))/('Team_Info'!$E$4-18)),"W","B")</x:f>
        <x:v>B</x:v>
      </x:c>
      <x:c r="U295" t="str">
        <x:f>IF(RAND()&lt;(('Team_Info'!$E$2-COUNTIF($B295:T295,"W"))/('Team_Info'!$E$4-19)),"W","B")</x:f>
        <x:v>B</x:v>
      </x:c>
    </x:row>
    <x:row r="296">
      <x:c r="A296" s="1">
        <x:v>295</x:v>
      </x:c>
      <x:c r="B296" t="str">
        <x:f>IF(RAND()&lt;'Team_Info'!$E$5,"W","B")</x:f>
        <x:v>B</x:v>
      </x:c>
      <x:c r="C296" t="str">
        <x:f>IF(RAND()&lt;(('Team_Info'!$E$2-COUNTIF($B296:B296,"W"))/('Team_Info'!$E$4-1)),"W","B")</x:f>
        <x:v>W</x:v>
      </x:c>
      <x:c r="D296" t="str">
        <x:f>IF(RAND()&lt;(('Team_Info'!$E$2-COUNTIF($B296:C296,"W"))/('Team_Info'!$E$4-2)),"W","B")</x:f>
        <x:v>B</x:v>
      </x:c>
      <x:c r="E296" t="str">
        <x:f>IF(RAND()&lt;(('Team_Info'!$E$2-COUNTIF($B296:D296,"W"))/('Team_Info'!$E$4-3)),"W","B")</x:f>
        <x:v>W</x:v>
      </x:c>
      <x:c r="F296" t="str">
        <x:f>IF(RAND()&lt;(('Team_Info'!$E$2-COUNTIF($B296:E296,"W"))/('Team_Info'!$E$4-4)),"W","B")</x:f>
        <x:v>B</x:v>
      </x:c>
      <x:c r="G296" t="str">
        <x:f>IF(RAND()&lt;(('Team_Info'!$E$2-COUNTIF($B296:F296,"W"))/('Team_Info'!$E$4-5)),"W","B")</x:f>
        <x:v>B</x:v>
      </x:c>
      <x:c r="H296" t="str">
        <x:f>IF(RAND()&lt;(('Team_Info'!$E$2-COUNTIF($B296:G296,"W"))/('Team_Info'!$E$4-6)),"W","B")</x:f>
        <x:v>B</x:v>
      </x:c>
      <x:c r="I296" t="str">
        <x:f>IF(RAND()&lt;(('Team_Info'!$E$2-COUNTIF($B296:H296,"W"))/('Team_Info'!$E$4-7)),"W","B")</x:f>
        <x:v>W</x:v>
      </x:c>
      <x:c r="J296" t="str">
        <x:f>IF(RAND()&lt;(('Team_Info'!$E$2-COUNTIF($B296:I296,"W"))/('Team_Info'!$E$4-8)),"W","B")</x:f>
        <x:v>B</x:v>
      </x:c>
      <x:c r="K296" t="str">
        <x:f>IF(RAND()&lt;(('Team_Info'!$E$2-COUNTIF($B296:J296,"W"))/('Team_Info'!$E$4-9)),"W","B")</x:f>
        <x:v>W</x:v>
      </x:c>
      <x:c r="L296" t="str">
        <x:f>IF(RAND()&lt;(('Team_Info'!$E$2-COUNTIF($B296:K296,"W"))/('Team_Info'!$E$4-10)),"W","B")</x:f>
        <x:v>W</x:v>
      </x:c>
      <x:c r="M296" t="str">
        <x:f>IF(RAND()&lt;(('Team_Info'!$E$2-COUNTIF($B296:L296,"W"))/('Team_Info'!$E$4-11)),"W","B")</x:f>
        <x:v>B</x:v>
      </x:c>
      <x:c r="N296" t="str">
        <x:f>IF(RAND()&lt;(('Team_Info'!$E$2-COUNTIF($B296:M296,"W"))/('Team_Info'!$E$4-12)),"W","B")</x:f>
        <x:v>B</x:v>
      </x:c>
      <x:c r="O296" t="str">
        <x:f>IF(RAND()&lt;(('Team_Info'!$E$2-COUNTIF($B296:N296,"W"))/('Team_Info'!$E$4-13)),"W","B")</x:f>
        <x:v>B</x:v>
      </x:c>
      <x:c r="P296" t="str">
        <x:f>IF(RAND()&lt;(('Team_Info'!$E$2-COUNTIF($B296:O296,"W"))/('Team_Info'!$E$4-14)),"W","B")</x:f>
        <x:v>B</x:v>
      </x:c>
      <x:c r="Q296" t="str">
        <x:f>IF(RAND()&lt;(('Team_Info'!$E$2-COUNTIF($B296:P296,"W"))/('Team_Info'!$E$4-15)),"W","B")</x:f>
        <x:v>B</x:v>
      </x:c>
      <x:c r="R296" t="str">
        <x:f>IF(RAND()&lt;(('Team_Info'!$E$2-COUNTIF($B296:Q296,"W"))/('Team_Info'!$E$4-16)),"W","B")</x:f>
        <x:v>W</x:v>
      </x:c>
      <x:c r="S296" t="str">
        <x:f>IF(RAND()&lt;(('Team_Info'!$E$2-COUNTIF($B296:R296,"W"))/('Team_Info'!$E$4-17)),"W","B")</x:f>
        <x:v>B</x:v>
      </x:c>
      <x:c r="T296" t="str">
        <x:f>IF(RAND()&lt;(('Team_Info'!$E$2-COUNTIF($B296:S296,"W"))/('Team_Info'!$E$4-18)),"W","B")</x:f>
        <x:v>W</x:v>
      </x:c>
      <x:c r="U296" t="str">
        <x:f>IF(RAND()&lt;(('Team_Info'!$E$2-COUNTIF($B296:T296,"W"))/('Team_Info'!$E$4-19)),"W","B")</x:f>
        <x:v>B</x:v>
      </x:c>
    </x:row>
    <x:row r="297">
      <x:c r="A297" s="1">
        <x:v>296</x:v>
      </x:c>
      <x:c r="B297" t="str">
        <x:f>IF(RAND()&lt;'Team_Info'!$E$5,"W","B")</x:f>
        <x:v>W</x:v>
      </x:c>
      <x:c r="C297" t="str">
        <x:f>IF(RAND()&lt;(('Team_Info'!$E$2-COUNTIF($B297:B297,"W"))/('Team_Info'!$E$4-1)),"W","B")</x:f>
        <x:v>B</x:v>
      </x:c>
      <x:c r="D297" t="str">
        <x:f>IF(RAND()&lt;(('Team_Info'!$E$2-COUNTIF($B297:C297,"W"))/('Team_Info'!$E$4-2)),"W","B")</x:f>
        <x:v>B</x:v>
      </x:c>
      <x:c r="E297" t="str">
        <x:f>IF(RAND()&lt;(('Team_Info'!$E$2-COUNTIF($B297:D297,"W"))/('Team_Info'!$E$4-3)),"W","B")</x:f>
        <x:v>B</x:v>
      </x:c>
      <x:c r="F297" t="str">
        <x:f>IF(RAND()&lt;(('Team_Info'!$E$2-COUNTIF($B297:E297,"W"))/('Team_Info'!$E$4-4)),"W","B")</x:f>
        <x:v>W</x:v>
      </x:c>
      <x:c r="G297" t="str">
        <x:f>IF(RAND()&lt;(('Team_Info'!$E$2-COUNTIF($B297:F297,"W"))/('Team_Info'!$E$4-5)),"W","B")</x:f>
        <x:v>B</x:v>
      </x:c>
      <x:c r="H297" t="str">
        <x:f>IF(RAND()&lt;(('Team_Info'!$E$2-COUNTIF($B297:G297,"W"))/('Team_Info'!$E$4-6)),"W","B")</x:f>
        <x:v>B</x:v>
      </x:c>
      <x:c r="I297" t="str">
        <x:f>IF(RAND()&lt;(('Team_Info'!$E$2-COUNTIF($B297:H297,"W"))/('Team_Info'!$E$4-7)),"W","B")</x:f>
        <x:v>B</x:v>
      </x:c>
      <x:c r="J297" t="str">
        <x:f>IF(RAND()&lt;(('Team_Info'!$E$2-COUNTIF($B297:I297,"W"))/('Team_Info'!$E$4-8)),"W","B")</x:f>
        <x:v>B</x:v>
      </x:c>
      <x:c r="K297" t="str">
        <x:f>IF(RAND()&lt;(('Team_Info'!$E$2-COUNTIF($B297:J297,"W"))/('Team_Info'!$E$4-9)),"W","B")</x:f>
        <x:v>W</x:v>
      </x:c>
      <x:c r="L297" t="str">
        <x:f>IF(RAND()&lt;(('Team_Info'!$E$2-COUNTIF($B297:K297,"W"))/('Team_Info'!$E$4-10)),"W","B")</x:f>
        <x:v>B</x:v>
      </x:c>
      <x:c r="M297" t="str">
        <x:f>IF(RAND()&lt;(('Team_Info'!$E$2-COUNTIF($B297:L297,"W"))/('Team_Info'!$E$4-11)),"W","B")</x:f>
        <x:v>B</x:v>
      </x:c>
      <x:c r="N297" t="str">
        <x:f>IF(RAND()&lt;(('Team_Info'!$E$2-COUNTIF($B297:M297,"W"))/('Team_Info'!$E$4-12)),"W","B")</x:f>
        <x:v>W</x:v>
      </x:c>
      <x:c r="O297" t="str">
        <x:f>IF(RAND()&lt;(('Team_Info'!$E$2-COUNTIF($B297:N297,"W"))/('Team_Info'!$E$4-13)),"W","B")</x:f>
        <x:v>W</x:v>
      </x:c>
      <x:c r="P297" t="str">
        <x:f>IF(RAND()&lt;(('Team_Info'!$E$2-COUNTIF($B297:O297,"W"))/('Team_Info'!$E$4-14)),"W","B")</x:f>
        <x:v>B</x:v>
      </x:c>
      <x:c r="Q297" t="str">
        <x:f>IF(RAND()&lt;(('Team_Info'!$E$2-COUNTIF($B297:P297,"W"))/('Team_Info'!$E$4-15)),"W","B")</x:f>
        <x:v>W</x:v>
      </x:c>
      <x:c r="R297" t="str">
        <x:f>IF(RAND()&lt;(('Team_Info'!$E$2-COUNTIF($B297:Q297,"W"))/('Team_Info'!$E$4-16)),"W","B")</x:f>
        <x:v>W</x:v>
      </x:c>
      <x:c r="S297" t="str">
        <x:f>IF(RAND()&lt;(('Team_Info'!$E$2-COUNTIF($B297:R297,"W"))/('Team_Info'!$E$4-17)),"W","B")</x:f>
        <x:v>B</x:v>
      </x:c>
      <x:c r="T297" t="str">
        <x:f>IF(RAND()&lt;(('Team_Info'!$E$2-COUNTIF($B297:S297,"W"))/('Team_Info'!$E$4-18)),"W","B")</x:f>
        <x:v>W</x:v>
      </x:c>
      <x:c r="U297" t="str">
        <x:f>IF(RAND()&lt;(('Team_Info'!$E$2-COUNTIF($B297:T297,"W"))/('Team_Info'!$E$4-19)),"W","B")</x:f>
        <x:v>B</x:v>
      </x:c>
    </x:row>
    <x:row r="298">
      <x:c r="A298" s="1">
        <x:v>297</x:v>
      </x:c>
      <x:c r="B298" t="str">
        <x:f>IF(RAND()&lt;'Team_Info'!$E$5,"W","B")</x:f>
        <x:v>B</x:v>
      </x:c>
      <x:c r="C298" t="str">
        <x:f>IF(RAND()&lt;(('Team_Info'!$E$2-COUNTIF($B298:B298,"W"))/('Team_Info'!$E$4-1)),"W","B")</x:f>
        <x:v>B</x:v>
      </x:c>
      <x:c r="D298" t="str">
        <x:f>IF(RAND()&lt;(('Team_Info'!$E$2-COUNTIF($B298:C298,"W"))/('Team_Info'!$E$4-2)),"W","B")</x:f>
        <x:v>B</x:v>
      </x:c>
      <x:c r="E298" t="str">
        <x:f>IF(RAND()&lt;(('Team_Info'!$E$2-COUNTIF($B298:D298,"W"))/('Team_Info'!$E$4-3)),"W","B")</x:f>
        <x:v>B</x:v>
      </x:c>
      <x:c r="F298" t="str">
        <x:f>IF(RAND()&lt;(('Team_Info'!$E$2-COUNTIF($B298:E298,"W"))/('Team_Info'!$E$4-4)),"W","B")</x:f>
        <x:v>W</x:v>
      </x:c>
      <x:c r="G298" t="str">
        <x:f>IF(RAND()&lt;(('Team_Info'!$E$2-COUNTIF($B298:F298,"W"))/('Team_Info'!$E$4-5)),"W","B")</x:f>
        <x:v>W</x:v>
      </x:c>
      <x:c r="H298" t="str">
        <x:f>IF(RAND()&lt;(('Team_Info'!$E$2-COUNTIF($B298:G298,"W"))/('Team_Info'!$E$4-6)),"W","B")</x:f>
        <x:v>B</x:v>
      </x:c>
      <x:c r="I298" t="str">
        <x:f>IF(RAND()&lt;(('Team_Info'!$E$2-COUNTIF($B298:H298,"W"))/('Team_Info'!$E$4-7)),"W","B")</x:f>
        <x:v>W</x:v>
      </x:c>
      <x:c r="J298" t="str">
        <x:f>IF(RAND()&lt;(('Team_Info'!$E$2-COUNTIF($B298:I298,"W"))/('Team_Info'!$E$4-8)),"W","B")</x:f>
        <x:v>B</x:v>
      </x:c>
      <x:c r="K298" t="str">
        <x:f>IF(RAND()&lt;(('Team_Info'!$E$2-COUNTIF($B298:J298,"W"))/('Team_Info'!$E$4-9)),"W","B")</x:f>
        <x:v>B</x:v>
      </x:c>
      <x:c r="L298" t="str">
        <x:f>IF(RAND()&lt;(('Team_Info'!$E$2-COUNTIF($B298:K298,"W"))/('Team_Info'!$E$4-10)),"W","B")</x:f>
        <x:v>W</x:v>
      </x:c>
      <x:c r="M298" t="str">
        <x:f>IF(RAND()&lt;(('Team_Info'!$E$2-COUNTIF($B298:L298,"W"))/('Team_Info'!$E$4-11)),"W","B")</x:f>
        <x:v>W</x:v>
      </x:c>
      <x:c r="N298" t="str">
        <x:f>IF(RAND()&lt;(('Team_Info'!$E$2-COUNTIF($B298:M298,"W"))/('Team_Info'!$E$4-12)),"W","B")</x:f>
        <x:v>W</x:v>
      </x:c>
      <x:c r="O298" t="str">
        <x:f>IF(RAND()&lt;(('Team_Info'!$E$2-COUNTIF($B298:N298,"W"))/('Team_Info'!$E$4-13)),"W","B")</x:f>
        <x:v>W</x:v>
      </x:c>
      <x:c r="P298" t="str">
        <x:f>IF(RAND()&lt;(('Team_Info'!$E$2-COUNTIF($B298:O298,"W"))/('Team_Info'!$E$4-14)),"W","B")</x:f>
        <x:v>B</x:v>
      </x:c>
      <x:c r="Q298" t="str">
        <x:f>IF(RAND()&lt;(('Team_Info'!$E$2-COUNTIF($B298:P298,"W"))/('Team_Info'!$E$4-15)),"W","B")</x:f>
        <x:v>B</x:v>
      </x:c>
      <x:c r="R298" t="str">
        <x:f>IF(RAND()&lt;(('Team_Info'!$E$2-COUNTIF($B298:Q298,"W"))/('Team_Info'!$E$4-16)),"W","B")</x:f>
        <x:v>B</x:v>
      </x:c>
      <x:c r="S298" t="str">
        <x:f>IF(RAND()&lt;(('Team_Info'!$E$2-COUNTIF($B298:R298,"W"))/('Team_Info'!$E$4-17)),"W","B")</x:f>
        <x:v>B</x:v>
      </x:c>
      <x:c r="T298" t="str">
        <x:f>IF(RAND()&lt;(('Team_Info'!$E$2-COUNTIF($B298:S298,"W"))/('Team_Info'!$E$4-18)),"W","B")</x:f>
        <x:v>B</x:v>
      </x:c>
      <x:c r="U298" t="str">
        <x:f>IF(RAND()&lt;(('Team_Info'!$E$2-COUNTIF($B298:T298,"W"))/('Team_Info'!$E$4-19)),"W","B")</x:f>
        <x:v>B</x:v>
      </x:c>
    </x:row>
    <x:row r="299">
      <x:c r="A299" s="1">
        <x:v>298</x:v>
      </x:c>
      <x:c r="B299" t="str">
        <x:f>IF(RAND()&lt;'Team_Info'!$E$5,"W","B")</x:f>
        <x:v>W</x:v>
      </x:c>
      <x:c r="C299" t="str">
        <x:f>IF(RAND()&lt;(('Team_Info'!$E$2-COUNTIF($B299:B299,"W"))/('Team_Info'!$E$4-1)),"W","B")</x:f>
        <x:v>B</x:v>
      </x:c>
      <x:c r="D299" t="str">
        <x:f>IF(RAND()&lt;(('Team_Info'!$E$2-COUNTIF($B299:C299,"W"))/('Team_Info'!$E$4-2)),"W","B")</x:f>
        <x:v>B</x:v>
      </x:c>
      <x:c r="E299" t="str">
        <x:f>IF(RAND()&lt;(('Team_Info'!$E$2-COUNTIF($B299:D299,"W"))/('Team_Info'!$E$4-3)),"W","B")</x:f>
        <x:v>B</x:v>
      </x:c>
      <x:c r="F299" t="str">
        <x:f>IF(RAND()&lt;(('Team_Info'!$E$2-COUNTIF($B299:E299,"W"))/('Team_Info'!$E$4-4)),"W","B")</x:f>
        <x:v>B</x:v>
      </x:c>
      <x:c r="G299" t="str">
        <x:f>IF(RAND()&lt;(('Team_Info'!$E$2-COUNTIF($B299:F299,"W"))/('Team_Info'!$E$4-5)),"W","B")</x:f>
        <x:v>W</x:v>
      </x:c>
      <x:c r="H299" t="str">
        <x:f>IF(RAND()&lt;(('Team_Info'!$E$2-COUNTIF($B299:G299,"W"))/('Team_Info'!$E$4-6)),"W","B")</x:f>
        <x:v>B</x:v>
      </x:c>
      <x:c r="I299" t="str">
        <x:f>IF(RAND()&lt;(('Team_Info'!$E$2-COUNTIF($B299:H299,"W"))/('Team_Info'!$E$4-7)),"W","B")</x:f>
        <x:v>W</x:v>
      </x:c>
      <x:c r="J299" t="str">
        <x:f>IF(RAND()&lt;(('Team_Info'!$E$2-COUNTIF($B299:I299,"W"))/('Team_Info'!$E$4-8)),"W","B")</x:f>
        <x:v>W</x:v>
      </x:c>
      <x:c r="K299" t="str">
        <x:f>IF(RAND()&lt;(('Team_Info'!$E$2-COUNTIF($B299:J299,"W"))/('Team_Info'!$E$4-9)),"W","B")</x:f>
        <x:v>B</x:v>
      </x:c>
      <x:c r="L299" t="str">
        <x:f>IF(RAND()&lt;(('Team_Info'!$E$2-COUNTIF($B299:K299,"W"))/('Team_Info'!$E$4-10)),"W","B")</x:f>
        <x:v>B</x:v>
      </x:c>
      <x:c r="M299" t="str">
        <x:f>IF(RAND()&lt;(('Team_Info'!$E$2-COUNTIF($B299:L299,"W"))/('Team_Info'!$E$4-11)),"W","B")</x:f>
        <x:v>B</x:v>
      </x:c>
      <x:c r="N299" t="str">
        <x:f>IF(RAND()&lt;(('Team_Info'!$E$2-COUNTIF($B299:M299,"W"))/('Team_Info'!$E$4-12)),"W","B")</x:f>
        <x:v>B</x:v>
      </x:c>
      <x:c r="O299" t="str">
        <x:f>IF(RAND()&lt;(('Team_Info'!$E$2-COUNTIF($B299:N299,"W"))/('Team_Info'!$E$4-13)),"W","B")</x:f>
        <x:v>W</x:v>
      </x:c>
      <x:c r="P299" t="str">
        <x:f>IF(RAND()&lt;(('Team_Info'!$E$2-COUNTIF($B299:O299,"W"))/('Team_Info'!$E$4-14)),"W","B")</x:f>
        <x:v>B</x:v>
      </x:c>
      <x:c r="Q299" t="str">
        <x:f>IF(RAND()&lt;(('Team_Info'!$E$2-COUNTIF($B299:P299,"W"))/('Team_Info'!$E$4-15)),"W","B")</x:f>
        <x:v>W</x:v>
      </x:c>
      <x:c r="R299" t="str">
        <x:f>IF(RAND()&lt;(('Team_Info'!$E$2-COUNTIF($B299:Q299,"W"))/('Team_Info'!$E$4-16)),"W","B")</x:f>
        <x:v>B</x:v>
      </x:c>
      <x:c r="S299" t="str">
        <x:f>IF(RAND()&lt;(('Team_Info'!$E$2-COUNTIF($B299:R299,"W"))/('Team_Info'!$E$4-17)),"W","B")</x:f>
        <x:v>W</x:v>
      </x:c>
      <x:c r="T299" t="str">
        <x:f>IF(RAND()&lt;(('Team_Info'!$E$2-COUNTIF($B299:S299,"W"))/('Team_Info'!$E$4-18)),"W","B")</x:f>
        <x:v>B</x:v>
      </x:c>
      <x:c r="U299" t="str">
        <x:f>IF(RAND()&lt;(('Team_Info'!$E$2-COUNTIF($B299:T299,"W"))/('Team_Info'!$E$4-19)),"W","B")</x:f>
        <x:v>B</x:v>
      </x:c>
    </x:row>
    <x:row r="300">
      <x:c r="A300" s="1">
        <x:v>299</x:v>
      </x:c>
      <x:c r="B300" t="str">
        <x:f>IF(RAND()&lt;'Team_Info'!$E$5,"W","B")</x:f>
        <x:v>B</x:v>
      </x:c>
      <x:c r="C300" t="str">
        <x:f>IF(RAND()&lt;(('Team_Info'!$E$2-COUNTIF($B300:B300,"W"))/('Team_Info'!$E$4-1)),"W","B")</x:f>
        <x:v>W</x:v>
      </x:c>
      <x:c r="D300" t="str">
        <x:f>IF(RAND()&lt;(('Team_Info'!$E$2-COUNTIF($B300:C300,"W"))/('Team_Info'!$E$4-2)),"W","B")</x:f>
        <x:v>B</x:v>
      </x:c>
      <x:c r="E300" t="str">
        <x:f>IF(RAND()&lt;(('Team_Info'!$E$2-COUNTIF($B300:D300,"W"))/('Team_Info'!$E$4-3)),"W","B")</x:f>
        <x:v>B</x:v>
      </x:c>
      <x:c r="F300" t="str">
        <x:f>IF(RAND()&lt;(('Team_Info'!$E$2-COUNTIF($B300:E300,"W"))/('Team_Info'!$E$4-4)),"W","B")</x:f>
        <x:v>B</x:v>
      </x:c>
      <x:c r="G300" t="str">
        <x:f>IF(RAND()&lt;(('Team_Info'!$E$2-COUNTIF($B300:F300,"W"))/('Team_Info'!$E$4-5)),"W","B")</x:f>
        <x:v>B</x:v>
      </x:c>
      <x:c r="H300" t="str">
        <x:f>IF(RAND()&lt;(('Team_Info'!$E$2-COUNTIF($B300:G300,"W"))/('Team_Info'!$E$4-6)),"W","B")</x:f>
        <x:v>W</x:v>
      </x:c>
      <x:c r="I300" t="str">
        <x:f>IF(RAND()&lt;(('Team_Info'!$E$2-COUNTIF($B300:H300,"W"))/('Team_Info'!$E$4-7)),"W","B")</x:f>
        <x:v>B</x:v>
      </x:c>
      <x:c r="J300" t="str">
        <x:f>IF(RAND()&lt;(('Team_Info'!$E$2-COUNTIF($B300:I300,"W"))/('Team_Info'!$E$4-8)),"W","B")</x:f>
        <x:v>B</x:v>
      </x:c>
      <x:c r="K300" t="str">
        <x:f>IF(RAND()&lt;(('Team_Info'!$E$2-COUNTIF($B300:J300,"W"))/('Team_Info'!$E$4-9)),"W","B")</x:f>
        <x:v>B</x:v>
      </x:c>
      <x:c r="L300" t="str">
        <x:f>IF(RAND()&lt;(('Team_Info'!$E$2-COUNTIF($B300:K300,"W"))/('Team_Info'!$E$4-10)),"W","B")</x:f>
        <x:v>B</x:v>
      </x:c>
      <x:c r="M300" t="str">
        <x:f>IF(RAND()&lt;(('Team_Info'!$E$2-COUNTIF($B300:L300,"W"))/('Team_Info'!$E$4-11)),"W","B")</x:f>
        <x:v>B</x:v>
      </x:c>
      <x:c r="N300" t="str">
        <x:f>IF(RAND()&lt;(('Team_Info'!$E$2-COUNTIF($B300:M300,"W"))/('Team_Info'!$E$4-12)),"W","B")</x:f>
        <x:v>B</x:v>
      </x:c>
      <x:c r="O300" t="str">
        <x:f>IF(RAND()&lt;(('Team_Info'!$E$2-COUNTIF($B300:N300,"W"))/('Team_Info'!$E$4-13)),"W","B")</x:f>
        <x:v>B</x:v>
      </x:c>
      <x:c r="P300" t="str">
        <x:f>IF(RAND()&lt;(('Team_Info'!$E$2-COUNTIF($B300:O300,"W"))/('Team_Info'!$E$4-14)),"W","B")</x:f>
        <x:v>B</x:v>
      </x:c>
      <x:c r="Q300" t="str">
        <x:f>IF(RAND()&lt;(('Team_Info'!$E$2-COUNTIF($B300:P300,"W"))/('Team_Info'!$E$4-15)),"W","B")</x:f>
        <x:v>W</x:v>
      </x:c>
      <x:c r="R300" t="str">
        <x:f>IF(RAND()&lt;(('Team_Info'!$E$2-COUNTIF($B300:Q300,"W"))/('Team_Info'!$E$4-16)),"W","B")</x:f>
        <x:v>B</x:v>
      </x:c>
      <x:c r="S300" t="str">
        <x:f>IF(RAND()&lt;(('Team_Info'!$E$2-COUNTIF($B300:R300,"W"))/('Team_Info'!$E$4-17)),"W","B")</x:f>
        <x:v>W</x:v>
      </x:c>
      <x:c r="T300" t="str">
        <x:f>IF(RAND()&lt;(('Team_Info'!$E$2-COUNTIF($B300:S300,"W"))/('Team_Info'!$E$4-18)),"W","B")</x:f>
        <x:v>W</x:v>
      </x:c>
      <x:c r="U300" t="str">
        <x:f>IF(RAND()&lt;(('Team_Info'!$E$2-COUNTIF($B300:T300,"W"))/('Team_Info'!$E$4-19)),"W","B")</x:f>
        <x:v>B</x:v>
      </x:c>
    </x:row>
    <x:row r="301">
      <x:c r="A301" s="1">
        <x:v>300</x:v>
      </x:c>
      <x:c r="B301" t="str">
        <x:f>IF(RAND()&lt;'Team_Info'!$E$5,"W","B")</x:f>
        <x:v>B</x:v>
      </x:c>
      <x:c r="C301" t="str">
        <x:f>IF(RAND()&lt;(('Team_Info'!$E$2-COUNTIF($B301:B301,"W"))/('Team_Info'!$E$4-1)),"W","B")</x:f>
        <x:v>W</x:v>
      </x:c>
      <x:c r="D301" t="str">
        <x:f>IF(RAND()&lt;(('Team_Info'!$E$2-COUNTIF($B301:C301,"W"))/('Team_Info'!$E$4-2)),"W","B")</x:f>
        <x:v>B</x:v>
      </x:c>
      <x:c r="E301" t="str">
        <x:f>IF(RAND()&lt;(('Team_Info'!$E$2-COUNTIF($B301:D301,"W"))/('Team_Info'!$E$4-3)),"W","B")</x:f>
        <x:v>W</x:v>
      </x:c>
      <x:c r="F301" t="str">
        <x:f>IF(RAND()&lt;(('Team_Info'!$E$2-COUNTIF($B301:E301,"W"))/('Team_Info'!$E$4-4)),"W","B")</x:f>
        <x:v>B</x:v>
      </x:c>
      <x:c r="G301" t="str">
        <x:f>IF(RAND()&lt;(('Team_Info'!$E$2-COUNTIF($B301:F301,"W"))/('Team_Info'!$E$4-5)),"W","B")</x:f>
        <x:v>B</x:v>
      </x:c>
      <x:c r="H301" t="str">
        <x:f>IF(RAND()&lt;(('Team_Info'!$E$2-COUNTIF($B301:G301,"W"))/('Team_Info'!$E$4-6)),"W","B")</x:f>
        <x:v>B</x:v>
      </x:c>
      <x:c r="I301" t="str">
        <x:f>IF(RAND()&lt;(('Team_Info'!$E$2-COUNTIF($B301:H301,"W"))/('Team_Info'!$E$4-7)),"W","B")</x:f>
        <x:v>B</x:v>
      </x:c>
      <x:c r="J301" t="str">
        <x:f>IF(RAND()&lt;(('Team_Info'!$E$2-COUNTIF($B301:I301,"W"))/('Team_Info'!$E$4-8)),"W","B")</x:f>
        <x:v>B</x:v>
      </x:c>
      <x:c r="K301" t="str">
        <x:f>IF(RAND()&lt;(('Team_Info'!$E$2-COUNTIF($B301:J301,"W"))/('Team_Info'!$E$4-9)),"W","B")</x:f>
        <x:v>B</x:v>
      </x:c>
      <x:c r="L301" t="str">
        <x:f>IF(RAND()&lt;(('Team_Info'!$E$2-COUNTIF($B301:K301,"W"))/('Team_Info'!$E$4-10)),"W","B")</x:f>
        <x:v>B</x:v>
      </x:c>
      <x:c r="M301" t="str">
        <x:f>IF(RAND()&lt;(('Team_Info'!$E$2-COUNTIF($B301:L301,"W"))/('Team_Info'!$E$4-11)),"W","B")</x:f>
        <x:v>B</x:v>
      </x:c>
      <x:c r="N301" t="str">
        <x:f>IF(RAND()&lt;(('Team_Info'!$E$2-COUNTIF($B301:M301,"W"))/('Team_Info'!$E$4-12)),"W","B")</x:f>
        <x:v>B</x:v>
      </x:c>
      <x:c r="O301" t="str">
        <x:f>IF(RAND()&lt;(('Team_Info'!$E$2-COUNTIF($B301:N301,"W"))/('Team_Info'!$E$4-13)),"W","B")</x:f>
        <x:v>B</x:v>
      </x:c>
      <x:c r="P301" t="str">
        <x:f>IF(RAND()&lt;(('Team_Info'!$E$2-COUNTIF($B301:O301,"W"))/('Team_Info'!$E$4-14)),"W","B")</x:f>
        <x:v>B</x:v>
      </x:c>
      <x:c r="Q301" t="str">
        <x:f>IF(RAND()&lt;(('Team_Info'!$E$2-COUNTIF($B301:P301,"W"))/('Team_Info'!$E$4-15)),"W","B")</x:f>
        <x:v>W</x:v>
      </x:c>
      <x:c r="R301" t="str">
        <x:f>IF(RAND()&lt;(('Team_Info'!$E$2-COUNTIF($B301:Q301,"W"))/('Team_Info'!$E$4-16)),"W","B")</x:f>
        <x:v>B</x:v>
      </x:c>
      <x:c r="S301" t="str">
        <x:f>IF(RAND()&lt;(('Team_Info'!$E$2-COUNTIF($B301:R301,"W"))/('Team_Info'!$E$4-17)),"W","B")</x:f>
        <x:v>W</x:v>
      </x:c>
      <x:c r="T301" t="str">
        <x:f>IF(RAND()&lt;(('Team_Info'!$E$2-COUNTIF($B301:S301,"W"))/('Team_Info'!$E$4-18)),"W","B")</x:f>
        <x:v>W</x:v>
      </x:c>
      <x:c r="U301" t="str">
        <x:f>IF(RAND()&lt;(('Team_Info'!$E$2-COUNTIF($B301:T301,"W"))/('Team_Info'!$E$4-19)),"W","B")</x:f>
        <x:v>B</x:v>
      </x:c>
    </x:row>
    <x:row r="302">
      <x:c r="A302" s="1">
        <x:v>301</x:v>
      </x:c>
      <x:c r="B302" t="str">
        <x:f>IF(RAND()&lt;'Team_Info'!$E$5,"W","B")</x:f>
        <x:v>B</x:v>
      </x:c>
      <x:c r="C302" t="str">
        <x:f>IF(RAND()&lt;(('Team_Info'!$E$2-COUNTIF($B302:B302,"W"))/('Team_Info'!$E$4-1)),"W","B")</x:f>
        <x:v>W</x:v>
      </x:c>
      <x:c r="D302" t="str">
        <x:f>IF(RAND()&lt;(('Team_Info'!$E$2-COUNTIF($B302:C302,"W"))/('Team_Info'!$E$4-2)),"W","B")</x:f>
        <x:v>B</x:v>
      </x:c>
      <x:c r="E302" t="str">
        <x:f>IF(RAND()&lt;(('Team_Info'!$E$2-COUNTIF($B302:D302,"W"))/('Team_Info'!$E$4-3)),"W","B")</x:f>
        <x:v>B</x:v>
      </x:c>
      <x:c r="F302" t="str">
        <x:f>IF(RAND()&lt;(('Team_Info'!$E$2-COUNTIF($B302:E302,"W"))/('Team_Info'!$E$4-4)),"W","B")</x:f>
        <x:v>B</x:v>
      </x:c>
      <x:c r="G302" t="str">
        <x:f>IF(RAND()&lt;(('Team_Info'!$E$2-COUNTIF($B302:F302,"W"))/('Team_Info'!$E$4-5)),"W","B")</x:f>
        <x:v>B</x:v>
      </x:c>
      <x:c r="H302" t="str">
        <x:f>IF(RAND()&lt;(('Team_Info'!$E$2-COUNTIF($B302:G302,"W"))/('Team_Info'!$E$4-6)),"W","B")</x:f>
        <x:v>B</x:v>
      </x:c>
      <x:c r="I302" t="str">
        <x:f>IF(RAND()&lt;(('Team_Info'!$E$2-COUNTIF($B302:H302,"W"))/('Team_Info'!$E$4-7)),"W","B")</x:f>
        <x:v>B</x:v>
      </x:c>
      <x:c r="J302" t="str">
        <x:f>IF(RAND()&lt;(('Team_Info'!$E$2-COUNTIF($B302:I302,"W"))/('Team_Info'!$E$4-8)),"W","B")</x:f>
        <x:v>B</x:v>
      </x:c>
      <x:c r="K302" t="str">
        <x:f>IF(RAND()&lt;(('Team_Info'!$E$2-COUNTIF($B302:J302,"W"))/('Team_Info'!$E$4-9)),"W","B")</x:f>
        <x:v>B</x:v>
      </x:c>
      <x:c r="L302" t="str">
        <x:f>IF(RAND()&lt;(('Team_Info'!$E$2-COUNTIF($B302:K302,"W"))/('Team_Info'!$E$4-10)),"W","B")</x:f>
        <x:v>W</x:v>
      </x:c>
      <x:c r="M302" t="str">
        <x:f>IF(RAND()&lt;(('Team_Info'!$E$2-COUNTIF($B302:L302,"W"))/('Team_Info'!$E$4-11)),"W","B")</x:f>
        <x:v>W</x:v>
      </x:c>
      <x:c r="N302" t="str">
        <x:f>IF(RAND()&lt;(('Team_Info'!$E$2-COUNTIF($B302:M302,"W"))/('Team_Info'!$E$4-12)),"W","B")</x:f>
        <x:v>B</x:v>
      </x:c>
      <x:c r="O302" t="str">
        <x:f>IF(RAND()&lt;(('Team_Info'!$E$2-COUNTIF($B302:N302,"W"))/('Team_Info'!$E$4-13)),"W","B")</x:f>
        <x:v>W</x:v>
      </x:c>
      <x:c r="P302" t="str">
        <x:f>IF(RAND()&lt;(('Team_Info'!$E$2-COUNTIF($B302:O302,"W"))/('Team_Info'!$E$4-14)),"W","B")</x:f>
        <x:v>B</x:v>
      </x:c>
      <x:c r="Q302" t="str">
        <x:f>IF(RAND()&lt;(('Team_Info'!$E$2-COUNTIF($B302:P302,"W"))/('Team_Info'!$E$4-15)),"W","B")</x:f>
        <x:v>W</x:v>
      </x:c>
      <x:c r="R302" t="str">
        <x:f>IF(RAND()&lt;(('Team_Info'!$E$2-COUNTIF($B302:Q302,"W"))/('Team_Info'!$E$4-16)),"W","B")</x:f>
        <x:v>B</x:v>
      </x:c>
      <x:c r="S302" t="str">
        <x:f>IF(RAND()&lt;(('Team_Info'!$E$2-COUNTIF($B302:R302,"W"))/('Team_Info'!$E$4-17)),"W","B")</x:f>
        <x:v>B</x:v>
      </x:c>
      <x:c r="T302" t="str">
        <x:f>IF(RAND()&lt;(('Team_Info'!$E$2-COUNTIF($B302:S302,"W"))/('Team_Info'!$E$4-18)),"W","B")</x:f>
        <x:v>B</x:v>
      </x:c>
      <x:c r="U302" t="str">
        <x:f>IF(RAND()&lt;(('Team_Info'!$E$2-COUNTIF($B302:T302,"W"))/('Team_Info'!$E$4-19)),"W","B")</x:f>
        <x:v>B</x:v>
      </x:c>
    </x:row>
    <x:row r="303">
      <x:c r="A303" s="1">
        <x:v>302</x:v>
      </x:c>
      <x:c r="B303" t="str">
        <x:f>IF(RAND()&lt;'Team_Info'!$E$5,"W","B")</x:f>
        <x:v>B</x:v>
      </x:c>
      <x:c r="C303" t="str">
        <x:f>IF(RAND()&lt;(('Team_Info'!$E$2-COUNTIF($B303:B303,"W"))/('Team_Info'!$E$4-1)),"W","B")</x:f>
        <x:v>B</x:v>
      </x:c>
      <x:c r="D303" t="str">
        <x:f>IF(RAND()&lt;(('Team_Info'!$E$2-COUNTIF($B303:C303,"W"))/('Team_Info'!$E$4-2)),"W","B")</x:f>
        <x:v>W</x:v>
      </x:c>
      <x:c r="E303" t="str">
        <x:f>IF(RAND()&lt;(('Team_Info'!$E$2-COUNTIF($B303:D303,"W"))/('Team_Info'!$E$4-3)),"W","B")</x:f>
        <x:v>B</x:v>
      </x:c>
      <x:c r="F303" t="str">
        <x:f>IF(RAND()&lt;(('Team_Info'!$E$2-COUNTIF($B303:E303,"W"))/('Team_Info'!$E$4-4)),"W","B")</x:f>
        <x:v>W</x:v>
      </x:c>
      <x:c r="G303" t="str">
        <x:f>IF(RAND()&lt;(('Team_Info'!$E$2-COUNTIF($B303:F303,"W"))/('Team_Info'!$E$4-5)),"W","B")</x:f>
        <x:v>B</x:v>
      </x:c>
      <x:c r="H303" t="str">
        <x:f>IF(RAND()&lt;(('Team_Info'!$E$2-COUNTIF($B303:G303,"W"))/('Team_Info'!$E$4-6)),"W","B")</x:f>
        <x:v>B</x:v>
      </x:c>
      <x:c r="I303" t="str">
        <x:f>IF(RAND()&lt;(('Team_Info'!$E$2-COUNTIF($B303:H303,"W"))/('Team_Info'!$E$4-7)),"W","B")</x:f>
        <x:v>W</x:v>
      </x:c>
      <x:c r="J303" t="str">
        <x:f>IF(RAND()&lt;(('Team_Info'!$E$2-COUNTIF($B303:I303,"W"))/('Team_Info'!$E$4-8)),"W","B")</x:f>
        <x:v>B</x:v>
      </x:c>
      <x:c r="K303" t="str">
        <x:f>IF(RAND()&lt;(('Team_Info'!$E$2-COUNTIF($B303:J303,"W"))/('Team_Info'!$E$4-9)),"W","B")</x:f>
        <x:v>B</x:v>
      </x:c>
      <x:c r="L303" t="str">
        <x:f>IF(RAND()&lt;(('Team_Info'!$E$2-COUNTIF($B303:K303,"W"))/('Team_Info'!$E$4-10)),"W","B")</x:f>
        <x:v>B</x:v>
      </x:c>
      <x:c r="M303" t="str">
        <x:f>IF(RAND()&lt;(('Team_Info'!$E$2-COUNTIF($B303:L303,"W"))/('Team_Info'!$E$4-11)),"W","B")</x:f>
        <x:v>B</x:v>
      </x:c>
      <x:c r="N303" t="str">
        <x:f>IF(RAND()&lt;(('Team_Info'!$E$2-COUNTIF($B303:M303,"W"))/('Team_Info'!$E$4-12)),"W","B")</x:f>
        <x:v>B</x:v>
      </x:c>
      <x:c r="O303" t="str">
        <x:f>IF(RAND()&lt;(('Team_Info'!$E$2-COUNTIF($B303:N303,"W"))/('Team_Info'!$E$4-13)),"W","B")</x:f>
        <x:v>B</x:v>
      </x:c>
      <x:c r="P303" t="str">
        <x:f>IF(RAND()&lt;(('Team_Info'!$E$2-COUNTIF($B303:O303,"W"))/('Team_Info'!$E$4-14)),"W","B")</x:f>
        <x:v>B</x:v>
      </x:c>
      <x:c r="Q303" t="str">
        <x:f>IF(RAND()&lt;(('Team_Info'!$E$2-COUNTIF($B303:P303,"W"))/('Team_Info'!$E$4-15)),"W","B")</x:f>
        <x:v>W</x:v>
      </x:c>
      <x:c r="R303" t="str">
        <x:f>IF(RAND()&lt;(('Team_Info'!$E$2-COUNTIF($B303:Q303,"W"))/('Team_Info'!$E$4-16)),"W","B")</x:f>
        <x:v>W</x:v>
      </x:c>
      <x:c r="S303" t="str">
        <x:f>IF(RAND()&lt;(('Team_Info'!$E$2-COUNTIF($B303:R303,"W"))/('Team_Info'!$E$4-17)),"W","B")</x:f>
        <x:v>W</x:v>
      </x:c>
      <x:c r="T303" t="str">
        <x:f>IF(RAND()&lt;(('Team_Info'!$E$2-COUNTIF($B303:S303,"W"))/('Team_Info'!$E$4-18)),"W","B")</x:f>
        <x:v>B</x:v>
      </x:c>
      <x:c r="U303" t="str">
        <x:f>IF(RAND()&lt;(('Team_Info'!$E$2-COUNTIF($B303:T303,"W"))/('Team_Info'!$E$4-19)),"W","B")</x:f>
        <x:v>B</x:v>
      </x:c>
    </x:row>
    <x:row r="304">
      <x:c r="A304" s="1">
        <x:v>303</x:v>
      </x:c>
      <x:c r="B304" t="str">
        <x:f>IF(RAND()&lt;'Team_Info'!$E$5,"W","B")</x:f>
        <x:v>B</x:v>
      </x:c>
      <x:c r="C304" t="str">
        <x:f>IF(RAND()&lt;(('Team_Info'!$E$2-COUNTIF($B304:B304,"W"))/('Team_Info'!$E$4-1)),"W","B")</x:f>
        <x:v>W</x:v>
      </x:c>
      <x:c r="D304" t="str">
        <x:f>IF(RAND()&lt;(('Team_Info'!$E$2-COUNTIF($B304:C304,"W"))/('Team_Info'!$E$4-2)),"W","B")</x:f>
        <x:v>B</x:v>
      </x:c>
      <x:c r="E304" t="str">
        <x:f>IF(RAND()&lt;(('Team_Info'!$E$2-COUNTIF($B304:D304,"W"))/('Team_Info'!$E$4-3)),"W","B")</x:f>
        <x:v>B</x:v>
      </x:c>
      <x:c r="F304" t="str">
        <x:f>IF(RAND()&lt;(('Team_Info'!$E$2-COUNTIF($B304:E304,"W"))/('Team_Info'!$E$4-4)),"W","B")</x:f>
        <x:v>B</x:v>
      </x:c>
      <x:c r="G304" t="str">
        <x:f>IF(RAND()&lt;(('Team_Info'!$E$2-COUNTIF($B304:F304,"W"))/('Team_Info'!$E$4-5)),"W","B")</x:f>
        <x:v>W</x:v>
      </x:c>
      <x:c r="H304" t="str">
        <x:f>IF(RAND()&lt;(('Team_Info'!$E$2-COUNTIF($B304:G304,"W"))/('Team_Info'!$E$4-6)),"W","B")</x:f>
        <x:v>W</x:v>
      </x:c>
      <x:c r="I304" t="str">
        <x:f>IF(RAND()&lt;(('Team_Info'!$E$2-COUNTIF($B304:H304,"W"))/('Team_Info'!$E$4-7)),"W","B")</x:f>
        <x:v>B</x:v>
      </x:c>
      <x:c r="J304" t="str">
        <x:f>IF(RAND()&lt;(('Team_Info'!$E$2-COUNTIF($B304:I304,"W"))/('Team_Info'!$E$4-8)),"W","B")</x:f>
        <x:v>B</x:v>
      </x:c>
      <x:c r="K304" t="str">
        <x:f>IF(RAND()&lt;(('Team_Info'!$E$2-COUNTIF($B304:J304,"W"))/('Team_Info'!$E$4-9)),"W","B")</x:f>
        <x:v>W</x:v>
      </x:c>
      <x:c r="L304" t="str">
        <x:f>IF(RAND()&lt;(('Team_Info'!$E$2-COUNTIF($B304:K304,"W"))/('Team_Info'!$E$4-10)),"W","B")</x:f>
        <x:v>B</x:v>
      </x:c>
      <x:c r="M304" t="str">
        <x:f>IF(RAND()&lt;(('Team_Info'!$E$2-COUNTIF($B304:L304,"W"))/('Team_Info'!$E$4-11)),"W","B")</x:f>
        <x:v>W</x:v>
      </x:c>
      <x:c r="N304" t="str">
        <x:f>IF(RAND()&lt;(('Team_Info'!$E$2-COUNTIF($B304:M304,"W"))/('Team_Info'!$E$4-12)),"W","B")</x:f>
        <x:v>B</x:v>
      </x:c>
      <x:c r="O304" t="str">
        <x:f>IF(RAND()&lt;(('Team_Info'!$E$2-COUNTIF($B304:N304,"W"))/('Team_Info'!$E$4-13)),"W","B")</x:f>
        <x:v>B</x:v>
      </x:c>
      <x:c r="P304" t="str">
        <x:f>IF(RAND()&lt;(('Team_Info'!$E$2-COUNTIF($B304:O304,"W"))/('Team_Info'!$E$4-14)),"W","B")</x:f>
        <x:v>B</x:v>
      </x:c>
      <x:c r="Q304" t="str">
        <x:f>IF(RAND()&lt;(('Team_Info'!$E$2-COUNTIF($B304:P304,"W"))/('Team_Info'!$E$4-15)),"W","B")</x:f>
        <x:v>B</x:v>
      </x:c>
      <x:c r="R304" t="str">
        <x:f>IF(RAND()&lt;(('Team_Info'!$E$2-COUNTIF($B304:Q304,"W"))/('Team_Info'!$E$4-16)),"W","B")</x:f>
        <x:v>B</x:v>
      </x:c>
      <x:c r="S304" t="str">
        <x:f>IF(RAND()&lt;(('Team_Info'!$E$2-COUNTIF($B304:R304,"W"))/('Team_Info'!$E$4-17)),"W","B")</x:f>
        <x:v>B</x:v>
      </x:c>
      <x:c r="T304" t="str">
        <x:f>IF(RAND()&lt;(('Team_Info'!$E$2-COUNTIF($B304:S304,"W"))/('Team_Info'!$E$4-18)),"W","B")</x:f>
        <x:v>B</x:v>
      </x:c>
      <x:c r="U304" t="str">
        <x:f>IF(RAND()&lt;(('Team_Info'!$E$2-COUNTIF($B304:T304,"W"))/('Team_Info'!$E$4-19)),"W","B")</x:f>
        <x:v>B</x:v>
      </x:c>
    </x:row>
    <x:row r="305">
      <x:c r="A305" s="1">
        <x:v>304</x:v>
      </x:c>
      <x:c r="B305" t="str">
        <x:f>IF(RAND()&lt;'Team_Info'!$E$5,"W","B")</x:f>
        <x:v>W</x:v>
      </x:c>
      <x:c r="C305" t="str">
        <x:f>IF(RAND()&lt;(('Team_Info'!$E$2-COUNTIF($B305:B305,"W"))/('Team_Info'!$E$4-1)),"W","B")</x:f>
        <x:v>B</x:v>
      </x:c>
      <x:c r="D305" t="str">
        <x:f>IF(RAND()&lt;(('Team_Info'!$E$2-COUNTIF($B305:C305,"W"))/('Team_Info'!$E$4-2)),"W","B")</x:f>
        <x:v>W</x:v>
      </x:c>
      <x:c r="E305" t="str">
        <x:f>IF(RAND()&lt;(('Team_Info'!$E$2-COUNTIF($B305:D305,"W"))/('Team_Info'!$E$4-3)),"W","B")</x:f>
        <x:v>B</x:v>
      </x:c>
      <x:c r="F305" t="str">
        <x:f>IF(RAND()&lt;(('Team_Info'!$E$2-COUNTIF($B305:E305,"W"))/('Team_Info'!$E$4-4)),"W","B")</x:f>
        <x:v>W</x:v>
      </x:c>
      <x:c r="G305" t="str">
        <x:f>IF(RAND()&lt;(('Team_Info'!$E$2-COUNTIF($B305:F305,"W"))/('Team_Info'!$E$4-5)),"W","B")</x:f>
        <x:v>B</x:v>
      </x:c>
      <x:c r="H305" t="str">
        <x:f>IF(RAND()&lt;(('Team_Info'!$E$2-COUNTIF($B305:G305,"W"))/('Team_Info'!$E$4-6)),"W","B")</x:f>
        <x:v>B</x:v>
      </x:c>
      <x:c r="I305" t="str">
        <x:f>IF(RAND()&lt;(('Team_Info'!$E$2-COUNTIF($B305:H305,"W"))/('Team_Info'!$E$4-7)),"W","B")</x:f>
        <x:v>B</x:v>
      </x:c>
      <x:c r="J305" t="str">
        <x:f>IF(RAND()&lt;(('Team_Info'!$E$2-COUNTIF($B305:I305,"W"))/('Team_Info'!$E$4-8)),"W","B")</x:f>
        <x:v>W</x:v>
      </x:c>
      <x:c r="K305" t="str">
        <x:f>IF(RAND()&lt;(('Team_Info'!$E$2-COUNTIF($B305:J305,"W"))/('Team_Info'!$E$4-9)),"W","B")</x:f>
        <x:v>B</x:v>
      </x:c>
      <x:c r="L305" t="str">
        <x:f>IF(RAND()&lt;(('Team_Info'!$E$2-COUNTIF($B305:K305,"W"))/('Team_Info'!$E$4-10)),"W","B")</x:f>
        <x:v>B</x:v>
      </x:c>
      <x:c r="M305" t="str">
        <x:f>IF(RAND()&lt;(('Team_Info'!$E$2-COUNTIF($B305:L305,"W"))/('Team_Info'!$E$4-11)),"W","B")</x:f>
        <x:v>B</x:v>
      </x:c>
      <x:c r="N305" t="str">
        <x:f>IF(RAND()&lt;(('Team_Info'!$E$2-COUNTIF($B305:M305,"W"))/('Team_Info'!$E$4-12)),"W","B")</x:f>
        <x:v>B</x:v>
      </x:c>
      <x:c r="O305" t="str">
        <x:f>IF(RAND()&lt;(('Team_Info'!$E$2-COUNTIF($B305:N305,"W"))/('Team_Info'!$E$4-13)),"W","B")</x:f>
        <x:v>W</x:v>
      </x:c>
      <x:c r="P305" t="str">
        <x:f>IF(RAND()&lt;(('Team_Info'!$E$2-COUNTIF($B305:O305,"W"))/('Team_Info'!$E$4-14)),"W","B")</x:f>
        <x:v>B</x:v>
      </x:c>
      <x:c r="Q305" t="str">
        <x:f>IF(RAND()&lt;(('Team_Info'!$E$2-COUNTIF($B305:P305,"W"))/('Team_Info'!$E$4-15)),"W","B")</x:f>
        <x:v>B</x:v>
      </x:c>
      <x:c r="R305" t="str">
        <x:f>IF(RAND()&lt;(('Team_Info'!$E$2-COUNTIF($B305:Q305,"W"))/('Team_Info'!$E$4-16)),"W","B")</x:f>
        <x:v>B</x:v>
      </x:c>
      <x:c r="S305" t="str">
        <x:f>IF(RAND()&lt;(('Team_Info'!$E$2-COUNTIF($B305:R305,"W"))/('Team_Info'!$E$4-17)),"W","B")</x:f>
        <x:v>W</x:v>
      </x:c>
      <x:c r="T305" t="str">
        <x:f>IF(RAND()&lt;(('Team_Info'!$E$2-COUNTIF($B305:S305,"W"))/('Team_Info'!$E$4-18)),"W","B")</x:f>
        <x:v>B</x:v>
      </x:c>
      <x:c r="U305" t="str">
        <x:f>IF(RAND()&lt;(('Team_Info'!$E$2-COUNTIF($B305:T305,"W"))/('Team_Info'!$E$4-19)),"W","B")</x:f>
        <x:v>W</x:v>
      </x:c>
    </x:row>
    <x:row r="306">
      <x:c r="A306" s="1">
        <x:v>305</x:v>
      </x:c>
      <x:c r="B306" t="str">
        <x:f>IF(RAND()&lt;'Team_Info'!$E$5,"W","B")</x:f>
        <x:v>B</x:v>
      </x:c>
      <x:c r="C306" t="str">
        <x:f>IF(RAND()&lt;(('Team_Info'!$E$2-COUNTIF($B306:B306,"W"))/('Team_Info'!$E$4-1)),"W","B")</x:f>
        <x:v>W</x:v>
      </x:c>
      <x:c r="D306" t="str">
        <x:f>IF(RAND()&lt;(('Team_Info'!$E$2-COUNTIF($B306:C306,"W"))/('Team_Info'!$E$4-2)),"W","B")</x:f>
        <x:v>W</x:v>
      </x:c>
      <x:c r="E306" t="str">
        <x:f>IF(RAND()&lt;(('Team_Info'!$E$2-COUNTIF($B306:D306,"W"))/('Team_Info'!$E$4-3)),"W","B")</x:f>
        <x:v>B</x:v>
      </x:c>
      <x:c r="F306" t="str">
        <x:f>IF(RAND()&lt;(('Team_Info'!$E$2-COUNTIF($B306:E306,"W"))/('Team_Info'!$E$4-4)),"W","B")</x:f>
        <x:v>W</x:v>
      </x:c>
      <x:c r="G306" t="str">
        <x:f>IF(RAND()&lt;(('Team_Info'!$E$2-COUNTIF($B306:F306,"W"))/('Team_Info'!$E$4-5)),"W","B")</x:f>
        <x:v>W</x:v>
      </x:c>
      <x:c r="H306" t="str">
        <x:f>IF(RAND()&lt;(('Team_Info'!$E$2-COUNTIF($B306:G306,"W"))/('Team_Info'!$E$4-6)),"W","B")</x:f>
        <x:v>W</x:v>
      </x:c>
      <x:c r="I306" t="str">
        <x:f>IF(RAND()&lt;(('Team_Info'!$E$2-COUNTIF($B306:H306,"W"))/('Team_Info'!$E$4-7)),"W","B")</x:f>
        <x:v>W</x:v>
      </x:c>
      <x:c r="J306" t="str">
        <x:f>IF(RAND()&lt;(('Team_Info'!$E$2-COUNTIF($B306:I306,"W"))/('Team_Info'!$E$4-8)),"W","B")</x:f>
        <x:v>B</x:v>
      </x:c>
      <x:c r="K306" t="str">
        <x:f>IF(RAND()&lt;(('Team_Info'!$E$2-COUNTIF($B306:J306,"W"))/('Team_Info'!$E$4-9)),"W","B")</x:f>
        <x:v>B</x:v>
      </x:c>
      <x:c r="L306" t="str">
        <x:f>IF(RAND()&lt;(('Team_Info'!$E$2-COUNTIF($B306:K306,"W"))/('Team_Info'!$E$4-10)),"W","B")</x:f>
        <x:v>B</x:v>
      </x:c>
      <x:c r="M306" t="str">
        <x:f>IF(RAND()&lt;(('Team_Info'!$E$2-COUNTIF($B306:L306,"W"))/('Team_Info'!$E$4-11)),"W","B")</x:f>
        <x:v>B</x:v>
      </x:c>
      <x:c r="N306" t="str">
        <x:f>IF(RAND()&lt;(('Team_Info'!$E$2-COUNTIF($B306:M306,"W"))/('Team_Info'!$E$4-12)),"W","B")</x:f>
        <x:v>B</x:v>
      </x:c>
      <x:c r="O306" t="str">
        <x:f>IF(RAND()&lt;(('Team_Info'!$E$2-COUNTIF($B306:N306,"W"))/('Team_Info'!$E$4-13)),"W","B")</x:f>
        <x:v>W</x:v>
      </x:c>
      <x:c r="P306" t="str">
        <x:f>IF(RAND()&lt;(('Team_Info'!$E$2-COUNTIF($B306:O306,"W"))/('Team_Info'!$E$4-14)),"W","B")</x:f>
        <x:v>B</x:v>
      </x:c>
      <x:c r="Q306" t="str">
        <x:f>IF(RAND()&lt;(('Team_Info'!$E$2-COUNTIF($B306:P306,"W"))/('Team_Info'!$E$4-15)),"W","B")</x:f>
        <x:v>W</x:v>
      </x:c>
      <x:c r="R306" t="str">
        <x:f>IF(RAND()&lt;(('Team_Info'!$E$2-COUNTIF($B306:Q306,"W"))/('Team_Info'!$E$4-16)),"W","B")</x:f>
        <x:v>B</x:v>
      </x:c>
      <x:c r="S306" t="str">
        <x:f>IF(RAND()&lt;(('Team_Info'!$E$2-COUNTIF($B306:R306,"W"))/('Team_Info'!$E$4-17)),"W","B")</x:f>
        <x:v>W</x:v>
      </x:c>
      <x:c r="T306" t="str">
        <x:f>IF(RAND()&lt;(('Team_Info'!$E$2-COUNTIF($B306:S306,"W"))/('Team_Info'!$E$4-18)),"W","B")</x:f>
        <x:v>B</x:v>
      </x:c>
      <x:c r="U306" t="str">
        <x:f>IF(RAND()&lt;(('Team_Info'!$E$2-COUNTIF($B306:T306,"W"))/('Team_Info'!$E$4-19)),"W","B")</x:f>
        <x:v>B</x:v>
      </x:c>
    </x:row>
    <x:row r="307">
      <x:c r="A307" s="1">
        <x:v>306</x:v>
      </x:c>
      <x:c r="B307" t="str">
        <x:f>IF(RAND()&lt;'Team_Info'!$E$5,"W","B")</x:f>
        <x:v>W</x:v>
      </x:c>
      <x:c r="C307" t="str">
        <x:f>IF(RAND()&lt;(('Team_Info'!$E$2-COUNTIF($B307:B307,"W"))/('Team_Info'!$E$4-1)),"W","B")</x:f>
        <x:v>B</x:v>
      </x:c>
      <x:c r="D307" t="str">
        <x:f>IF(RAND()&lt;(('Team_Info'!$E$2-COUNTIF($B307:C307,"W"))/('Team_Info'!$E$4-2)),"W","B")</x:f>
        <x:v>W</x:v>
      </x:c>
      <x:c r="E307" t="str">
        <x:f>IF(RAND()&lt;(('Team_Info'!$E$2-COUNTIF($B307:D307,"W"))/('Team_Info'!$E$4-3)),"W","B")</x:f>
        <x:v>B</x:v>
      </x:c>
      <x:c r="F307" t="str">
        <x:f>IF(RAND()&lt;(('Team_Info'!$E$2-COUNTIF($B307:E307,"W"))/('Team_Info'!$E$4-4)),"W","B")</x:f>
        <x:v>B</x:v>
      </x:c>
      <x:c r="G307" t="str">
        <x:f>IF(RAND()&lt;(('Team_Info'!$E$2-COUNTIF($B307:F307,"W"))/('Team_Info'!$E$4-5)),"W","B")</x:f>
        <x:v>B</x:v>
      </x:c>
      <x:c r="H307" t="str">
        <x:f>IF(RAND()&lt;(('Team_Info'!$E$2-COUNTIF($B307:G307,"W"))/('Team_Info'!$E$4-6)),"W","B")</x:f>
        <x:v>W</x:v>
      </x:c>
      <x:c r="I307" t="str">
        <x:f>IF(RAND()&lt;(('Team_Info'!$E$2-COUNTIF($B307:H307,"W"))/('Team_Info'!$E$4-7)),"W","B")</x:f>
        <x:v>B</x:v>
      </x:c>
      <x:c r="J307" t="str">
        <x:f>IF(RAND()&lt;(('Team_Info'!$E$2-COUNTIF($B307:I307,"W"))/('Team_Info'!$E$4-8)),"W","B")</x:f>
        <x:v>W</x:v>
      </x:c>
      <x:c r="K307" t="str">
        <x:f>IF(RAND()&lt;(('Team_Info'!$E$2-COUNTIF($B307:J307,"W"))/('Team_Info'!$E$4-9)),"W","B")</x:f>
        <x:v>B</x:v>
      </x:c>
      <x:c r="L307" t="str">
        <x:f>IF(RAND()&lt;(('Team_Info'!$E$2-COUNTIF($B307:K307,"W"))/('Team_Info'!$E$4-10)),"W","B")</x:f>
        <x:v>W</x:v>
      </x:c>
      <x:c r="M307" t="str">
        <x:f>IF(RAND()&lt;(('Team_Info'!$E$2-COUNTIF($B307:L307,"W"))/('Team_Info'!$E$4-11)),"W","B")</x:f>
        <x:v>B</x:v>
      </x:c>
      <x:c r="N307" t="str">
        <x:f>IF(RAND()&lt;(('Team_Info'!$E$2-COUNTIF($B307:M307,"W"))/('Team_Info'!$E$4-12)),"W","B")</x:f>
        <x:v>W</x:v>
      </x:c>
      <x:c r="O307" t="str">
        <x:f>IF(RAND()&lt;(('Team_Info'!$E$2-COUNTIF($B307:N307,"W"))/('Team_Info'!$E$4-13)),"W","B")</x:f>
        <x:v>B</x:v>
      </x:c>
      <x:c r="P307" t="str">
        <x:f>IF(RAND()&lt;(('Team_Info'!$E$2-COUNTIF($B307:O307,"W"))/('Team_Info'!$E$4-14)),"W","B")</x:f>
        <x:v>B</x:v>
      </x:c>
      <x:c r="Q307" t="str">
        <x:f>IF(RAND()&lt;(('Team_Info'!$E$2-COUNTIF($B307:P307,"W"))/('Team_Info'!$E$4-15)),"W","B")</x:f>
        <x:v>W</x:v>
      </x:c>
      <x:c r="R307" t="str">
        <x:f>IF(RAND()&lt;(('Team_Info'!$E$2-COUNTIF($B307:Q307,"W"))/('Team_Info'!$E$4-16)),"W","B")</x:f>
        <x:v>B</x:v>
      </x:c>
      <x:c r="S307" t="str">
        <x:f>IF(RAND()&lt;(('Team_Info'!$E$2-COUNTIF($B307:R307,"W"))/('Team_Info'!$E$4-17)),"W","B")</x:f>
        <x:v>B</x:v>
      </x:c>
      <x:c r="T307" t="str">
        <x:f>IF(RAND()&lt;(('Team_Info'!$E$2-COUNTIF($B307:S307,"W"))/('Team_Info'!$E$4-18)),"W","B")</x:f>
        <x:v>B</x:v>
      </x:c>
      <x:c r="U307" t="str">
        <x:f>IF(RAND()&lt;(('Team_Info'!$E$2-COUNTIF($B307:T307,"W"))/('Team_Info'!$E$4-19)),"W","B")</x:f>
        <x:v>B</x:v>
      </x:c>
    </x:row>
    <x:row r="308">
      <x:c r="A308" s="1">
        <x:v>307</x:v>
      </x:c>
      <x:c r="B308" t="str">
        <x:f>IF(RAND()&lt;'Team_Info'!$E$5,"W","B")</x:f>
        <x:v>B</x:v>
      </x:c>
      <x:c r="C308" t="str">
        <x:f>IF(RAND()&lt;(('Team_Info'!$E$2-COUNTIF($B308:B308,"W"))/('Team_Info'!$E$4-1)),"W","B")</x:f>
        <x:v>B</x:v>
      </x:c>
      <x:c r="D308" t="str">
        <x:f>IF(RAND()&lt;(('Team_Info'!$E$2-COUNTIF($B308:C308,"W"))/('Team_Info'!$E$4-2)),"W","B")</x:f>
        <x:v>W</x:v>
      </x:c>
      <x:c r="E308" t="str">
        <x:f>IF(RAND()&lt;(('Team_Info'!$E$2-COUNTIF($B308:D308,"W"))/('Team_Info'!$E$4-3)),"W","B")</x:f>
        <x:v>B</x:v>
      </x:c>
      <x:c r="F308" t="str">
        <x:f>IF(RAND()&lt;(('Team_Info'!$E$2-COUNTIF($B308:E308,"W"))/('Team_Info'!$E$4-4)),"W","B")</x:f>
        <x:v>B</x:v>
      </x:c>
      <x:c r="G308" t="str">
        <x:f>IF(RAND()&lt;(('Team_Info'!$E$2-COUNTIF($B308:F308,"W"))/('Team_Info'!$E$4-5)),"W","B")</x:f>
        <x:v>W</x:v>
      </x:c>
      <x:c r="H308" t="str">
        <x:f>IF(RAND()&lt;(('Team_Info'!$E$2-COUNTIF($B308:G308,"W"))/('Team_Info'!$E$4-6)),"W","B")</x:f>
        <x:v>B</x:v>
      </x:c>
      <x:c r="I308" t="str">
        <x:f>IF(RAND()&lt;(('Team_Info'!$E$2-COUNTIF($B308:H308,"W"))/('Team_Info'!$E$4-7)),"W","B")</x:f>
        <x:v>B</x:v>
      </x:c>
      <x:c r="J308" t="str">
        <x:f>IF(RAND()&lt;(('Team_Info'!$E$2-COUNTIF($B308:I308,"W"))/('Team_Info'!$E$4-8)),"W","B")</x:f>
        <x:v>W</x:v>
      </x:c>
      <x:c r="K308" t="str">
        <x:f>IF(RAND()&lt;(('Team_Info'!$E$2-COUNTIF($B308:J308,"W"))/('Team_Info'!$E$4-9)),"W","B")</x:f>
        <x:v>W</x:v>
      </x:c>
      <x:c r="L308" t="str">
        <x:f>IF(RAND()&lt;(('Team_Info'!$E$2-COUNTIF($B308:K308,"W"))/('Team_Info'!$E$4-10)),"W","B")</x:f>
        <x:v>B</x:v>
      </x:c>
      <x:c r="M308" t="str">
        <x:f>IF(RAND()&lt;(('Team_Info'!$E$2-COUNTIF($B308:L308,"W"))/('Team_Info'!$E$4-11)),"W","B")</x:f>
        <x:v>W</x:v>
      </x:c>
      <x:c r="N308" t="str">
        <x:f>IF(RAND()&lt;(('Team_Info'!$E$2-COUNTIF($B308:M308,"W"))/('Team_Info'!$E$4-12)),"W","B")</x:f>
        <x:v>B</x:v>
      </x:c>
      <x:c r="O308" t="str">
        <x:f>IF(RAND()&lt;(('Team_Info'!$E$2-COUNTIF($B308:N308,"W"))/('Team_Info'!$E$4-13)),"W","B")</x:f>
        <x:v>W</x:v>
      </x:c>
      <x:c r="P308" t="str">
        <x:f>IF(RAND()&lt;(('Team_Info'!$E$2-COUNTIF($B308:O308,"W"))/('Team_Info'!$E$4-14)),"W","B")</x:f>
        <x:v>W</x:v>
      </x:c>
      <x:c r="Q308" t="str">
        <x:f>IF(RAND()&lt;(('Team_Info'!$E$2-COUNTIF($B308:P308,"W"))/('Team_Info'!$E$4-15)),"W","B")</x:f>
        <x:v>B</x:v>
      </x:c>
      <x:c r="R308" t="str">
        <x:f>IF(RAND()&lt;(('Team_Info'!$E$2-COUNTIF($B308:Q308,"W"))/('Team_Info'!$E$4-16)),"W","B")</x:f>
        <x:v>B</x:v>
      </x:c>
      <x:c r="S308" t="str">
        <x:f>IF(RAND()&lt;(('Team_Info'!$E$2-COUNTIF($B308:R308,"W"))/('Team_Info'!$E$4-17)),"W","B")</x:f>
        <x:v>W</x:v>
      </x:c>
      <x:c r="T308" t="str">
        <x:f>IF(RAND()&lt;(('Team_Info'!$E$2-COUNTIF($B308:S308,"W"))/('Team_Info'!$E$4-18)),"W","B")</x:f>
        <x:v>W</x:v>
      </x:c>
      <x:c r="U308" t="str">
        <x:f>IF(RAND()&lt;(('Team_Info'!$E$2-COUNTIF($B308:T308,"W"))/('Team_Info'!$E$4-19)),"W","B")</x:f>
        <x:v>B</x:v>
      </x:c>
    </x:row>
    <x:row r="309">
      <x:c r="A309" s="1">
        <x:v>308</x:v>
      </x:c>
      <x:c r="B309" t="str">
        <x:f>IF(RAND()&lt;'Team_Info'!$E$5,"W","B")</x:f>
        <x:v>W</x:v>
      </x:c>
      <x:c r="C309" t="str">
        <x:f>IF(RAND()&lt;(('Team_Info'!$E$2-COUNTIF($B309:B309,"W"))/('Team_Info'!$E$4-1)),"W","B")</x:f>
        <x:v>W</x:v>
      </x:c>
      <x:c r="D309" t="str">
        <x:f>IF(RAND()&lt;(('Team_Info'!$E$2-COUNTIF($B309:C309,"W"))/('Team_Info'!$E$4-2)),"W","B")</x:f>
        <x:v>W</x:v>
      </x:c>
      <x:c r="E309" t="str">
        <x:f>IF(RAND()&lt;(('Team_Info'!$E$2-COUNTIF($B309:D309,"W"))/('Team_Info'!$E$4-3)),"W","B")</x:f>
        <x:v>W</x:v>
      </x:c>
      <x:c r="F309" t="str">
        <x:f>IF(RAND()&lt;(('Team_Info'!$E$2-COUNTIF($B309:E309,"W"))/('Team_Info'!$E$4-4)),"W","B")</x:f>
        <x:v>B</x:v>
      </x:c>
      <x:c r="G309" t="str">
        <x:f>IF(RAND()&lt;(('Team_Info'!$E$2-COUNTIF($B309:F309,"W"))/('Team_Info'!$E$4-5)),"W","B")</x:f>
        <x:v>W</x:v>
      </x:c>
      <x:c r="H309" t="str">
        <x:f>IF(RAND()&lt;(('Team_Info'!$E$2-COUNTIF($B309:G309,"W"))/('Team_Info'!$E$4-6)),"W","B")</x:f>
        <x:v>B</x:v>
      </x:c>
      <x:c r="I309" t="str">
        <x:f>IF(RAND()&lt;(('Team_Info'!$E$2-COUNTIF($B309:H309,"W"))/('Team_Info'!$E$4-7)),"W","B")</x:f>
        <x:v>W</x:v>
      </x:c>
      <x:c r="J309" t="str">
        <x:f>IF(RAND()&lt;(('Team_Info'!$E$2-COUNTIF($B309:I309,"W"))/('Team_Info'!$E$4-8)),"W","B")</x:f>
        <x:v>W</x:v>
      </x:c>
      <x:c r="K309" t="str">
        <x:f>IF(RAND()&lt;(('Team_Info'!$E$2-COUNTIF($B309:J309,"W"))/('Team_Info'!$E$4-9)),"W","B")</x:f>
        <x:v>B</x:v>
      </x:c>
      <x:c r="L309" t="str">
        <x:f>IF(RAND()&lt;(('Team_Info'!$E$2-COUNTIF($B309:K309,"W"))/('Team_Info'!$E$4-10)),"W","B")</x:f>
        <x:v>B</x:v>
      </x:c>
      <x:c r="M309" t="str">
        <x:f>IF(RAND()&lt;(('Team_Info'!$E$2-COUNTIF($B309:L309,"W"))/('Team_Info'!$E$4-11)),"W","B")</x:f>
        <x:v>W</x:v>
      </x:c>
      <x:c r="N309" t="str">
        <x:f>IF(RAND()&lt;(('Team_Info'!$E$2-COUNTIF($B309:M309,"W"))/('Team_Info'!$E$4-12)),"W","B")</x:f>
        <x:v>B</x:v>
      </x:c>
      <x:c r="O309" t="str">
        <x:f>IF(RAND()&lt;(('Team_Info'!$E$2-COUNTIF($B309:N309,"W"))/('Team_Info'!$E$4-13)),"W","B")</x:f>
        <x:v>B</x:v>
      </x:c>
      <x:c r="P309" t="str">
        <x:f>IF(RAND()&lt;(('Team_Info'!$E$2-COUNTIF($B309:O309,"W"))/('Team_Info'!$E$4-14)),"W","B")</x:f>
        <x:v>B</x:v>
      </x:c>
      <x:c r="Q309" t="str">
        <x:f>IF(RAND()&lt;(('Team_Info'!$E$2-COUNTIF($B309:P309,"W"))/('Team_Info'!$E$4-15)),"W","B")</x:f>
        <x:v>B</x:v>
      </x:c>
      <x:c r="R309" t="str">
        <x:f>IF(RAND()&lt;(('Team_Info'!$E$2-COUNTIF($B309:Q309,"W"))/('Team_Info'!$E$4-16)),"W","B")</x:f>
        <x:v>W</x:v>
      </x:c>
      <x:c r="S309" t="str">
        <x:f>IF(RAND()&lt;(('Team_Info'!$E$2-COUNTIF($B309:R309,"W"))/('Team_Info'!$E$4-17)),"W","B")</x:f>
        <x:v>B</x:v>
      </x:c>
      <x:c r="T309" t="str">
        <x:f>IF(RAND()&lt;(('Team_Info'!$E$2-COUNTIF($B309:S309,"W"))/('Team_Info'!$E$4-18)),"W","B")</x:f>
        <x:v>B</x:v>
      </x:c>
      <x:c r="U309" t="str">
        <x:f>IF(RAND()&lt;(('Team_Info'!$E$2-COUNTIF($B309:T309,"W"))/('Team_Info'!$E$4-19)),"W","B")</x:f>
        <x:v>W</x:v>
      </x:c>
    </x:row>
    <x:row r="310">
      <x:c r="A310" s="1">
        <x:v>309</x:v>
      </x:c>
      <x:c r="B310" t="str">
        <x:f>IF(RAND()&lt;'Team_Info'!$E$5,"W","B")</x:f>
        <x:v>B</x:v>
      </x:c>
      <x:c r="C310" t="str">
        <x:f>IF(RAND()&lt;(('Team_Info'!$E$2-COUNTIF($B310:B310,"W"))/('Team_Info'!$E$4-1)),"W","B")</x:f>
        <x:v>B</x:v>
      </x:c>
      <x:c r="D310" t="str">
        <x:f>IF(RAND()&lt;(('Team_Info'!$E$2-COUNTIF($B310:C310,"W"))/('Team_Info'!$E$4-2)),"W","B")</x:f>
        <x:v>W</x:v>
      </x:c>
      <x:c r="E310" t="str">
        <x:f>IF(RAND()&lt;(('Team_Info'!$E$2-COUNTIF($B310:D310,"W"))/('Team_Info'!$E$4-3)),"W","B")</x:f>
        <x:v>W</x:v>
      </x:c>
      <x:c r="F310" t="str">
        <x:f>IF(RAND()&lt;(('Team_Info'!$E$2-COUNTIF($B310:E310,"W"))/('Team_Info'!$E$4-4)),"W","B")</x:f>
        <x:v>W</x:v>
      </x:c>
      <x:c r="G310" t="str">
        <x:f>IF(RAND()&lt;(('Team_Info'!$E$2-COUNTIF($B310:F310,"W"))/('Team_Info'!$E$4-5)),"W","B")</x:f>
        <x:v>B</x:v>
      </x:c>
      <x:c r="H310" t="str">
        <x:f>IF(RAND()&lt;(('Team_Info'!$E$2-COUNTIF($B310:G310,"W"))/('Team_Info'!$E$4-6)),"W","B")</x:f>
        <x:v>W</x:v>
      </x:c>
      <x:c r="I310" t="str">
        <x:f>IF(RAND()&lt;(('Team_Info'!$E$2-COUNTIF($B310:H310,"W"))/('Team_Info'!$E$4-7)),"W","B")</x:f>
        <x:v>W</x:v>
      </x:c>
      <x:c r="J310" t="str">
        <x:f>IF(RAND()&lt;(('Team_Info'!$E$2-COUNTIF($B310:I310,"W"))/('Team_Info'!$E$4-8)),"W","B")</x:f>
        <x:v>B</x:v>
      </x:c>
      <x:c r="K310" t="str">
        <x:f>IF(RAND()&lt;(('Team_Info'!$E$2-COUNTIF($B310:J310,"W"))/('Team_Info'!$E$4-9)),"W","B")</x:f>
        <x:v>W</x:v>
      </x:c>
      <x:c r="L310" t="str">
        <x:f>IF(RAND()&lt;(('Team_Info'!$E$2-COUNTIF($B310:K310,"W"))/('Team_Info'!$E$4-10)),"W","B")</x:f>
        <x:v>B</x:v>
      </x:c>
      <x:c r="M310" t="str">
        <x:f>IF(RAND()&lt;(('Team_Info'!$E$2-COUNTIF($B310:L310,"W"))/('Team_Info'!$E$4-11)),"W","B")</x:f>
        <x:v>B</x:v>
      </x:c>
      <x:c r="N310" t="str">
        <x:f>IF(RAND()&lt;(('Team_Info'!$E$2-COUNTIF($B310:M310,"W"))/('Team_Info'!$E$4-12)),"W","B")</x:f>
        <x:v>B</x:v>
      </x:c>
      <x:c r="O310" t="str">
        <x:f>IF(RAND()&lt;(('Team_Info'!$E$2-COUNTIF($B310:N310,"W"))/('Team_Info'!$E$4-13)),"W","B")</x:f>
        <x:v>B</x:v>
      </x:c>
      <x:c r="P310" t="str">
        <x:f>IF(RAND()&lt;(('Team_Info'!$E$2-COUNTIF($B310:O310,"W"))/('Team_Info'!$E$4-14)),"W","B")</x:f>
        <x:v>B</x:v>
      </x:c>
      <x:c r="Q310" t="str">
        <x:f>IF(RAND()&lt;(('Team_Info'!$E$2-COUNTIF($B310:P310,"W"))/('Team_Info'!$E$4-15)),"W","B")</x:f>
        <x:v>B</x:v>
      </x:c>
      <x:c r="R310" t="str">
        <x:f>IF(RAND()&lt;(('Team_Info'!$E$2-COUNTIF($B310:Q310,"W"))/('Team_Info'!$E$4-16)),"W","B")</x:f>
        <x:v>W</x:v>
      </x:c>
      <x:c r="S310" t="str">
        <x:f>IF(RAND()&lt;(('Team_Info'!$E$2-COUNTIF($B310:R310,"W"))/('Team_Info'!$E$4-17)),"W","B")</x:f>
        <x:v>B</x:v>
      </x:c>
      <x:c r="T310" t="str">
        <x:f>IF(RAND()&lt;(('Team_Info'!$E$2-COUNTIF($B310:S310,"W"))/('Team_Info'!$E$4-18)),"W","B")</x:f>
        <x:v>W</x:v>
      </x:c>
      <x:c r="U310" t="str">
        <x:f>IF(RAND()&lt;(('Team_Info'!$E$2-COUNTIF($B310:T310,"W"))/('Team_Info'!$E$4-19)),"W","B")</x:f>
        <x:v>B</x:v>
      </x:c>
    </x:row>
    <x:row r="311">
      <x:c r="A311" s="1">
        <x:v>310</x:v>
      </x:c>
      <x:c r="B311" t="str">
        <x:f>IF(RAND()&lt;'Team_Info'!$E$5,"W","B")</x:f>
        <x:v>B</x:v>
      </x:c>
      <x:c r="C311" t="str">
        <x:f>IF(RAND()&lt;(('Team_Info'!$E$2-COUNTIF($B311:B311,"W"))/('Team_Info'!$E$4-1)),"W","B")</x:f>
        <x:v>W</x:v>
      </x:c>
      <x:c r="D311" t="str">
        <x:f>IF(RAND()&lt;(('Team_Info'!$E$2-COUNTIF($B311:C311,"W"))/('Team_Info'!$E$4-2)),"W","B")</x:f>
        <x:v>W</x:v>
      </x:c>
      <x:c r="E311" t="str">
        <x:f>IF(RAND()&lt;(('Team_Info'!$E$2-COUNTIF($B311:D311,"W"))/('Team_Info'!$E$4-3)),"W","B")</x:f>
        <x:v>B</x:v>
      </x:c>
      <x:c r="F311" t="str">
        <x:f>IF(RAND()&lt;(('Team_Info'!$E$2-COUNTIF($B311:E311,"W"))/('Team_Info'!$E$4-4)),"W","B")</x:f>
        <x:v>W</x:v>
      </x:c>
      <x:c r="G311" t="str">
        <x:f>IF(RAND()&lt;(('Team_Info'!$E$2-COUNTIF($B311:F311,"W"))/('Team_Info'!$E$4-5)),"W","B")</x:f>
        <x:v>W</x:v>
      </x:c>
      <x:c r="H311" t="str">
        <x:f>IF(RAND()&lt;(('Team_Info'!$E$2-COUNTIF($B311:G311,"W"))/('Team_Info'!$E$4-6)),"W","B")</x:f>
        <x:v>B</x:v>
      </x:c>
      <x:c r="I311" t="str">
        <x:f>IF(RAND()&lt;(('Team_Info'!$E$2-COUNTIF($B311:H311,"W"))/('Team_Info'!$E$4-7)),"W","B")</x:f>
        <x:v>B</x:v>
      </x:c>
      <x:c r="J311" t="str">
        <x:f>IF(RAND()&lt;(('Team_Info'!$E$2-COUNTIF($B311:I311,"W"))/('Team_Info'!$E$4-8)),"W","B")</x:f>
        <x:v>W</x:v>
      </x:c>
      <x:c r="K311" t="str">
        <x:f>IF(RAND()&lt;(('Team_Info'!$E$2-COUNTIF($B311:J311,"W"))/('Team_Info'!$E$4-9)),"W","B")</x:f>
        <x:v>W</x:v>
      </x:c>
      <x:c r="L311" t="str">
        <x:f>IF(RAND()&lt;(('Team_Info'!$E$2-COUNTIF($B311:K311,"W"))/('Team_Info'!$E$4-10)),"W","B")</x:f>
        <x:v>B</x:v>
      </x:c>
      <x:c r="M311" t="str">
        <x:f>IF(RAND()&lt;(('Team_Info'!$E$2-COUNTIF($B311:L311,"W"))/('Team_Info'!$E$4-11)),"W","B")</x:f>
        <x:v>B</x:v>
      </x:c>
      <x:c r="N311" t="str">
        <x:f>IF(RAND()&lt;(('Team_Info'!$E$2-COUNTIF($B311:M311,"W"))/('Team_Info'!$E$4-12)),"W","B")</x:f>
        <x:v>B</x:v>
      </x:c>
      <x:c r="O311" t="str">
        <x:f>IF(RAND()&lt;(('Team_Info'!$E$2-COUNTIF($B311:N311,"W"))/('Team_Info'!$E$4-13)),"W","B")</x:f>
        <x:v>B</x:v>
      </x:c>
      <x:c r="P311" t="str">
        <x:f>IF(RAND()&lt;(('Team_Info'!$E$2-COUNTIF($B311:O311,"W"))/('Team_Info'!$E$4-14)),"W","B")</x:f>
        <x:v>W</x:v>
      </x:c>
      <x:c r="Q311" t="str">
        <x:f>IF(RAND()&lt;(('Team_Info'!$E$2-COUNTIF($B311:P311,"W"))/('Team_Info'!$E$4-15)),"W","B")</x:f>
        <x:v>W</x:v>
      </x:c>
      <x:c r="R311" t="str">
        <x:f>IF(RAND()&lt;(('Team_Info'!$E$2-COUNTIF($B311:Q311,"W"))/('Team_Info'!$E$4-16)),"W","B")</x:f>
        <x:v>W</x:v>
      </x:c>
      <x:c r="S311" t="str">
        <x:f>IF(RAND()&lt;(('Team_Info'!$E$2-COUNTIF($B311:R311,"W"))/('Team_Info'!$E$4-17)),"W","B")</x:f>
        <x:v>B</x:v>
      </x:c>
      <x:c r="T311" t="str">
        <x:f>IF(RAND()&lt;(('Team_Info'!$E$2-COUNTIF($B311:S311,"W"))/('Team_Info'!$E$4-18)),"W","B")</x:f>
        <x:v>W</x:v>
      </x:c>
      <x:c r="U311" t="str">
        <x:f>IF(RAND()&lt;(('Team_Info'!$E$2-COUNTIF($B311:T311,"W"))/('Team_Info'!$E$4-19)),"W","B")</x:f>
        <x:v>B</x:v>
      </x:c>
    </x:row>
    <x:row r="312">
      <x:c r="A312" s="1">
        <x:v>311</x:v>
      </x:c>
      <x:c r="B312" t="str">
        <x:f>IF(RAND()&lt;'Team_Info'!$E$5,"W","B")</x:f>
        <x:v>B</x:v>
      </x:c>
      <x:c r="C312" t="str">
        <x:f>IF(RAND()&lt;(('Team_Info'!$E$2-COUNTIF($B312:B312,"W"))/('Team_Info'!$E$4-1)),"W","B")</x:f>
        <x:v>B</x:v>
      </x:c>
      <x:c r="D312" t="str">
        <x:f>IF(RAND()&lt;(('Team_Info'!$E$2-COUNTIF($B312:C312,"W"))/('Team_Info'!$E$4-2)),"W","B")</x:f>
        <x:v>B</x:v>
      </x:c>
      <x:c r="E312" t="str">
        <x:f>IF(RAND()&lt;(('Team_Info'!$E$2-COUNTIF($B312:D312,"W"))/('Team_Info'!$E$4-3)),"W","B")</x:f>
        <x:v>W</x:v>
      </x:c>
      <x:c r="F312" t="str">
        <x:f>IF(RAND()&lt;(('Team_Info'!$E$2-COUNTIF($B312:E312,"W"))/('Team_Info'!$E$4-4)),"W","B")</x:f>
        <x:v>B</x:v>
      </x:c>
      <x:c r="G312" t="str">
        <x:f>IF(RAND()&lt;(('Team_Info'!$E$2-COUNTIF($B312:F312,"W"))/('Team_Info'!$E$4-5)),"W","B")</x:f>
        <x:v>W</x:v>
      </x:c>
      <x:c r="H312" t="str">
        <x:f>IF(RAND()&lt;(('Team_Info'!$E$2-COUNTIF($B312:G312,"W"))/('Team_Info'!$E$4-6)),"W","B")</x:f>
        <x:v>W</x:v>
      </x:c>
      <x:c r="I312" t="str">
        <x:f>IF(RAND()&lt;(('Team_Info'!$E$2-COUNTIF($B312:H312,"W"))/('Team_Info'!$E$4-7)),"W","B")</x:f>
        <x:v>B</x:v>
      </x:c>
      <x:c r="J312" t="str">
        <x:f>IF(RAND()&lt;(('Team_Info'!$E$2-COUNTIF($B312:I312,"W"))/('Team_Info'!$E$4-8)),"W","B")</x:f>
        <x:v>B</x:v>
      </x:c>
      <x:c r="K312" t="str">
        <x:f>IF(RAND()&lt;(('Team_Info'!$E$2-COUNTIF($B312:J312,"W"))/('Team_Info'!$E$4-9)),"W","B")</x:f>
        <x:v>B</x:v>
      </x:c>
      <x:c r="L312" t="str">
        <x:f>IF(RAND()&lt;(('Team_Info'!$E$2-COUNTIF($B312:K312,"W"))/('Team_Info'!$E$4-10)),"W","B")</x:f>
        <x:v>B</x:v>
      </x:c>
      <x:c r="M312" t="str">
        <x:f>IF(RAND()&lt;(('Team_Info'!$E$2-COUNTIF($B312:L312,"W"))/('Team_Info'!$E$4-11)),"W","B")</x:f>
        <x:v>B</x:v>
      </x:c>
      <x:c r="N312" t="str">
        <x:f>IF(RAND()&lt;(('Team_Info'!$E$2-COUNTIF($B312:M312,"W"))/('Team_Info'!$E$4-12)),"W","B")</x:f>
        <x:v>W</x:v>
      </x:c>
      <x:c r="O312" t="str">
        <x:f>IF(RAND()&lt;(('Team_Info'!$E$2-COUNTIF($B312:N312,"W"))/('Team_Info'!$E$4-13)),"W","B")</x:f>
        <x:v>B</x:v>
      </x:c>
      <x:c r="P312" t="str">
        <x:f>IF(RAND()&lt;(('Team_Info'!$E$2-COUNTIF($B312:O312,"W"))/('Team_Info'!$E$4-14)),"W","B")</x:f>
        <x:v>B</x:v>
      </x:c>
      <x:c r="Q312" t="str">
        <x:f>IF(RAND()&lt;(('Team_Info'!$E$2-COUNTIF($B312:P312,"W"))/('Team_Info'!$E$4-15)),"W","B")</x:f>
        <x:v>W</x:v>
      </x:c>
      <x:c r="R312" t="str">
        <x:f>IF(RAND()&lt;(('Team_Info'!$E$2-COUNTIF($B312:Q312,"W"))/('Team_Info'!$E$4-16)),"W","B")</x:f>
        <x:v>B</x:v>
      </x:c>
      <x:c r="S312" t="str">
        <x:f>IF(RAND()&lt;(('Team_Info'!$E$2-COUNTIF($B312:R312,"W"))/('Team_Info'!$E$4-17)),"W","B")</x:f>
        <x:v>W</x:v>
      </x:c>
      <x:c r="T312" t="str">
        <x:f>IF(RAND()&lt;(('Team_Info'!$E$2-COUNTIF($B312:S312,"W"))/('Team_Info'!$E$4-18)),"W","B")</x:f>
        <x:v>B</x:v>
      </x:c>
      <x:c r="U312" t="str">
        <x:f>IF(RAND()&lt;(('Team_Info'!$E$2-COUNTIF($B312:T312,"W"))/('Team_Info'!$E$4-19)),"W","B")</x:f>
        <x:v>W</x:v>
      </x:c>
    </x:row>
    <x:row r="313">
      <x:c r="A313" s="1">
        <x:v>312</x:v>
      </x:c>
      <x:c r="B313" t="str">
        <x:f>IF(RAND()&lt;'Team_Info'!$E$5,"W","B")</x:f>
        <x:v>W</x:v>
      </x:c>
      <x:c r="C313" t="str">
        <x:f>IF(RAND()&lt;(('Team_Info'!$E$2-COUNTIF($B313:B313,"W"))/('Team_Info'!$E$4-1)),"W","B")</x:f>
        <x:v>B</x:v>
      </x:c>
      <x:c r="D313" t="str">
        <x:f>IF(RAND()&lt;(('Team_Info'!$E$2-COUNTIF($B313:C313,"W"))/('Team_Info'!$E$4-2)),"W","B")</x:f>
        <x:v>W</x:v>
      </x:c>
      <x:c r="E313" t="str">
        <x:f>IF(RAND()&lt;(('Team_Info'!$E$2-COUNTIF($B313:D313,"W"))/('Team_Info'!$E$4-3)),"W","B")</x:f>
        <x:v>W</x:v>
      </x:c>
      <x:c r="F313" t="str">
        <x:f>IF(RAND()&lt;(('Team_Info'!$E$2-COUNTIF($B313:E313,"W"))/('Team_Info'!$E$4-4)),"W","B")</x:f>
        <x:v>B</x:v>
      </x:c>
      <x:c r="G313" t="str">
        <x:f>IF(RAND()&lt;(('Team_Info'!$E$2-COUNTIF($B313:F313,"W"))/('Team_Info'!$E$4-5)),"W","B")</x:f>
        <x:v>W</x:v>
      </x:c>
      <x:c r="H313" t="str">
        <x:f>IF(RAND()&lt;(('Team_Info'!$E$2-COUNTIF($B313:G313,"W"))/('Team_Info'!$E$4-6)),"W","B")</x:f>
        <x:v>B</x:v>
      </x:c>
      <x:c r="I313" t="str">
        <x:f>IF(RAND()&lt;(('Team_Info'!$E$2-COUNTIF($B313:H313,"W"))/('Team_Info'!$E$4-7)),"W","B")</x:f>
        <x:v>B</x:v>
      </x:c>
      <x:c r="J313" t="str">
        <x:f>IF(RAND()&lt;(('Team_Info'!$E$2-COUNTIF($B313:I313,"W"))/('Team_Info'!$E$4-8)),"W","B")</x:f>
        <x:v>W</x:v>
      </x:c>
      <x:c r="K313" t="str">
        <x:f>IF(RAND()&lt;(('Team_Info'!$E$2-COUNTIF($B313:J313,"W"))/('Team_Info'!$E$4-9)),"W","B")</x:f>
        <x:v>B</x:v>
      </x:c>
      <x:c r="L313" t="str">
        <x:f>IF(RAND()&lt;(('Team_Info'!$E$2-COUNTIF($B313:K313,"W"))/('Team_Info'!$E$4-10)),"W","B")</x:f>
        <x:v>B</x:v>
      </x:c>
      <x:c r="M313" t="str">
        <x:f>IF(RAND()&lt;(('Team_Info'!$E$2-COUNTIF($B313:L313,"W"))/('Team_Info'!$E$4-11)),"W","B")</x:f>
        <x:v>W</x:v>
      </x:c>
      <x:c r="N313" t="str">
        <x:f>IF(RAND()&lt;(('Team_Info'!$E$2-COUNTIF($B313:M313,"W"))/('Team_Info'!$E$4-12)),"W","B")</x:f>
        <x:v>B</x:v>
      </x:c>
      <x:c r="O313" t="str">
        <x:f>IF(RAND()&lt;(('Team_Info'!$E$2-COUNTIF($B313:N313,"W"))/('Team_Info'!$E$4-13)),"W","B")</x:f>
        <x:v>W</x:v>
      </x:c>
      <x:c r="P313" t="str">
        <x:f>IF(RAND()&lt;(('Team_Info'!$E$2-COUNTIF($B313:O313,"W"))/('Team_Info'!$E$4-14)),"W","B")</x:f>
        <x:v>B</x:v>
      </x:c>
      <x:c r="Q313" t="str">
        <x:f>IF(RAND()&lt;(('Team_Info'!$E$2-COUNTIF($B313:P313,"W"))/('Team_Info'!$E$4-15)),"W","B")</x:f>
        <x:v>B</x:v>
      </x:c>
      <x:c r="R313" t="str">
        <x:f>IF(RAND()&lt;(('Team_Info'!$E$2-COUNTIF($B313:Q313,"W"))/('Team_Info'!$E$4-16)),"W","B")</x:f>
        <x:v>B</x:v>
      </x:c>
      <x:c r="S313" t="str">
        <x:f>IF(RAND()&lt;(('Team_Info'!$E$2-COUNTIF($B313:R313,"W"))/('Team_Info'!$E$4-17)),"W","B")</x:f>
        <x:v>B</x:v>
      </x:c>
      <x:c r="T313" t="str">
        <x:f>IF(RAND()&lt;(('Team_Info'!$E$2-COUNTIF($B313:S313,"W"))/('Team_Info'!$E$4-18)),"W","B")</x:f>
        <x:v>W</x:v>
      </x:c>
      <x:c r="U313" t="str">
        <x:f>IF(RAND()&lt;(('Team_Info'!$E$2-COUNTIF($B313:T313,"W"))/('Team_Info'!$E$4-19)),"W","B")</x:f>
        <x:v>B</x:v>
      </x:c>
    </x:row>
    <x:row r="314">
      <x:c r="A314" s="1">
        <x:v>313</x:v>
      </x:c>
      <x:c r="B314" t="str">
        <x:f>IF(RAND()&lt;'Team_Info'!$E$5,"W","B")</x:f>
        <x:v>B</x:v>
      </x:c>
      <x:c r="C314" t="str">
        <x:f>IF(RAND()&lt;(('Team_Info'!$E$2-COUNTIF($B314:B314,"W"))/('Team_Info'!$E$4-1)),"W","B")</x:f>
        <x:v>B</x:v>
      </x:c>
      <x:c r="D314" t="str">
        <x:f>IF(RAND()&lt;(('Team_Info'!$E$2-COUNTIF($B314:C314,"W"))/('Team_Info'!$E$4-2)),"W","B")</x:f>
        <x:v>B</x:v>
      </x:c>
      <x:c r="E314" t="str">
        <x:f>IF(RAND()&lt;(('Team_Info'!$E$2-COUNTIF($B314:D314,"W"))/('Team_Info'!$E$4-3)),"W","B")</x:f>
        <x:v>B</x:v>
      </x:c>
      <x:c r="F314" t="str">
        <x:f>IF(RAND()&lt;(('Team_Info'!$E$2-COUNTIF($B314:E314,"W"))/('Team_Info'!$E$4-4)),"W","B")</x:f>
        <x:v>W</x:v>
      </x:c>
      <x:c r="G314" t="str">
        <x:f>IF(RAND()&lt;(('Team_Info'!$E$2-COUNTIF($B314:F314,"W"))/('Team_Info'!$E$4-5)),"W","B")</x:f>
        <x:v>W</x:v>
      </x:c>
      <x:c r="H314" t="str">
        <x:f>IF(RAND()&lt;(('Team_Info'!$E$2-COUNTIF($B314:G314,"W"))/('Team_Info'!$E$4-6)),"W","B")</x:f>
        <x:v>W</x:v>
      </x:c>
      <x:c r="I314" t="str">
        <x:f>IF(RAND()&lt;(('Team_Info'!$E$2-COUNTIF($B314:H314,"W"))/('Team_Info'!$E$4-7)),"W","B")</x:f>
        <x:v>B</x:v>
      </x:c>
      <x:c r="J314" t="str">
        <x:f>IF(RAND()&lt;(('Team_Info'!$E$2-COUNTIF($B314:I314,"W"))/('Team_Info'!$E$4-8)),"W","B")</x:f>
        <x:v>W</x:v>
      </x:c>
      <x:c r="K314" t="str">
        <x:f>IF(RAND()&lt;(('Team_Info'!$E$2-COUNTIF($B314:J314,"W"))/('Team_Info'!$E$4-9)),"W","B")</x:f>
        <x:v>W</x:v>
      </x:c>
      <x:c r="L314" t="str">
        <x:f>IF(RAND()&lt;(('Team_Info'!$E$2-COUNTIF($B314:K314,"W"))/('Team_Info'!$E$4-10)),"W","B")</x:f>
        <x:v>B</x:v>
      </x:c>
      <x:c r="M314" t="str">
        <x:f>IF(RAND()&lt;(('Team_Info'!$E$2-COUNTIF($B314:L314,"W"))/('Team_Info'!$E$4-11)),"W","B")</x:f>
        <x:v>B</x:v>
      </x:c>
      <x:c r="N314" t="str">
        <x:f>IF(RAND()&lt;(('Team_Info'!$E$2-COUNTIF($B314:M314,"W"))/('Team_Info'!$E$4-12)),"W","B")</x:f>
        <x:v>B</x:v>
      </x:c>
      <x:c r="O314" t="str">
        <x:f>IF(RAND()&lt;(('Team_Info'!$E$2-COUNTIF($B314:N314,"W"))/('Team_Info'!$E$4-13)),"W","B")</x:f>
        <x:v>B</x:v>
      </x:c>
      <x:c r="P314" t="str">
        <x:f>IF(RAND()&lt;(('Team_Info'!$E$2-COUNTIF($B314:O314,"W"))/('Team_Info'!$E$4-14)),"W","B")</x:f>
        <x:v>B</x:v>
      </x:c>
      <x:c r="Q314" t="str">
        <x:f>IF(RAND()&lt;(('Team_Info'!$E$2-COUNTIF($B314:P314,"W"))/('Team_Info'!$E$4-15)),"W","B")</x:f>
        <x:v>B</x:v>
      </x:c>
      <x:c r="R314" t="str">
        <x:f>IF(RAND()&lt;(('Team_Info'!$E$2-COUNTIF($B314:Q314,"W"))/('Team_Info'!$E$4-16)),"W","B")</x:f>
        <x:v>W</x:v>
      </x:c>
      <x:c r="S314" t="str">
        <x:f>IF(RAND()&lt;(('Team_Info'!$E$2-COUNTIF($B314:R314,"W"))/('Team_Info'!$E$4-17)),"W","B")</x:f>
        <x:v>B</x:v>
      </x:c>
      <x:c r="T314" t="str">
        <x:f>IF(RAND()&lt;(('Team_Info'!$E$2-COUNTIF($B314:S314,"W"))/('Team_Info'!$E$4-18)),"W","B")</x:f>
        <x:v>B</x:v>
      </x:c>
      <x:c r="U314" t="str">
        <x:f>IF(RAND()&lt;(('Team_Info'!$E$2-COUNTIF($B314:T314,"W"))/('Team_Info'!$E$4-19)),"W","B")</x:f>
        <x:v>B</x:v>
      </x:c>
    </x:row>
    <x:row r="315">
      <x:c r="A315" s="1">
        <x:v>314</x:v>
      </x:c>
      <x:c r="B315" t="str">
        <x:f>IF(RAND()&lt;'Team_Info'!$E$5,"W","B")</x:f>
        <x:v>B</x:v>
      </x:c>
      <x:c r="C315" t="str">
        <x:f>IF(RAND()&lt;(('Team_Info'!$E$2-COUNTIF($B315:B315,"W"))/('Team_Info'!$E$4-1)),"W","B")</x:f>
        <x:v>B</x:v>
      </x:c>
      <x:c r="D315" t="str">
        <x:f>IF(RAND()&lt;(('Team_Info'!$E$2-COUNTIF($B315:C315,"W"))/('Team_Info'!$E$4-2)),"W","B")</x:f>
        <x:v>W</x:v>
      </x:c>
      <x:c r="E315" t="str">
        <x:f>IF(RAND()&lt;(('Team_Info'!$E$2-COUNTIF($B315:D315,"W"))/('Team_Info'!$E$4-3)),"W","B")</x:f>
        <x:v>B</x:v>
      </x:c>
      <x:c r="F315" t="str">
        <x:f>IF(RAND()&lt;(('Team_Info'!$E$2-COUNTIF($B315:E315,"W"))/('Team_Info'!$E$4-4)),"W","B")</x:f>
        <x:v>B</x:v>
      </x:c>
      <x:c r="G315" t="str">
        <x:f>IF(RAND()&lt;(('Team_Info'!$E$2-COUNTIF($B315:F315,"W"))/('Team_Info'!$E$4-5)),"W","B")</x:f>
        <x:v>W</x:v>
      </x:c>
      <x:c r="H315" t="str">
        <x:f>IF(RAND()&lt;(('Team_Info'!$E$2-COUNTIF($B315:G315,"W"))/('Team_Info'!$E$4-6)),"W","B")</x:f>
        <x:v>B</x:v>
      </x:c>
      <x:c r="I315" t="str">
        <x:f>IF(RAND()&lt;(('Team_Info'!$E$2-COUNTIF($B315:H315,"W"))/('Team_Info'!$E$4-7)),"W","B")</x:f>
        <x:v>W</x:v>
      </x:c>
      <x:c r="J315" t="str">
        <x:f>IF(RAND()&lt;(('Team_Info'!$E$2-COUNTIF($B315:I315,"W"))/('Team_Info'!$E$4-8)),"W","B")</x:f>
        <x:v>B</x:v>
      </x:c>
      <x:c r="K315" t="str">
        <x:f>IF(RAND()&lt;(('Team_Info'!$E$2-COUNTIF($B315:J315,"W"))/('Team_Info'!$E$4-9)),"W","B")</x:f>
        <x:v>W</x:v>
      </x:c>
      <x:c r="L315" t="str">
        <x:f>IF(RAND()&lt;(('Team_Info'!$E$2-COUNTIF($B315:K315,"W"))/('Team_Info'!$E$4-10)),"W","B")</x:f>
        <x:v>W</x:v>
      </x:c>
      <x:c r="M315" t="str">
        <x:f>IF(RAND()&lt;(('Team_Info'!$E$2-COUNTIF($B315:L315,"W"))/('Team_Info'!$E$4-11)),"W","B")</x:f>
        <x:v>B</x:v>
      </x:c>
      <x:c r="N315" t="str">
        <x:f>IF(RAND()&lt;(('Team_Info'!$E$2-COUNTIF($B315:M315,"W"))/('Team_Info'!$E$4-12)),"W","B")</x:f>
        <x:v>W</x:v>
      </x:c>
      <x:c r="O315" t="str">
        <x:f>IF(RAND()&lt;(('Team_Info'!$E$2-COUNTIF($B315:N315,"W"))/('Team_Info'!$E$4-13)),"W","B")</x:f>
        <x:v>W</x:v>
      </x:c>
      <x:c r="P315" t="str">
        <x:f>IF(RAND()&lt;(('Team_Info'!$E$2-COUNTIF($B315:O315,"W"))/('Team_Info'!$E$4-14)),"W","B")</x:f>
        <x:v>B</x:v>
      </x:c>
      <x:c r="Q315" t="str">
        <x:f>IF(RAND()&lt;(('Team_Info'!$E$2-COUNTIF($B315:P315,"W"))/('Team_Info'!$E$4-15)),"W","B")</x:f>
        <x:v>W</x:v>
      </x:c>
      <x:c r="R315" t="str">
        <x:f>IF(RAND()&lt;(('Team_Info'!$E$2-COUNTIF($B315:Q315,"W"))/('Team_Info'!$E$4-16)),"W","B")</x:f>
        <x:v>B</x:v>
      </x:c>
      <x:c r="S315" t="str">
        <x:f>IF(RAND()&lt;(('Team_Info'!$E$2-COUNTIF($B315:R315,"W"))/('Team_Info'!$E$4-17)),"W","B")</x:f>
        <x:v>W</x:v>
      </x:c>
      <x:c r="T315" t="str">
        <x:f>IF(RAND()&lt;(('Team_Info'!$E$2-COUNTIF($B315:S315,"W"))/('Team_Info'!$E$4-18)),"W","B")</x:f>
        <x:v>B</x:v>
      </x:c>
      <x:c r="U315" t="str">
        <x:f>IF(RAND()&lt;(('Team_Info'!$E$2-COUNTIF($B315:T315,"W"))/('Team_Info'!$E$4-19)),"W","B")</x:f>
        <x:v>B</x:v>
      </x:c>
    </x:row>
    <x:row r="316">
      <x:c r="A316" s="1">
        <x:v>315</x:v>
      </x:c>
      <x:c r="B316" t="str">
        <x:f>IF(RAND()&lt;'Team_Info'!$E$5,"W","B")</x:f>
        <x:v>B</x:v>
      </x:c>
      <x:c r="C316" t="str">
        <x:f>IF(RAND()&lt;(('Team_Info'!$E$2-COUNTIF($B316:B316,"W"))/('Team_Info'!$E$4-1)),"W","B")</x:f>
        <x:v>W</x:v>
      </x:c>
      <x:c r="D316" t="str">
        <x:f>IF(RAND()&lt;(('Team_Info'!$E$2-COUNTIF($B316:C316,"W"))/('Team_Info'!$E$4-2)),"W","B")</x:f>
        <x:v>B</x:v>
      </x:c>
      <x:c r="E316" t="str">
        <x:f>IF(RAND()&lt;(('Team_Info'!$E$2-COUNTIF($B316:D316,"W"))/('Team_Info'!$E$4-3)),"W","B")</x:f>
        <x:v>W</x:v>
      </x:c>
      <x:c r="F316" t="str">
        <x:f>IF(RAND()&lt;(('Team_Info'!$E$2-COUNTIF($B316:E316,"W"))/('Team_Info'!$E$4-4)),"W","B")</x:f>
        <x:v>W</x:v>
      </x:c>
      <x:c r="G316" t="str">
        <x:f>IF(RAND()&lt;(('Team_Info'!$E$2-COUNTIF($B316:F316,"W"))/('Team_Info'!$E$4-5)),"W","B")</x:f>
        <x:v>B</x:v>
      </x:c>
      <x:c r="H316" t="str">
        <x:f>IF(RAND()&lt;(('Team_Info'!$E$2-COUNTIF($B316:G316,"W"))/('Team_Info'!$E$4-6)),"W","B")</x:f>
        <x:v>B</x:v>
      </x:c>
      <x:c r="I316" t="str">
        <x:f>IF(RAND()&lt;(('Team_Info'!$E$2-COUNTIF($B316:H316,"W"))/('Team_Info'!$E$4-7)),"W","B")</x:f>
        <x:v>B</x:v>
      </x:c>
      <x:c r="J316" t="str">
        <x:f>IF(RAND()&lt;(('Team_Info'!$E$2-COUNTIF($B316:I316,"W"))/('Team_Info'!$E$4-8)),"W","B")</x:f>
        <x:v>B</x:v>
      </x:c>
      <x:c r="K316" t="str">
        <x:f>IF(RAND()&lt;(('Team_Info'!$E$2-COUNTIF($B316:J316,"W"))/('Team_Info'!$E$4-9)),"W","B")</x:f>
        <x:v>B</x:v>
      </x:c>
      <x:c r="L316" t="str">
        <x:f>IF(RAND()&lt;(('Team_Info'!$E$2-COUNTIF($B316:K316,"W"))/('Team_Info'!$E$4-10)),"W","B")</x:f>
        <x:v>W</x:v>
      </x:c>
      <x:c r="M316" t="str">
        <x:f>IF(RAND()&lt;(('Team_Info'!$E$2-COUNTIF($B316:L316,"W"))/('Team_Info'!$E$4-11)),"W","B")</x:f>
        <x:v>B</x:v>
      </x:c>
      <x:c r="N316" t="str">
        <x:f>IF(RAND()&lt;(('Team_Info'!$E$2-COUNTIF($B316:M316,"W"))/('Team_Info'!$E$4-12)),"W","B")</x:f>
        <x:v>B</x:v>
      </x:c>
      <x:c r="O316" t="str">
        <x:f>IF(RAND()&lt;(('Team_Info'!$E$2-COUNTIF($B316:N316,"W"))/('Team_Info'!$E$4-13)),"W","B")</x:f>
        <x:v>W</x:v>
      </x:c>
      <x:c r="P316" t="str">
        <x:f>IF(RAND()&lt;(('Team_Info'!$E$2-COUNTIF($B316:O316,"W"))/('Team_Info'!$E$4-14)),"W","B")</x:f>
        <x:v>B</x:v>
      </x:c>
      <x:c r="Q316" t="str">
        <x:f>IF(RAND()&lt;(('Team_Info'!$E$2-COUNTIF($B316:P316,"W"))/('Team_Info'!$E$4-15)),"W","B")</x:f>
        <x:v>W</x:v>
      </x:c>
      <x:c r="R316" t="str">
        <x:f>IF(RAND()&lt;(('Team_Info'!$E$2-COUNTIF($B316:Q316,"W"))/('Team_Info'!$E$4-16)),"W","B")</x:f>
        <x:v>W</x:v>
      </x:c>
      <x:c r="S316" t="str">
        <x:f>IF(RAND()&lt;(('Team_Info'!$E$2-COUNTIF($B316:R316,"W"))/('Team_Info'!$E$4-17)),"W","B")</x:f>
        <x:v>W</x:v>
      </x:c>
      <x:c r="T316" t="str">
        <x:f>IF(RAND()&lt;(('Team_Info'!$E$2-COUNTIF($B316:S316,"W"))/('Team_Info'!$E$4-18)),"W","B")</x:f>
        <x:v>B</x:v>
      </x:c>
      <x:c r="U316" t="str">
        <x:f>IF(RAND()&lt;(('Team_Info'!$E$2-COUNTIF($B316:T316,"W"))/('Team_Info'!$E$4-19)),"W","B")</x:f>
        <x:v>W</x:v>
      </x:c>
    </x:row>
    <x:row r="317">
      <x:c r="A317" s="1">
        <x:v>316</x:v>
      </x:c>
      <x:c r="B317" t="str">
        <x:f>IF(RAND()&lt;'Team_Info'!$E$5,"W","B")</x:f>
        <x:v>B</x:v>
      </x:c>
      <x:c r="C317" t="str">
        <x:f>IF(RAND()&lt;(('Team_Info'!$E$2-COUNTIF($B317:B317,"W"))/('Team_Info'!$E$4-1)),"W","B")</x:f>
        <x:v>W</x:v>
      </x:c>
      <x:c r="D317" t="str">
        <x:f>IF(RAND()&lt;(('Team_Info'!$E$2-COUNTIF($B317:C317,"W"))/('Team_Info'!$E$4-2)),"W","B")</x:f>
        <x:v>B</x:v>
      </x:c>
      <x:c r="E317" t="str">
        <x:f>IF(RAND()&lt;(('Team_Info'!$E$2-COUNTIF($B317:D317,"W"))/('Team_Info'!$E$4-3)),"W","B")</x:f>
        <x:v>W</x:v>
      </x:c>
      <x:c r="F317" t="str">
        <x:f>IF(RAND()&lt;(('Team_Info'!$E$2-COUNTIF($B317:E317,"W"))/('Team_Info'!$E$4-4)),"W","B")</x:f>
        <x:v>W</x:v>
      </x:c>
      <x:c r="G317" t="str">
        <x:f>IF(RAND()&lt;(('Team_Info'!$E$2-COUNTIF($B317:F317,"W"))/('Team_Info'!$E$4-5)),"W","B")</x:f>
        <x:v>W</x:v>
      </x:c>
      <x:c r="H317" t="str">
        <x:f>IF(RAND()&lt;(('Team_Info'!$E$2-COUNTIF($B317:G317,"W"))/('Team_Info'!$E$4-6)),"W","B")</x:f>
        <x:v>B</x:v>
      </x:c>
      <x:c r="I317" t="str">
        <x:f>IF(RAND()&lt;(('Team_Info'!$E$2-COUNTIF($B317:H317,"W"))/('Team_Info'!$E$4-7)),"W","B")</x:f>
        <x:v>B</x:v>
      </x:c>
      <x:c r="J317" t="str">
        <x:f>IF(RAND()&lt;(('Team_Info'!$E$2-COUNTIF($B317:I317,"W"))/('Team_Info'!$E$4-8)),"W","B")</x:f>
        <x:v>W</x:v>
      </x:c>
      <x:c r="K317" t="str">
        <x:f>IF(RAND()&lt;(('Team_Info'!$E$2-COUNTIF($B317:J317,"W"))/('Team_Info'!$E$4-9)),"W","B")</x:f>
        <x:v>B</x:v>
      </x:c>
      <x:c r="L317" t="str">
        <x:f>IF(RAND()&lt;(('Team_Info'!$E$2-COUNTIF($B317:K317,"W"))/('Team_Info'!$E$4-10)),"W","B")</x:f>
        <x:v>B</x:v>
      </x:c>
      <x:c r="M317" t="str">
        <x:f>IF(RAND()&lt;(('Team_Info'!$E$2-COUNTIF($B317:L317,"W"))/('Team_Info'!$E$4-11)),"W","B")</x:f>
        <x:v>B</x:v>
      </x:c>
      <x:c r="N317" t="str">
        <x:f>IF(RAND()&lt;(('Team_Info'!$E$2-COUNTIF($B317:M317,"W"))/('Team_Info'!$E$4-12)),"W","B")</x:f>
        <x:v>B</x:v>
      </x:c>
      <x:c r="O317" t="str">
        <x:f>IF(RAND()&lt;(('Team_Info'!$E$2-COUNTIF($B317:N317,"W"))/('Team_Info'!$E$4-13)),"W","B")</x:f>
        <x:v>W</x:v>
      </x:c>
      <x:c r="P317" t="str">
        <x:f>IF(RAND()&lt;(('Team_Info'!$E$2-COUNTIF($B317:O317,"W"))/('Team_Info'!$E$4-14)),"W","B")</x:f>
        <x:v>W</x:v>
      </x:c>
      <x:c r="Q317" t="str">
        <x:f>IF(RAND()&lt;(('Team_Info'!$E$2-COUNTIF($B317:P317,"W"))/('Team_Info'!$E$4-15)),"W","B")</x:f>
        <x:v>B</x:v>
      </x:c>
      <x:c r="R317" t="str">
        <x:f>IF(RAND()&lt;(('Team_Info'!$E$2-COUNTIF($B317:Q317,"W"))/('Team_Info'!$E$4-16)),"W","B")</x:f>
        <x:v>W</x:v>
      </x:c>
      <x:c r="S317" t="str">
        <x:f>IF(RAND()&lt;(('Team_Info'!$E$2-COUNTIF($B317:R317,"W"))/('Team_Info'!$E$4-17)),"W","B")</x:f>
        <x:v>B</x:v>
      </x:c>
      <x:c r="T317" t="str">
        <x:f>IF(RAND()&lt;(('Team_Info'!$E$2-COUNTIF($B317:S317,"W"))/('Team_Info'!$E$4-18)),"W","B")</x:f>
        <x:v>W</x:v>
      </x:c>
      <x:c r="U317" t="str">
        <x:f>IF(RAND()&lt;(('Team_Info'!$E$2-COUNTIF($B317:T317,"W"))/('Team_Info'!$E$4-19)),"W","B")</x:f>
        <x:v>B</x:v>
      </x:c>
    </x:row>
    <x:row r="318">
      <x:c r="A318" s="1">
        <x:v>317</x:v>
      </x:c>
      <x:c r="B318" t="str">
        <x:f>IF(RAND()&lt;'Team_Info'!$E$5,"W","B")</x:f>
        <x:v>W</x:v>
      </x:c>
      <x:c r="C318" t="str">
        <x:f>IF(RAND()&lt;(('Team_Info'!$E$2-COUNTIF($B318:B318,"W"))/('Team_Info'!$E$4-1)),"W","B")</x:f>
        <x:v>B</x:v>
      </x:c>
      <x:c r="D318" t="str">
        <x:f>IF(RAND()&lt;(('Team_Info'!$E$2-COUNTIF($B318:C318,"W"))/('Team_Info'!$E$4-2)),"W","B")</x:f>
        <x:v>B</x:v>
      </x:c>
      <x:c r="E318" t="str">
        <x:f>IF(RAND()&lt;(('Team_Info'!$E$2-COUNTIF($B318:D318,"W"))/('Team_Info'!$E$4-3)),"W","B")</x:f>
        <x:v>W</x:v>
      </x:c>
      <x:c r="F318" t="str">
        <x:f>IF(RAND()&lt;(('Team_Info'!$E$2-COUNTIF($B318:E318,"W"))/('Team_Info'!$E$4-4)),"W","B")</x:f>
        <x:v>B</x:v>
      </x:c>
      <x:c r="G318" t="str">
        <x:f>IF(RAND()&lt;(('Team_Info'!$E$2-COUNTIF($B318:F318,"W"))/('Team_Info'!$E$4-5)),"W","B")</x:f>
        <x:v>B</x:v>
      </x:c>
      <x:c r="H318" t="str">
        <x:f>IF(RAND()&lt;(('Team_Info'!$E$2-COUNTIF($B318:G318,"W"))/('Team_Info'!$E$4-6)),"W","B")</x:f>
        <x:v>B</x:v>
      </x:c>
      <x:c r="I318" t="str">
        <x:f>IF(RAND()&lt;(('Team_Info'!$E$2-COUNTIF($B318:H318,"W"))/('Team_Info'!$E$4-7)),"W","B")</x:f>
        <x:v>B</x:v>
      </x:c>
      <x:c r="J318" t="str">
        <x:f>IF(RAND()&lt;(('Team_Info'!$E$2-COUNTIF($B318:I318,"W"))/('Team_Info'!$E$4-8)),"W","B")</x:f>
        <x:v>W</x:v>
      </x:c>
      <x:c r="K318" t="str">
        <x:f>IF(RAND()&lt;(('Team_Info'!$E$2-COUNTIF($B318:J318,"W"))/('Team_Info'!$E$4-9)),"W","B")</x:f>
        <x:v>W</x:v>
      </x:c>
      <x:c r="L318" t="str">
        <x:f>IF(RAND()&lt;(('Team_Info'!$E$2-COUNTIF($B318:K318,"W"))/('Team_Info'!$E$4-10)),"W","B")</x:f>
        <x:v>B</x:v>
      </x:c>
      <x:c r="M318" t="str">
        <x:f>IF(RAND()&lt;(('Team_Info'!$E$2-COUNTIF($B318:L318,"W"))/('Team_Info'!$E$4-11)),"W","B")</x:f>
        <x:v>B</x:v>
      </x:c>
      <x:c r="N318" t="str">
        <x:f>IF(RAND()&lt;(('Team_Info'!$E$2-COUNTIF($B318:M318,"W"))/('Team_Info'!$E$4-12)),"W","B")</x:f>
        <x:v>B</x:v>
      </x:c>
      <x:c r="O318" t="str">
        <x:f>IF(RAND()&lt;(('Team_Info'!$E$2-COUNTIF($B318:N318,"W"))/('Team_Info'!$E$4-13)),"W","B")</x:f>
        <x:v>B</x:v>
      </x:c>
      <x:c r="P318" t="str">
        <x:f>IF(RAND()&lt;(('Team_Info'!$E$2-COUNTIF($B318:O318,"W"))/('Team_Info'!$E$4-14)),"W","B")</x:f>
        <x:v>W</x:v>
      </x:c>
      <x:c r="Q318" t="str">
        <x:f>IF(RAND()&lt;(('Team_Info'!$E$2-COUNTIF($B318:P318,"W"))/('Team_Info'!$E$4-15)),"W","B")</x:f>
        <x:v>W</x:v>
      </x:c>
      <x:c r="R318" t="str">
        <x:f>IF(RAND()&lt;(('Team_Info'!$E$2-COUNTIF($B318:Q318,"W"))/('Team_Info'!$E$4-16)),"W","B")</x:f>
        <x:v>B</x:v>
      </x:c>
      <x:c r="S318" t="str">
        <x:f>IF(RAND()&lt;(('Team_Info'!$E$2-COUNTIF($B318:R318,"W"))/('Team_Info'!$E$4-17)),"W","B")</x:f>
        <x:v>B</x:v>
      </x:c>
      <x:c r="T318" t="str">
        <x:f>IF(RAND()&lt;(('Team_Info'!$E$2-COUNTIF($B318:S318,"W"))/('Team_Info'!$E$4-18)),"W","B")</x:f>
        <x:v>B</x:v>
      </x:c>
      <x:c r="U318" t="str">
        <x:f>IF(RAND()&lt;(('Team_Info'!$E$2-COUNTIF($B318:T318,"W"))/('Team_Info'!$E$4-19)),"W","B")</x:f>
        <x:v>B</x:v>
      </x:c>
    </x:row>
    <x:row r="319">
      <x:c r="A319" s="1">
        <x:v>318</x:v>
      </x:c>
      <x:c r="B319" t="str">
        <x:f>IF(RAND()&lt;'Team_Info'!$E$5,"W","B")</x:f>
        <x:v>B</x:v>
      </x:c>
      <x:c r="C319" t="str">
        <x:f>IF(RAND()&lt;(('Team_Info'!$E$2-COUNTIF($B319:B319,"W"))/('Team_Info'!$E$4-1)),"W","B")</x:f>
        <x:v>B</x:v>
      </x:c>
      <x:c r="D319" t="str">
        <x:f>IF(RAND()&lt;(('Team_Info'!$E$2-COUNTIF($B319:C319,"W"))/('Team_Info'!$E$4-2)),"W","B")</x:f>
        <x:v>W</x:v>
      </x:c>
      <x:c r="E319" t="str">
        <x:f>IF(RAND()&lt;(('Team_Info'!$E$2-COUNTIF($B319:D319,"W"))/('Team_Info'!$E$4-3)),"W","B")</x:f>
        <x:v>W</x:v>
      </x:c>
      <x:c r="F319" t="str">
        <x:f>IF(RAND()&lt;(('Team_Info'!$E$2-COUNTIF($B319:E319,"W"))/('Team_Info'!$E$4-4)),"W","B")</x:f>
        <x:v>B</x:v>
      </x:c>
      <x:c r="G319" t="str">
        <x:f>IF(RAND()&lt;(('Team_Info'!$E$2-COUNTIF($B319:F319,"W"))/('Team_Info'!$E$4-5)),"W","B")</x:f>
        <x:v>W</x:v>
      </x:c>
      <x:c r="H319" t="str">
        <x:f>IF(RAND()&lt;(('Team_Info'!$E$2-COUNTIF($B319:G319,"W"))/('Team_Info'!$E$4-6)),"W","B")</x:f>
        <x:v>B</x:v>
      </x:c>
      <x:c r="I319" t="str">
        <x:f>IF(RAND()&lt;(('Team_Info'!$E$2-COUNTIF($B319:H319,"W"))/('Team_Info'!$E$4-7)),"W","B")</x:f>
        <x:v>W</x:v>
      </x:c>
      <x:c r="J319" t="str">
        <x:f>IF(RAND()&lt;(('Team_Info'!$E$2-COUNTIF($B319:I319,"W"))/('Team_Info'!$E$4-8)),"W","B")</x:f>
        <x:v>B</x:v>
      </x:c>
      <x:c r="K319" t="str">
        <x:f>IF(RAND()&lt;(('Team_Info'!$E$2-COUNTIF($B319:J319,"W"))/('Team_Info'!$E$4-9)),"W","B")</x:f>
        <x:v>B</x:v>
      </x:c>
      <x:c r="L319" t="str">
        <x:f>IF(RAND()&lt;(('Team_Info'!$E$2-COUNTIF($B319:K319,"W"))/('Team_Info'!$E$4-10)),"W","B")</x:f>
        <x:v>B</x:v>
      </x:c>
      <x:c r="M319" t="str">
        <x:f>IF(RAND()&lt;(('Team_Info'!$E$2-COUNTIF($B319:L319,"W"))/('Team_Info'!$E$4-11)),"W","B")</x:f>
        <x:v>B</x:v>
      </x:c>
      <x:c r="N319" t="str">
        <x:f>IF(RAND()&lt;(('Team_Info'!$E$2-COUNTIF($B319:M319,"W"))/('Team_Info'!$E$4-12)),"W","B")</x:f>
        <x:v>B</x:v>
      </x:c>
      <x:c r="O319" t="str">
        <x:f>IF(RAND()&lt;(('Team_Info'!$E$2-COUNTIF($B319:N319,"W"))/('Team_Info'!$E$4-13)),"W","B")</x:f>
        <x:v>B</x:v>
      </x:c>
      <x:c r="P319" t="str">
        <x:f>IF(RAND()&lt;(('Team_Info'!$E$2-COUNTIF($B319:O319,"W"))/('Team_Info'!$E$4-14)),"W","B")</x:f>
        <x:v>W</x:v>
      </x:c>
      <x:c r="Q319" t="str">
        <x:f>IF(RAND()&lt;(('Team_Info'!$E$2-COUNTIF($B319:P319,"W"))/('Team_Info'!$E$4-15)),"W","B")</x:f>
        <x:v>W</x:v>
      </x:c>
      <x:c r="R319" t="str">
        <x:f>IF(RAND()&lt;(('Team_Info'!$E$2-COUNTIF($B319:Q319,"W"))/('Team_Info'!$E$4-16)),"W","B")</x:f>
        <x:v>B</x:v>
      </x:c>
      <x:c r="S319" t="str">
        <x:f>IF(RAND()&lt;(('Team_Info'!$E$2-COUNTIF($B319:R319,"W"))/('Team_Info'!$E$4-17)),"W","B")</x:f>
        <x:v>B</x:v>
      </x:c>
      <x:c r="T319" t="str">
        <x:f>IF(RAND()&lt;(('Team_Info'!$E$2-COUNTIF($B319:S319,"W"))/('Team_Info'!$E$4-18)),"W","B")</x:f>
        <x:v>B</x:v>
      </x:c>
      <x:c r="U319" t="str">
        <x:f>IF(RAND()&lt;(('Team_Info'!$E$2-COUNTIF($B319:T319,"W"))/('Team_Info'!$E$4-19)),"W","B")</x:f>
        <x:v>B</x:v>
      </x:c>
    </x:row>
    <x:row r="320">
      <x:c r="A320" s="1">
        <x:v>319</x:v>
      </x:c>
      <x:c r="B320" t="str">
        <x:f>IF(RAND()&lt;'Team_Info'!$E$5,"W","B")</x:f>
        <x:v>W</x:v>
      </x:c>
      <x:c r="C320" t="str">
        <x:f>IF(RAND()&lt;(('Team_Info'!$E$2-COUNTIF($B320:B320,"W"))/('Team_Info'!$E$4-1)),"W","B")</x:f>
        <x:v>B</x:v>
      </x:c>
      <x:c r="D320" t="str">
        <x:f>IF(RAND()&lt;(('Team_Info'!$E$2-COUNTIF($B320:C320,"W"))/('Team_Info'!$E$4-2)),"W","B")</x:f>
        <x:v>W</x:v>
      </x:c>
      <x:c r="E320" t="str">
        <x:f>IF(RAND()&lt;(('Team_Info'!$E$2-COUNTIF($B320:D320,"W"))/('Team_Info'!$E$4-3)),"W","B")</x:f>
        <x:v>B</x:v>
      </x:c>
      <x:c r="F320" t="str">
        <x:f>IF(RAND()&lt;(('Team_Info'!$E$2-COUNTIF($B320:E320,"W"))/('Team_Info'!$E$4-4)),"W","B")</x:f>
        <x:v>B</x:v>
      </x:c>
      <x:c r="G320" t="str">
        <x:f>IF(RAND()&lt;(('Team_Info'!$E$2-COUNTIF($B320:F320,"W"))/('Team_Info'!$E$4-5)),"W","B")</x:f>
        <x:v>B</x:v>
      </x:c>
      <x:c r="H320" t="str">
        <x:f>IF(RAND()&lt;(('Team_Info'!$E$2-COUNTIF($B320:G320,"W"))/('Team_Info'!$E$4-6)),"W","B")</x:f>
        <x:v>B</x:v>
      </x:c>
      <x:c r="I320" t="str">
        <x:f>IF(RAND()&lt;(('Team_Info'!$E$2-COUNTIF($B320:H320,"W"))/('Team_Info'!$E$4-7)),"W","B")</x:f>
        <x:v>B</x:v>
      </x:c>
      <x:c r="J320" t="str">
        <x:f>IF(RAND()&lt;(('Team_Info'!$E$2-COUNTIF($B320:I320,"W"))/('Team_Info'!$E$4-8)),"W","B")</x:f>
        <x:v>W</x:v>
      </x:c>
      <x:c r="K320" t="str">
        <x:f>IF(RAND()&lt;(('Team_Info'!$E$2-COUNTIF($B320:J320,"W"))/('Team_Info'!$E$4-9)),"W","B")</x:f>
        <x:v>B</x:v>
      </x:c>
      <x:c r="L320" t="str">
        <x:f>IF(RAND()&lt;(('Team_Info'!$E$2-COUNTIF($B320:K320,"W"))/('Team_Info'!$E$4-10)),"W","B")</x:f>
        <x:v>B</x:v>
      </x:c>
      <x:c r="M320" t="str">
        <x:f>IF(RAND()&lt;(('Team_Info'!$E$2-COUNTIF($B320:L320,"W"))/('Team_Info'!$E$4-11)),"W","B")</x:f>
        <x:v>W</x:v>
      </x:c>
      <x:c r="N320" t="str">
        <x:f>IF(RAND()&lt;(('Team_Info'!$E$2-COUNTIF($B320:M320,"W"))/('Team_Info'!$E$4-12)),"W","B")</x:f>
        <x:v>W</x:v>
      </x:c>
      <x:c r="O320" t="str">
        <x:f>IF(RAND()&lt;(('Team_Info'!$E$2-COUNTIF($B320:N320,"W"))/('Team_Info'!$E$4-13)),"W","B")</x:f>
        <x:v>B</x:v>
      </x:c>
      <x:c r="P320" t="str">
        <x:f>IF(RAND()&lt;(('Team_Info'!$E$2-COUNTIF($B320:O320,"W"))/('Team_Info'!$E$4-14)),"W","B")</x:f>
        <x:v>B</x:v>
      </x:c>
      <x:c r="Q320" t="str">
        <x:f>IF(RAND()&lt;(('Team_Info'!$E$2-COUNTIF($B320:P320,"W"))/('Team_Info'!$E$4-15)),"W","B")</x:f>
        <x:v>B</x:v>
      </x:c>
      <x:c r="R320" t="str">
        <x:f>IF(RAND()&lt;(('Team_Info'!$E$2-COUNTIF($B320:Q320,"W"))/('Team_Info'!$E$4-16)),"W","B")</x:f>
        <x:v>B</x:v>
      </x:c>
      <x:c r="S320" t="str">
        <x:f>IF(RAND()&lt;(('Team_Info'!$E$2-COUNTIF($B320:R320,"W"))/('Team_Info'!$E$4-17)),"W","B")</x:f>
        <x:v>W</x:v>
      </x:c>
      <x:c r="T320" t="str">
        <x:f>IF(RAND()&lt;(('Team_Info'!$E$2-COUNTIF($B320:S320,"W"))/('Team_Info'!$E$4-18)),"W","B")</x:f>
        <x:v>B</x:v>
      </x:c>
      <x:c r="U320" t="str">
        <x:f>IF(RAND()&lt;(('Team_Info'!$E$2-COUNTIF($B320:T320,"W"))/('Team_Info'!$E$4-19)),"W","B")</x:f>
        <x:v>B</x:v>
      </x:c>
    </x:row>
    <x:row r="321">
      <x:c r="A321" s="1">
        <x:v>320</x:v>
      </x:c>
      <x:c r="B321" t="str">
        <x:f>IF(RAND()&lt;'Team_Info'!$E$5,"W","B")</x:f>
        <x:v>B</x:v>
      </x:c>
      <x:c r="C321" t="str">
        <x:f>IF(RAND()&lt;(('Team_Info'!$E$2-COUNTIF($B321:B321,"W"))/('Team_Info'!$E$4-1)),"W","B")</x:f>
        <x:v>B</x:v>
      </x:c>
      <x:c r="D321" t="str">
        <x:f>IF(RAND()&lt;(('Team_Info'!$E$2-COUNTIF($B321:C321,"W"))/('Team_Info'!$E$4-2)),"W","B")</x:f>
        <x:v>W</x:v>
      </x:c>
      <x:c r="E321" t="str">
        <x:f>IF(RAND()&lt;(('Team_Info'!$E$2-COUNTIF($B321:D321,"W"))/('Team_Info'!$E$4-3)),"W","B")</x:f>
        <x:v>B</x:v>
      </x:c>
      <x:c r="F321" t="str">
        <x:f>IF(RAND()&lt;(('Team_Info'!$E$2-COUNTIF($B321:E321,"W"))/('Team_Info'!$E$4-4)),"W","B")</x:f>
        <x:v>B</x:v>
      </x:c>
      <x:c r="G321" t="str">
        <x:f>IF(RAND()&lt;(('Team_Info'!$E$2-COUNTIF($B321:F321,"W"))/('Team_Info'!$E$4-5)),"W","B")</x:f>
        <x:v>B</x:v>
      </x:c>
      <x:c r="H321" t="str">
        <x:f>IF(RAND()&lt;(('Team_Info'!$E$2-COUNTIF($B321:G321,"W"))/('Team_Info'!$E$4-6)),"W","B")</x:f>
        <x:v>B</x:v>
      </x:c>
      <x:c r="I321" t="str">
        <x:f>IF(RAND()&lt;(('Team_Info'!$E$2-COUNTIF($B321:H321,"W"))/('Team_Info'!$E$4-7)),"W","B")</x:f>
        <x:v>W</x:v>
      </x:c>
      <x:c r="J321" t="str">
        <x:f>IF(RAND()&lt;(('Team_Info'!$E$2-COUNTIF($B321:I321,"W"))/('Team_Info'!$E$4-8)),"W","B")</x:f>
        <x:v>B</x:v>
      </x:c>
      <x:c r="K321" t="str">
        <x:f>IF(RAND()&lt;(('Team_Info'!$E$2-COUNTIF($B321:J321,"W"))/('Team_Info'!$E$4-9)),"W","B")</x:f>
        <x:v>B</x:v>
      </x:c>
      <x:c r="L321" t="str">
        <x:f>IF(RAND()&lt;(('Team_Info'!$E$2-COUNTIF($B321:K321,"W"))/('Team_Info'!$E$4-10)),"W","B")</x:f>
        <x:v>B</x:v>
      </x:c>
      <x:c r="M321" t="str">
        <x:f>IF(RAND()&lt;(('Team_Info'!$E$2-COUNTIF($B321:L321,"W"))/('Team_Info'!$E$4-11)),"W","B")</x:f>
        <x:v>B</x:v>
      </x:c>
      <x:c r="N321" t="str">
        <x:f>IF(RAND()&lt;(('Team_Info'!$E$2-COUNTIF($B321:M321,"W"))/('Team_Info'!$E$4-12)),"W","B")</x:f>
        <x:v>W</x:v>
      </x:c>
      <x:c r="O321" t="str">
        <x:f>IF(RAND()&lt;(('Team_Info'!$E$2-COUNTIF($B321:N321,"W"))/('Team_Info'!$E$4-13)),"W","B")</x:f>
        <x:v>B</x:v>
      </x:c>
      <x:c r="P321" t="str">
        <x:f>IF(RAND()&lt;(('Team_Info'!$E$2-COUNTIF($B321:O321,"W"))/('Team_Info'!$E$4-14)),"W","B")</x:f>
        <x:v>B</x:v>
      </x:c>
      <x:c r="Q321" t="str">
        <x:f>IF(RAND()&lt;(('Team_Info'!$E$2-COUNTIF($B321:P321,"W"))/('Team_Info'!$E$4-15)),"W","B")</x:f>
        <x:v>B</x:v>
      </x:c>
      <x:c r="R321" t="str">
        <x:f>IF(RAND()&lt;(('Team_Info'!$E$2-COUNTIF($B321:Q321,"W"))/('Team_Info'!$E$4-16)),"W","B")</x:f>
        <x:v>W</x:v>
      </x:c>
      <x:c r="S321" t="str">
        <x:f>IF(RAND()&lt;(('Team_Info'!$E$2-COUNTIF($B321:R321,"W"))/('Team_Info'!$E$4-17)),"W","B")</x:f>
        <x:v>W</x:v>
      </x:c>
      <x:c r="T321" t="str">
        <x:f>IF(RAND()&lt;(('Team_Info'!$E$2-COUNTIF($B321:S321,"W"))/('Team_Info'!$E$4-18)),"W","B")</x:f>
        <x:v>B</x:v>
      </x:c>
      <x:c r="U321" t="str">
        <x:f>IF(RAND()&lt;(('Team_Info'!$E$2-COUNTIF($B321:T321,"W"))/('Team_Info'!$E$4-19)),"W","B")</x:f>
        <x:v>B</x:v>
      </x:c>
    </x:row>
    <x:row r="322">
      <x:c r="A322" s="1">
        <x:v>321</x:v>
      </x:c>
      <x:c r="B322" t="str">
        <x:f>IF(RAND()&lt;'Team_Info'!$E$5,"W","B")</x:f>
        <x:v>W</x:v>
      </x:c>
      <x:c r="C322" t="str">
        <x:f>IF(RAND()&lt;(('Team_Info'!$E$2-COUNTIF($B322:B322,"W"))/('Team_Info'!$E$4-1)),"W","B")</x:f>
        <x:v>W</x:v>
      </x:c>
      <x:c r="D322" t="str">
        <x:f>IF(RAND()&lt;(('Team_Info'!$E$2-COUNTIF($B322:C322,"W"))/('Team_Info'!$E$4-2)),"W","B")</x:f>
        <x:v>B</x:v>
      </x:c>
      <x:c r="E322" t="str">
        <x:f>IF(RAND()&lt;(('Team_Info'!$E$2-COUNTIF($B322:D322,"W"))/('Team_Info'!$E$4-3)),"W","B")</x:f>
        <x:v>B</x:v>
      </x:c>
      <x:c r="F322" t="str">
        <x:f>IF(RAND()&lt;(('Team_Info'!$E$2-COUNTIF($B322:E322,"W"))/('Team_Info'!$E$4-4)),"W","B")</x:f>
        <x:v>B</x:v>
      </x:c>
      <x:c r="G322" t="str">
        <x:f>IF(RAND()&lt;(('Team_Info'!$E$2-COUNTIF($B322:F322,"W"))/('Team_Info'!$E$4-5)),"W","B")</x:f>
        <x:v>B</x:v>
      </x:c>
      <x:c r="H322" t="str">
        <x:f>IF(RAND()&lt;(('Team_Info'!$E$2-COUNTIF($B322:G322,"W"))/('Team_Info'!$E$4-6)),"W","B")</x:f>
        <x:v>B</x:v>
      </x:c>
      <x:c r="I322" t="str">
        <x:f>IF(RAND()&lt;(('Team_Info'!$E$2-COUNTIF($B322:H322,"W"))/('Team_Info'!$E$4-7)),"W","B")</x:f>
        <x:v>W</x:v>
      </x:c>
      <x:c r="J322" t="str">
        <x:f>IF(RAND()&lt;(('Team_Info'!$E$2-COUNTIF($B322:I322,"W"))/('Team_Info'!$E$4-8)),"W","B")</x:f>
        <x:v>B</x:v>
      </x:c>
      <x:c r="K322" t="str">
        <x:f>IF(RAND()&lt;(('Team_Info'!$E$2-COUNTIF($B322:J322,"W"))/('Team_Info'!$E$4-9)),"W","B")</x:f>
        <x:v>B</x:v>
      </x:c>
      <x:c r="L322" t="str">
        <x:f>IF(RAND()&lt;(('Team_Info'!$E$2-COUNTIF($B322:K322,"W"))/('Team_Info'!$E$4-10)),"W","B")</x:f>
        <x:v>B</x:v>
      </x:c>
      <x:c r="M322" t="str">
        <x:f>IF(RAND()&lt;(('Team_Info'!$E$2-COUNTIF($B322:L322,"W"))/('Team_Info'!$E$4-11)),"W","B")</x:f>
        <x:v>B</x:v>
      </x:c>
      <x:c r="N322" t="str">
        <x:f>IF(RAND()&lt;(('Team_Info'!$E$2-COUNTIF($B322:M322,"W"))/('Team_Info'!$E$4-12)),"W","B")</x:f>
        <x:v>B</x:v>
      </x:c>
      <x:c r="O322" t="str">
        <x:f>IF(RAND()&lt;(('Team_Info'!$E$2-COUNTIF($B322:N322,"W"))/('Team_Info'!$E$4-13)),"W","B")</x:f>
        <x:v>W</x:v>
      </x:c>
      <x:c r="P322" t="str">
        <x:f>IF(RAND()&lt;(('Team_Info'!$E$2-COUNTIF($B322:O322,"W"))/('Team_Info'!$E$4-14)),"W","B")</x:f>
        <x:v>B</x:v>
      </x:c>
      <x:c r="Q322" t="str">
        <x:f>IF(RAND()&lt;(('Team_Info'!$E$2-COUNTIF($B322:P322,"W"))/('Team_Info'!$E$4-15)),"W","B")</x:f>
        <x:v>B</x:v>
      </x:c>
      <x:c r="R322" t="str">
        <x:f>IF(RAND()&lt;(('Team_Info'!$E$2-COUNTIF($B322:Q322,"W"))/('Team_Info'!$E$4-16)),"W","B")</x:f>
        <x:v>W</x:v>
      </x:c>
      <x:c r="S322" t="str">
        <x:f>IF(RAND()&lt;(('Team_Info'!$E$2-COUNTIF($B322:R322,"W"))/('Team_Info'!$E$4-17)),"W","B")</x:f>
        <x:v>W</x:v>
      </x:c>
      <x:c r="T322" t="str">
        <x:f>IF(RAND()&lt;(('Team_Info'!$E$2-COUNTIF($B322:S322,"W"))/('Team_Info'!$E$4-18)),"W","B")</x:f>
        <x:v>W</x:v>
      </x:c>
      <x:c r="U322" t="str">
        <x:f>IF(RAND()&lt;(('Team_Info'!$E$2-COUNTIF($B322:T322,"W"))/('Team_Info'!$E$4-19)),"W","B")</x:f>
        <x:v>B</x:v>
      </x:c>
    </x:row>
    <x:row r="323">
      <x:c r="A323" s="1">
        <x:v>322</x:v>
      </x:c>
      <x:c r="B323" t="str">
        <x:f>IF(RAND()&lt;'Team_Info'!$E$5,"W","B")</x:f>
        <x:v>B</x:v>
      </x:c>
      <x:c r="C323" t="str">
        <x:f>IF(RAND()&lt;(('Team_Info'!$E$2-COUNTIF($B323:B323,"W"))/('Team_Info'!$E$4-1)),"W","B")</x:f>
        <x:v>B</x:v>
      </x:c>
      <x:c r="D323" t="str">
        <x:f>IF(RAND()&lt;(('Team_Info'!$E$2-COUNTIF($B323:C323,"W"))/('Team_Info'!$E$4-2)),"W","B")</x:f>
        <x:v>W</x:v>
      </x:c>
      <x:c r="E323" t="str">
        <x:f>IF(RAND()&lt;(('Team_Info'!$E$2-COUNTIF($B323:D323,"W"))/('Team_Info'!$E$4-3)),"W","B")</x:f>
        <x:v>B</x:v>
      </x:c>
      <x:c r="F323" t="str">
        <x:f>IF(RAND()&lt;(('Team_Info'!$E$2-COUNTIF($B323:E323,"W"))/('Team_Info'!$E$4-4)),"W","B")</x:f>
        <x:v>W</x:v>
      </x:c>
      <x:c r="G323" t="str">
        <x:f>IF(RAND()&lt;(('Team_Info'!$E$2-COUNTIF($B323:F323,"W"))/('Team_Info'!$E$4-5)),"W","B")</x:f>
        <x:v>B</x:v>
      </x:c>
      <x:c r="H323" t="str">
        <x:f>IF(RAND()&lt;(('Team_Info'!$E$2-COUNTIF($B323:G323,"W"))/('Team_Info'!$E$4-6)),"W","B")</x:f>
        <x:v>B</x:v>
      </x:c>
      <x:c r="I323" t="str">
        <x:f>IF(RAND()&lt;(('Team_Info'!$E$2-COUNTIF($B323:H323,"W"))/('Team_Info'!$E$4-7)),"W","B")</x:f>
        <x:v>B</x:v>
      </x:c>
      <x:c r="J323" t="str">
        <x:f>IF(RAND()&lt;(('Team_Info'!$E$2-COUNTIF($B323:I323,"W"))/('Team_Info'!$E$4-8)),"W","B")</x:f>
        <x:v>B</x:v>
      </x:c>
      <x:c r="K323" t="str">
        <x:f>IF(RAND()&lt;(('Team_Info'!$E$2-COUNTIF($B323:J323,"W"))/('Team_Info'!$E$4-9)),"W","B")</x:f>
        <x:v>W</x:v>
      </x:c>
      <x:c r="L323" t="str">
        <x:f>IF(RAND()&lt;(('Team_Info'!$E$2-COUNTIF($B323:K323,"W"))/('Team_Info'!$E$4-10)),"W","B")</x:f>
        <x:v>W</x:v>
      </x:c>
      <x:c r="M323" t="str">
        <x:f>IF(RAND()&lt;(('Team_Info'!$E$2-COUNTIF($B323:L323,"W"))/('Team_Info'!$E$4-11)),"W","B")</x:f>
        <x:v>B</x:v>
      </x:c>
      <x:c r="N323" t="str">
        <x:f>IF(RAND()&lt;(('Team_Info'!$E$2-COUNTIF($B323:M323,"W"))/('Team_Info'!$E$4-12)),"W","B")</x:f>
        <x:v>W</x:v>
      </x:c>
      <x:c r="O323" t="str">
        <x:f>IF(RAND()&lt;(('Team_Info'!$E$2-COUNTIF($B323:N323,"W"))/('Team_Info'!$E$4-13)),"W","B")</x:f>
        <x:v>B</x:v>
      </x:c>
      <x:c r="P323" t="str">
        <x:f>IF(RAND()&lt;(('Team_Info'!$E$2-COUNTIF($B323:O323,"W"))/('Team_Info'!$E$4-14)),"W","B")</x:f>
        <x:v>B</x:v>
      </x:c>
      <x:c r="Q323" t="str">
        <x:f>IF(RAND()&lt;(('Team_Info'!$E$2-COUNTIF($B323:P323,"W"))/('Team_Info'!$E$4-15)),"W","B")</x:f>
        <x:v>B</x:v>
      </x:c>
      <x:c r="R323" t="str">
        <x:f>IF(RAND()&lt;(('Team_Info'!$E$2-COUNTIF($B323:Q323,"W"))/('Team_Info'!$E$4-16)),"W","B")</x:f>
        <x:v>W</x:v>
      </x:c>
      <x:c r="S323" t="str">
        <x:f>IF(RAND()&lt;(('Team_Info'!$E$2-COUNTIF($B323:R323,"W"))/('Team_Info'!$E$4-17)),"W","B")</x:f>
        <x:v>B</x:v>
      </x:c>
      <x:c r="T323" t="str">
        <x:f>IF(RAND()&lt;(('Team_Info'!$E$2-COUNTIF($B323:S323,"W"))/('Team_Info'!$E$4-18)),"W","B")</x:f>
        <x:v>B</x:v>
      </x:c>
      <x:c r="U323" t="str">
        <x:f>IF(RAND()&lt;(('Team_Info'!$E$2-COUNTIF($B323:T323,"W"))/('Team_Info'!$E$4-19)),"W","B")</x:f>
        <x:v>W</x:v>
      </x:c>
    </x:row>
    <x:row r="324">
      <x:c r="A324" s="1">
        <x:v>323</x:v>
      </x:c>
      <x:c r="B324" t="str">
        <x:f>IF(RAND()&lt;'Team_Info'!$E$5,"W","B")</x:f>
        <x:v>W</x:v>
      </x:c>
      <x:c r="C324" t="str">
        <x:f>IF(RAND()&lt;(('Team_Info'!$E$2-COUNTIF($B324:B324,"W"))/('Team_Info'!$E$4-1)),"W","B")</x:f>
        <x:v>B</x:v>
      </x:c>
      <x:c r="D324" t="str">
        <x:f>IF(RAND()&lt;(('Team_Info'!$E$2-COUNTIF($B324:C324,"W"))/('Team_Info'!$E$4-2)),"W","B")</x:f>
        <x:v>W</x:v>
      </x:c>
      <x:c r="E324" t="str">
        <x:f>IF(RAND()&lt;(('Team_Info'!$E$2-COUNTIF($B324:D324,"W"))/('Team_Info'!$E$4-3)),"W","B")</x:f>
        <x:v>B</x:v>
      </x:c>
      <x:c r="F324" t="str">
        <x:f>IF(RAND()&lt;(('Team_Info'!$E$2-COUNTIF($B324:E324,"W"))/('Team_Info'!$E$4-4)),"W","B")</x:f>
        <x:v>B</x:v>
      </x:c>
      <x:c r="G324" t="str">
        <x:f>IF(RAND()&lt;(('Team_Info'!$E$2-COUNTIF($B324:F324,"W"))/('Team_Info'!$E$4-5)),"W","B")</x:f>
        <x:v>B</x:v>
      </x:c>
      <x:c r="H324" t="str">
        <x:f>IF(RAND()&lt;(('Team_Info'!$E$2-COUNTIF($B324:G324,"W"))/('Team_Info'!$E$4-6)),"W","B")</x:f>
        <x:v>B</x:v>
      </x:c>
      <x:c r="I324" t="str">
        <x:f>IF(RAND()&lt;(('Team_Info'!$E$2-COUNTIF($B324:H324,"W"))/('Team_Info'!$E$4-7)),"W","B")</x:f>
        <x:v>B</x:v>
      </x:c>
      <x:c r="J324" t="str">
        <x:f>IF(RAND()&lt;(('Team_Info'!$E$2-COUNTIF($B324:I324,"W"))/('Team_Info'!$E$4-8)),"W","B")</x:f>
        <x:v>W</x:v>
      </x:c>
      <x:c r="K324" t="str">
        <x:f>IF(RAND()&lt;(('Team_Info'!$E$2-COUNTIF($B324:J324,"W"))/('Team_Info'!$E$4-9)),"W","B")</x:f>
        <x:v>B</x:v>
      </x:c>
      <x:c r="L324" t="str">
        <x:f>IF(RAND()&lt;(('Team_Info'!$E$2-COUNTIF($B324:K324,"W"))/('Team_Info'!$E$4-10)),"W","B")</x:f>
        <x:v>B</x:v>
      </x:c>
      <x:c r="M324" t="str">
        <x:f>IF(RAND()&lt;(('Team_Info'!$E$2-COUNTIF($B324:L324,"W"))/('Team_Info'!$E$4-11)),"W","B")</x:f>
        <x:v>W</x:v>
      </x:c>
      <x:c r="N324" t="str">
        <x:f>IF(RAND()&lt;(('Team_Info'!$E$2-COUNTIF($B324:M324,"W"))/('Team_Info'!$E$4-12)),"W","B")</x:f>
        <x:v>B</x:v>
      </x:c>
      <x:c r="O324" t="str">
        <x:f>IF(RAND()&lt;(('Team_Info'!$E$2-COUNTIF($B324:N324,"W"))/('Team_Info'!$E$4-13)),"W","B")</x:f>
        <x:v>W</x:v>
      </x:c>
      <x:c r="P324" t="str">
        <x:f>IF(RAND()&lt;(('Team_Info'!$E$2-COUNTIF($B324:O324,"W"))/('Team_Info'!$E$4-14)),"W","B")</x:f>
        <x:v>B</x:v>
      </x:c>
      <x:c r="Q324" t="str">
        <x:f>IF(RAND()&lt;(('Team_Info'!$E$2-COUNTIF($B324:P324,"W"))/('Team_Info'!$E$4-15)),"W","B")</x:f>
        <x:v>W</x:v>
      </x:c>
      <x:c r="R324" t="str">
        <x:f>IF(RAND()&lt;(('Team_Info'!$E$2-COUNTIF($B324:Q324,"W"))/('Team_Info'!$E$4-16)),"W","B")</x:f>
        <x:v>B</x:v>
      </x:c>
      <x:c r="S324" t="str">
        <x:f>IF(RAND()&lt;(('Team_Info'!$E$2-COUNTIF($B324:R324,"W"))/('Team_Info'!$E$4-17)),"W","B")</x:f>
        <x:v>B</x:v>
      </x:c>
      <x:c r="T324" t="str">
        <x:f>IF(RAND()&lt;(('Team_Info'!$E$2-COUNTIF($B324:S324,"W"))/('Team_Info'!$E$4-18)),"W","B")</x:f>
        <x:v>B</x:v>
      </x:c>
      <x:c r="U324" t="str">
        <x:f>IF(RAND()&lt;(('Team_Info'!$E$2-COUNTIF($B324:T324,"W"))/('Team_Info'!$E$4-19)),"W","B")</x:f>
        <x:v>B</x:v>
      </x:c>
    </x:row>
    <x:row r="325">
      <x:c r="A325" s="1">
        <x:v>324</x:v>
      </x:c>
      <x:c r="B325" t="str">
        <x:f>IF(RAND()&lt;'Team_Info'!$E$5,"W","B")</x:f>
        <x:v>B</x:v>
      </x:c>
      <x:c r="C325" t="str">
        <x:f>IF(RAND()&lt;(('Team_Info'!$E$2-COUNTIF($B325:B325,"W"))/('Team_Info'!$E$4-1)),"W","B")</x:f>
        <x:v>B</x:v>
      </x:c>
      <x:c r="D325" t="str">
        <x:f>IF(RAND()&lt;(('Team_Info'!$E$2-COUNTIF($B325:C325,"W"))/('Team_Info'!$E$4-2)),"W","B")</x:f>
        <x:v>W</x:v>
      </x:c>
      <x:c r="E325" t="str">
        <x:f>IF(RAND()&lt;(('Team_Info'!$E$2-COUNTIF($B325:D325,"W"))/('Team_Info'!$E$4-3)),"W","B")</x:f>
        <x:v>W</x:v>
      </x:c>
      <x:c r="F325" t="str">
        <x:f>IF(RAND()&lt;(('Team_Info'!$E$2-COUNTIF($B325:E325,"W"))/('Team_Info'!$E$4-4)),"W","B")</x:f>
        <x:v>B</x:v>
      </x:c>
      <x:c r="G325" t="str">
        <x:f>IF(RAND()&lt;(('Team_Info'!$E$2-COUNTIF($B325:F325,"W"))/('Team_Info'!$E$4-5)),"W","B")</x:f>
        <x:v>B</x:v>
      </x:c>
      <x:c r="H325" t="str">
        <x:f>IF(RAND()&lt;(('Team_Info'!$E$2-COUNTIF($B325:G325,"W"))/('Team_Info'!$E$4-6)),"W","B")</x:f>
        <x:v>B</x:v>
      </x:c>
      <x:c r="I325" t="str">
        <x:f>IF(RAND()&lt;(('Team_Info'!$E$2-COUNTIF($B325:H325,"W"))/('Team_Info'!$E$4-7)),"W","B")</x:f>
        <x:v>B</x:v>
      </x:c>
      <x:c r="J325" t="str">
        <x:f>IF(RAND()&lt;(('Team_Info'!$E$2-COUNTIF($B325:I325,"W"))/('Team_Info'!$E$4-8)),"W","B")</x:f>
        <x:v>B</x:v>
      </x:c>
      <x:c r="K325" t="str">
        <x:f>IF(RAND()&lt;(('Team_Info'!$E$2-COUNTIF($B325:J325,"W"))/('Team_Info'!$E$4-9)),"W","B")</x:f>
        <x:v>B</x:v>
      </x:c>
      <x:c r="L325" t="str">
        <x:f>IF(RAND()&lt;(('Team_Info'!$E$2-COUNTIF($B325:K325,"W"))/('Team_Info'!$E$4-10)),"W","B")</x:f>
        <x:v>B</x:v>
      </x:c>
      <x:c r="M325" t="str">
        <x:f>IF(RAND()&lt;(('Team_Info'!$E$2-COUNTIF($B325:L325,"W"))/('Team_Info'!$E$4-11)),"W","B")</x:f>
        <x:v>B</x:v>
      </x:c>
      <x:c r="N325" t="str">
        <x:f>IF(RAND()&lt;(('Team_Info'!$E$2-COUNTIF($B325:M325,"W"))/('Team_Info'!$E$4-12)),"W","B")</x:f>
        <x:v>W</x:v>
      </x:c>
      <x:c r="O325" t="str">
        <x:f>IF(RAND()&lt;(('Team_Info'!$E$2-COUNTIF($B325:N325,"W"))/('Team_Info'!$E$4-13)),"W","B")</x:f>
        <x:v>B</x:v>
      </x:c>
      <x:c r="P325" t="str">
        <x:f>IF(RAND()&lt;(('Team_Info'!$E$2-COUNTIF($B325:O325,"W"))/('Team_Info'!$E$4-14)),"W","B")</x:f>
        <x:v>W</x:v>
      </x:c>
      <x:c r="Q325" t="str">
        <x:f>IF(RAND()&lt;(('Team_Info'!$E$2-COUNTIF($B325:P325,"W"))/('Team_Info'!$E$4-15)),"W","B")</x:f>
        <x:v>B</x:v>
      </x:c>
      <x:c r="R325" t="str">
        <x:f>IF(RAND()&lt;(('Team_Info'!$E$2-COUNTIF($B325:Q325,"W"))/('Team_Info'!$E$4-16)),"W","B")</x:f>
        <x:v>B</x:v>
      </x:c>
      <x:c r="S325" t="str">
        <x:f>IF(RAND()&lt;(('Team_Info'!$E$2-COUNTIF($B325:R325,"W"))/('Team_Info'!$E$4-17)),"W","B")</x:f>
        <x:v>B</x:v>
      </x:c>
      <x:c r="T325" t="str">
        <x:f>IF(RAND()&lt;(('Team_Info'!$E$2-COUNTIF($B325:S325,"W"))/('Team_Info'!$E$4-18)),"W","B")</x:f>
        <x:v>B</x:v>
      </x:c>
      <x:c r="U325" t="str">
        <x:f>IF(RAND()&lt;(('Team_Info'!$E$2-COUNTIF($B325:T325,"W"))/('Team_Info'!$E$4-19)),"W","B")</x:f>
        <x:v>B</x:v>
      </x:c>
    </x:row>
    <x:row r="326">
      <x:c r="A326" s="1">
        <x:v>325</x:v>
      </x:c>
      <x:c r="B326" t="str">
        <x:f>IF(RAND()&lt;'Team_Info'!$E$5,"W","B")</x:f>
        <x:v>W</x:v>
      </x:c>
      <x:c r="C326" t="str">
        <x:f>IF(RAND()&lt;(('Team_Info'!$E$2-COUNTIF($B326:B326,"W"))/('Team_Info'!$E$4-1)),"W","B")</x:f>
        <x:v>B</x:v>
      </x:c>
      <x:c r="D326" t="str">
        <x:f>IF(RAND()&lt;(('Team_Info'!$E$2-COUNTIF($B326:C326,"W"))/('Team_Info'!$E$4-2)),"W","B")</x:f>
        <x:v>B</x:v>
      </x:c>
      <x:c r="E326" t="str">
        <x:f>IF(RAND()&lt;(('Team_Info'!$E$2-COUNTIF($B326:D326,"W"))/('Team_Info'!$E$4-3)),"W","B")</x:f>
        <x:v>B</x:v>
      </x:c>
      <x:c r="F326" t="str">
        <x:f>IF(RAND()&lt;(('Team_Info'!$E$2-COUNTIF($B326:E326,"W"))/('Team_Info'!$E$4-4)),"W","B")</x:f>
        <x:v>B</x:v>
      </x:c>
      <x:c r="G326" t="str">
        <x:f>IF(RAND()&lt;(('Team_Info'!$E$2-COUNTIF($B326:F326,"W"))/('Team_Info'!$E$4-5)),"W","B")</x:f>
        <x:v>B</x:v>
      </x:c>
      <x:c r="H326" t="str">
        <x:f>IF(RAND()&lt;(('Team_Info'!$E$2-COUNTIF($B326:G326,"W"))/('Team_Info'!$E$4-6)),"W","B")</x:f>
        <x:v>W</x:v>
      </x:c>
      <x:c r="I326" t="str">
        <x:f>IF(RAND()&lt;(('Team_Info'!$E$2-COUNTIF($B326:H326,"W"))/('Team_Info'!$E$4-7)),"W","B")</x:f>
        <x:v>B</x:v>
      </x:c>
      <x:c r="J326" t="str">
        <x:f>IF(RAND()&lt;(('Team_Info'!$E$2-COUNTIF($B326:I326,"W"))/('Team_Info'!$E$4-8)),"W","B")</x:f>
        <x:v>B</x:v>
      </x:c>
      <x:c r="K326" t="str">
        <x:f>IF(RAND()&lt;(('Team_Info'!$E$2-COUNTIF($B326:J326,"W"))/('Team_Info'!$E$4-9)),"W","B")</x:f>
        <x:v>W</x:v>
      </x:c>
      <x:c r="L326" t="str">
        <x:f>IF(RAND()&lt;(('Team_Info'!$E$2-COUNTIF($B326:K326,"W"))/('Team_Info'!$E$4-10)),"W","B")</x:f>
        <x:v>B</x:v>
      </x:c>
      <x:c r="M326" t="str">
        <x:f>IF(RAND()&lt;(('Team_Info'!$E$2-COUNTIF($B326:L326,"W"))/('Team_Info'!$E$4-11)),"W","B")</x:f>
        <x:v>B</x:v>
      </x:c>
      <x:c r="N326" t="str">
        <x:f>IF(RAND()&lt;(('Team_Info'!$E$2-COUNTIF($B326:M326,"W"))/('Team_Info'!$E$4-12)),"W","B")</x:f>
        <x:v>B</x:v>
      </x:c>
      <x:c r="O326" t="str">
        <x:f>IF(RAND()&lt;(('Team_Info'!$E$2-COUNTIF($B326:N326,"W"))/('Team_Info'!$E$4-13)),"W","B")</x:f>
        <x:v>B</x:v>
      </x:c>
      <x:c r="P326" t="str">
        <x:f>IF(RAND()&lt;(('Team_Info'!$E$2-COUNTIF($B326:O326,"W"))/('Team_Info'!$E$4-14)),"W","B")</x:f>
        <x:v>W</x:v>
      </x:c>
      <x:c r="Q326" t="str">
        <x:f>IF(RAND()&lt;(('Team_Info'!$E$2-COUNTIF($B326:P326,"W"))/('Team_Info'!$E$4-15)),"W","B")</x:f>
        <x:v>B</x:v>
      </x:c>
      <x:c r="R326" t="str">
        <x:f>IF(RAND()&lt;(('Team_Info'!$E$2-COUNTIF($B326:Q326,"W"))/('Team_Info'!$E$4-16)),"W","B")</x:f>
        <x:v>W</x:v>
      </x:c>
      <x:c r="S326" t="str">
        <x:f>IF(RAND()&lt;(('Team_Info'!$E$2-COUNTIF($B326:R326,"W"))/('Team_Info'!$E$4-17)),"W","B")</x:f>
        <x:v>B</x:v>
      </x:c>
      <x:c r="T326" t="str">
        <x:f>IF(RAND()&lt;(('Team_Info'!$E$2-COUNTIF($B326:S326,"W"))/('Team_Info'!$E$4-18)),"W","B")</x:f>
        <x:v>W</x:v>
      </x:c>
      <x:c r="U326" t="str">
        <x:f>IF(RAND()&lt;(('Team_Info'!$E$2-COUNTIF($B326:T326,"W"))/('Team_Info'!$E$4-19)),"W","B")</x:f>
        <x:v>B</x:v>
      </x:c>
    </x:row>
    <x:row r="327">
      <x:c r="A327" s="1">
        <x:v>326</x:v>
      </x:c>
      <x:c r="B327" t="str">
        <x:f>IF(RAND()&lt;'Team_Info'!$E$5,"W","B")</x:f>
        <x:v>B</x:v>
      </x:c>
      <x:c r="C327" t="str">
        <x:f>IF(RAND()&lt;(('Team_Info'!$E$2-COUNTIF($B327:B327,"W"))/('Team_Info'!$E$4-1)),"W","B")</x:f>
        <x:v>B</x:v>
      </x:c>
      <x:c r="D327" t="str">
        <x:f>IF(RAND()&lt;(('Team_Info'!$E$2-COUNTIF($B327:C327,"W"))/('Team_Info'!$E$4-2)),"W","B")</x:f>
        <x:v>B</x:v>
      </x:c>
      <x:c r="E327" t="str">
        <x:f>IF(RAND()&lt;(('Team_Info'!$E$2-COUNTIF($B327:D327,"W"))/('Team_Info'!$E$4-3)),"W","B")</x:f>
        <x:v>W</x:v>
      </x:c>
      <x:c r="F327" t="str">
        <x:f>IF(RAND()&lt;(('Team_Info'!$E$2-COUNTIF($B327:E327,"W"))/('Team_Info'!$E$4-4)),"W","B")</x:f>
        <x:v>B</x:v>
      </x:c>
      <x:c r="G327" t="str">
        <x:f>IF(RAND()&lt;(('Team_Info'!$E$2-COUNTIF($B327:F327,"W"))/('Team_Info'!$E$4-5)),"W","B")</x:f>
        <x:v>B</x:v>
      </x:c>
      <x:c r="H327" t="str">
        <x:f>IF(RAND()&lt;(('Team_Info'!$E$2-COUNTIF($B327:G327,"W"))/('Team_Info'!$E$4-6)),"W","B")</x:f>
        <x:v>B</x:v>
      </x:c>
      <x:c r="I327" t="str">
        <x:f>IF(RAND()&lt;(('Team_Info'!$E$2-COUNTIF($B327:H327,"W"))/('Team_Info'!$E$4-7)),"W","B")</x:f>
        <x:v>W</x:v>
      </x:c>
      <x:c r="J327" t="str">
        <x:f>IF(RAND()&lt;(('Team_Info'!$E$2-COUNTIF($B327:I327,"W"))/('Team_Info'!$E$4-8)),"W","B")</x:f>
        <x:v>B</x:v>
      </x:c>
      <x:c r="K327" t="str">
        <x:f>IF(RAND()&lt;(('Team_Info'!$E$2-COUNTIF($B327:J327,"W"))/('Team_Info'!$E$4-9)),"W","B")</x:f>
        <x:v>B</x:v>
      </x:c>
      <x:c r="L327" t="str">
        <x:f>IF(RAND()&lt;(('Team_Info'!$E$2-COUNTIF($B327:K327,"W"))/('Team_Info'!$E$4-10)),"W","B")</x:f>
        <x:v>W</x:v>
      </x:c>
      <x:c r="M327" t="str">
        <x:f>IF(RAND()&lt;(('Team_Info'!$E$2-COUNTIF($B327:L327,"W"))/('Team_Info'!$E$4-11)),"W","B")</x:f>
        <x:v>B</x:v>
      </x:c>
      <x:c r="N327" t="str">
        <x:f>IF(RAND()&lt;(('Team_Info'!$E$2-COUNTIF($B327:M327,"W"))/('Team_Info'!$E$4-12)),"W","B")</x:f>
        <x:v>W</x:v>
      </x:c>
      <x:c r="O327" t="str">
        <x:f>IF(RAND()&lt;(('Team_Info'!$E$2-COUNTIF($B327:N327,"W"))/('Team_Info'!$E$4-13)),"W","B")</x:f>
        <x:v>B</x:v>
      </x:c>
      <x:c r="P327" t="str">
        <x:f>IF(RAND()&lt;(('Team_Info'!$E$2-COUNTIF($B327:O327,"W"))/('Team_Info'!$E$4-14)),"W","B")</x:f>
        <x:v>B</x:v>
      </x:c>
      <x:c r="Q327" t="str">
        <x:f>IF(RAND()&lt;(('Team_Info'!$E$2-COUNTIF($B327:P327,"W"))/('Team_Info'!$E$4-15)),"W","B")</x:f>
        <x:v>W</x:v>
      </x:c>
      <x:c r="R327" t="str">
        <x:f>IF(RAND()&lt;(('Team_Info'!$E$2-COUNTIF($B327:Q327,"W"))/('Team_Info'!$E$4-16)),"W","B")</x:f>
        <x:v>B</x:v>
      </x:c>
      <x:c r="S327" t="str">
        <x:f>IF(RAND()&lt;(('Team_Info'!$E$2-COUNTIF($B327:R327,"W"))/('Team_Info'!$E$4-17)),"W","B")</x:f>
        <x:v>B</x:v>
      </x:c>
      <x:c r="T327" t="str">
        <x:f>IF(RAND()&lt;(('Team_Info'!$E$2-COUNTIF($B327:S327,"W"))/('Team_Info'!$E$4-18)),"W","B")</x:f>
        <x:v>B</x:v>
      </x:c>
      <x:c r="U327" t="str">
        <x:f>IF(RAND()&lt;(('Team_Info'!$E$2-COUNTIF($B327:T327,"W"))/('Team_Info'!$E$4-19)),"W","B")</x:f>
        <x:v>B</x:v>
      </x:c>
    </x:row>
    <x:row r="328">
      <x:c r="A328" s="1">
        <x:v>327</x:v>
      </x:c>
      <x:c r="B328" t="str">
        <x:f>IF(RAND()&lt;'Team_Info'!$E$5,"W","B")</x:f>
        <x:v>B</x:v>
      </x:c>
      <x:c r="C328" t="str">
        <x:f>IF(RAND()&lt;(('Team_Info'!$E$2-COUNTIF($B328:B328,"W"))/('Team_Info'!$E$4-1)),"W","B")</x:f>
        <x:v>W</x:v>
      </x:c>
      <x:c r="D328" t="str">
        <x:f>IF(RAND()&lt;(('Team_Info'!$E$2-COUNTIF($B328:C328,"W"))/('Team_Info'!$E$4-2)),"W","B")</x:f>
        <x:v>W</x:v>
      </x:c>
      <x:c r="E328" t="str">
        <x:f>IF(RAND()&lt;(('Team_Info'!$E$2-COUNTIF($B328:D328,"W"))/('Team_Info'!$E$4-3)),"W","B")</x:f>
        <x:v>W</x:v>
      </x:c>
      <x:c r="F328" t="str">
        <x:f>IF(RAND()&lt;(('Team_Info'!$E$2-COUNTIF($B328:E328,"W"))/('Team_Info'!$E$4-4)),"W","B")</x:f>
        <x:v>B</x:v>
      </x:c>
      <x:c r="G328" t="str">
        <x:f>IF(RAND()&lt;(('Team_Info'!$E$2-COUNTIF($B328:F328,"W"))/('Team_Info'!$E$4-5)),"W","B")</x:f>
        <x:v>W</x:v>
      </x:c>
      <x:c r="H328" t="str">
        <x:f>IF(RAND()&lt;(('Team_Info'!$E$2-COUNTIF($B328:G328,"W"))/('Team_Info'!$E$4-6)),"W","B")</x:f>
        <x:v>W</x:v>
      </x:c>
      <x:c r="I328" t="str">
        <x:f>IF(RAND()&lt;(('Team_Info'!$E$2-COUNTIF($B328:H328,"W"))/('Team_Info'!$E$4-7)),"W","B")</x:f>
        <x:v>B</x:v>
      </x:c>
      <x:c r="J328" t="str">
        <x:f>IF(RAND()&lt;(('Team_Info'!$E$2-COUNTIF($B328:I328,"W"))/('Team_Info'!$E$4-8)),"W","B")</x:f>
        <x:v>W</x:v>
      </x:c>
      <x:c r="K328" t="str">
        <x:f>IF(RAND()&lt;(('Team_Info'!$E$2-COUNTIF($B328:J328,"W"))/('Team_Info'!$E$4-9)),"W","B")</x:f>
        <x:v>B</x:v>
      </x:c>
      <x:c r="L328" t="str">
        <x:f>IF(RAND()&lt;(('Team_Info'!$E$2-COUNTIF($B328:K328,"W"))/('Team_Info'!$E$4-10)),"W","B")</x:f>
        <x:v>B</x:v>
      </x:c>
      <x:c r="M328" t="str">
        <x:f>IF(RAND()&lt;(('Team_Info'!$E$2-COUNTIF($B328:L328,"W"))/('Team_Info'!$E$4-11)),"W","B")</x:f>
        <x:v>W</x:v>
      </x:c>
      <x:c r="N328" t="str">
        <x:f>IF(RAND()&lt;(('Team_Info'!$E$2-COUNTIF($B328:M328,"W"))/('Team_Info'!$E$4-12)),"W","B")</x:f>
        <x:v>B</x:v>
      </x:c>
      <x:c r="O328" t="str">
        <x:f>IF(RAND()&lt;(('Team_Info'!$E$2-COUNTIF($B328:N328,"W"))/('Team_Info'!$E$4-13)),"W","B")</x:f>
        <x:v>W</x:v>
      </x:c>
      <x:c r="P328" t="str">
        <x:f>IF(RAND()&lt;(('Team_Info'!$E$2-COUNTIF($B328:O328,"W"))/('Team_Info'!$E$4-14)),"W","B")</x:f>
        <x:v>B</x:v>
      </x:c>
      <x:c r="Q328" t="str">
        <x:f>IF(RAND()&lt;(('Team_Info'!$E$2-COUNTIF($B328:P328,"W"))/('Team_Info'!$E$4-15)),"W","B")</x:f>
        <x:v>B</x:v>
      </x:c>
      <x:c r="R328" t="str">
        <x:f>IF(RAND()&lt;(('Team_Info'!$E$2-COUNTIF($B328:Q328,"W"))/('Team_Info'!$E$4-16)),"W","B")</x:f>
        <x:v>W</x:v>
      </x:c>
      <x:c r="S328" t="str">
        <x:f>IF(RAND()&lt;(('Team_Info'!$E$2-COUNTIF($B328:R328,"W"))/('Team_Info'!$E$4-17)),"W","B")</x:f>
        <x:v>B</x:v>
      </x:c>
      <x:c r="T328" t="str">
        <x:f>IF(RAND()&lt;(('Team_Info'!$E$2-COUNTIF($B328:S328,"W"))/('Team_Info'!$E$4-18)),"W","B")</x:f>
        <x:v>W</x:v>
      </x:c>
      <x:c r="U328" t="str">
        <x:f>IF(RAND()&lt;(('Team_Info'!$E$2-COUNTIF($B328:T328,"W"))/('Team_Info'!$E$4-19)),"W","B")</x:f>
        <x:v>W</x:v>
      </x:c>
    </x:row>
    <x:row r="329">
      <x:c r="A329" s="1">
        <x:v>328</x:v>
      </x:c>
      <x:c r="B329" t="str">
        <x:f>IF(RAND()&lt;'Team_Info'!$E$5,"W","B")</x:f>
        <x:v>B</x:v>
      </x:c>
      <x:c r="C329" t="str">
        <x:f>IF(RAND()&lt;(('Team_Info'!$E$2-COUNTIF($B329:B329,"W"))/('Team_Info'!$E$4-1)),"W","B")</x:f>
        <x:v>B</x:v>
      </x:c>
      <x:c r="D329" t="str">
        <x:f>IF(RAND()&lt;(('Team_Info'!$E$2-COUNTIF($B329:C329,"W"))/('Team_Info'!$E$4-2)),"W","B")</x:f>
        <x:v>B</x:v>
      </x:c>
      <x:c r="E329" t="str">
        <x:f>IF(RAND()&lt;(('Team_Info'!$E$2-COUNTIF($B329:D329,"W"))/('Team_Info'!$E$4-3)),"W","B")</x:f>
        <x:v>B</x:v>
      </x:c>
      <x:c r="F329" t="str">
        <x:f>IF(RAND()&lt;(('Team_Info'!$E$2-COUNTIF($B329:E329,"W"))/('Team_Info'!$E$4-4)),"W","B")</x:f>
        <x:v>B</x:v>
      </x:c>
      <x:c r="G329" t="str">
        <x:f>IF(RAND()&lt;(('Team_Info'!$E$2-COUNTIF($B329:F329,"W"))/('Team_Info'!$E$4-5)),"W","B")</x:f>
        <x:v>B</x:v>
      </x:c>
      <x:c r="H329" t="str">
        <x:f>IF(RAND()&lt;(('Team_Info'!$E$2-COUNTIF($B329:G329,"W"))/('Team_Info'!$E$4-6)),"W","B")</x:f>
        <x:v>B</x:v>
      </x:c>
      <x:c r="I329" t="str">
        <x:f>IF(RAND()&lt;(('Team_Info'!$E$2-COUNTIF($B329:H329,"W"))/('Team_Info'!$E$4-7)),"W","B")</x:f>
        <x:v>B</x:v>
      </x:c>
      <x:c r="J329" t="str">
        <x:f>IF(RAND()&lt;(('Team_Info'!$E$2-COUNTIF($B329:I329,"W"))/('Team_Info'!$E$4-8)),"W","B")</x:f>
        <x:v>B</x:v>
      </x:c>
      <x:c r="K329" t="str">
        <x:f>IF(RAND()&lt;(('Team_Info'!$E$2-COUNTIF($B329:J329,"W"))/('Team_Info'!$E$4-9)),"W","B")</x:f>
        <x:v>B</x:v>
      </x:c>
      <x:c r="L329" t="str">
        <x:f>IF(RAND()&lt;(('Team_Info'!$E$2-COUNTIF($B329:K329,"W"))/('Team_Info'!$E$4-10)),"W","B")</x:f>
        <x:v>B</x:v>
      </x:c>
      <x:c r="M329" t="str">
        <x:f>IF(RAND()&lt;(('Team_Info'!$E$2-COUNTIF($B329:L329,"W"))/('Team_Info'!$E$4-11)),"W","B")</x:f>
        <x:v>B</x:v>
      </x:c>
      <x:c r="N329" t="str">
        <x:f>IF(RAND()&lt;(('Team_Info'!$E$2-COUNTIF($B329:M329,"W"))/('Team_Info'!$E$4-12)),"W","B")</x:f>
        <x:v>B</x:v>
      </x:c>
      <x:c r="O329" t="str">
        <x:f>IF(RAND()&lt;(('Team_Info'!$E$2-COUNTIF($B329:N329,"W"))/('Team_Info'!$E$4-13)),"W","B")</x:f>
        <x:v>W</x:v>
      </x:c>
      <x:c r="P329" t="str">
        <x:f>IF(RAND()&lt;(('Team_Info'!$E$2-COUNTIF($B329:O329,"W"))/('Team_Info'!$E$4-14)),"W","B")</x:f>
        <x:v>B</x:v>
      </x:c>
      <x:c r="Q329" t="str">
        <x:f>IF(RAND()&lt;(('Team_Info'!$E$2-COUNTIF($B329:P329,"W"))/('Team_Info'!$E$4-15)),"W","B")</x:f>
        <x:v>B</x:v>
      </x:c>
      <x:c r="R329" t="str">
        <x:f>IF(RAND()&lt;(('Team_Info'!$E$2-COUNTIF($B329:Q329,"W"))/('Team_Info'!$E$4-16)),"W","B")</x:f>
        <x:v>B</x:v>
      </x:c>
      <x:c r="S329" t="str">
        <x:f>IF(RAND()&lt;(('Team_Info'!$E$2-COUNTIF($B329:R329,"W"))/('Team_Info'!$E$4-17)),"W","B")</x:f>
        <x:v>W</x:v>
      </x:c>
      <x:c r="T329" t="str">
        <x:f>IF(RAND()&lt;(('Team_Info'!$E$2-COUNTIF($B329:S329,"W"))/('Team_Info'!$E$4-18)),"W","B")</x:f>
        <x:v>W</x:v>
      </x:c>
      <x:c r="U329" t="str">
        <x:f>IF(RAND()&lt;(('Team_Info'!$E$2-COUNTIF($B329:T329,"W"))/('Team_Info'!$E$4-19)),"W","B")</x:f>
        <x:v>W</x:v>
      </x:c>
    </x:row>
    <x:row r="330">
      <x:c r="A330" s="1">
        <x:v>329</x:v>
      </x:c>
      <x:c r="B330" t="str">
        <x:f>IF(RAND()&lt;'Team_Info'!$E$5,"W","B")</x:f>
        <x:v>B</x:v>
      </x:c>
      <x:c r="C330" t="str">
        <x:f>IF(RAND()&lt;(('Team_Info'!$E$2-COUNTIF($B330:B330,"W"))/('Team_Info'!$E$4-1)),"W","B")</x:f>
        <x:v>B</x:v>
      </x:c>
      <x:c r="D330" t="str">
        <x:f>IF(RAND()&lt;(('Team_Info'!$E$2-COUNTIF($B330:C330,"W"))/('Team_Info'!$E$4-2)),"W","B")</x:f>
        <x:v>W</x:v>
      </x:c>
      <x:c r="E330" t="str">
        <x:f>IF(RAND()&lt;(('Team_Info'!$E$2-COUNTIF($B330:D330,"W"))/('Team_Info'!$E$4-3)),"W","B")</x:f>
        <x:v>W</x:v>
      </x:c>
      <x:c r="F330" t="str">
        <x:f>IF(RAND()&lt;(('Team_Info'!$E$2-COUNTIF($B330:E330,"W"))/('Team_Info'!$E$4-4)),"W","B")</x:f>
        <x:v>B</x:v>
      </x:c>
      <x:c r="G330" t="str">
        <x:f>IF(RAND()&lt;(('Team_Info'!$E$2-COUNTIF($B330:F330,"W"))/('Team_Info'!$E$4-5)),"W","B")</x:f>
        <x:v>B</x:v>
      </x:c>
      <x:c r="H330" t="str">
        <x:f>IF(RAND()&lt;(('Team_Info'!$E$2-COUNTIF($B330:G330,"W"))/('Team_Info'!$E$4-6)),"W","B")</x:f>
        <x:v>B</x:v>
      </x:c>
      <x:c r="I330" t="str">
        <x:f>IF(RAND()&lt;(('Team_Info'!$E$2-COUNTIF($B330:H330,"W"))/('Team_Info'!$E$4-7)),"W","B")</x:f>
        <x:v>W</x:v>
      </x:c>
      <x:c r="J330" t="str">
        <x:f>IF(RAND()&lt;(('Team_Info'!$E$2-COUNTIF($B330:I330,"W"))/('Team_Info'!$E$4-8)),"W","B")</x:f>
        <x:v>W</x:v>
      </x:c>
      <x:c r="K330" t="str">
        <x:f>IF(RAND()&lt;(('Team_Info'!$E$2-COUNTIF($B330:J330,"W"))/('Team_Info'!$E$4-9)),"W","B")</x:f>
        <x:v>B</x:v>
      </x:c>
      <x:c r="L330" t="str">
        <x:f>IF(RAND()&lt;(('Team_Info'!$E$2-COUNTIF($B330:K330,"W"))/('Team_Info'!$E$4-10)),"W","B")</x:f>
        <x:v>W</x:v>
      </x:c>
      <x:c r="M330" t="str">
        <x:f>IF(RAND()&lt;(('Team_Info'!$E$2-COUNTIF($B330:L330,"W"))/('Team_Info'!$E$4-11)),"W","B")</x:f>
        <x:v>W</x:v>
      </x:c>
      <x:c r="N330" t="str">
        <x:f>IF(RAND()&lt;(('Team_Info'!$E$2-COUNTIF($B330:M330,"W"))/('Team_Info'!$E$4-12)),"W","B")</x:f>
        <x:v>B</x:v>
      </x:c>
      <x:c r="O330" t="str">
        <x:f>IF(RAND()&lt;(('Team_Info'!$E$2-COUNTIF($B330:N330,"W"))/('Team_Info'!$E$4-13)),"W","B")</x:f>
        <x:v>B</x:v>
      </x:c>
      <x:c r="P330" t="str">
        <x:f>IF(RAND()&lt;(('Team_Info'!$E$2-COUNTIF($B330:O330,"W"))/('Team_Info'!$E$4-14)),"W","B")</x:f>
        <x:v>B</x:v>
      </x:c>
      <x:c r="Q330" t="str">
        <x:f>IF(RAND()&lt;(('Team_Info'!$E$2-COUNTIF($B330:P330,"W"))/('Team_Info'!$E$4-15)),"W","B")</x:f>
        <x:v>B</x:v>
      </x:c>
      <x:c r="R330" t="str">
        <x:f>IF(RAND()&lt;(('Team_Info'!$E$2-COUNTIF($B330:Q330,"W"))/('Team_Info'!$E$4-16)),"W","B")</x:f>
        <x:v>B</x:v>
      </x:c>
      <x:c r="S330" t="str">
        <x:f>IF(RAND()&lt;(('Team_Info'!$E$2-COUNTIF($B330:R330,"W"))/('Team_Info'!$E$4-17)),"W","B")</x:f>
        <x:v>B</x:v>
      </x:c>
      <x:c r="T330" t="str">
        <x:f>IF(RAND()&lt;(('Team_Info'!$E$2-COUNTIF($B330:S330,"W"))/('Team_Info'!$E$4-18)),"W","B")</x:f>
        <x:v>W</x:v>
      </x:c>
      <x:c r="U330" t="str">
        <x:f>IF(RAND()&lt;(('Team_Info'!$E$2-COUNTIF($B330:T330,"W"))/('Team_Info'!$E$4-19)),"W","B")</x:f>
        <x:v>B</x:v>
      </x:c>
    </x:row>
    <x:row r="331">
      <x:c r="A331" s="1">
        <x:v>330</x:v>
      </x:c>
      <x:c r="B331" t="str">
        <x:f>IF(RAND()&lt;'Team_Info'!$E$5,"W","B")</x:f>
        <x:v>B</x:v>
      </x:c>
      <x:c r="C331" t="str">
        <x:f>IF(RAND()&lt;(('Team_Info'!$E$2-COUNTIF($B331:B331,"W"))/('Team_Info'!$E$4-1)),"W","B")</x:f>
        <x:v>W</x:v>
      </x:c>
      <x:c r="D331" t="str">
        <x:f>IF(RAND()&lt;(('Team_Info'!$E$2-COUNTIF($B331:C331,"W"))/('Team_Info'!$E$4-2)),"W","B")</x:f>
        <x:v>B</x:v>
      </x:c>
      <x:c r="E331" t="str">
        <x:f>IF(RAND()&lt;(('Team_Info'!$E$2-COUNTIF($B331:D331,"W"))/('Team_Info'!$E$4-3)),"W","B")</x:f>
        <x:v>B</x:v>
      </x:c>
      <x:c r="F331" t="str">
        <x:f>IF(RAND()&lt;(('Team_Info'!$E$2-COUNTIF($B331:E331,"W"))/('Team_Info'!$E$4-4)),"W","B")</x:f>
        <x:v>B</x:v>
      </x:c>
      <x:c r="G331" t="str">
        <x:f>IF(RAND()&lt;(('Team_Info'!$E$2-COUNTIF($B331:F331,"W"))/('Team_Info'!$E$4-5)),"W","B")</x:f>
        <x:v>B</x:v>
      </x:c>
      <x:c r="H331" t="str">
        <x:f>IF(RAND()&lt;(('Team_Info'!$E$2-COUNTIF($B331:G331,"W"))/('Team_Info'!$E$4-6)),"W","B")</x:f>
        <x:v>B</x:v>
      </x:c>
      <x:c r="I331" t="str">
        <x:f>IF(RAND()&lt;(('Team_Info'!$E$2-COUNTIF($B331:H331,"W"))/('Team_Info'!$E$4-7)),"W","B")</x:f>
        <x:v>B</x:v>
      </x:c>
      <x:c r="J331" t="str">
        <x:f>IF(RAND()&lt;(('Team_Info'!$E$2-COUNTIF($B331:I331,"W"))/('Team_Info'!$E$4-8)),"W","B")</x:f>
        <x:v>B</x:v>
      </x:c>
      <x:c r="K331" t="str">
        <x:f>IF(RAND()&lt;(('Team_Info'!$E$2-COUNTIF($B331:J331,"W"))/('Team_Info'!$E$4-9)),"W","B")</x:f>
        <x:v>B</x:v>
      </x:c>
      <x:c r="L331" t="str">
        <x:f>IF(RAND()&lt;(('Team_Info'!$E$2-COUNTIF($B331:K331,"W"))/('Team_Info'!$E$4-10)),"W","B")</x:f>
        <x:v>B</x:v>
      </x:c>
      <x:c r="M331" t="str">
        <x:f>IF(RAND()&lt;(('Team_Info'!$E$2-COUNTIF($B331:L331,"W"))/('Team_Info'!$E$4-11)),"W","B")</x:f>
        <x:v>B</x:v>
      </x:c>
      <x:c r="N331" t="str">
        <x:f>IF(RAND()&lt;(('Team_Info'!$E$2-COUNTIF($B331:M331,"W"))/('Team_Info'!$E$4-12)),"W","B")</x:f>
        <x:v>B</x:v>
      </x:c>
      <x:c r="O331" t="str">
        <x:f>IF(RAND()&lt;(('Team_Info'!$E$2-COUNTIF($B331:N331,"W"))/('Team_Info'!$E$4-13)),"W","B")</x:f>
        <x:v>W</x:v>
      </x:c>
      <x:c r="P331" t="str">
        <x:f>IF(RAND()&lt;(('Team_Info'!$E$2-COUNTIF($B331:O331,"W"))/('Team_Info'!$E$4-14)),"W","B")</x:f>
        <x:v>W</x:v>
      </x:c>
      <x:c r="Q331" t="str">
        <x:f>IF(RAND()&lt;(('Team_Info'!$E$2-COUNTIF($B331:P331,"W"))/('Team_Info'!$E$4-15)),"W","B")</x:f>
        <x:v>B</x:v>
      </x:c>
      <x:c r="R331" t="str">
        <x:f>IF(RAND()&lt;(('Team_Info'!$E$2-COUNTIF($B331:Q331,"W"))/('Team_Info'!$E$4-16)),"W","B")</x:f>
        <x:v>B</x:v>
      </x:c>
      <x:c r="S331" t="str">
        <x:f>IF(RAND()&lt;(('Team_Info'!$E$2-COUNTIF($B331:R331,"W"))/('Team_Info'!$E$4-17)),"W","B")</x:f>
        <x:v>B</x:v>
      </x:c>
      <x:c r="T331" t="str">
        <x:f>IF(RAND()&lt;(('Team_Info'!$E$2-COUNTIF($B331:S331,"W"))/('Team_Info'!$E$4-18)),"W","B")</x:f>
        <x:v>B</x:v>
      </x:c>
      <x:c r="U331" t="str">
        <x:f>IF(RAND()&lt;(('Team_Info'!$E$2-COUNTIF($B331:T331,"W"))/('Team_Info'!$E$4-19)),"W","B")</x:f>
        <x:v>B</x:v>
      </x:c>
    </x:row>
    <x:row r="332">
      <x:c r="A332" s="1">
        <x:v>331</x:v>
      </x:c>
      <x:c r="B332" t="str">
        <x:f>IF(RAND()&lt;'Team_Info'!$E$5,"W","B")</x:f>
        <x:v>W</x:v>
      </x:c>
      <x:c r="C332" t="str">
        <x:f>IF(RAND()&lt;(('Team_Info'!$E$2-COUNTIF($B332:B332,"W"))/('Team_Info'!$E$4-1)),"W","B")</x:f>
        <x:v>W</x:v>
      </x:c>
      <x:c r="D332" t="str">
        <x:f>IF(RAND()&lt;(('Team_Info'!$E$2-COUNTIF($B332:C332,"W"))/('Team_Info'!$E$4-2)),"W","B")</x:f>
        <x:v>W</x:v>
      </x:c>
      <x:c r="E332" t="str">
        <x:f>IF(RAND()&lt;(('Team_Info'!$E$2-COUNTIF($B332:D332,"W"))/('Team_Info'!$E$4-3)),"W","B")</x:f>
        <x:v>W</x:v>
      </x:c>
      <x:c r="F332" t="str">
        <x:f>IF(RAND()&lt;(('Team_Info'!$E$2-COUNTIF($B332:E332,"W"))/('Team_Info'!$E$4-4)),"W","B")</x:f>
        <x:v>B</x:v>
      </x:c>
      <x:c r="G332" t="str">
        <x:f>IF(RAND()&lt;(('Team_Info'!$E$2-COUNTIF($B332:F332,"W"))/('Team_Info'!$E$4-5)),"W","B")</x:f>
        <x:v>B</x:v>
      </x:c>
      <x:c r="H332" t="str">
        <x:f>IF(RAND()&lt;(('Team_Info'!$E$2-COUNTIF($B332:G332,"W"))/('Team_Info'!$E$4-6)),"W","B")</x:f>
        <x:v>W</x:v>
      </x:c>
      <x:c r="I332" t="str">
        <x:f>IF(RAND()&lt;(('Team_Info'!$E$2-COUNTIF($B332:H332,"W"))/('Team_Info'!$E$4-7)),"W","B")</x:f>
        <x:v>W</x:v>
      </x:c>
      <x:c r="J332" t="str">
        <x:f>IF(RAND()&lt;(('Team_Info'!$E$2-COUNTIF($B332:I332,"W"))/('Team_Info'!$E$4-8)),"W","B")</x:f>
        <x:v>B</x:v>
      </x:c>
      <x:c r="K332" t="str">
        <x:f>IF(RAND()&lt;(('Team_Info'!$E$2-COUNTIF($B332:J332,"W"))/('Team_Info'!$E$4-9)),"W","B")</x:f>
        <x:v>B</x:v>
      </x:c>
      <x:c r="L332" t="str">
        <x:f>IF(RAND()&lt;(('Team_Info'!$E$2-COUNTIF($B332:K332,"W"))/('Team_Info'!$E$4-10)),"W","B")</x:f>
        <x:v>B</x:v>
      </x:c>
      <x:c r="M332" t="str">
        <x:f>IF(RAND()&lt;(('Team_Info'!$E$2-COUNTIF($B332:L332,"W"))/('Team_Info'!$E$4-11)),"W","B")</x:f>
        <x:v>B</x:v>
      </x:c>
      <x:c r="N332" t="str">
        <x:f>IF(RAND()&lt;(('Team_Info'!$E$2-COUNTIF($B332:M332,"W"))/('Team_Info'!$E$4-12)),"W","B")</x:f>
        <x:v>B</x:v>
      </x:c>
      <x:c r="O332" t="str">
        <x:f>IF(RAND()&lt;(('Team_Info'!$E$2-COUNTIF($B332:N332,"W"))/('Team_Info'!$E$4-13)),"W","B")</x:f>
        <x:v>W</x:v>
      </x:c>
      <x:c r="P332" t="str">
        <x:f>IF(RAND()&lt;(('Team_Info'!$E$2-COUNTIF($B332:O332,"W"))/('Team_Info'!$E$4-14)),"W","B")</x:f>
        <x:v>W</x:v>
      </x:c>
      <x:c r="Q332" t="str">
        <x:f>IF(RAND()&lt;(('Team_Info'!$E$2-COUNTIF($B332:P332,"W"))/('Team_Info'!$E$4-15)),"W","B")</x:f>
        <x:v>B</x:v>
      </x:c>
      <x:c r="R332" t="str">
        <x:f>IF(RAND()&lt;(('Team_Info'!$E$2-COUNTIF($B332:Q332,"W"))/('Team_Info'!$E$4-16)),"W","B")</x:f>
        <x:v>B</x:v>
      </x:c>
      <x:c r="S332" t="str">
        <x:f>IF(RAND()&lt;(('Team_Info'!$E$2-COUNTIF($B332:R332,"W"))/('Team_Info'!$E$4-17)),"W","B")</x:f>
        <x:v>W</x:v>
      </x:c>
      <x:c r="T332" t="str">
        <x:f>IF(RAND()&lt;(('Team_Info'!$E$2-COUNTIF($B332:S332,"W"))/('Team_Info'!$E$4-18)),"W","B")</x:f>
        <x:v>B</x:v>
      </x:c>
      <x:c r="U332" t="str">
        <x:f>IF(RAND()&lt;(('Team_Info'!$E$2-COUNTIF($B332:T332,"W"))/('Team_Info'!$E$4-19)),"W","B")</x:f>
        <x:v>B</x:v>
      </x:c>
    </x:row>
    <x:row r="333">
      <x:c r="A333" s="1">
        <x:v>332</x:v>
      </x:c>
      <x:c r="B333" t="str">
        <x:f>IF(RAND()&lt;'Team_Info'!$E$5,"W","B")</x:f>
        <x:v>W</x:v>
      </x:c>
      <x:c r="C333" t="str">
        <x:f>IF(RAND()&lt;(('Team_Info'!$E$2-COUNTIF($B333:B333,"W"))/('Team_Info'!$E$4-1)),"W","B")</x:f>
        <x:v>W</x:v>
      </x:c>
      <x:c r="D333" t="str">
        <x:f>IF(RAND()&lt;(('Team_Info'!$E$2-COUNTIF($B333:C333,"W"))/('Team_Info'!$E$4-2)),"W","B")</x:f>
        <x:v>W</x:v>
      </x:c>
      <x:c r="E333" t="str">
        <x:f>IF(RAND()&lt;(('Team_Info'!$E$2-COUNTIF($B333:D333,"W"))/('Team_Info'!$E$4-3)),"W","B")</x:f>
        <x:v>W</x:v>
      </x:c>
      <x:c r="F333" t="str">
        <x:f>IF(RAND()&lt;(('Team_Info'!$E$2-COUNTIF($B333:E333,"W"))/('Team_Info'!$E$4-4)),"W","B")</x:f>
        <x:v>W</x:v>
      </x:c>
      <x:c r="G333" t="str">
        <x:f>IF(RAND()&lt;(('Team_Info'!$E$2-COUNTIF($B333:F333,"W"))/('Team_Info'!$E$4-5)),"W","B")</x:f>
        <x:v>B</x:v>
      </x:c>
      <x:c r="H333" t="str">
        <x:f>IF(RAND()&lt;(('Team_Info'!$E$2-COUNTIF($B333:G333,"W"))/('Team_Info'!$E$4-6)),"W","B")</x:f>
        <x:v>B</x:v>
      </x:c>
      <x:c r="I333" t="str">
        <x:f>IF(RAND()&lt;(('Team_Info'!$E$2-COUNTIF($B333:H333,"W"))/('Team_Info'!$E$4-7)),"W","B")</x:f>
        <x:v>W</x:v>
      </x:c>
      <x:c r="J333" t="str">
        <x:f>IF(RAND()&lt;(('Team_Info'!$E$2-COUNTIF($B333:I333,"W"))/('Team_Info'!$E$4-8)),"W","B")</x:f>
        <x:v>B</x:v>
      </x:c>
      <x:c r="K333" t="str">
        <x:f>IF(RAND()&lt;(('Team_Info'!$E$2-COUNTIF($B333:J333,"W"))/('Team_Info'!$E$4-9)),"W","B")</x:f>
        <x:v>W</x:v>
      </x:c>
      <x:c r="L333" t="str">
        <x:f>IF(RAND()&lt;(('Team_Info'!$E$2-COUNTIF($B333:K333,"W"))/('Team_Info'!$E$4-10)),"W","B")</x:f>
        <x:v>B</x:v>
      </x:c>
      <x:c r="M333" t="str">
        <x:f>IF(RAND()&lt;(('Team_Info'!$E$2-COUNTIF($B333:L333,"W"))/('Team_Info'!$E$4-11)),"W","B")</x:f>
        <x:v>B</x:v>
      </x:c>
      <x:c r="N333" t="str">
        <x:f>IF(RAND()&lt;(('Team_Info'!$E$2-COUNTIF($B333:M333,"W"))/('Team_Info'!$E$4-12)),"W","B")</x:f>
        <x:v>B</x:v>
      </x:c>
      <x:c r="O333" t="str">
        <x:f>IF(RAND()&lt;(('Team_Info'!$E$2-COUNTIF($B333:N333,"W"))/('Team_Info'!$E$4-13)),"W","B")</x:f>
        <x:v>W</x:v>
      </x:c>
      <x:c r="P333" t="str">
        <x:f>IF(RAND()&lt;(('Team_Info'!$E$2-COUNTIF($B333:O333,"W"))/('Team_Info'!$E$4-14)),"W","B")</x:f>
        <x:v>W</x:v>
      </x:c>
      <x:c r="Q333" t="str">
        <x:f>IF(RAND()&lt;(('Team_Info'!$E$2-COUNTIF($B333:P333,"W"))/('Team_Info'!$E$4-15)),"W","B")</x:f>
        <x:v>W</x:v>
      </x:c>
      <x:c r="R333" t="str">
        <x:f>IF(RAND()&lt;(('Team_Info'!$E$2-COUNTIF($B333:Q333,"W"))/('Team_Info'!$E$4-16)),"W","B")</x:f>
        <x:v>W</x:v>
      </x:c>
      <x:c r="S333" t="str">
        <x:f>IF(RAND()&lt;(('Team_Info'!$E$2-COUNTIF($B333:R333,"W"))/('Team_Info'!$E$4-17)),"W","B")</x:f>
        <x:v>B</x:v>
      </x:c>
      <x:c r="T333" t="str">
        <x:f>IF(RAND()&lt;(('Team_Info'!$E$2-COUNTIF($B333:S333,"W"))/('Team_Info'!$E$4-18)),"W","B")</x:f>
        <x:v>B</x:v>
      </x:c>
      <x:c r="U333" t="str">
        <x:f>IF(RAND()&lt;(('Team_Info'!$E$2-COUNTIF($B333:T333,"W"))/('Team_Info'!$E$4-19)),"W","B")</x:f>
        <x:v>W</x:v>
      </x:c>
    </x:row>
    <x:row r="334">
      <x:c r="A334" s="1">
        <x:v>333</x:v>
      </x:c>
      <x:c r="B334" t="str">
        <x:f>IF(RAND()&lt;'Team_Info'!$E$5,"W","B")</x:f>
        <x:v>B</x:v>
      </x:c>
      <x:c r="C334" t="str">
        <x:f>IF(RAND()&lt;(('Team_Info'!$E$2-COUNTIF($B334:B334,"W"))/('Team_Info'!$E$4-1)),"W","B")</x:f>
        <x:v>B</x:v>
      </x:c>
      <x:c r="D334" t="str">
        <x:f>IF(RAND()&lt;(('Team_Info'!$E$2-COUNTIF($B334:C334,"W"))/('Team_Info'!$E$4-2)),"W","B")</x:f>
        <x:v>W</x:v>
      </x:c>
      <x:c r="E334" t="str">
        <x:f>IF(RAND()&lt;(('Team_Info'!$E$2-COUNTIF($B334:D334,"W"))/('Team_Info'!$E$4-3)),"W","B")</x:f>
        <x:v>W</x:v>
      </x:c>
      <x:c r="F334" t="str">
        <x:f>IF(RAND()&lt;(('Team_Info'!$E$2-COUNTIF($B334:E334,"W"))/('Team_Info'!$E$4-4)),"W","B")</x:f>
        <x:v>B</x:v>
      </x:c>
      <x:c r="G334" t="str">
        <x:f>IF(RAND()&lt;(('Team_Info'!$E$2-COUNTIF($B334:F334,"W"))/('Team_Info'!$E$4-5)),"W","B")</x:f>
        <x:v>B</x:v>
      </x:c>
      <x:c r="H334" t="str">
        <x:f>IF(RAND()&lt;(('Team_Info'!$E$2-COUNTIF($B334:G334,"W"))/('Team_Info'!$E$4-6)),"W","B")</x:f>
        <x:v>W</x:v>
      </x:c>
      <x:c r="I334" t="str">
        <x:f>IF(RAND()&lt;(('Team_Info'!$E$2-COUNTIF($B334:H334,"W"))/('Team_Info'!$E$4-7)),"W","B")</x:f>
        <x:v>B</x:v>
      </x:c>
      <x:c r="J334" t="str">
        <x:f>IF(RAND()&lt;(('Team_Info'!$E$2-COUNTIF($B334:I334,"W"))/('Team_Info'!$E$4-8)),"W","B")</x:f>
        <x:v>W</x:v>
      </x:c>
      <x:c r="K334" t="str">
        <x:f>IF(RAND()&lt;(('Team_Info'!$E$2-COUNTIF($B334:J334,"W"))/('Team_Info'!$E$4-9)),"W","B")</x:f>
        <x:v>W</x:v>
      </x:c>
      <x:c r="L334" t="str">
        <x:f>IF(RAND()&lt;(('Team_Info'!$E$2-COUNTIF($B334:K334,"W"))/('Team_Info'!$E$4-10)),"W","B")</x:f>
        <x:v>B</x:v>
      </x:c>
      <x:c r="M334" t="str">
        <x:f>IF(RAND()&lt;(('Team_Info'!$E$2-COUNTIF($B334:L334,"W"))/('Team_Info'!$E$4-11)),"W","B")</x:f>
        <x:v>B</x:v>
      </x:c>
      <x:c r="N334" t="str">
        <x:f>IF(RAND()&lt;(('Team_Info'!$E$2-COUNTIF($B334:M334,"W"))/('Team_Info'!$E$4-12)),"W","B")</x:f>
        <x:v>B</x:v>
      </x:c>
      <x:c r="O334" t="str">
        <x:f>IF(RAND()&lt;(('Team_Info'!$E$2-COUNTIF($B334:N334,"W"))/('Team_Info'!$E$4-13)),"W","B")</x:f>
        <x:v>B</x:v>
      </x:c>
      <x:c r="P334" t="str">
        <x:f>IF(RAND()&lt;(('Team_Info'!$E$2-COUNTIF($B334:O334,"W"))/('Team_Info'!$E$4-14)),"W","B")</x:f>
        <x:v>B</x:v>
      </x:c>
      <x:c r="Q334" t="str">
        <x:f>IF(RAND()&lt;(('Team_Info'!$E$2-COUNTIF($B334:P334,"W"))/('Team_Info'!$E$4-15)),"W","B")</x:f>
        <x:v>B</x:v>
      </x:c>
      <x:c r="R334" t="str">
        <x:f>IF(RAND()&lt;(('Team_Info'!$E$2-COUNTIF($B334:Q334,"W"))/('Team_Info'!$E$4-16)),"W","B")</x:f>
        <x:v>W</x:v>
      </x:c>
      <x:c r="S334" t="str">
        <x:f>IF(RAND()&lt;(('Team_Info'!$E$2-COUNTIF($B334:R334,"W"))/('Team_Info'!$E$4-17)),"W","B")</x:f>
        <x:v>B</x:v>
      </x:c>
      <x:c r="T334" t="str">
        <x:f>IF(RAND()&lt;(('Team_Info'!$E$2-COUNTIF($B334:S334,"W"))/('Team_Info'!$E$4-18)),"W","B")</x:f>
        <x:v>W</x:v>
      </x:c>
      <x:c r="U334" t="str">
        <x:f>IF(RAND()&lt;(('Team_Info'!$E$2-COUNTIF($B334:T334,"W"))/('Team_Info'!$E$4-19)),"W","B")</x:f>
        <x:v>B</x:v>
      </x:c>
    </x:row>
    <x:row r="335">
      <x:c r="A335" s="1">
        <x:v>334</x:v>
      </x:c>
      <x:c r="B335" t="str">
        <x:f>IF(RAND()&lt;'Team_Info'!$E$5,"W","B")</x:f>
        <x:v>W</x:v>
      </x:c>
      <x:c r="C335" t="str">
        <x:f>IF(RAND()&lt;(('Team_Info'!$E$2-COUNTIF($B335:B335,"W"))/('Team_Info'!$E$4-1)),"W","B")</x:f>
        <x:v>B</x:v>
      </x:c>
      <x:c r="D335" t="str">
        <x:f>IF(RAND()&lt;(('Team_Info'!$E$2-COUNTIF($B335:C335,"W"))/('Team_Info'!$E$4-2)),"W","B")</x:f>
        <x:v>W</x:v>
      </x:c>
      <x:c r="E335" t="str">
        <x:f>IF(RAND()&lt;(('Team_Info'!$E$2-COUNTIF($B335:D335,"W"))/('Team_Info'!$E$4-3)),"W","B")</x:f>
        <x:v>W</x:v>
      </x:c>
      <x:c r="F335" t="str">
        <x:f>IF(RAND()&lt;(('Team_Info'!$E$2-COUNTIF($B335:E335,"W"))/('Team_Info'!$E$4-4)),"W","B")</x:f>
        <x:v>B</x:v>
      </x:c>
      <x:c r="G335" t="str">
        <x:f>IF(RAND()&lt;(('Team_Info'!$E$2-COUNTIF($B335:F335,"W"))/('Team_Info'!$E$4-5)),"W","B")</x:f>
        <x:v>B</x:v>
      </x:c>
      <x:c r="H335" t="str">
        <x:f>IF(RAND()&lt;(('Team_Info'!$E$2-COUNTIF($B335:G335,"W"))/('Team_Info'!$E$4-6)),"W","B")</x:f>
        <x:v>B</x:v>
      </x:c>
      <x:c r="I335" t="str">
        <x:f>IF(RAND()&lt;(('Team_Info'!$E$2-COUNTIF($B335:H335,"W"))/('Team_Info'!$E$4-7)),"W","B")</x:f>
        <x:v>W</x:v>
      </x:c>
      <x:c r="J335" t="str">
        <x:f>IF(RAND()&lt;(('Team_Info'!$E$2-COUNTIF($B335:I335,"W"))/('Team_Info'!$E$4-8)),"W","B")</x:f>
        <x:v>B</x:v>
      </x:c>
      <x:c r="K335" t="str">
        <x:f>IF(RAND()&lt;(('Team_Info'!$E$2-COUNTIF($B335:J335,"W"))/('Team_Info'!$E$4-9)),"W","B")</x:f>
        <x:v>B</x:v>
      </x:c>
      <x:c r="L335" t="str">
        <x:f>IF(RAND()&lt;(('Team_Info'!$E$2-COUNTIF($B335:K335,"W"))/('Team_Info'!$E$4-10)),"W","B")</x:f>
        <x:v>B</x:v>
      </x:c>
      <x:c r="M335" t="str">
        <x:f>IF(RAND()&lt;(('Team_Info'!$E$2-COUNTIF($B335:L335,"W"))/('Team_Info'!$E$4-11)),"W","B")</x:f>
        <x:v>B</x:v>
      </x:c>
      <x:c r="N335" t="str">
        <x:f>IF(RAND()&lt;(('Team_Info'!$E$2-COUNTIF($B335:M335,"W"))/('Team_Info'!$E$4-12)),"W","B")</x:f>
        <x:v>B</x:v>
      </x:c>
      <x:c r="O335" t="str">
        <x:f>IF(RAND()&lt;(('Team_Info'!$E$2-COUNTIF($B335:N335,"W"))/('Team_Info'!$E$4-13)),"W","B")</x:f>
        <x:v>W</x:v>
      </x:c>
      <x:c r="P335" t="str">
        <x:f>IF(RAND()&lt;(('Team_Info'!$E$2-COUNTIF($B335:O335,"W"))/('Team_Info'!$E$4-14)),"W","B")</x:f>
        <x:v>B</x:v>
      </x:c>
      <x:c r="Q335" t="str">
        <x:f>IF(RAND()&lt;(('Team_Info'!$E$2-COUNTIF($B335:P335,"W"))/('Team_Info'!$E$4-15)),"W","B")</x:f>
        <x:v>W</x:v>
      </x:c>
      <x:c r="R335" t="str">
        <x:f>IF(RAND()&lt;(('Team_Info'!$E$2-COUNTIF($B335:Q335,"W"))/('Team_Info'!$E$4-16)),"W","B")</x:f>
        <x:v>W</x:v>
      </x:c>
      <x:c r="S335" t="str">
        <x:f>IF(RAND()&lt;(('Team_Info'!$E$2-COUNTIF($B335:R335,"W"))/('Team_Info'!$E$4-17)),"W","B")</x:f>
        <x:v>B</x:v>
      </x:c>
      <x:c r="T335" t="str">
        <x:f>IF(RAND()&lt;(('Team_Info'!$E$2-COUNTIF($B335:S335,"W"))/('Team_Info'!$E$4-18)),"W","B")</x:f>
        <x:v>W</x:v>
      </x:c>
      <x:c r="U335" t="str">
        <x:f>IF(RAND()&lt;(('Team_Info'!$E$2-COUNTIF($B335:T335,"W"))/('Team_Info'!$E$4-19)),"W","B")</x:f>
        <x:v>B</x:v>
      </x:c>
    </x:row>
    <x:row r="336">
      <x:c r="A336" s="1">
        <x:v>335</x:v>
      </x:c>
      <x:c r="B336" t="str">
        <x:f>IF(RAND()&lt;'Team_Info'!$E$5,"W","B")</x:f>
        <x:v>B</x:v>
      </x:c>
      <x:c r="C336" t="str">
        <x:f>IF(RAND()&lt;(('Team_Info'!$E$2-COUNTIF($B336:B336,"W"))/('Team_Info'!$E$4-1)),"W","B")</x:f>
        <x:v>W</x:v>
      </x:c>
      <x:c r="D336" t="str">
        <x:f>IF(RAND()&lt;(('Team_Info'!$E$2-COUNTIF($B336:C336,"W"))/('Team_Info'!$E$4-2)),"W","B")</x:f>
        <x:v>W</x:v>
      </x:c>
      <x:c r="E336" t="str">
        <x:f>IF(RAND()&lt;(('Team_Info'!$E$2-COUNTIF($B336:D336,"W"))/('Team_Info'!$E$4-3)),"W","B")</x:f>
        <x:v>W</x:v>
      </x:c>
      <x:c r="F336" t="str">
        <x:f>IF(RAND()&lt;(('Team_Info'!$E$2-COUNTIF($B336:E336,"W"))/('Team_Info'!$E$4-4)),"W","B")</x:f>
        <x:v>B</x:v>
      </x:c>
      <x:c r="G336" t="str">
        <x:f>IF(RAND()&lt;(('Team_Info'!$E$2-COUNTIF($B336:F336,"W"))/('Team_Info'!$E$4-5)),"W","B")</x:f>
        <x:v>W</x:v>
      </x:c>
      <x:c r="H336" t="str">
        <x:f>IF(RAND()&lt;(('Team_Info'!$E$2-COUNTIF($B336:G336,"W"))/('Team_Info'!$E$4-6)),"W","B")</x:f>
        <x:v>W</x:v>
      </x:c>
      <x:c r="I336" t="str">
        <x:f>IF(RAND()&lt;(('Team_Info'!$E$2-COUNTIF($B336:H336,"W"))/('Team_Info'!$E$4-7)),"W","B")</x:f>
        <x:v>W</x:v>
      </x:c>
      <x:c r="J336" t="str">
        <x:f>IF(RAND()&lt;(('Team_Info'!$E$2-COUNTIF($B336:I336,"W"))/('Team_Info'!$E$4-8)),"W","B")</x:f>
        <x:v>B</x:v>
      </x:c>
      <x:c r="K336" t="str">
        <x:f>IF(RAND()&lt;(('Team_Info'!$E$2-COUNTIF($B336:J336,"W"))/('Team_Info'!$E$4-9)),"W","B")</x:f>
        <x:v>W</x:v>
      </x:c>
      <x:c r="L336" t="str">
        <x:f>IF(RAND()&lt;(('Team_Info'!$E$2-COUNTIF($B336:K336,"W"))/('Team_Info'!$E$4-10)),"W","B")</x:f>
        <x:v>B</x:v>
      </x:c>
      <x:c r="M336" t="str">
        <x:f>IF(RAND()&lt;(('Team_Info'!$E$2-COUNTIF($B336:L336,"W"))/('Team_Info'!$E$4-11)),"W","B")</x:f>
        <x:v>B</x:v>
      </x:c>
      <x:c r="N336" t="str">
        <x:f>IF(RAND()&lt;(('Team_Info'!$E$2-COUNTIF($B336:M336,"W"))/('Team_Info'!$E$4-12)),"W","B")</x:f>
        <x:v>B</x:v>
      </x:c>
      <x:c r="O336" t="str">
        <x:f>IF(RAND()&lt;(('Team_Info'!$E$2-COUNTIF($B336:N336,"W"))/('Team_Info'!$E$4-13)),"W","B")</x:f>
        <x:v>W</x:v>
      </x:c>
      <x:c r="P336" t="str">
        <x:f>IF(RAND()&lt;(('Team_Info'!$E$2-COUNTIF($B336:O336,"W"))/('Team_Info'!$E$4-14)),"W","B")</x:f>
        <x:v>W</x:v>
      </x:c>
      <x:c r="Q336" t="str">
        <x:f>IF(RAND()&lt;(('Team_Info'!$E$2-COUNTIF($B336:P336,"W"))/('Team_Info'!$E$4-15)),"W","B")</x:f>
        <x:v>W</x:v>
      </x:c>
      <x:c r="R336" t="str">
        <x:f>IF(RAND()&lt;(('Team_Info'!$E$2-COUNTIF($B336:Q336,"W"))/('Team_Info'!$E$4-16)),"W","B")</x:f>
        <x:v>B</x:v>
      </x:c>
      <x:c r="S336" t="str">
        <x:f>IF(RAND()&lt;(('Team_Info'!$E$2-COUNTIF($B336:R336,"W"))/('Team_Info'!$E$4-17)),"W","B")</x:f>
        <x:v>B</x:v>
      </x:c>
      <x:c r="T336" t="str">
        <x:f>IF(RAND()&lt;(('Team_Info'!$E$2-COUNTIF($B336:S336,"W"))/('Team_Info'!$E$4-18)),"W","B")</x:f>
        <x:v>B</x:v>
      </x:c>
      <x:c r="U336" t="str">
        <x:f>IF(RAND()&lt;(('Team_Info'!$E$2-COUNTIF($B336:T336,"W"))/('Team_Info'!$E$4-19)),"W","B")</x:f>
        <x:v>B</x:v>
      </x:c>
    </x:row>
    <x:row r="337">
      <x:c r="A337" s="1">
        <x:v>336</x:v>
      </x:c>
      <x:c r="B337" t="str">
        <x:f>IF(RAND()&lt;'Team_Info'!$E$5,"W","B")</x:f>
        <x:v>B</x:v>
      </x:c>
      <x:c r="C337" t="str">
        <x:f>IF(RAND()&lt;(('Team_Info'!$E$2-COUNTIF($B337:B337,"W"))/('Team_Info'!$E$4-1)),"W","B")</x:f>
        <x:v>B</x:v>
      </x:c>
      <x:c r="D337" t="str">
        <x:f>IF(RAND()&lt;(('Team_Info'!$E$2-COUNTIF($B337:C337,"W"))/('Team_Info'!$E$4-2)),"W","B")</x:f>
        <x:v>W</x:v>
      </x:c>
      <x:c r="E337" t="str">
        <x:f>IF(RAND()&lt;(('Team_Info'!$E$2-COUNTIF($B337:D337,"W"))/('Team_Info'!$E$4-3)),"W","B")</x:f>
        <x:v>B</x:v>
      </x:c>
      <x:c r="F337" t="str">
        <x:f>IF(RAND()&lt;(('Team_Info'!$E$2-COUNTIF($B337:E337,"W"))/('Team_Info'!$E$4-4)),"W","B")</x:f>
        <x:v>W</x:v>
      </x:c>
      <x:c r="G337" t="str">
        <x:f>IF(RAND()&lt;(('Team_Info'!$E$2-COUNTIF($B337:F337,"W"))/('Team_Info'!$E$4-5)),"W","B")</x:f>
        <x:v>W</x:v>
      </x:c>
      <x:c r="H337" t="str">
        <x:f>IF(RAND()&lt;(('Team_Info'!$E$2-COUNTIF($B337:G337,"W"))/('Team_Info'!$E$4-6)),"W","B")</x:f>
        <x:v>W</x:v>
      </x:c>
      <x:c r="I337" t="str">
        <x:f>IF(RAND()&lt;(('Team_Info'!$E$2-COUNTIF($B337:H337,"W"))/('Team_Info'!$E$4-7)),"W","B")</x:f>
        <x:v>B</x:v>
      </x:c>
      <x:c r="J337" t="str">
        <x:f>IF(RAND()&lt;(('Team_Info'!$E$2-COUNTIF($B337:I337,"W"))/('Team_Info'!$E$4-8)),"W","B")</x:f>
        <x:v>W</x:v>
      </x:c>
      <x:c r="K337" t="str">
        <x:f>IF(RAND()&lt;(('Team_Info'!$E$2-COUNTIF($B337:J337,"W"))/('Team_Info'!$E$4-9)),"W","B")</x:f>
        <x:v>B</x:v>
      </x:c>
      <x:c r="L337" t="str">
        <x:f>IF(RAND()&lt;(('Team_Info'!$E$2-COUNTIF($B337:K337,"W"))/('Team_Info'!$E$4-10)),"W","B")</x:f>
        <x:v>B</x:v>
      </x:c>
      <x:c r="M337" t="str">
        <x:f>IF(RAND()&lt;(('Team_Info'!$E$2-COUNTIF($B337:L337,"W"))/('Team_Info'!$E$4-11)),"W","B")</x:f>
        <x:v>B</x:v>
      </x:c>
      <x:c r="N337" t="str">
        <x:f>IF(RAND()&lt;(('Team_Info'!$E$2-COUNTIF($B337:M337,"W"))/('Team_Info'!$E$4-12)),"W","B")</x:f>
        <x:v>B</x:v>
      </x:c>
      <x:c r="O337" t="str">
        <x:f>IF(RAND()&lt;(('Team_Info'!$E$2-COUNTIF($B337:N337,"W"))/('Team_Info'!$E$4-13)),"W","B")</x:f>
        <x:v>W</x:v>
      </x:c>
      <x:c r="P337" t="str">
        <x:f>IF(RAND()&lt;(('Team_Info'!$E$2-COUNTIF($B337:O337,"W"))/('Team_Info'!$E$4-14)),"W","B")</x:f>
        <x:v>W</x:v>
      </x:c>
      <x:c r="Q337" t="str">
        <x:f>IF(RAND()&lt;(('Team_Info'!$E$2-COUNTIF($B337:P337,"W"))/('Team_Info'!$E$4-15)),"W","B")</x:f>
        <x:v>B</x:v>
      </x:c>
      <x:c r="R337" t="str">
        <x:f>IF(RAND()&lt;(('Team_Info'!$E$2-COUNTIF($B337:Q337,"W"))/('Team_Info'!$E$4-16)),"W","B")</x:f>
        <x:v>B</x:v>
      </x:c>
      <x:c r="S337" t="str">
        <x:f>IF(RAND()&lt;(('Team_Info'!$E$2-COUNTIF($B337:R337,"W"))/('Team_Info'!$E$4-17)),"W","B")</x:f>
        <x:v>B</x:v>
      </x:c>
      <x:c r="T337" t="str">
        <x:f>IF(RAND()&lt;(('Team_Info'!$E$2-COUNTIF($B337:S337,"W"))/('Team_Info'!$E$4-18)),"W","B")</x:f>
        <x:v>W</x:v>
      </x:c>
      <x:c r="U337" t="str">
        <x:f>IF(RAND()&lt;(('Team_Info'!$E$2-COUNTIF($B337:T337,"W"))/('Team_Info'!$E$4-19)),"W","B")</x:f>
        <x:v>B</x:v>
      </x:c>
    </x:row>
    <x:row r="338">
      <x:c r="A338" s="1">
        <x:v>337</x:v>
      </x:c>
      <x:c r="B338" t="str">
        <x:f>IF(RAND()&lt;'Team_Info'!$E$5,"W","B")</x:f>
        <x:v>W</x:v>
      </x:c>
      <x:c r="C338" t="str">
        <x:f>IF(RAND()&lt;(('Team_Info'!$E$2-COUNTIF($B338:B338,"W"))/('Team_Info'!$E$4-1)),"W","B")</x:f>
        <x:v>W</x:v>
      </x:c>
      <x:c r="D338" t="str">
        <x:f>IF(RAND()&lt;(('Team_Info'!$E$2-COUNTIF($B338:C338,"W"))/('Team_Info'!$E$4-2)),"W","B")</x:f>
        <x:v>W</x:v>
      </x:c>
      <x:c r="E338" t="str">
        <x:f>IF(RAND()&lt;(('Team_Info'!$E$2-COUNTIF($B338:D338,"W"))/('Team_Info'!$E$4-3)),"W","B")</x:f>
        <x:v>B</x:v>
      </x:c>
      <x:c r="F338" t="str">
        <x:f>IF(RAND()&lt;(('Team_Info'!$E$2-COUNTIF($B338:E338,"W"))/('Team_Info'!$E$4-4)),"W","B")</x:f>
        <x:v>B</x:v>
      </x:c>
      <x:c r="G338" t="str">
        <x:f>IF(RAND()&lt;(('Team_Info'!$E$2-COUNTIF($B338:F338,"W"))/('Team_Info'!$E$4-5)),"W","B")</x:f>
        <x:v>W</x:v>
      </x:c>
      <x:c r="H338" t="str">
        <x:f>IF(RAND()&lt;(('Team_Info'!$E$2-COUNTIF($B338:G338,"W"))/('Team_Info'!$E$4-6)),"W","B")</x:f>
        <x:v>B</x:v>
      </x:c>
      <x:c r="I338" t="str">
        <x:f>IF(RAND()&lt;(('Team_Info'!$E$2-COUNTIF($B338:H338,"W"))/('Team_Info'!$E$4-7)),"W","B")</x:f>
        <x:v>W</x:v>
      </x:c>
      <x:c r="J338" t="str">
        <x:f>IF(RAND()&lt;(('Team_Info'!$E$2-COUNTIF($B338:I338,"W"))/('Team_Info'!$E$4-8)),"W","B")</x:f>
        <x:v>B</x:v>
      </x:c>
      <x:c r="K338" t="str">
        <x:f>IF(RAND()&lt;(('Team_Info'!$E$2-COUNTIF($B338:J338,"W"))/('Team_Info'!$E$4-9)),"W","B")</x:f>
        <x:v>W</x:v>
      </x:c>
      <x:c r="L338" t="str">
        <x:f>IF(RAND()&lt;(('Team_Info'!$E$2-COUNTIF($B338:K338,"W"))/('Team_Info'!$E$4-10)),"W","B")</x:f>
        <x:v>W</x:v>
      </x:c>
      <x:c r="M338" t="str">
        <x:f>IF(RAND()&lt;(('Team_Info'!$E$2-COUNTIF($B338:L338,"W"))/('Team_Info'!$E$4-11)),"W","B")</x:f>
        <x:v>B</x:v>
      </x:c>
      <x:c r="N338" t="str">
        <x:f>IF(RAND()&lt;(('Team_Info'!$E$2-COUNTIF($B338:M338,"W"))/('Team_Info'!$E$4-12)),"W","B")</x:f>
        <x:v>B</x:v>
      </x:c>
      <x:c r="O338" t="str">
        <x:f>IF(RAND()&lt;(('Team_Info'!$E$2-COUNTIF($B338:N338,"W"))/('Team_Info'!$E$4-13)),"W","B")</x:f>
        <x:v>W</x:v>
      </x:c>
      <x:c r="P338" t="str">
        <x:f>IF(RAND()&lt;(('Team_Info'!$E$2-COUNTIF($B338:O338,"W"))/('Team_Info'!$E$4-14)),"W","B")</x:f>
        <x:v>B</x:v>
      </x:c>
      <x:c r="Q338" t="str">
        <x:f>IF(RAND()&lt;(('Team_Info'!$E$2-COUNTIF($B338:P338,"W"))/('Team_Info'!$E$4-15)),"W","B")</x:f>
        <x:v>W</x:v>
      </x:c>
      <x:c r="R338" t="str">
        <x:f>IF(RAND()&lt;(('Team_Info'!$E$2-COUNTIF($B338:Q338,"W"))/('Team_Info'!$E$4-16)),"W","B")</x:f>
        <x:v>W</x:v>
      </x:c>
      <x:c r="S338" t="str">
        <x:f>IF(RAND()&lt;(('Team_Info'!$E$2-COUNTIF($B338:R338,"W"))/('Team_Info'!$E$4-17)),"W","B")</x:f>
        <x:v>B</x:v>
      </x:c>
      <x:c r="T338" t="str">
        <x:f>IF(RAND()&lt;(('Team_Info'!$E$2-COUNTIF($B338:S338,"W"))/('Team_Info'!$E$4-18)),"W","B")</x:f>
        <x:v>B</x:v>
      </x:c>
      <x:c r="U338" t="str">
        <x:f>IF(RAND()&lt;(('Team_Info'!$E$2-COUNTIF($B338:T338,"W"))/('Team_Info'!$E$4-19)),"W","B")</x:f>
        <x:v>B</x:v>
      </x:c>
    </x:row>
    <x:row r="339">
      <x:c r="A339" s="1">
        <x:v>338</x:v>
      </x:c>
      <x:c r="B339" t="str">
        <x:f>IF(RAND()&lt;'Team_Info'!$E$5,"W","B")</x:f>
        <x:v>B</x:v>
      </x:c>
      <x:c r="C339" t="str">
        <x:f>IF(RAND()&lt;(('Team_Info'!$E$2-COUNTIF($B339:B339,"W"))/('Team_Info'!$E$4-1)),"W","B")</x:f>
        <x:v>W</x:v>
      </x:c>
      <x:c r="D339" t="str">
        <x:f>IF(RAND()&lt;(('Team_Info'!$E$2-COUNTIF($B339:C339,"W"))/('Team_Info'!$E$4-2)),"W","B")</x:f>
        <x:v>B</x:v>
      </x:c>
      <x:c r="E339" t="str">
        <x:f>IF(RAND()&lt;(('Team_Info'!$E$2-COUNTIF($B339:D339,"W"))/('Team_Info'!$E$4-3)),"W","B")</x:f>
        <x:v>W</x:v>
      </x:c>
      <x:c r="F339" t="str">
        <x:f>IF(RAND()&lt;(('Team_Info'!$E$2-COUNTIF($B339:E339,"W"))/('Team_Info'!$E$4-4)),"W","B")</x:f>
        <x:v>W</x:v>
      </x:c>
      <x:c r="G339" t="str">
        <x:f>IF(RAND()&lt;(('Team_Info'!$E$2-COUNTIF($B339:F339,"W"))/('Team_Info'!$E$4-5)),"W","B")</x:f>
        <x:v>B</x:v>
      </x:c>
      <x:c r="H339" t="str">
        <x:f>IF(RAND()&lt;(('Team_Info'!$E$2-COUNTIF($B339:G339,"W"))/('Team_Info'!$E$4-6)),"W","B")</x:f>
        <x:v>B</x:v>
      </x:c>
      <x:c r="I339" t="str">
        <x:f>IF(RAND()&lt;(('Team_Info'!$E$2-COUNTIF($B339:H339,"W"))/('Team_Info'!$E$4-7)),"W","B")</x:f>
        <x:v>W</x:v>
      </x:c>
      <x:c r="J339" t="str">
        <x:f>IF(RAND()&lt;(('Team_Info'!$E$2-COUNTIF($B339:I339,"W"))/('Team_Info'!$E$4-8)),"W","B")</x:f>
        <x:v>W</x:v>
      </x:c>
      <x:c r="K339" t="str">
        <x:f>IF(RAND()&lt;(('Team_Info'!$E$2-COUNTIF($B339:J339,"W"))/('Team_Info'!$E$4-9)),"W","B")</x:f>
        <x:v>B</x:v>
      </x:c>
      <x:c r="L339" t="str">
        <x:f>IF(RAND()&lt;(('Team_Info'!$E$2-COUNTIF($B339:K339,"W"))/('Team_Info'!$E$4-10)),"W","B")</x:f>
        <x:v>B</x:v>
      </x:c>
      <x:c r="M339" t="str">
        <x:f>IF(RAND()&lt;(('Team_Info'!$E$2-COUNTIF($B339:L339,"W"))/('Team_Info'!$E$4-11)),"W","B")</x:f>
        <x:v>W</x:v>
      </x:c>
      <x:c r="N339" t="str">
        <x:f>IF(RAND()&lt;(('Team_Info'!$E$2-COUNTIF($B339:M339,"W"))/('Team_Info'!$E$4-12)),"W","B")</x:f>
        <x:v>B</x:v>
      </x:c>
      <x:c r="O339" t="str">
        <x:f>IF(RAND()&lt;(('Team_Info'!$E$2-COUNTIF($B339:N339,"W"))/('Team_Info'!$E$4-13)),"W","B")</x:f>
        <x:v>W</x:v>
      </x:c>
      <x:c r="P339" t="str">
        <x:f>IF(RAND()&lt;(('Team_Info'!$E$2-COUNTIF($B339:O339,"W"))/('Team_Info'!$E$4-14)),"W","B")</x:f>
        <x:v>W</x:v>
      </x:c>
      <x:c r="Q339" t="str">
        <x:f>IF(RAND()&lt;(('Team_Info'!$E$2-COUNTIF($B339:P339,"W"))/('Team_Info'!$E$4-15)),"W","B")</x:f>
        <x:v>B</x:v>
      </x:c>
      <x:c r="R339" t="str">
        <x:f>IF(RAND()&lt;(('Team_Info'!$E$2-COUNTIF($B339:Q339,"W"))/('Team_Info'!$E$4-16)),"W","B")</x:f>
        <x:v>B</x:v>
      </x:c>
      <x:c r="S339" t="str">
        <x:f>IF(RAND()&lt;(('Team_Info'!$E$2-COUNTIF($B339:R339,"W"))/('Team_Info'!$E$4-17)),"W","B")</x:f>
        <x:v>B</x:v>
      </x:c>
      <x:c r="T339" t="str">
        <x:f>IF(RAND()&lt;(('Team_Info'!$E$2-COUNTIF($B339:S339,"W"))/('Team_Info'!$E$4-18)),"W","B")</x:f>
        <x:v>B</x:v>
      </x:c>
      <x:c r="U339" t="str">
        <x:f>IF(RAND()&lt;(('Team_Info'!$E$2-COUNTIF($B339:T339,"W"))/('Team_Info'!$E$4-19)),"W","B")</x:f>
        <x:v>W</x:v>
      </x:c>
    </x:row>
    <x:row r="340">
      <x:c r="A340" s="1">
        <x:v>339</x:v>
      </x:c>
      <x:c r="B340" t="str">
        <x:f>IF(RAND()&lt;'Team_Info'!$E$5,"W","B")</x:f>
        <x:v>B</x:v>
      </x:c>
      <x:c r="C340" t="str">
        <x:f>IF(RAND()&lt;(('Team_Info'!$E$2-COUNTIF($B340:B340,"W"))/('Team_Info'!$E$4-1)),"W","B")</x:f>
        <x:v>W</x:v>
      </x:c>
      <x:c r="D340" t="str">
        <x:f>IF(RAND()&lt;(('Team_Info'!$E$2-COUNTIF($B340:C340,"W"))/('Team_Info'!$E$4-2)),"W","B")</x:f>
        <x:v>W</x:v>
      </x:c>
      <x:c r="E340" t="str">
        <x:f>IF(RAND()&lt;(('Team_Info'!$E$2-COUNTIF($B340:D340,"W"))/('Team_Info'!$E$4-3)),"W","B")</x:f>
        <x:v>B</x:v>
      </x:c>
      <x:c r="F340" t="str">
        <x:f>IF(RAND()&lt;(('Team_Info'!$E$2-COUNTIF($B340:E340,"W"))/('Team_Info'!$E$4-4)),"W","B")</x:f>
        <x:v>B</x:v>
      </x:c>
      <x:c r="G340" t="str">
        <x:f>IF(RAND()&lt;(('Team_Info'!$E$2-COUNTIF($B340:F340,"W"))/('Team_Info'!$E$4-5)),"W","B")</x:f>
        <x:v>W</x:v>
      </x:c>
      <x:c r="H340" t="str">
        <x:f>IF(RAND()&lt;(('Team_Info'!$E$2-COUNTIF($B340:G340,"W"))/('Team_Info'!$E$4-6)),"W","B")</x:f>
        <x:v>B</x:v>
      </x:c>
      <x:c r="I340" t="str">
        <x:f>IF(RAND()&lt;(('Team_Info'!$E$2-COUNTIF($B340:H340,"W"))/('Team_Info'!$E$4-7)),"W","B")</x:f>
        <x:v>B</x:v>
      </x:c>
      <x:c r="J340" t="str">
        <x:f>IF(RAND()&lt;(('Team_Info'!$E$2-COUNTIF($B340:I340,"W"))/('Team_Info'!$E$4-8)),"W","B")</x:f>
        <x:v>W</x:v>
      </x:c>
      <x:c r="K340" t="str">
        <x:f>IF(RAND()&lt;(('Team_Info'!$E$2-COUNTIF($B340:J340,"W"))/('Team_Info'!$E$4-9)),"W","B")</x:f>
        <x:v>W</x:v>
      </x:c>
      <x:c r="L340" t="str">
        <x:f>IF(RAND()&lt;(('Team_Info'!$E$2-COUNTIF($B340:K340,"W"))/('Team_Info'!$E$4-10)),"W","B")</x:f>
        <x:v>B</x:v>
      </x:c>
      <x:c r="M340" t="str">
        <x:f>IF(RAND()&lt;(('Team_Info'!$E$2-COUNTIF($B340:L340,"W"))/('Team_Info'!$E$4-11)),"W","B")</x:f>
        <x:v>B</x:v>
      </x:c>
      <x:c r="N340" t="str">
        <x:f>IF(RAND()&lt;(('Team_Info'!$E$2-COUNTIF($B340:M340,"W"))/('Team_Info'!$E$4-12)),"W","B")</x:f>
        <x:v>W</x:v>
      </x:c>
      <x:c r="O340" t="str">
        <x:f>IF(RAND()&lt;(('Team_Info'!$E$2-COUNTIF($B340:N340,"W"))/('Team_Info'!$E$4-13)),"W","B")</x:f>
        <x:v>B</x:v>
      </x:c>
      <x:c r="P340" t="str">
        <x:f>IF(RAND()&lt;(('Team_Info'!$E$2-COUNTIF($B340:O340,"W"))/('Team_Info'!$E$4-14)),"W","B")</x:f>
        <x:v>B</x:v>
      </x:c>
      <x:c r="Q340" t="str">
        <x:f>IF(RAND()&lt;(('Team_Info'!$E$2-COUNTIF($B340:P340,"W"))/('Team_Info'!$E$4-15)),"W","B")</x:f>
        <x:v>B</x:v>
      </x:c>
      <x:c r="R340" t="str">
        <x:f>IF(RAND()&lt;(('Team_Info'!$E$2-COUNTIF($B340:Q340,"W"))/('Team_Info'!$E$4-16)),"W","B")</x:f>
        <x:v>B</x:v>
      </x:c>
      <x:c r="S340" t="str">
        <x:f>IF(RAND()&lt;(('Team_Info'!$E$2-COUNTIF($B340:R340,"W"))/('Team_Info'!$E$4-17)),"W","B")</x:f>
        <x:v>W</x:v>
      </x:c>
      <x:c r="T340" t="str">
        <x:f>IF(RAND()&lt;(('Team_Info'!$E$2-COUNTIF($B340:S340,"W"))/('Team_Info'!$E$4-18)),"W","B")</x:f>
        <x:v>B</x:v>
      </x:c>
      <x:c r="U340" t="str">
        <x:f>IF(RAND()&lt;(('Team_Info'!$E$2-COUNTIF($B340:T340,"W"))/('Team_Info'!$E$4-19)),"W","B")</x:f>
        <x:v>B</x:v>
      </x:c>
    </x:row>
    <x:row r="341">
      <x:c r="A341" s="1">
        <x:v>340</x:v>
      </x:c>
      <x:c r="B341" t="str">
        <x:f>IF(RAND()&lt;'Team_Info'!$E$5,"W","B")</x:f>
        <x:v>B</x:v>
      </x:c>
      <x:c r="C341" t="str">
        <x:f>IF(RAND()&lt;(('Team_Info'!$E$2-COUNTIF($B341:B341,"W"))/('Team_Info'!$E$4-1)),"W","B")</x:f>
        <x:v>W</x:v>
      </x:c>
      <x:c r="D341" t="str">
        <x:f>IF(RAND()&lt;(('Team_Info'!$E$2-COUNTIF($B341:C341,"W"))/('Team_Info'!$E$4-2)),"W","B")</x:f>
        <x:v>B</x:v>
      </x:c>
      <x:c r="E341" t="str">
        <x:f>IF(RAND()&lt;(('Team_Info'!$E$2-COUNTIF($B341:D341,"W"))/('Team_Info'!$E$4-3)),"W","B")</x:f>
        <x:v>B</x:v>
      </x:c>
      <x:c r="F341" t="str">
        <x:f>IF(RAND()&lt;(('Team_Info'!$E$2-COUNTIF($B341:E341,"W"))/('Team_Info'!$E$4-4)),"W","B")</x:f>
        <x:v>B</x:v>
      </x:c>
      <x:c r="G341" t="str">
        <x:f>IF(RAND()&lt;(('Team_Info'!$E$2-COUNTIF($B341:F341,"W"))/('Team_Info'!$E$4-5)),"W","B")</x:f>
        <x:v>B</x:v>
      </x:c>
      <x:c r="H341" t="str">
        <x:f>IF(RAND()&lt;(('Team_Info'!$E$2-COUNTIF($B341:G341,"W"))/('Team_Info'!$E$4-6)),"W","B")</x:f>
        <x:v>W</x:v>
      </x:c>
      <x:c r="I341" t="str">
        <x:f>IF(RAND()&lt;(('Team_Info'!$E$2-COUNTIF($B341:H341,"W"))/('Team_Info'!$E$4-7)),"W","B")</x:f>
        <x:v>W</x:v>
      </x:c>
      <x:c r="J341" t="str">
        <x:f>IF(RAND()&lt;(('Team_Info'!$E$2-COUNTIF($B341:I341,"W"))/('Team_Info'!$E$4-8)),"W","B")</x:f>
        <x:v>B</x:v>
      </x:c>
      <x:c r="K341" t="str">
        <x:f>IF(RAND()&lt;(('Team_Info'!$E$2-COUNTIF($B341:J341,"W"))/('Team_Info'!$E$4-9)),"W","B")</x:f>
        <x:v>B</x:v>
      </x:c>
      <x:c r="L341" t="str">
        <x:f>IF(RAND()&lt;(('Team_Info'!$E$2-COUNTIF($B341:K341,"W"))/('Team_Info'!$E$4-10)),"W","B")</x:f>
        <x:v>B</x:v>
      </x:c>
      <x:c r="M341" t="str">
        <x:f>IF(RAND()&lt;(('Team_Info'!$E$2-COUNTIF($B341:L341,"W"))/('Team_Info'!$E$4-11)),"W","B")</x:f>
        <x:v>W</x:v>
      </x:c>
      <x:c r="N341" t="str">
        <x:f>IF(RAND()&lt;(('Team_Info'!$E$2-COUNTIF($B341:M341,"W"))/('Team_Info'!$E$4-12)),"W","B")</x:f>
        <x:v>B</x:v>
      </x:c>
      <x:c r="O341" t="str">
        <x:f>IF(RAND()&lt;(('Team_Info'!$E$2-COUNTIF($B341:N341,"W"))/('Team_Info'!$E$4-13)),"W","B")</x:f>
        <x:v>B</x:v>
      </x:c>
      <x:c r="P341" t="str">
        <x:f>IF(RAND()&lt;(('Team_Info'!$E$2-COUNTIF($B341:O341,"W"))/('Team_Info'!$E$4-14)),"W","B")</x:f>
        <x:v>W</x:v>
      </x:c>
      <x:c r="Q341" t="str">
        <x:f>IF(RAND()&lt;(('Team_Info'!$E$2-COUNTIF($B341:P341,"W"))/('Team_Info'!$E$4-15)),"W","B")</x:f>
        <x:v>W</x:v>
      </x:c>
      <x:c r="R341" t="str">
        <x:f>IF(RAND()&lt;(('Team_Info'!$E$2-COUNTIF($B341:Q341,"W"))/('Team_Info'!$E$4-16)),"W","B")</x:f>
        <x:v>B</x:v>
      </x:c>
      <x:c r="S341" t="str">
        <x:f>IF(RAND()&lt;(('Team_Info'!$E$2-COUNTIF($B341:R341,"W"))/('Team_Info'!$E$4-17)),"W","B")</x:f>
        <x:v>W</x:v>
      </x:c>
      <x:c r="T341" t="str">
        <x:f>IF(RAND()&lt;(('Team_Info'!$E$2-COUNTIF($B341:S341,"W"))/('Team_Info'!$E$4-18)),"W","B")</x:f>
        <x:v>B</x:v>
      </x:c>
      <x:c r="U341" t="str">
        <x:f>IF(RAND()&lt;(('Team_Info'!$E$2-COUNTIF($B341:T341,"W"))/('Team_Info'!$E$4-19)),"W","B")</x:f>
        <x:v>B</x:v>
      </x:c>
    </x:row>
    <x:row r="342">
      <x:c r="A342" s="1">
        <x:v>341</x:v>
      </x:c>
      <x:c r="B342" t="str">
        <x:f>IF(RAND()&lt;'Team_Info'!$E$5,"W","B")</x:f>
        <x:v>W</x:v>
      </x:c>
      <x:c r="C342" t="str">
        <x:f>IF(RAND()&lt;(('Team_Info'!$E$2-COUNTIF($B342:B342,"W"))/('Team_Info'!$E$4-1)),"W","B")</x:f>
        <x:v>W</x:v>
      </x:c>
      <x:c r="D342" t="str">
        <x:f>IF(RAND()&lt;(('Team_Info'!$E$2-COUNTIF($B342:C342,"W"))/('Team_Info'!$E$4-2)),"W","B")</x:f>
        <x:v>B</x:v>
      </x:c>
      <x:c r="E342" t="str">
        <x:f>IF(RAND()&lt;(('Team_Info'!$E$2-COUNTIF($B342:D342,"W"))/('Team_Info'!$E$4-3)),"W","B")</x:f>
        <x:v>B</x:v>
      </x:c>
      <x:c r="F342" t="str">
        <x:f>IF(RAND()&lt;(('Team_Info'!$E$2-COUNTIF($B342:E342,"W"))/('Team_Info'!$E$4-4)),"W","B")</x:f>
        <x:v>W</x:v>
      </x:c>
      <x:c r="G342" t="str">
        <x:f>IF(RAND()&lt;(('Team_Info'!$E$2-COUNTIF($B342:F342,"W"))/('Team_Info'!$E$4-5)),"W","B")</x:f>
        <x:v>B</x:v>
      </x:c>
      <x:c r="H342" t="str">
        <x:f>IF(RAND()&lt;(('Team_Info'!$E$2-COUNTIF($B342:G342,"W"))/('Team_Info'!$E$4-6)),"W","B")</x:f>
        <x:v>W</x:v>
      </x:c>
      <x:c r="I342" t="str">
        <x:f>IF(RAND()&lt;(('Team_Info'!$E$2-COUNTIF($B342:H342,"W"))/('Team_Info'!$E$4-7)),"W","B")</x:f>
        <x:v>B</x:v>
      </x:c>
      <x:c r="J342" t="str">
        <x:f>IF(RAND()&lt;(('Team_Info'!$E$2-COUNTIF($B342:I342,"W"))/('Team_Info'!$E$4-8)),"W","B")</x:f>
        <x:v>W</x:v>
      </x:c>
      <x:c r="K342" t="str">
        <x:f>IF(RAND()&lt;(('Team_Info'!$E$2-COUNTIF($B342:J342,"W"))/('Team_Info'!$E$4-9)),"W","B")</x:f>
        <x:v>B</x:v>
      </x:c>
      <x:c r="L342" t="str">
        <x:f>IF(RAND()&lt;(('Team_Info'!$E$2-COUNTIF($B342:K342,"W"))/('Team_Info'!$E$4-10)),"W","B")</x:f>
        <x:v>B</x:v>
      </x:c>
      <x:c r="M342" t="str">
        <x:f>IF(RAND()&lt;(('Team_Info'!$E$2-COUNTIF($B342:L342,"W"))/('Team_Info'!$E$4-11)),"W","B")</x:f>
        <x:v>B</x:v>
      </x:c>
      <x:c r="N342" t="str">
        <x:f>IF(RAND()&lt;(('Team_Info'!$E$2-COUNTIF($B342:M342,"W"))/('Team_Info'!$E$4-12)),"W","B")</x:f>
        <x:v>B</x:v>
      </x:c>
      <x:c r="O342" t="str">
        <x:f>IF(RAND()&lt;(('Team_Info'!$E$2-COUNTIF($B342:N342,"W"))/('Team_Info'!$E$4-13)),"W","B")</x:f>
        <x:v>B</x:v>
      </x:c>
      <x:c r="P342" t="str">
        <x:f>IF(RAND()&lt;(('Team_Info'!$E$2-COUNTIF($B342:O342,"W"))/('Team_Info'!$E$4-14)),"W","B")</x:f>
        <x:v>W</x:v>
      </x:c>
      <x:c r="Q342" t="str">
        <x:f>IF(RAND()&lt;(('Team_Info'!$E$2-COUNTIF($B342:P342,"W"))/('Team_Info'!$E$4-15)),"W","B")</x:f>
        <x:v>W</x:v>
      </x:c>
      <x:c r="R342" t="str">
        <x:f>IF(RAND()&lt;(('Team_Info'!$E$2-COUNTIF($B342:Q342,"W"))/('Team_Info'!$E$4-16)),"W","B")</x:f>
        <x:v>B</x:v>
      </x:c>
      <x:c r="S342" t="str">
        <x:f>IF(RAND()&lt;(('Team_Info'!$E$2-COUNTIF($B342:R342,"W"))/('Team_Info'!$E$4-17)),"W","B")</x:f>
        <x:v>B</x:v>
      </x:c>
      <x:c r="T342" t="str">
        <x:f>IF(RAND()&lt;(('Team_Info'!$E$2-COUNTIF($B342:S342,"W"))/('Team_Info'!$E$4-18)),"W","B")</x:f>
        <x:v>B</x:v>
      </x:c>
      <x:c r="U342" t="str">
        <x:f>IF(RAND()&lt;(('Team_Info'!$E$2-COUNTIF($B342:T342,"W"))/('Team_Info'!$E$4-19)),"W","B")</x:f>
        <x:v>B</x:v>
      </x:c>
    </x:row>
    <x:row r="343">
      <x:c r="A343" s="1">
        <x:v>342</x:v>
      </x:c>
      <x:c r="B343" t="str">
        <x:f>IF(RAND()&lt;'Team_Info'!$E$5,"W","B")</x:f>
        <x:v>B</x:v>
      </x:c>
      <x:c r="C343" t="str">
        <x:f>IF(RAND()&lt;(('Team_Info'!$E$2-COUNTIF($B343:B343,"W"))/('Team_Info'!$E$4-1)),"W","B")</x:f>
        <x:v>B</x:v>
      </x:c>
      <x:c r="D343" t="str">
        <x:f>IF(RAND()&lt;(('Team_Info'!$E$2-COUNTIF($B343:C343,"W"))/('Team_Info'!$E$4-2)),"W","B")</x:f>
        <x:v>B</x:v>
      </x:c>
      <x:c r="E343" t="str">
        <x:f>IF(RAND()&lt;(('Team_Info'!$E$2-COUNTIF($B343:D343,"W"))/('Team_Info'!$E$4-3)),"W","B")</x:f>
        <x:v>B</x:v>
      </x:c>
      <x:c r="F343" t="str">
        <x:f>IF(RAND()&lt;(('Team_Info'!$E$2-COUNTIF($B343:E343,"W"))/('Team_Info'!$E$4-4)),"W","B")</x:f>
        <x:v>W</x:v>
      </x:c>
      <x:c r="G343" t="str">
        <x:f>IF(RAND()&lt;(('Team_Info'!$E$2-COUNTIF($B343:F343,"W"))/('Team_Info'!$E$4-5)),"W","B")</x:f>
        <x:v>B</x:v>
      </x:c>
      <x:c r="H343" t="str">
        <x:f>IF(RAND()&lt;(('Team_Info'!$E$2-COUNTIF($B343:G343,"W"))/('Team_Info'!$E$4-6)),"W","B")</x:f>
        <x:v>B</x:v>
      </x:c>
      <x:c r="I343" t="str">
        <x:f>IF(RAND()&lt;(('Team_Info'!$E$2-COUNTIF($B343:H343,"W"))/('Team_Info'!$E$4-7)),"W","B")</x:f>
        <x:v>B</x:v>
      </x:c>
      <x:c r="J343" t="str">
        <x:f>IF(RAND()&lt;(('Team_Info'!$E$2-COUNTIF($B343:I343,"W"))/('Team_Info'!$E$4-8)),"W","B")</x:f>
        <x:v>W</x:v>
      </x:c>
      <x:c r="K343" t="str">
        <x:f>IF(RAND()&lt;(('Team_Info'!$E$2-COUNTIF($B343:J343,"W"))/('Team_Info'!$E$4-9)),"W","B")</x:f>
        <x:v>B</x:v>
      </x:c>
      <x:c r="L343" t="str">
        <x:f>IF(RAND()&lt;(('Team_Info'!$E$2-COUNTIF($B343:K343,"W"))/('Team_Info'!$E$4-10)),"W","B")</x:f>
        <x:v>B</x:v>
      </x:c>
      <x:c r="M343" t="str">
        <x:f>IF(RAND()&lt;(('Team_Info'!$E$2-COUNTIF($B343:L343,"W"))/('Team_Info'!$E$4-11)),"W","B")</x:f>
        <x:v>W</x:v>
      </x:c>
      <x:c r="N343" t="str">
        <x:f>IF(RAND()&lt;(('Team_Info'!$E$2-COUNTIF($B343:M343,"W"))/('Team_Info'!$E$4-12)),"W","B")</x:f>
        <x:v>B</x:v>
      </x:c>
      <x:c r="O343" t="str">
        <x:f>IF(RAND()&lt;(('Team_Info'!$E$2-COUNTIF($B343:N343,"W"))/('Team_Info'!$E$4-13)),"W","B")</x:f>
        <x:v>B</x:v>
      </x:c>
      <x:c r="P343" t="str">
        <x:f>IF(RAND()&lt;(('Team_Info'!$E$2-COUNTIF($B343:O343,"W"))/('Team_Info'!$E$4-14)),"W","B")</x:f>
        <x:v>B</x:v>
      </x:c>
      <x:c r="Q343" t="str">
        <x:f>IF(RAND()&lt;(('Team_Info'!$E$2-COUNTIF($B343:P343,"W"))/('Team_Info'!$E$4-15)),"W","B")</x:f>
        <x:v>B</x:v>
      </x:c>
      <x:c r="R343" t="str">
        <x:f>IF(RAND()&lt;(('Team_Info'!$E$2-COUNTIF($B343:Q343,"W"))/('Team_Info'!$E$4-16)),"W","B")</x:f>
        <x:v>B</x:v>
      </x:c>
      <x:c r="S343" t="str">
        <x:f>IF(RAND()&lt;(('Team_Info'!$E$2-COUNTIF($B343:R343,"W"))/('Team_Info'!$E$4-17)),"W","B")</x:f>
        <x:v>B</x:v>
      </x:c>
      <x:c r="T343" t="str">
        <x:f>IF(RAND()&lt;(('Team_Info'!$E$2-COUNTIF($B343:S343,"W"))/('Team_Info'!$E$4-18)),"W","B")</x:f>
        <x:v>B</x:v>
      </x:c>
      <x:c r="U343" t="str">
        <x:f>IF(RAND()&lt;(('Team_Info'!$E$2-COUNTIF($B343:T343,"W"))/('Team_Info'!$E$4-19)),"W","B")</x:f>
        <x:v>W</x:v>
      </x:c>
    </x:row>
    <x:row r="344">
      <x:c r="A344" s="1">
        <x:v>343</x:v>
      </x:c>
      <x:c r="B344" t="str">
        <x:f>IF(RAND()&lt;'Team_Info'!$E$5,"W","B")</x:f>
        <x:v>B</x:v>
      </x:c>
      <x:c r="C344" t="str">
        <x:f>IF(RAND()&lt;(('Team_Info'!$E$2-COUNTIF($B344:B344,"W"))/('Team_Info'!$E$4-1)),"W","B")</x:f>
        <x:v>B</x:v>
      </x:c>
      <x:c r="D344" t="str">
        <x:f>IF(RAND()&lt;(('Team_Info'!$E$2-COUNTIF($B344:C344,"W"))/('Team_Info'!$E$4-2)),"W","B")</x:f>
        <x:v>B</x:v>
      </x:c>
      <x:c r="E344" t="str">
        <x:f>IF(RAND()&lt;(('Team_Info'!$E$2-COUNTIF($B344:D344,"W"))/('Team_Info'!$E$4-3)),"W","B")</x:f>
        <x:v>B</x:v>
      </x:c>
      <x:c r="F344" t="str">
        <x:f>IF(RAND()&lt;(('Team_Info'!$E$2-COUNTIF($B344:E344,"W"))/('Team_Info'!$E$4-4)),"W","B")</x:f>
        <x:v>W</x:v>
      </x:c>
      <x:c r="G344" t="str">
        <x:f>IF(RAND()&lt;(('Team_Info'!$E$2-COUNTIF($B344:F344,"W"))/('Team_Info'!$E$4-5)),"W","B")</x:f>
        <x:v>B</x:v>
      </x:c>
      <x:c r="H344" t="str">
        <x:f>IF(RAND()&lt;(('Team_Info'!$E$2-COUNTIF($B344:G344,"W"))/('Team_Info'!$E$4-6)),"W","B")</x:f>
        <x:v>W</x:v>
      </x:c>
      <x:c r="I344" t="str">
        <x:f>IF(RAND()&lt;(('Team_Info'!$E$2-COUNTIF($B344:H344,"W"))/('Team_Info'!$E$4-7)),"W","B")</x:f>
        <x:v>W</x:v>
      </x:c>
      <x:c r="J344" t="str">
        <x:f>IF(RAND()&lt;(('Team_Info'!$E$2-COUNTIF($B344:I344,"W"))/('Team_Info'!$E$4-8)),"W","B")</x:f>
        <x:v>B</x:v>
      </x:c>
      <x:c r="K344" t="str">
        <x:f>IF(RAND()&lt;(('Team_Info'!$E$2-COUNTIF($B344:J344,"W"))/('Team_Info'!$E$4-9)),"W","B")</x:f>
        <x:v>B</x:v>
      </x:c>
      <x:c r="L344" t="str">
        <x:f>IF(RAND()&lt;(('Team_Info'!$E$2-COUNTIF($B344:K344,"W"))/('Team_Info'!$E$4-10)),"W","B")</x:f>
        <x:v>W</x:v>
      </x:c>
      <x:c r="M344" t="str">
        <x:f>IF(RAND()&lt;(('Team_Info'!$E$2-COUNTIF($B344:L344,"W"))/('Team_Info'!$E$4-11)),"W","B")</x:f>
        <x:v>W</x:v>
      </x:c>
      <x:c r="N344" t="str">
        <x:f>IF(RAND()&lt;(('Team_Info'!$E$2-COUNTIF($B344:M344,"W"))/('Team_Info'!$E$4-12)),"W","B")</x:f>
        <x:v>W</x:v>
      </x:c>
      <x:c r="O344" t="str">
        <x:f>IF(RAND()&lt;(('Team_Info'!$E$2-COUNTIF($B344:N344,"W"))/('Team_Info'!$E$4-13)),"W","B")</x:f>
        <x:v>B</x:v>
      </x:c>
      <x:c r="P344" t="str">
        <x:f>IF(RAND()&lt;(('Team_Info'!$E$2-COUNTIF($B344:O344,"W"))/('Team_Info'!$E$4-14)),"W","B")</x:f>
        <x:v>W</x:v>
      </x:c>
      <x:c r="Q344" t="str">
        <x:f>IF(RAND()&lt;(('Team_Info'!$E$2-COUNTIF($B344:P344,"W"))/('Team_Info'!$E$4-15)),"W","B")</x:f>
        <x:v>B</x:v>
      </x:c>
      <x:c r="R344" t="str">
        <x:f>IF(RAND()&lt;(('Team_Info'!$E$2-COUNTIF($B344:Q344,"W"))/('Team_Info'!$E$4-16)),"W","B")</x:f>
        <x:v>B</x:v>
      </x:c>
      <x:c r="S344" t="str">
        <x:f>IF(RAND()&lt;(('Team_Info'!$E$2-COUNTIF($B344:R344,"W"))/('Team_Info'!$E$4-17)),"W","B")</x:f>
        <x:v>W</x:v>
      </x:c>
      <x:c r="T344" t="str">
        <x:f>IF(RAND()&lt;(('Team_Info'!$E$2-COUNTIF($B344:S344,"W"))/('Team_Info'!$E$4-18)),"W","B")</x:f>
        <x:v>B</x:v>
      </x:c>
      <x:c r="U344" t="str">
        <x:f>IF(RAND()&lt;(('Team_Info'!$E$2-COUNTIF($B344:T344,"W"))/('Team_Info'!$E$4-19)),"W","B")</x:f>
        <x:v>B</x:v>
      </x:c>
    </x:row>
    <x:row r="345">
      <x:c r="A345" s="1">
        <x:v>344</x:v>
      </x:c>
      <x:c r="B345" t="str">
        <x:f>IF(RAND()&lt;'Team_Info'!$E$5,"W","B")</x:f>
        <x:v>W</x:v>
      </x:c>
      <x:c r="C345" t="str">
        <x:f>IF(RAND()&lt;(('Team_Info'!$E$2-COUNTIF($B345:B345,"W"))/('Team_Info'!$E$4-1)),"W","B")</x:f>
        <x:v>W</x:v>
      </x:c>
      <x:c r="D345" t="str">
        <x:f>IF(RAND()&lt;(('Team_Info'!$E$2-COUNTIF($B345:C345,"W"))/('Team_Info'!$E$4-2)),"W","B")</x:f>
        <x:v>B</x:v>
      </x:c>
      <x:c r="E345" t="str">
        <x:f>IF(RAND()&lt;(('Team_Info'!$E$2-COUNTIF($B345:D345,"W"))/('Team_Info'!$E$4-3)),"W","B")</x:f>
        <x:v>W</x:v>
      </x:c>
      <x:c r="F345" t="str">
        <x:f>IF(RAND()&lt;(('Team_Info'!$E$2-COUNTIF($B345:E345,"W"))/('Team_Info'!$E$4-4)),"W","B")</x:f>
        <x:v>B</x:v>
      </x:c>
      <x:c r="G345" t="str">
        <x:f>IF(RAND()&lt;(('Team_Info'!$E$2-COUNTIF($B345:F345,"W"))/('Team_Info'!$E$4-5)),"W","B")</x:f>
        <x:v>W</x:v>
      </x:c>
      <x:c r="H345" t="str">
        <x:f>IF(RAND()&lt;(('Team_Info'!$E$2-COUNTIF($B345:G345,"W"))/('Team_Info'!$E$4-6)),"W","B")</x:f>
        <x:v>B</x:v>
      </x:c>
      <x:c r="I345" t="str">
        <x:f>IF(RAND()&lt;(('Team_Info'!$E$2-COUNTIF($B345:H345,"W"))/('Team_Info'!$E$4-7)),"W","B")</x:f>
        <x:v>B</x:v>
      </x:c>
      <x:c r="J345" t="str">
        <x:f>IF(RAND()&lt;(('Team_Info'!$E$2-COUNTIF($B345:I345,"W"))/('Team_Info'!$E$4-8)),"W","B")</x:f>
        <x:v>W</x:v>
      </x:c>
      <x:c r="K345" t="str">
        <x:f>IF(RAND()&lt;(('Team_Info'!$E$2-COUNTIF($B345:J345,"W"))/('Team_Info'!$E$4-9)),"W","B")</x:f>
        <x:v>B</x:v>
      </x:c>
      <x:c r="L345" t="str">
        <x:f>IF(RAND()&lt;(('Team_Info'!$E$2-COUNTIF($B345:K345,"W"))/('Team_Info'!$E$4-10)),"W","B")</x:f>
        <x:v>B</x:v>
      </x:c>
      <x:c r="M345" t="str">
        <x:f>IF(RAND()&lt;(('Team_Info'!$E$2-COUNTIF($B345:L345,"W"))/('Team_Info'!$E$4-11)),"W","B")</x:f>
        <x:v>B</x:v>
      </x:c>
      <x:c r="N345" t="str">
        <x:f>IF(RAND()&lt;(('Team_Info'!$E$2-COUNTIF($B345:M345,"W"))/('Team_Info'!$E$4-12)),"W","B")</x:f>
        <x:v>B</x:v>
      </x:c>
      <x:c r="O345" t="str">
        <x:f>IF(RAND()&lt;(('Team_Info'!$E$2-COUNTIF($B345:N345,"W"))/('Team_Info'!$E$4-13)),"W","B")</x:f>
        <x:v>B</x:v>
      </x:c>
      <x:c r="P345" t="str">
        <x:f>IF(RAND()&lt;(('Team_Info'!$E$2-COUNTIF($B345:O345,"W"))/('Team_Info'!$E$4-14)),"W","B")</x:f>
        <x:v>W</x:v>
      </x:c>
      <x:c r="Q345" t="str">
        <x:f>IF(RAND()&lt;(('Team_Info'!$E$2-COUNTIF($B345:P345,"W"))/('Team_Info'!$E$4-15)),"W","B")</x:f>
        <x:v>B</x:v>
      </x:c>
      <x:c r="R345" t="str">
        <x:f>IF(RAND()&lt;(('Team_Info'!$E$2-COUNTIF($B345:Q345,"W"))/('Team_Info'!$E$4-16)),"W","B")</x:f>
        <x:v>W</x:v>
      </x:c>
      <x:c r="S345" t="str">
        <x:f>IF(RAND()&lt;(('Team_Info'!$E$2-COUNTIF($B345:R345,"W"))/('Team_Info'!$E$4-17)),"W","B")</x:f>
        <x:v>W</x:v>
      </x:c>
      <x:c r="T345" t="str">
        <x:f>IF(RAND()&lt;(('Team_Info'!$E$2-COUNTIF($B345:S345,"W"))/('Team_Info'!$E$4-18)),"W","B")</x:f>
        <x:v>B</x:v>
      </x:c>
      <x:c r="U345" t="str">
        <x:f>IF(RAND()&lt;(('Team_Info'!$E$2-COUNTIF($B345:T345,"W"))/('Team_Info'!$E$4-19)),"W","B")</x:f>
        <x:v>B</x:v>
      </x:c>
    </x:row>
    <x:row r="346">
      <x:c r="A346" s="1">
        <x:v>345</x:v>
      </x:c>
      <x:c r="B346" t="str">
        <x:f>IF(RAND()&lt;'Team_Info'!$E$5,"W","B")</x:f>
        <x:v>W</x:v>
      </x:c>
      <x:c r="C346" t="str">
        <x:f>IF(RAND()&lt;(('Team_Info'!$E$2-COUNTIF($B346:B346,"W"))/('Team_Info'!$E$4-1)),"W","B")</x:f>
        <x:v>B</x:v>
      </x:c>
      <x:c r="D346" t="str">
        <x:f>IF(RAND()&lt;(('Team_Info'!$E$2-COUNTIF($B346:C346,"W"))/('Team_Info'!$E$4-2)),"W","B")</x:f>
        <x:v>B</x:v>
      </x:c>
      <x:c r="E346" t="str">
        <x:f>IF(RAND()&lt;(('Team_Info'!$E$2-COUNTIF($B346:D346,"W"))/('Team_Info'!$E$4-3)),"W","B")</x:f>
        <x:v>B</x:v>
      </x:c>
      <x:c r="F346" t="str">
        <x:f>IF(RAND()&lt;(('Team_Info'!$E$2-COUNTIF($B346:E346,"W"))/('Team_Info'!$E$4-4)),"W","B")</x:f>
        <x:v>W</x:v>
      </x:c>
      <x:c r="G346" t="str">
        <x:f>IF(RAND()&lt;(('Team_Info'!$E$2-COUNTIF($B346:F346,"W"))/('Team_Info'!$E$4-5)),"W","B")</x:f>
        <x:v>B</x:v>
      </x:c>
      <x:c r="H346" t="str">
        <x:f>IF(RAND()&lt;(('Team_Info'!$E$2-COUNTIF($B346:G346,"W"))/('Team_Info'!$E$4-6)),"W","B")</x:f>
        <x:v>B</x:v>
      </x:c>
      <x:c r="I346" t="str">
        <x:f>IF(RAND()&lt;(('Team_Info'!$E$2-COUNTIF($B346:H346,"W"))/('Team_Info'!$E$4-7)),"W","B")</x:f>
        <x:v>W</x:v>
      </x:c>
      <x:c r="J346" t="str">
        <x:f>IF(RAND()&lt;(('Team_Info'!$E$2-COUNTIF($B346:I346,"W"))/('Team_Info'!$E$4-8)),"W","B")</x:f>
        <x:v>W</x:v>
      </x:c>
      <x:c r="K346" t="str">
        <x:f>IF(RAND()&lt;(('Team_Info'!$E$2-COUNTIF($B346:J346,"W"))/('Team_Info'!$E$4-9)),"W","B")</x:f>
        <x:v>W</x:v>
      </x:c>
      <x:c r="L346" t="str">
        <x:f>IF(RAND()&lt;(('Team_Info'!$E$2-COUNTIF($B346:K346,"W"))/('Team_Info'!$E$4-10)),"W","B")</x:f>
        <x:v>B</x:v>
      </x:c>
      <x:c r="M346" t="str">
        <x:f>IF(RAND()&lt;(('Team_Info'!$E$2-COUNTIF($B346:L346,"W"))/('Team_Info'!$E$4-11)),"W","B")</x:f>
        <x:v>B</x:v>
      </x:c>
      <x:c r="N346" t="str">
        <x:f>IF(RAND()&lt;(('Team_Info'!$E$2-COUNTIF($B346:M346,"W"))/('Team_Info'!$E$4-12)),"W","B")</x:f>
        <x:v>B</x:v>
      </x:c>
      <x:c r="O346" t="str">
        <x:f>IF(RAND()&lt;(('Team_Info'!$E$2-COUNTIF($B346:N346,"W"))/('Team_Info'!$E$4-13)),"W","B")</x:f>
        <x:v>B</x:v>
      </x:c>
      <x:c r="P346" t="str">
        <x:f>IF(RAND()&lt;(('Team_Info'!$E$2-COUNTIF($B346:O346,"W"))/('Team_Info'!$E$4-14)),"W","B")</x:f>
        <x:v>W</x:v>
      </x:c>
      <x:c r="Q346" t="str">
        <x:f>IF(RAND()&lt;(('Team_Info'!$E$2-COUNTIF($B346:P346,"W"))/('Team_Info'!$E$4-15)),"W","B")</x:f>
        <x:v>B</x:v>
      </x:c>
      <x:c r="R346" t="str">
        <x:f>IF(RAND()&lt;(('Team_Info'!$E$2-COUNTIF($B346:Q346,"W"))/('Team_Info'!$E$4-16)),"W","B")</x:f>
        <x:v>W</x:v>
      </x:c>
      <x:c r="S346" t="str">
        <x:f>IF(RAND()&lt;(('Team_Info'!$E$2-COUNTIF($B346:R346,"W"))/('Team_Info'!$E$4-17)),"W","B")</x:f>
        <x:v>B</x:v>
      </x:c>
      <x:c r="T346" t="str">
        <x:f>IF(RAND()&lt;(('Team_Info'!$E$2-COUNTIF($B346:S346,"W"))/('Team_Info'!$E$4-18)),"W","B")</x:f>
        <x:v>W</x:v>
      </x:c>
      <x:c r="U346" t="str">
        <x:f>IF(RAND()&lt;(('Team_Info'!$E$2-COUNTIF($B346:T346,"W"))/('Team_Info'!$E$4-19)),"W","B")</x:f>
        <x:v>B</x:v>
      </x:c>
    </x:row>
    <x:row r="347">
      <x:c r="A347" s="1">
        <x:v>346</x:v>
      </x:c>
      <x:c r="B347" t="str">
        <x:f>IF(RAND()&lt;'Team_Info'!$E$5,"W","B")</x:f>
        <x:v>B</x:v>
      </x:c>
      <x:c r="C347" t="str">
        <x:f>IF(RAND()&lt;(('Team_Info'!$E$2-COUNTIF($B347:B347,"W"))/('Team_Info'!$E$4-1)),"W","B")</x:f>
        <x:v>B</x:v>
      </x:c>
      <x:c r="D347" t="str">
        <x:f>IF(RAND()&lt;(('Team_Info'!$E$2-COUNTIF($B347:C347,"W"))/('Team_Info'!$E$4-2)),"W","B")</x:f>
        <x:v>B</x:v>
      </x:c>
      <x:c r="E347" t="str">
        <x:f>IF(RAND()&lt;(('Team_Info'!$E$2-COUNTIF($B347:D347,"W"))/('Team_Info'!$E$4-3)),"W","B")</x:f>
        <x:v>W</x:v>
      </x:c>
      <x:c r="F347" t="str">
        <x:f>IF(RAND()&lt;(('Team_Info'!$E$2-COUNTIF($B347:E347,"W"))/('Team_Info'!$E$4-4)),"W","B")</x:f>
        <x:v>B</x:v>
      </x:c>
      <x:c r="G347" t="str">
        <x:f>IF(RAND()&lt;(('Team_Info'!$E$2-COUNTIF($B347:F347,"W"))/('Team_Info'!$E$4-5)),"W","B")</x:f>
        <x:v>B</x:v>
      </x:c>
      <x:c r="H347" t="str">
        <x:f>IF(RAND()&lt;(('Team_Info'!$E$2-COUNTIF($B347:G347,"W"))/('Team_Info'!$E$4-6)),"W","B")</x:f>
        <x:v>W</x:v>
      </x:c>
      <x:c r="I347" t="str">
        <x:f>IF(RAND()&lt;(('Team_Info'!$E$2-COUNTIF($B347:H347,"W"))/('Team_Info'!$E$4-7)),"W","B")</x:f>
        <x:v>W</x:v>
      </x:c>
      <x:c r="J347" t="str">
        <x:f>IF(RAND()&lt;(('Team_Info'!$E$2-COUNTIF($B347:I347,"W"))/('Team_Info'!$E$4-8)),"W","B")</x:f>
        <x:v>B</x:v>
      </x:c>
      <x:c r="K347" t="str">
        <x:f>IF(RAND()&lt;(('Team_Info'!$E$2-COUNTIF($B347:J347,"W"))/('Team_Info'!$E$4-9)),"W","B")</x:f>
        <x:v>B</x:v>
      </x:c>
      <x:c r="L347" t="str">
        <x:f>IF(RAND()&lt;(('Team_Info'!$E$2-COUNTIF($B347:K347,"W"))/('Team_Info'!$E$4-10)),"W","B")</x:f>
        <x:v>B</x:v>
      </x:c>
      <x:c r="M347" t="str">
        <x:f>IF(RAND()&lt;(('Team_Info'!$E$2-COUNTIF($B347:L347,"W"))/('Team_Info'!$E$4-11)),"W","B")</x:f>
        <x:v>B</x:v>
      </x:c>
      <x:c r="N347" t="str">
        <x:f>IF(RAND()&lt;(('Team_Info'!$E$2-COUNTIF($B347:M347,"W"))/('Team_Info'!$E$4-12)),"W","B")</x:f>
        <x:v>W</x:v>
      </x:c>
      <x:c r="O347" t="str">
        <x:f>IF(RAND()&lt;(('Team_Info'!$E$2-COUNTIF($B347:N347,"W"))/('Team_Info'!$E$4-13)),"W","B")</x:f>
        <x:v>W</x:v>
      </x:c>
      <x:c r="P347" t="str">
        <x:f>IF(RAND()&lt;(('Team_Info'!$E$2-COUNTIF($B347:O347,"W"))/('Team_Info'!$E$4-14)),"W","B")</x:f>
        <x:v>W</x:v>
      </x:c>
      <x:c r="Q347" t="str">
        <x:f>IF(RAND()&lt;(('Team_Info'!$E$2-COUNTIF($B347:P347,"W"))/('Team_Info'!$E$4-15)),"W","B")</x:f>
        <x:v>W</x:v>
      </x:c>
      <x:c r="R347" t="str">
        <x:f>IF(RAND()&lt;(('Team_Info'!$E$2-COUNTIF($B347:Q347,"W"))/('Team_Info'!$E$4-16)),"W","B")</x:f>
        <x:v>W</x:v>
      </x:c>
      <x:c r="S347" t="str">
        <x:f>IF(RAND()&lt;(('Team_Info'!$E$2-COUNTIF($B347:R347,"W"))/('Team_Info'!$E$4-17)),"W","B")</x:f>
        <x:v>W</x:v>
      </x:c>
      <x:c r="T347" t="str">
        <x:f>IF(RAND()&lt;(('Team_Info'!$E$2-COUNTIF($B347:S347,"W"))/('Team_Info'!$E$4-18)),"W","B")</x:f>
        <x:v>W</x:v>
      </x:c>
      <x:c r="U347" t="str">
        <x:f>IF(RAND()&lt;(('Team_Info'!$E$2-COUNTIF($B347:T347,"W"))/('Team_Info'!$E$4-19)),"W","B")</x:f>
        <x:v>B</x:v>
      </x:c>
    </x:row>
    <x:row r="348">
      <x:c r="A348" s="1">
        <x:v>347</x:v>
      </x:c>
      <x:c r="B348" t="str">
        <x:f>IF(RAND()&lt;'Team_Info'!$E$5,"W","B")</x:f>
        <x:v>B</x:v>
      </x:c>
      <x:c r="C348" t="str">
        <x:f>IF(RAND()&lt;(('Team_Info'!$E$2-COUNTIF($B348:B348,"W"))/('Team_Info'!$E$4-1)),"W","B")</x:f>
        <x:v>B</x:v>
      </x:c>
      <x:c r="D348" t="str">
        <x:f>IF(RAND()&lt;(('Team_Info'!$E$2-COUNTIF($B348:C348,"W"))/('Team_Info'!$E$4-2)),"W","B")</x:f>
        <x:v>B</x:v>
      </x:c>
      <x:c r="E348" t="str">
        <x:f>IF(RAND()&lt;(('Team_Info'!$E$2-COUNTIF($B348:D348,"W"))/('Team_Info'!$E$4-3)),"W","B")</x:f>
        <x:v>W</x:v>
      </x:c>
      <x:c r="F348" t="str">
        <x:f>IF(RAND()&lt;(('Team_Info'!$E$2-COUNTIF($B348:E348,"W"))/('Team_Info'!$E$4-4)),"W","B")</x:f>
        <x:v>B</x:v>
      </x:c>
      <x:c r="G348" t="str">
        <x:f>IF(RAND()&lt;(('Team_Info'!$E$2-COUNTIF($B348:F348,"W"))/('Team_Info'!$E$4-5)),"W","B")</x:f>
        <x:v>B</x:v>
      </x:c>
      <x:c r="H348" t="str">
        <x:f>IF(RAND()&lt;(('Team_Info'!$E$2-COUNTIF($B348:G348,"W"))/('Team_Info'!$E$4-6)),"W","B")</x:f>
        <x:v>B</x:v>
      </x:c>
      <x:c r="I348" t="str">
        <x:f>IF(RAND()&lt;(('Team_Info'!$E$2-COUNTIF($B348:H348,"W"))/('Team_Info'!$E$4-7)),"W","B")</x:f>
        <x:v>B</x:v>
      </x:c>
      <x:c r="J348" t="str">
        <x:f>IF(RAND()&lt;(('Team_Info'!$E$2-COUNTIF($B348:I348,"W"))/('Team_Info'!$E$4-8)),"W","B")</x:f>
        <x:v>B</x:v>
      </x:c>
      <x:c r="K348" t="str">
        <x:f>IF(RAND()&lt;(('Team_Info'!$E$2-COUNTIF($B348:J348,"W"))/('Team_Info'!$E$4-9)),"W","B")</x:f>
        <x:v>B</x:v>
      </x:c>
      <x:c r="L348" t="str">
        <x:f>IF(RAND()&lt;(('Team_Info'!$E$2-COUNTIF($B348:K348,"W"))/('Team_Info'!$E$4-10)),"W","B")</x:f>
        <x:v>B</x:v>
      </x:c>
      <x:c r="M348" t="str">
        <x:f>IF(RAND()&lt;(('Team_Info'!$E$2-COUNTIF($B348:L348,"W"))/('Team_Info'!$E$4-11)),"W","B")</x:f>
        <x:v>B</x:v>
      </x:c>
      <x:c r="N348" t="str">
        <x:f>IF(RAND()&lt;(('Team_Info'!$E$2-COUNTIF($B348:M348,"W"))/('Team_Info'!$E$4-12)),"W","B")</x:f>
        <x:v>B</x:v>
      </x:c>
      <x:c r="O348" t="str">
        <x:f>IF(RAND()&lt;(('Team_Info'!$E$2-COUNTIF($B348:N348,"W"))/('Team_Info'!$E$4-13)),"W","B")</x:f>
        <x:v>W</x:v>
      </x:c>
      <x:c r="P348" t="str">
        <x:f>IF(RAND()&lt;(('Team_Info'!$E$2-COUNTIF($B348:O348,"W"))/('Team_Info'!$E$4-14)),"W","B")</x:f>
        <x:v>B</x:v>
      </x:c>
      <x:c r="Q348" t="str">
        <x:f>IF(RAND()&lt;(('Team_Info'!$E$2-COUNTIF($B348:P348,"W"))/('Team_Info'!$E$4-15)),"W","B")</x:f>
        <x:v>W</x:v>
      </x:c>
      <x:c r="R348" t="str">
        <x:f>IF(RAND()&lt;(('Team_Info'!$E$2-COUNTIF($B348:Q348,"W"))/('Team_Info'!$E$4-16)),"W","B")</x:f>
        <x:v>W</x:v>
      </x:c>
      <x:c r="S348" t="str">
        <x:f>IF(RAND()&lt;(('Team_Info'!$E$2-COUNTIF($B348:R348,"W"))/('Team_Info'!$E$4-17)),"W","B")</x:f>
        <x:v>B</x:v>
      </x:c>
      <x:c r="T348" t="str">
        <x:f>IF(RAND()&lt;(('Team_Info'!$E$2-COUNTIF($B348:S348,"W"))/('Team_Info'!$E$4-18)),"W","B")</x:f>
        <x:v>B</x:v>
      </x:c>
      <x:c r="U348" t="str">
        <x:f>IF(RAND()&lt;(('Team_Info'!$E$2-COUNTIF($B348:T348,"W"))/('Team_Info'!$E$4-19)),"W","B")</x:f>
        <x:v>W</x:v>
      </x:c>
    </x:row>
    <x:row r="349">
      <x:c r="A349" s="1">
        <x:v>348</x:v>
      </x:c>
      <x:c r="B349" t="str">
        <x:f>IF(RAND()&lt;'Team_Info'!$E$5,"W","B")</x:f>
        <x:v>B</x:v>
      </x:c>
      <x:c r="C349" t="str">
        <x:f>IF(RAND()&lt;(('Team_Info'!$E$2-COUNTIF($B349:B349,"W"))/('Team_Info'!$E$4-1)),"W","B")</x:f>
        <x:v>W</x:v>
      </x:c>
      <x:c r="D349" t="str">
        <x:f>IF(RAND()&lt;(('Team_Info'!$E$2-COUNTIF($B349:C349,"W"))/('Team_Info'!$E$4-2)),"W","B")</x:f>
        <x:v>B</x:v>
      </x:c>
      <x:c r="E349" t="str">
        <x:f>IF(RAND()&lt;(('Team_Info'!$E$2-COUNTIF($B349:D349,"W"))/('Team_Info'!$E$4-3)),"W","B")</x:f>
        <x:v>B</x:v>
      </x:c>
      <x:c r="F349" t="str">
        <x:f>IF(RAND()&lt;(('Team_Info'!$E$2-COUNTIF($B349:E349,"W"))/('Team_Info'!$E$4-4)),"W","B")</x:f>
        <x:v>W</x:v>
      </x:c>
      <x:c r="G349" t="str">
        <x:f>IF(RAND()&lt;(('Team_Info'!$E$2-COUNTIF($B349:F349,"W"))/('Team_Info'!$E$4-5)),"W","B")</x:f>
        <x:v>B</x:v>
      </x:c>
      <x:c r="H349" t="str">
        <x:f>IF(RAND()&lt;(('Team_Info'!$E$2-COUNTIF($B349:G349,"W"))/('Team_Info'!$E$4-6)),"W","B")</x:f>
        <x:v>B</x:v>
      </x:c>
      <x:c r="I349" t="str">
        <x:f>IF(RAND()&lt;(('Team_Info'!$E$2-COUNTIF($B349:H349,"W"))/('Team_Info'!$E$4-7)),"W","B")</x:f>
        <x:v>B</x:v>
      </x:c>
      <x:c r="J349" t="str">
        <x:f>IF(RAND()&lt;(('Team_Info'!$E$2-COUNTIF($B349:I349,"W"))/('Team_Info'!$E$4-8)),"W","B")</x:f>
        <x:v>W</x:v>
      </x:c>
      <x:c r="K349" t="str">
        <x:f>IF(RAND()&lt;(('Team_Info'!$E$2-COUNTIF($B349:J349,"W"))/('Team_Info'!$E$4-9)),"W","B")</x:f>
        <x:v>B</x:v>
      </x:c>
      <x:c r="L349" t="str">
        <x:f>IF(RAND()&lt;(('Team_Info'!$E$2-COUNTIF($B349:K349,"W"))/('Team_Info'!$E$4-10)),"W","B")</x:f>
        <x:v>B</x:v>
      </x:c>
      <x:c r="M349" t="str">
        <x:f>IF(RAND()&lt;(('Team_Info'!$E$2-COUNTIF($B349:L349,"W"))/('Team_Info'!$E$4-11)),"W","B")</x:f>
        <x:v>B</x:v>
      </x:c>
      <x:c r="N349" t="str">
        <x:f>IF(RAND()&lt;(('Team_Info'!$E$2-COUNTIF($B349:M349,"W"))/('Team_Info'!$E$4-12)),"W","B")</x:f>
        <x:v>B</x:v>
      </x:c>
      <x:c r="O349" t="str">
        <x:f>IF(RAND()&lt;(('Team_Info'!$E$2-COUNTIF($B349:N349,"W"))/('Team_Info'!$E$4-13)),"W","B")</x:f>
        <x:v>W</x:v>
      </x:c>
      <x:c r="P349" t="str">
        <x:f>IF(RAND()&lt;(('Team_Info'!$E$2-COUNTIF($B349:O349,"W"))/('Team_Info'!$E$4-14)),"W","B")</x:f>
        <x:v>W</x:v>
      </x:c>
      <x:c r="Q349" t="str">
        <x:f>IF(RAND()&lt;(('Team_Info'!$E$2-COUNTIF($B349:P349,"W"))/('Team_Info'!$E$4-15)),"W","B")</x:f>
        <x:v>B</x:v>
      </x:c>
      <x:c r="R349" t="str">
        <x:f>IF(RAND()&lt;(('Team_Info'!$E$2-COUNTIF($B349:Q349,"W"))/('Team_Info'!$E$4-16)),"W","B")</x:f>
        <x:v>B</x:v>
      </x:c>
      <x:c r="S349" t="str">
        <x:f>IF(RAND()&lt;(('Team_Info'!$E$2-COUNTIF($B349:R349,"W"))/('Team_Info'!$E$4-17)),"W","B")</x:f>
        <x:v>B</x:v>
      </x:c>
      <x:c r="T349" t="str">
        <x:f>IF(RAND()&lt;(('Team_Info'!$E$2-COUNTIF($B349:S349,"W"))/('Team_Info'!$E$4-18)),"W","B")</x:f>
        <x:v>B</x:v>
      </x:c>
      <x:c r="U349" t="str">
        <x:f>IF(RAND()&lt;(('Team_Info'!$E$2-COUNTIF($B349:T349,"W"))/('Team_Info'!$E$4-19)),"W","B")</x:f>
        <x:v>B</x:v>
      </x:c>
    </x:row>
    <x:row r="350">
      <x:c r="A350" s="1">
        <x:v>349</x:v>
      </x:c>
      <x:c r="B350" t="str">
        <x:f>IF(RAND()&lt;'Team_Info'!$E$5,"W","B")</x:f>
        <x:v>W</x:v>
      </x:c>
      <x:c r="C350" t="str">
        <x:f>IF(RAND()&lt;(('Team_Info'!$E$2-COUNTIF($B350:B350,"W"))/('Team_Info'!$E$4-1)),"W","B")</x:f>
        <x:v>B</x:v>
      </x:c>
      <x:c r="D350" t="str">
        <x:f>IF(RAND()&lt;(('Team_Info'!$E$2-COUNTIF($B350:C350,"W"))/('Team_Info'!$E$4-2)),"W","B")</x:f>
        <x:v>W</x:v>
      </x:c>
      <x:c r="E350" t="str">
        <x:f>IF(RAND()&lt;(('Team_Info'!$E$2-COUNTIF($B350:D350,"W"))/('Team_Info'!$E$4-3)),"W","B")</x:f>
        <x:v>W</x:v>
      </x:c>
      <x:c r="F350" t="str">
        <x:f>IF(RAND()&lt;(('Team_Info'!$E$2-COUNTIF($B350:E350,"W"))/('Team_Info'!$E$4-4)),"W","B")</x:f>
        <x:v>B</x:v>
      </x:c>
      <x:c r="G350" t="str">
        <x:f>IF(RAND()&lt;(('Team_Info'!$E$2-COUNTIF($B350:F350,"W"))/('Team_Info'!$E$4-5)),"W","B")</x:f>
        <x:v>W</x:v>
      </x:c>
      <x:c r="H350" t="str">
        <x:f>IF(RAND()&lt;(('Team_Info'!$E$2-COUNTIF($B350:G350,"W"))/('Team_Info'!$E$4-6)),"W","B")</x:f>
        <x:v>B</x:v>
      </x:c>
      <x:c r="I350" t="str">
        <x:f>IF(RAND()&lt;(('Team_Info'!$E$2-COUNTIF($B350:H350,"W"))/('Team_Info'!$E$4-7)),"W","B")</x:f>
        <x:v>B</x:v>
      </x:c>
      <x:c r="J350" t="str">
        <x:f>IF(RAND()&lt;(('Team_Info'!$E$2-COUNTIF($B350:I350,"W"))/('Team_Info'!$E$4-8)),"W","B")</x:f>
        <x:v>B</x:v>
      </x:c>
      <x:c r="K350" t="str">
        <x:f>IF(RAND()&lt;(('Team_Info'!$E$2-COUNTIF($B350:J350,"W"))/('Team_Info'!$E$4-9)),"W","B")</x:f>
        <x:v>W</x:v>
      </x:c>
      <x:c r="L350" t="str">
        <x:f>IF(RAND()&lt;(('Team_Info'!$E$2-COUNTIF($B350:K350,"W"))/('Team_Info'!$E$4-10)),"W","B")</x:f>
        <x:v>W</x:v>
      </x:c>
      <x:c r="M350" t="str">
        <x:f>IF(RAND()&lt;(('Team_Info'!$E$2-COUNTIF($B350:L350,"W"))/('Team_Info'!$E$4-11)),"W","B")</x:f>
        <x:v>W</x:v>
      </x:c>
      <x:c r="N350" t="str">
        <x:f>IF(RAND()&lt;(('Team_Info'!$E$2-COUNTIF($B350:M350,"W"))/('Team_Info'!$E$4-12)),"W","B")</x:f>
        <x:v>B</x:v>
      </x:c>
      <x:c r="O350" t="str">
        <x:f>IF(RAND()&lt;(('Team_Info'!$E$2-COUNTIF($B350:N350,"W"))/('Team_Info'!$E$4-13)),"W","B")</x:f>
        <x:v>W</x:v>
      </x:c>
      <x:c r="P350" t="str">
        <x:f>IF(RAND()&lt;(('Team_Info'!$E$2-COUNTIF($B350:O350,"W"))/('Team_Info'!$E$4-14)),"W","B")</x:f>
        <x:v>W</x:v>
      </x:c>
      <x:c r="Q350" t="str">
        <x:f>IF(RAND()&lt;(('Team_Info'!$E$2-COUNTIF($B350:P350,"W"))/('Team_Info'!$E$4-15)),"W","B")</x:f>
        <x:v>B</x:v>
      </x:c>
      <x:c r="R350" t="str">
        <x:f>IF(RAND()&lt;(('Team_Info'!$E$2-COUNTIF($B350:Q350,"W"))/('Team_Info'!$E$4-16)),"W","B")</x:f>
        <x:v>W</x:v>
      </x:c>
      <x:c r="S350" t="str">
        <x:f>IF(RAND()&lt;(('Team_Info'!$E$2-COUNTIF($B350:R350,"W"))/('Team_Info'!$E$4-17)),"W","B")</x:f>
        <x:v>B</x:v>
      </x:c>
      <x:c r="T350" t="str">
        <x:f>IF(RAND()&lt;(('Team_Info'!$E$2-COUNTIF($B350:S350,"W"))/('Team_Info'!$E$4-18)),"W","B")</x:f>
        <x:v>B</x:v>
      </x:c>
      <x:c r="U350" t="str">
        <x:f>IF(RAND()&lt;(('Team_Info'!$E$2-COUNTIF($B350:T350,"W"))/('Team_Info'!$E$4-19)),"W","B")</x:f>
        <x:v>B</x:v>
      </x:c>
    </x:row>
    <x:row r="351">
      <x:c r="A351" s="1">
        <x:v>350</x:v>
      </x:c>
      <x:c r="B351" t="str">
        <x:f>IF(RAND()&lt;'Team_Info'!$E$5,"W","B")</x:f>
        <x:v>B</x:v>
      </x:c>
      <x:c r="C351" t="str">
        <x:f>IF(RAND()&lt;(('Team_Info'!$E$2-COUNTIF($B351:B351,"W"))/('Team_Info'!$E$4-1)),"W","B")</x:f>
        <x:v>W</x:v>
      </x:c>
      <x:c r="D351" t="str">
        <x:f>IF(RAND()&lt;(('Team_Info'!$E$2-COUNTIF($B351:C351,"W"))/('Team_Info'!$E$4-2)),"W","B")</x:f>
        <x:v>B</x:v>
      </x:c>
      <x:c r="E351" t="str">
        <x:f>IF(RAND()&lt;(('Team_Info'!$E$2-COUNTIF($B351:D351,"W"))/('Team_Info'!$E$4-3)),"W","B")</x:f>
        <x:v>W</x:v>
      </x:c>
      <x:c r="F351" t="str">
        <x:f>IF(RAND()&lt;(('Team_Info'!$E$2-COUNTIF($B351:E351,"W"))/('Team_Info'!$E$4-4)),"W","B")</x:f>
        <x:v>W</x:v>
      </x:c>
      <x:c r="G351" t="str">
        <x:f>IF(RAND()&lt;(('Team_Info'!$E$2-COUNTIF($B351:F351,"W"))/('Team_Info'!$E$4-5)),"W","B")</x:f>
        <x:v>B</x:v>
      </x:c>
      <x:c r="H351" t="str">
        <x:f>IF(RAND()&lt;(('Team_Info'!$E$2-COUNTIF($B351:G351,"W"))/('Team_Info'!$E$4-6)),"W","B")</x:f>
        <x:v>B</x:v>
      </x:c>
      <x:c r="I351" t="str">
        <x:f>IF(RAND()&lt;(('Team_Info'!$E$2-COUNTIF($B351:H351,"W"))/('Team_Info'!$E$4-7)),"W","B")</x:f>
        <x:v>B</x:v>
      </x:c>
      <x:c r="J351" t="str">
        <x:f>IF(RAND()&lt;(('Team_Info'!$E$2-COUNTIF($B351:I351,"W"))/('Team_Info'!$E$4-8)),"W","B")</x:f>
        <x:v>W</x:v>
      </x:c>
      <x:c r="K351" t="str">
        <x:f>IF(RAND()&lt;(('Team_Info'!$E$2-COUNTIF($B351:J351,"W"))/('Team_Info'!$E$4-9)),"W","B")</x:f>
        <x:v>W</x:v>
      </x:c>
      <x:c r="L351" t="str">
        <x:f>IF(RAND()&lt;(('Team_Info'!$E$2-COUNTIF($B351:K351,"W"))/('Team_Info'!$E$4-10)),"W","B")</x:f>
        <x:v>B</x:v>
      </x:c>
      <x:c r="M351" t="str">
        <x:f>IF(RAND()&lt;(('Team_Info'!$E$2-COUNTIF($B351:L351,"W"))/('Team_Info'!$E$4-11)),"W","B")</x:f>
        <x:v>B</x:v>
      </x:c>
      <x:c r="N351" t="str">
        <x:f>IF(RAND()&lt;(('Team_Info'!$E$2-COUNTIF($B351:M351,"W"))/('Team_Info'!$E$4-12)),"W","B")</x:f>
        <x:v>B</x:v>
      </x:c>
      <x:c r="O351" t="str">
        <x:f>IF(RAND()&lt;(('Team_Info'!$E$2-COUNTIF($B351:N351,"W"))/('Team_Info'!$E$4-13)),"W","B")</x:f>
        <x:v>W</x:v>
      </x:c>
      <x:c r="P351" t="str">
        <x:f>IF(RAND()&lt;(('Team_Info'!$E$2-COUNTIF($B351:O351,"W"))/('Team_Info'!$E$4-14)),"W","B")</x:f>
        <x:v>B</x:v>
      </x:c>
      <x:c r="Q351" t="str">
        <x:f>IF(RAND()&lt;(('Team_Info'!$E$2-COUNTIF($B351:P351,"W"))/('Team_Info'!$E$4-15)),"W","B")</x:f>
        <x:v>B</x:v>
      </x:c>
      <x:c r="R351" t="str">
        <x:f>IF(RAND()&lt;(('Team_Info'!$E$2-COUNTIF($B351:Q351,"W"))/('Team_Info'!$E$4-16)),"W","B")</x:f>
        <x:v>B</x:v>
      </x:c>
      <x:c r="S351" t="str">
        <x:f>IF(RAND()&lt;(('Team_Info'!$E$2-COUNTIF($B351:R351,"W"))/('Team_Info'!$E$4-17)),"W","B")</x:f>
        <x:v>W</x:v>
      </x:c>
      <x:c r="T351" t="str">
        <x:f>IF(RAND()&lt;(('Team_Info'!$E$2-COUNTIF($B351:S351,"W"))/('Team_Info'!$E$4-18)),"W","B")</x:f>
        <x:v>W</x:v>
      </x:c>
      <x:c r="U351" t="str">
        <x:f>IF(RAND()&lt;(('Team_Info'!$E$2-COUNTIF($B351:T351,"W"))/('Team_Info'!$E$4-19)),"W","B")</x:f>
        <x:v>B</x:v>
      </x:c>
    </x:row>
    <x:row r="352">
      <x:c r="A352" s="1">
        <x:v>351</x:v>
      </x:c>
      <x:c r="B352" t="str">
        <x:f>IF(RAND()&lt;'Team_Info'!$E$5,"W","B")</x:f>
        <x:v>B</x:v>
      </x:c>
      <x:c r="C352" t="str">
        <x:f>IF(RAND()&lt;(('Team_Info'!$E$2-COUNTIF($B352:B352,"W"))/('Team_Info'!$E$4-1)),"W","B")</x:f>
        <x:v>B</x:v>
      </x:c>
      <x:c r="D352" t="str">
        <x:f>IF(RAND()&lt;(('Team_Info'!$E$2-COUNTIF($B352:C352,"W"))/('Team_Info'!$E$4-2)),"W","B")</x:f>
        <x:v>W</x:v>
      </x:c>
      <x:c r="E352" t="str">
        <x:f>IF(RAND()&lt;(('Team_Info'!$E$2-COUNTIF($B352:D352,"W"))/('Team_Info'!$E$4-3)),"W","B")</x:f>
        <x:v>B</x:v>
      </x:c>
      <x:c r="F352" t="str">
        <x:f>IF(RAND()&lt;(('Team_Info'!$E$2-COUNTIF($B352:E352,"W"))/('Team_Info'!$E$4-4)),"W","B")</x:f>
        <x:v>W</x:v>
      </x:c>
      <x:c r="G352" t="str">
        <x:f>IF(RAND()&lt;(('Team_Info'!$E$2-COUNTIF($B352:F352,"W"))/('Team_Info'!$E$4-5)),"W","B")</x:f>
        <x:v>W</x:v>
      </x:c>
      <x:c r="H352" t="str">
        <x:f>IF(RAND()&lt;(('Team_Info'!$E$2-COUNTIF($B352:G352,"W"))/('Team_Info'!$E$4-6)),"W","B")</x:f>
        <x:v>B</x:v>
      </x:c>
      <x:c r="I352" t="str">
        <x:f>IF(RAND()&lt;(('Team_Info'!$E$2-COUNTIF($B352:H352,"W"))/('Team_Info'!$E$4-7)),"W","B")</x:f>
        <x:v>B</x:v>
      </x:c>
      <x:c r="J352" t="str">
        <x:f>IF(RAND()&lt;(('Team_Info'!$E$2-COUNTIF($B352:I352,"W"))/('Team_Info'!$E$4-8)),"W","B")</x:f>
        <x:v>W</x:v>
      </x:c>
      <x:c r="K352" t="str">
        <x:f>IF(RAND()&lt;(('Team_Info'!$E$2-COUNTIF($B352:J352,"W"))/('Team_Info'!$E$4-9)),"W","B")</x:f>
        <x:v>B</x:v>
      </x:c>
      <x:c r="L352" t="str">
        <x:f>IF(RAND()&lt;(('Team_Info'!$E$2-COUNTIF($B352:K352,"W"))/('Team_Info'!$E$4-10)),"W","B")</x:f>
        <x:v>B</x:v>
      </x:c>
      <x:c r="M352" t="str">
        <x:f>IF(RAND()&lt;(('Team_Info'!$E$2-COUNTIF($B352:L352,"W"))/('Team_Info'!$E$4-11)),"W","B")</x:f>
        <x:v>B</x:v>
      </x:c>
      <x:c r="N352" t="str">
        <x:f>IF(RAND()&lt;(('Team_Info'!$E$2-COUNTIF($B352:M352,"W"))/('Team_Info'!$E$4-12)),"W","B")</x:f>
        <x:v>W</x:v>
      </x:c>
      <x:c r="O352" t="str">
        <x:f>IF(RAND()&lt;(('Team_Info'!$E$2-COUNTIF($B352:N352,"W"))/('Team_Info'!$E$4-13)),"W","B")</x:f>
        <x:v>B</x:v>
      </x:c>
      <x:c r="P352" t="str">
        <x:f>IF(RAND()&lt;(('Team_Info'!$E$2-COUNTIF($B352:O352,"W"))/('Team_Info'!$E$4-14)),"W","B")</x:f>
        <x:v>B</x:v>
      </x:c>
      <x:c r="Q352" t="str">
        <x:f>IF(RAND()&lt;(('Team_Info'!$E$2-COUNTIF($B352:P352,"W"))/('Team_Info'!$E$4-15)),"W","B")</x:f>
        <x:v>B</x:v>
      </x:c>
      <x:c r="R352" t="str">
        <x:f>IF(RAND()&lt;(('Team_Info'!$E$2-COUNTIF($B352:Q352,"W"))/('Team_Info'!$E$4-16)),"W","B")</x:f>
        <x:v>W</x:v>
      </x:c>
      <x:c r="S352" t="str">
        <x:f>IF(RAND()&lt;(('Team_Info'!$E$2-COUNTIF($B352:R352,"W"))/('Team_Info'!$E$4-17)),"W","B")</x:f>
        <x:v>W</x:v>
      </x:c>
      <x:c r="T352" t="str">
        <x:f>IF(RAND()&lt;(('Team_Info'!$E$2-COUNTIF($B352:S352,"W"))/('Team_Info'!$E$4-18)),"W","B")</x:f>
        <x:v>B</x:v>
      </x:c>
      <x:c r="U352" t="str">
        <x:f>IF(RAND()&lt;(('Team_Info'!$E$2-COUNTIF($B352:T352,"W"))/('Team_Info'!$E$4-19)),"W","B")</x:f>
        <x:v>B</x:v>
      </x:c>
    </x:row>
    <x:row r="353">
      <x:c r="A353" s="1">
        <x:v>352</x:v>
      </x:c>
      <x:c r="B353" t="str">
        <x:f>IF(RAND()&lt;'Team_Info'!$E$5,"W","B")</x:f>
        <x:v>B</x:v>
      </x:c>
      <x:c r="C353" t="str">
        <x:f>IF(RAND()&lt;(('Team_Info'!$E$2-COUNTIF($B353:B353,"W"))/('Team_Info'!$E$4-1)),"W","B")</x:f>
        <x:v>B</x:v>
      </x:c>
      <x:c r="D353" t="str">
        <x:f>IF(RAND()&lt;(('Team_Info'!$E$2-COUNTIF($B353:C353,"W"))/('Team_Info'!$E$4-2)),"W","B")</x:f>
        <x:v>W</x:v>
      </x:c>
      <x:c r="E353" t="str">
        <x:f>IF(RAND()&lt;(('Team_Info'!$E$2-COUNTIF($B353:D353,"W"))/('Team_Info'!$E$4-3)),"W","B")</x:f>
        <x:v>B</x:v>
      </x:c>
      <x:c r="F353" t="str">
        <x:f>IF(RAND()&lt;(('Team_Info'!$E$2-COUNTIF($B353:E353,"W"))/('Team_Info'!$E$4-4)),"W","B")</x:f>
        <x:v>W</x:v>
      </x:c>
      <x:c r="G353" t="str">
        <x:f>IF(RAND()&lt;(('Team_Info'!$E$2-COUNTIF($B353:F353,"W"))/('Team_Info'!$E$4-5)),"W","B")</x:f>
        <x:v>B</x:v>
      </x:c>
      <x:c r="H353" t="str">
        <x:f>IF(RAND()&lt;(('Team_Info'!$E$2-COUNTIF($B353:G353,"W"))/('Team_Info'!$E$4-6)),"W","B")</x:f>
        <x:v>B</x:v>
      </x:c>
      <x:c r="I353" t="str">
        <x:f>IF(RAND()&lt;(('Team_Info'!$E$2-COUNTIF($B353:H353,"W"))/('Team_Info'!$E$4-7)),"W","B")</x:f>
        <x:v>B</x:v>
      </x:c>
      <x:c r="J353" t="str">
        <x:f>IF(RAND()&lt;(('Team_Info'!$E$2-COUNTIF($B353:I353,"W"))/('Team_Info'!$E$4-8)),"W","B")</x:f>
        <x:v>B</x:v>
      </x:c>
      <x:c r="K353" t="str">
        <x:f>IF(RAND()&lt;(('Team_Info'!$E$2-COUNTIF($B353:J353,"W"))/('Team_Info'!$E$4-9)),"W","B")</x:f>
        <x:v>B</x:v>
      </x:c>
      <x:c r="L353" t="str">
        <x:f>IF(RAND()&lt;(('Team_Info'!$E$2-COUNTIF($B353:K353,"W"))/('Team_Info'!$E$4-10)),"W","B")</x:f>
        <x:v>B</x:v>
      </x:c>
      <x:c r="M353" t="str">
        <x:f>IF(RAND()&lt;(('Team_Info'!$E$2-COUNTIF($B353:L353,"W"))/('Team_Info'!$E$4-11)),"W","B")</x:f>
        <x:v>B</x:v>
      </x:c>
      <x:c r="N353" t="str">
        <x:f>IF(RAND()&lt;(('Team_Info'!$E$2-COUNTIF($B353:M353,"W"))/('Team_Info'!$E$4-12)),"W","B")</x:f>
        <x:v>B</x:v>
      </x:c>
      <x:c r="O353" t="str">
        <x:f>IF(RAND()&lt;(('Team_Info'!$E$2-COUNTIF($B353:N353,"W"))/('Team_Info'!$E$4-13)),"W","B")</x:f>
        <x:v>W</x:v>
      </x:c>
      <x:c r="P353" t="str">
        <x:f>IF(RAND()&lt;(('Team_Info'!$E$2-COUNTIF($B353:O353,"W"))/('Team_Info'!$E$4-14)),"W","B")</x:f>
        <x:v>W</x:v>
      </x:c>
      <x:c r="Q353" t="str">
        <x:f>IF(RAND()&lt;(('Team_Info'!$E$2-COUNTIF($B353:P353,"W"))/('Team_Info'!$E$4-15)),"W","B")</x:f>
        <x:v>B</x:v>
      </x:c>
      <x:c r="R353" t="str">
        <x:f>IF(RAND()&lt;(('Team_Info'!$E$2-COUNTIF($B353:Q353,"W"))/('Team_Info'!$E$4-16)),"W","B")</x:f>
        <x:v>B</x:v>
      </x:c>
      <x:c r="S353" t="str">
        <x:f>IF(RAND()&lt;(('Team_Info'!$E$2-COUNTIF($B353:R353,"W"))/('Team_Info'!$E$4-17)),"W","B")</x:f>
        <x:v>W</x:v>
      </x:c>
      <x:c r="T353" t="str">
        <x:f>IF(RAND()&lt;(('Team_Info'!$E$2-COUNTIF($B353:S353,"W"))/('Team_Info'!$E$4-18)),"W","B")</x:f>
        <x:v>W</x:v>
      </x:c>
      <x:c r="U353" t="str">
        <x:f>IF(RAND()&lt;(('Team_Info'!$E$2-COUNTIF($B353:T353,"W"))/('Team_Info'!$E$4-19)),"W","B")</x:f>
        <x:v>B</x:v>
      </x:c>
    </x:row>
    <x:row r="354">
      <x:c r="A354" s="1">
        <x:v>353</x:v>
      </x:c>
      <x:c r="B354" t="str">
        <x:f>IF(RAND()&lt;'Team_Info'!$E$5,"W","B")</x:f>
        <x:v>B</x:v>
      </x:c>
      <x:c r="C354" t="str">
        <x:f>IF(RAND()&lt;(('Team_Info'!$E$2-COUNTIF($B354:B354,"W"))/('Team_Info'!$E$4-1)),"W","B")</x:f>
        <x:v>B</x:v>
      </x:c>
      <x:c r="D354" t="str">
        <x:f>IF(RAND()&lt;(('Team_Info'!$E$2-COUNTIF($B354:C354,"W"))/('Team_Info'!$E$4-2)),"W","B")</x:f>
        <x:v>B</x:v>
      </x:c>
      <x:c r="E354" t="str">
        <x:f>IF(RAND()&lt;(('Team_Info'!$E$2-COUNTIF($B354:D354,"W"))/('Team_Info'!$E$4-3)),"W","B")</x:f>
        <x:v>B</x:v>
      </x:c>
      <x:c r="F354" t="str">
        <x:f>IF(RAND()&lt;(('Team_Info'!$E$2-COUNTIF($B354:E354,"W"))/('Team_Info'!$E$4-4)),"W","B")</x:f>
        <x:v>B</x:v>
      </x:c>
      <x:c r="G354" t="str">
        <x:f>IF(RAND()&lt;(('Team_Info'!$E$2-COUNTIF($B354:F354,"W"))/('Team_Info'!$E$4-5)),"W","B")</x:f>
        <x:v>B</x:v>
      </x:c>
      <x:c r="H354" t="str">
        <x:f>IF(RAND()&lt;(('Team_Info'!$E$2-COUNTIF($B354:G354,"W"))/('Team_Info'!$E$4-6)),"W","B")</x:f>
        <x:v>B</x:v>
      </x:c>
      <x:c r="I354" t="str">
        <x:f>IF(RAND()&lt;(('Team_Info'!$E$2-COUNTIF($B354:H354,"W"))/('Team_Info'!$E$4-7)),"W","B")</x:f>
        <x:v>W</x:v>
      </x:c>
      <x:c r="J354" t="str">
        <x:f>IF(RAND()&lt;(('Team_Info'!$E$2-COUNTIF($B354:I354,"W"))/('Team_Info'!$E$4-8)),"W","B")</x:f>
        <x:v>B</x:v>
      </x:c>
      <x:c r="K354" t="str">
        <x:f>IF(RAND()&lt;(('Team_Info'!$E$2-COUNTIF($B354:J354,"W"))/('Team_Info'!$E$4-9)),"W","B")</x:f>
        <x:v>W</x:v>
      </x:c>
      <x:c r="L354" t="str">
        <x:f>IF(RAND()&lt;(('Team_Info'!$E$2-COUNTIF($B354:K354,"W"))/('Team_Info'!$E$4-10)),"W","B")</x:f>
        <x:v>W</x:v>
      </x:c>
      <x:c r="M354" t="str">
        <x:f>IF(RAND()&lt;(('Team_Info'!$E$2-COUNTIF($B354:L354,"W"))/('Team_Info'!$E$4-11)),"W","B")</x:f>
        <x:v>B</x:v>
      </x:c>
      <x:c r="N354" t="str">
        <x:f>IF(RAND()&lt;(('Team_Info'!$E$2-COUNTIF($B354:M354,"W"))/('Team_Info'!$E$4-12)),"W","B")</x:f>
        <x:v>B</x:v>
      </x:c>
      <x:c r="O354" t="str">
        <x:f>IF(RAND()&lt;(('Team_Info'!$E$2-COUNTIF($B354:N354,"W"))/('Team_Info'!$E$4-13)),"W","B")</x:f>
        <x:v>B</x:v>
      </x:c>
      <x:c r="P354" t="str">
        <x:f>IF(RAND()&lt;(('Team_Info'!$E$2-COUNTIF($B354:O354,"W"))/('Team_Info'!$E$4-14)),"W","B")</x:f>
        <x:v>B</x:v>
      </x:c>
      <x:c r="Q354" t="str">
        <x:f>IF(RAND()&lt;(('Team_Info'!$E$2-COUNTIF($B354:P354,"W"))/('Team_Info'!$E$4-15)),"W","B")</x:f>
        <x:v>B</x:v>
      </x:c>
      <x:c r="R354" t="str">
        <x:f>IF(RAND()&lt;(('Team_Info'!$E$2-COUNTIF($B354:Q354,"W"))/('Team_Info'!$E$4-16)),"W","B")</x:f>
        <x:v>W</x:v>
      </x:c>
      <x:c r="S354" t="str">
        <x:f>IF(RAND()&lt;(('Team_Info'!$E$2-COUNTIF($B354:R354,"W"))/('Team_Info'!$E$4-17)),"W","B")</x:f>
        <x:v>W</x:v>
      </x:c>
      <x:c r="T354" t="str">
        <x:f>IF(RAND()&lt;(('Team_Info'!$E$2-COUNTIF($B354:S354,"W"))/('Team_Info'!$E$4-18)),"W","B")</x:f>
        <x:v>B</x:v>
      </x:c>
      <x:c r="U354" t="str">
        <x:f>IF(RAND()&lt;(('Team_Info'!$E$2-COUNTIF($B354:T354,"W"))/('Team_Info'!$E$4-19)),"W","B")</x:f>
        <x:v>B</x:v>
      </x:c>
    </x:row>
    <x:row r="355">
      <x:c r="A355" s="1">
        <x:v>354</x:v>
      </x:c>
      <x:c r="B355" t="str">
        <x:f>IF(RAND()&lt;'Team_Info'!$E$5,"W","B")</x:f>
        <x:v>B</x:v>
      </x:c>
      <x:c r="C355" t="str">
        <x:f>IF(RAND()&lt;(('Team_Info'!$E$2-COUNTIF($B355:B355,"W"))/('Team_Info'!$E$4-1)),"W","B")</x:f>
        <x:v>B</x:v>
      </x:c>
      <x:c r="D355" t="str">
        <x:f>IF(RAND()&lt;(('Team_Info'!$E$2-COUNTIF($B355:C355,"W"))/('Team_Info'!$E$4-2)),"W","B")</x:f>
        <x:v>B</x:v>
      </x:c>
      <x:c r="E355" t="str">
        <x:f>IF(RAND()&lt;(('Team_Info'!$E$2-COUNTIF($B355:D355,"W"))/('Team_Info'!$E$4-3)),"W","B")</x:f>
        <x:v>W</x:v>
      </x:c>
      <x:c r="F355" t="str">
        <x:f>IF(RAND()&lt;(('Team_Info'!$E$2-COUNTIF($B355:E355,"W"))/('Team_Info'!$E$4-4)),"W","B")</x:f>
        <x:v>W</x:v>
      </x:c>
      <x:c r="G355" t="str">
        <x:f>IF(RAND()&lt;(('Team_Info'!$E$2-COUNTIF($B355:F355,"W"))/('Team_Info'!$E$4-5)),"W","B")</x:f>
        <x:v>B</x:v>
      </x:c>
      <x:c r="H355" t="str">
        <x:f>IF(RAND()&lt;(('Team_Info'!$E$2-COUNTIF($B355:G355,"W"))/('Team_Info'!$E$4-6)),"W","B")</x:f>
        <x:v>B</x:v>
      </x:c>
      <x:c r="I355" t="str">
        <x:f>IF(RAND()&lt;(('Team_Info'!$E$2-COUNTIF($B355:H355,"W"))/('Team_Info'!$E$4-7)),"W","B")</x:f>
        <x:v>B</x:v>
      </x:c>
      <x:c r="J355" t="str">
        <x:f>IF(RAND()&lt;(('Team_Info'!$E$2-COUNTIF($B355:I355,"W"))/('Team_Info'!$E$4-8)),"W","B")</x:f>
        <x:v>B</x:v>
      </x:c>
      <x:c r="K355" t="str">
        <x:f>IF(RAND()&lt;(('Team_Info'!$E$2-COUNTIF($B355:J355,"W"))/('Team_Info'!$E$4-9)),"W","B")</x:f>
        <x:v>B</x:v>
      </x:c>
      <x:c r="L355" t="str">
        <x:f>IF(RAND()&lt;(('Team_Info'!$E$2-COUNTIF($B355:K355,"W"))/('Team_Info'!$E$4-10)),"W","B")</x:f>
        <x:v>B</x:v>
      </x:c>
      <x:c r="M355" t="str">
        <x:f>IF(RAND()&lt;(('Team_Info'!$E$2-COUNTIF($B355:L355,"W"))/('Team_Info'!$E$4-11)),"W","B")</x:f>
        <x:v>W</x:v>
      </x:c>
      <x:c r="N355" t="str">
        <x:f>IF(RAND()&lt;(('Team_Info'!$E$2-COUNTIF($B355:M355,"W"))/('Team_Info'!$E$4-12)),"W","B")</x:f>
        <x:v>W</x:v>
      </x:c>
      <x:c r="O355" t="str">
        <x:f>IF(RAND()&lt;(('Team_Info'!$E$2-COUNTIF($B355:N355,"W"))/('Team_Info'!$E$4-13)),"W","B")</x:f>
        <x:v>B</x:v>
      </x:c>
      <x:c r="P355" t="str">
        <x:f>IF(RAND()&lt;(('Team_Info'!$E$2-COUNTIF($B355:O355,"W"))/('Team_Info'!$E$4-14)),"W","B")</x:f>
        <x:v>W</x:v>
      </x:c>
      <x:c r="Q355" t="str">
        <x:f>IF(RAND()&lt;(('Team_Info'!$E$2-COUNTIF($B355:P355,"W"))/('Team_Info'!$E$4-15)),"W","B")</x:f>
        <x:v>B</x:v>
      </x:c>
      <x:c r="R355" t="str">
        <x:f>IF(RAND()&lt;(('Team_Info'!$E$2-COUNTIF($B355:Q355,"W"))/('Team_Info'!$E$4-16)),"W","B")</x:f>
        <x:v>W</x:v>
      </x:c>
      <x:c r="S355" t="str">
        <x:f>IF(RAND()&lt;(('Team_Info'!$E$2-COUNTIF($B355:R355,"W"))/('Team_Info'!$E$4-17)),"W","B")</x:f>
        <x:v>W</x:v>
      </x:c>
      <x:c r="T355" t="str">
        <x:f>IF(RAND()&lt;(('Team_Info'!$E$2-COUNTIF($B355:S355,"W"))/('Team_Info'!$E$4-18)),"W","B")</x:f>
        <x:v>B</x:v>
      </x:c>
      <x:c r="U355" t="str">
        <x:f>IF(RAND()&lt;(('Team_Info'!$E$2-COUNTIF($B355:T355,"W"))/('Team_Info'!$E$4-19)),"W","B")</x:f>
        <x:v>B</x:v>
      </x:c>
    </x:row>
    <x:row r="356">
      <x:c r="A356" s="1">
        <x:v>355</x:v>
      </x:c>
      <x:c r="B356" t="str">
        <x:f>IF(RAND()&lt;'Team_Info'!$E$5,"W","B")</x:f>
        <x:v>B</x:v>
      </x:c>
      <x:c r="C356" t="str">
        <x:f>IF(RAND()&lt;(('Team_Info'!$E$2-COUNTIF($B356:B356,"W"))/('Team_Info'!$E$4-1)),"W","B")</x:f>
        <x:v>W</x:v>
      </x:c>
      <x:c r="D356" t="str">
        <x:f>IF(RAND()&lt;(('Team_Info'!$E$2-COUNTIF($B356:C356,"W"))/('Team_Info'!$E$4-2)),"W","B")</x:f>
        <x:v>W</x:v>
      </x:c>
      <x:c r="E356" t="str">
        <x:f>IF(RAND()&lt;(('Team_Info'!$E$2-COUNTIF($B356:D356,"W"))/('Team_Info'!$E$4-3)),"W","B")</x:f>
        <x:v>B</x:v>
      </x:c>
      <x:c r="F356" t="str">
        <x:f>IF(RAND()&lt;(('Team_Info'!$E$2-COUNTIF($B356:E356,"W"))/('Team_Info'!$E$4-4)),"W","B")</x:f>
        <x:v>B</x:v>
      </x:c>
      <x:c r="G356" t="str">
        <x:f>IF(RAND()&lt;(('Team_Info'!$E$2-COUNTIF($B356:F356,"W"))/('Team_Info'!$E$4-5)),"W","B")</x:f>
        <x:v>B</x:v>
      </x:c>
      <x:c r="H356" t="str">
        <x:f>IF(RAND()&lt;(('Team_Info'!$E$2-COUNTIF($B356:G356,"W"))/('Team_Info'!$E$4-6)),"W","B")</x:f>
        <x:v>B</x:v>
      </x:c>
      <x:c r="I356" t="str">
        <x:f>IF(RAND()&lt;(('Team_Info'!$E$2-COUNTIF($B356:H356,"W"))/('Team_Info'!$E$4-7)),"W","B")</x:f>
        <x:v>B</x:v>
      </x:c>
      <x:c r="J356" t="str">
        <x:f>IF(RAND()&lt;(('Team_Info'!$E$2-COUNTIF($B356:I356,"W"))/('Team_Info'!$E$4-8)),"W","B")</x:f>
        <x:v>B</x:v>
      </x:c>
      <x:c r="K356" t="str">
        <x:f>IF(RAND()&lt;(('Team_Info'!$E$2-COUNTIF($B356:J356,"W"))/('Team_Info'!$E$4-9)),"W","B")</x:f>
        <x:v>B</x:v>
      </x:c>
      <x:c r="L356" t="str">
        <x:f>IF(RAND()&lt;(('Team_Info'!$E$2-COUNTIF($B356:K356,"W"))/('Team_Info'!$E$4-10)),"W","B")</x:f>
        <x:v>B</x:v>
      </x:c>
      <x:c r="M356" t="str">
        <x:f>IF(RAND()&lt;(('Team_Info'!$E$2-COUNTIF($B356:L356,"W"))/('Team_Info'!$E$4-11)),"W","B")</x:f>
        <x:v>B</x:v>
      </x:c>
      <x:c r="N356" t="str">
        <x:f>IF(RAND()&lt;(('Team_Info'!$E$2-COUNTIF($B356:M356,"W"))/('Team_Info'!$E$4-12)),"W","B")</x:f>
        <x:v>B</x:v>
      </x:c>
      <x:c r="O356" t="str">
        <x:f>IF(RAND()&lt;(('Team_Info'!$E$2-COUNTIF($B356:N356,"W"))/('Team_Info'!$E$4-13)),"W","B")</x:f>
        <x:v>B</x:v>
      </x:c>
      <x:c r="P356" t="str">
        <x:f>IF(RAND()&lt;(('Team_Info'!$E$2-COUNTIF($B356:O356,"W"))/('Team_Info'!$E$4-14)),"W","B")</x:f>
        <x:v>B</x:v>
      </x:c>
      <x:c r="Q356" t="str">
        <x:f>IF(RAND()&lt;(('Team_Info'!$E$2-COUNTIF($B356:P356,"W"))/('Team_Info'!$E$4-15)),"W","B")</x:f>
        <x:v>W</x:v>
      </x:c>
      <x:c r="R356" t="str">
        <x:f>IF(RAND()&lt;(('Team_Info'!$E$2-COUNTIF($B356:Q356,"W"))/('Team_Info'!$E$4-16)),"W","B")</x:f>
        <x:v>B</x:v>
      </x:c>
      <x:c r="S356" t="str">
        <x:f>IF(RAND()&lt;(('Team_Info'!$E$2-COUNTIF($B356:R356,"W"))/('Team_Info'!$E$4-17)),"W","B")</x:f>
        <x:v>B</x:v>
      </x:c>
      <x:c r="T356" t="str">
        <x:f>IF(RAND()&lt;(('Team_Info'!$E$2-COUNTIF($B356:S356,"W"))/('Team_Info'!$E$4-18)),"W","B")</x:f>
        <x:v>B</x:v>
      </x:c>
      <x:c r="U356" t="str">
        <x:f>IF(RAND()&lt;(('Team_Info'!$E$2-COUNTIF($B356:T356,"W"))/('Team_Info'!$E$4-19)),"W","B")</x:f>
        <x:v>B</x:v>
      </x:c>
    </x:row>
    <x:row r="357">
      <x:c r="A357" s="1">
        <x:v>356</x:v>
      </x:c>
      <x:c r="B357" t="str">
        <x:f>IF(RAND()&lt;'Team_Info'!$E$5,"W","B")</x:f>
        <x:v>W</x:v>
      </x:c>
      <x:c r="C357" t="str">
        <x:f>IF(RAND()&lt;(('Team_Info'!$E$2-COUNTIF($B357:B357,"W"))/('Team_Info'!$E$4-1)),"W","B")</x:f>
        <x:v>B</x:v>
      </x:c>
      <x:c r="D357" t="str">
        <x:f>IF(RAND()&lt;(('Team_Info'!$E$2-COUNTIF($B357:C357,"W"))/('Team_Info'!$E$4-2)),"W","B")</x:f>
        <x:v>B</x:v>
      </x:c>
      <x:c r="E357" t="str">
        <x:f>IF(RAND()&lt;(('Team_Info'!$E$2-COUNTIF($B357:D357,"W"))/('Team_Info'!$E$4-3)),"W","B")</x:f>
        <x:v>B</x:v>
      </x:c>
      <x:c r="F357" t="str">
        <x:f>IF(RAND()&lt;(('Team_Info'!$E$2-COUNTIF($B357:E357,"W"))/('Team_Info'!$E$4-4)),"W","B")</x:f>
        <x:v>B</x:v>
      </x:c>
      <x:c r="G357" t="str">
        <x:f>IF(RAND()&lt;(('Team_Info'!$E$2-COUNTIF($B357:F357,"W"))/('Team_Info'!$E$4-5)),"W","B")</x:f>
        <x:v>W</x:v>
      </x:c>
      <x:c r="H357" t="str">
        <x:f>IF(RAND()&lt;(('Team_Info'!$E$2-COUNTIF($B357:G357,"W"))/('Team_Info'!$E$4-6)),"W","B")</x:f>
        <x:v>W</x:v>
      </x:c>
      <x:c r="I357" t="str">
        <x:f>IF(RAND()&lt;(('Team_Info'!$E$2-COUNTIF($B357:H357,"W"))/('Team_Info'!$E$4-7)),"W","B")</x:f>
        <x:v>B</x:v>
      </x:c>
      <x:c r="J357" t="str">
        <x:f>IF(RAND()&lt;(('Team_Info'!$E$2-COUNTIF($B357:I357,"W"))/('Team_Info'!$E$4-8)),"W","B")</x:f>
        <x:v>W</x:v>
      </x:c>
      <x:c r="K357" t="str">
        <x:f>IF(RAND()&lt;(('Team_Info'!$E$2-COUNTIF($B357:J357,"W"))/('Team_Info'!$E$4-9)),"W","B")</x:f>
        <x:v>W</x:v>
      </x:c>
      <x:c r="L357" t="str">
        <x:f>IF(RAND()&lt;(('Team_Info'!$E$2-COUNTIF($B357:K357,"W"))/('Team_Info'!$E$4-10)),"W","B")</x:f>
        <x:v>B</x:v>
      </x:c>
      <x:c r="M357" t="str">
        <x:f>IF(RAND()&lt;(('Team_Info'!$E$2-COUNTIF($B357:L357,"W"))/('Team_Info'!$E$4-11)),"W","B")</x:f>
        <x:v>B</x:v>
      </x:c>
      <x:c r="N357" t="str">
        <x:f>IF(RAND()&lt;(('Team_Info'!$E$2-COUNTIF($B357:M357,"W"))/('Team_Info'!$E$4-12)),"W","B")</x:f>
        <x:v>B</x:v>
      </x:c>
      <x:c r="O357" t="str">
        <x:f>IF(RAND()&lt;(('Team_Info'!$E$2-COUNTIF($B357:N357,"W"))/('Team_Info'!$E$4-13)),"W","B")</x:f>
        <x:v>W</x:v>
      </x:c>
      <x:c r="P357" t="str">
        <x:f>IF(RAND()&lt;(('Team_Info'!$E$2-COUNTIF($B357:O357,"W"))/('Team_Info'!$E$4-14)),"W","B")</x:f>
        <x:v>B</x:v>
      </x:c>
      <x:c r="Q357" t="str">
        <x:f>IF(RAND()&lt;(('Team_Info'!$E$2-COUNTIF($B357:P357,"W"))/('Team_Info'!$E$4-15)),"W","B")</x:f>
        <x:v>B</x:v>
      </x:c>
      <x:c r="R357" t="str">
        <x:f>IF(RAND()&lt;(('Team_Info'!$E$2-COUNTIF($B357:Q357,"W"))/('Team_Info'!$E$4-16)),"W","B")</x:f>
        <x:v>B</x:v>
      </x:c>
      <x:c r="S357" t="str">
        <x:f>IF(RAND()&lt;(('Team_Info'!$E$2-COUNTIF($B357:R357,"W"))/('Team_Info'!$E$4-17)),"W","B")</x:f>
        <x:v>B</x:v>
      </x:c>
      <x:c r="T357" t="str">
        <x:f>IF(RAND()&lt;(('Team_Info'!$E$2-COUNTIF($B357:S357,"W"))/('Team_Info'!$E$4-18)),"W","B")</x:f>
        <x:v>B</x:v>
      </x:c>
      <x:c r="U357" t="str">
        <x:f>IF(RAND()&lt;(('Team_Info'!$E$2-COUNTIF($B357:T357,"W"))/('Team_Info'!$E$4-19)),"W","B")</x:f>
        <x:v>W</x:v>
      </x:c>
    </x:row>
    <x:row r="358">
      <x:c r="A358" s="1">
        <x:v>357</x:v>
      </x:c>
      <x:c r="B358" t="str">
        <x:f>IF(RAND()&lt;'Team_Info'!$E$5,"W","B")</x:f>
        <x:v>B</x:v>
      </x:c>
      <x:c r="C358" t="str">
        <x:f>IF(RAND()&lt;(('Team_Info'!$E$2-COUNTIF($B358:B358,"W"))/('Team_Info'!$E$4-1)),"W","B")</x:f>
        <x:v>B</x:v>
      </x:c>
      <x:c r="D358" t="str">
        <x:f>IF(RAND()&lt;(('Team_Info'!$E$2-COUNTIF($B358:C358,"W"))/('Team_Info'!$E$4-2)),"W","B")</x:f>
        <x:v>W</x:v>
      </x:c>
      <x:c r="E358" t="str">
        <x:f>IF(RAND()&lt;(('Team_Info'!$E$2-COUNTIF($B358:D358,"W"))/('Team_Info'!$E$4-3)),"W","B")</x:f>
        <x:v>W</x:v>
      </x:c>
      <x:c r="F358" t="str">
        <x:f>IF(RAND()&lt;(('Team_Info'!$E$2-COUNTIF($B358:E358,"W"))/('Team_Info'!$E$4-4)),"W","B")</x:f>
        <x:v>B</x:v>
      </x:c>
      <x:c r="G358" t="str">
        <x:f>IF(RAND()&lt;(('Team_Info'!$E$2-COUNTIF($B358:F358,"W"))/('Team_Info'!$E$4-5)),"W","B")</x:f>
        <x:v>B</x:v>
      </x:c>
      <x:c r="H358" t="str">
        <x:f>IF(RAND()&lt;(('Team_Info'!$E$2-COUNTIF($B358:G358,"W"))/('Team_Info'!$E$4-6)),"W","B")</x:f>
        <x:v>B</x:v>
      </x:c>
      <x:c r="I358" t="str">
        <x:f>IF(RAND()&lt;(('Team_Info'!$E$2-COUNTIF($B358:H358,"W"))/('Team_Info'!$E$4-7)),"W","B")</x:f>
        <x:v>B</x:v>
      </x:c>
      <x:c r="J358" t="str">
        <x:f>IF(RAND()&lt;(('Team_Info'!$E$2-COUNTIF($B358:I358,"W"))/('Team_Info'!$E$4-8)),"W","B")</x:f>
        <x:v>B</x:v>
      </x:c>
      <x:c r="K358" t="str">
        <x:f>IF(RAND()&lt;(('Team_Info'!$E$2-COUNTIF($B358:J358,"W"))/('Team_Info'!$E$4-9)),"W","B")</x:f>
        <x:v>B</x:v>
      </x:c>
      <x:c r="L358" t="str">
        <x:f>IF(RAND()&lt;(('Team_Info'!$E$2-COUNTIF($B358:K358,"W"))/('Team_Info'!$E$4-10)),"W","B")</x:f>
        <x:v>B</x:v>
      </x:c>
      <x:c r="M358" t="str">
        <x:f>IF(RAND()&lt;(('Team_Info'!$E$2-COUNTIF($B358:L358,"W"))/('Team_Info'!$E$4-11)),"W","B")</x:f>
        <x:v>B</x:v>
      </x:c>
      <x:c r="N358" t="str">
        <x:f>IF(RAND()&lt;(('Team_Info'!$E$2-COUNTIF($B358:M358,"W"))/('Team_Info'!$E$4-12)),"W","B")</x:f>
        <x:v>W</x:v>
      </x:c>
      <x:c r="O358" t="str">
        <x:f>IF(RAND()&lt;(('Team_Info'!$E$2-COUNTIF($B358:N358,"W"))/('Team_Info'!$E$4-13)),"W","B")</x:f>
        <x:v>B</x:v>
      </x:c>
      <x:c r="P358" t="str">
        <x:f>IF(RAND()&lt;(('Team_Info'!$E$2-COUNTIF($B358:O358,"W"))/('Team_Info'!$E$4-14)),"W","B")</x:f>
        <x:v>B</x:v>
      </x:c>
      <x:c r="Q358" t="str">
        <x:f>IF(RAND()&lt;(('Team_Info'!$E$2-COUNTIF($B358:P358,"W"))/('Team_Info'!$E$4-15)),"W","B")</x:f>
        <x:v>W</x:v>
      </x:c>
      <x:c r="R358" t="str">
        <x:f>IF(RAND()&lt;(('Team_Info'!$E$2-COUNTIF($B358:Q358,"W"))/('Team_Info'!$E$4-16)),"W","B")</x:f>
        <x:v>W</x:v>
      </x:c>
      <x:c r="S358" t="str">
        <x:f>IF(RAND()&lt;(('Team_Info'!$E$2-COUNTIF($B358:R358,"W"))/('Team_Info'!$E$4-17)),"W","B")</x:f>
        <x:v>W</x:v>
      </x:c>
      <x:c r="T358" t="str">
        <x:f>IF(RAND()&lt;(('Team_Info'!$E$2-COUNTIF($B358:S358,"W"))/('Team_Info'!$E$4-18)),"W","B")</x:f>
        <x:v>W</x:v>
      </x:c>
      <x:c r="U358" t="str">
        <x:f>IF(RAND()&lt;(('Team_Info'!$E$2-COUNTIF($B358:T358,"W"))/('Team_Info'!$E$4-19)),"W","B")</x:f>
        <x:v>B</x:v>
      </x:c>
    </x:row>
    <x:row r="359">
      <x:c r="A359" s="1">
        <x:v>358</x:v>
      </x:c>
      <x:c r="B359" t="str">
        <x:f>IF(RAND()&lt;'Team_Info'!$E$5,"W","B")</x:f>
        <x:v>B</x:v>
      </x:c>
      <x:c r="C359" t="str">
        <x:f>IF(RAND()&lt;(('Team_Info'!$E$2-COUNTIF($B359:B359,"W"))/('Team_Info'!$E$4-1)),"W","B")</x:f>
        <x:v>B</x:v>
      </x:c>
      <x:c r="D359" t="str">
        <x:f>IF(RAND()&lt;(('Team_Info'!$E$2-COUNTIF($B359:C359,"W"))/('Team_Info'!$E$4-2)),"W","B")</x:f>
        <x:v>B</x:v>
      </x:c>
      <x:c r="E359" t="str">
        <x:f>IF(RAND()&lt;(('Team_Info'!$E$2-COUNTIF($B359:D359,"W"))/('Team_Info'!$E$4-3)),"W","B")</x:f>
        <x:v>W</x:v>
      </x:c>
      <x:c r="F359" t="str">
        <x:f>IF(RAND()&lt;(('Team_Info'!$E$2-COUNTIF($B359:E359,"W"))/('Team_Info'!$E$4-4)),"W","B")</x:f>
        <x:v>B</x:v>
      </x:c>
      <x:c r="G359" t="str">
        <x:f>IF(RAND()&lt;(('Team_Info'!$E$2-COUNTIF($B359:F359,"W"))/('Team_Info'!$E$4-5)),"W","B")</x:f>
        <x:v>B</x:v>
      </x:c>
      <x:c r="H359" t="str">
        <x:f>IF(RAND()&lt;(('Team_Info'!$E$2-COUNTIF($B359:G359,"W"))/('Team_Info'!$E$4-6)),"W","B")</x:f>
        <x:v>W</x:v>
      </x:c>
      <x:c r="I359" t="str">
        <x:f>IF(RAND()&lt;(('Team_Info'!$E$2-COUNTIF($B359:H359,"W"))/('Team_Info'!$E$4-7)),"W","B")</x:f>
        <x:v>B</x:v>
      </x:c>
      <x:c r="J359" t="str">
        <x:f>IF(RAND()&lt;(('Team_Info'!$E$2-COUNTIF($B359:I359,"W"))/('Team_Info'!$E$4-8)),"W","B")</x:f>
        <x:v>B</x:v>
      </x:c>
      <x:c r="K359" t="str">
        <x:f>IF(RAND()&lt;(('Team_Info'!$E$2-COUNTIF($B359:J359,"W"))/('Team_Info'!$E$4-9)),"W","B")</x:f>
        <x:v>B</x:v>
      </x:c>
      <x:c r="L359" t="str">
        <x:f>IF(RAND()&lt;(('Team_Info'!$E$2-COUNTIF($B359:K359,"W"))/('Team_Info'!$E$4-10)),"W","B")</x:f>
        <x:v>B</x:v>
      </x:c>
      <x:c r="M359" t="str">
        <x:f>IF(RAND()&lt;(('Team_Info'!$E$2-COUNTIF($B359:L359,"W"))/('Team_Info'!$E$4-11)),"W","B")</x:f>
        <x:v>B</x:v>
      </x:c>
      <x:c r="N359" t="str">
        <x:f>IF(RAND()&lt;(('Team_Info'!$E$2-COUNTIF($B359:M359,"W"))/('Team_Info'!$E$4-12)),"W","B")</x:f>
        <x:v>W</x:v>
      </x:c>
      <x:c r="O359" t="str">
        <x:f>IF(RAND()&lt;(('Team_Info'!$E$2-COUNTIF($B359:N359,"W"))/('Team_Info'!$E$4-13)),"W","B")</x:f>
        <x:v>B</x:v>
      </x:c>
      <x:c r="P359" t="str">
        <x:f>IF(RAND()&lt;(('Team_Info'!$E$2-COUNTIF($B359:O359,"W"))/('Team_Info'!$E$4-14)),"W","B")</x:f>
        <x:v>B</x:v>
      </x:c>
      <x:c r="Q359" t="str">
        <x:f>IF(RAND()&lt;(('Team_Info'!$E$2-COUNTIF($B359:P359,"W"))/('Team_Info'!$E$4-15)),"W","B")</x:f>
        <x:v>B</x:v>
      </x:c>
      <x:c r="R359" t="str">
        <x:f>IF(RAND()&lt;(('Team_Info'!$E$2-COUNTIF($B359:Q359,"W"))/('Team_Info'!$E$4-16)),"W","B")</x:f>
        <x:v>B</x:v>
      </x:c>
      <x:c r="S359" t="str">
        <x:f>IF(RAND()&lt;(('Team_Info'!$E$2-COUNTIF($B359:R359,"W"))/('Team_Info'!$E$4-17)),"W","B")</x:f>
        <x:v>B</x:v>
      </x:c>
      <x:c r="T359" t="str">
        <x:f>IF(RAND()&lt;(('Team_Info'!$E$2-COUNTIF($B359:S359,"W"))/('Team_Info'!$E$4-18)),"W","B")</x:f>
        <x:v>B</x:v>
      </x:c>
      <x:c r="U359" t="str">
        <x:f>IF(RAND()&lt;(('Team_Info'!$E$2-COUNTIF($B359:T359,"W"))/('Team_Info'!$E$4-19)),"W","B")</x:f>
        <x:v>B</x:v>
      </x:c>
    </x:row>
    <x:row r="360">
      <x:c r="A360" s="1">
        <x:v>359</x:v>
      </x:c>
      <x:c r="B360" t="str">
        <x:f>IF(RAND()&lt;'Team_Info'!$E$5,"W","B")</x:f>
        <x:v>B</x:v>
      </x:c>
      <x:c r="C360" t="str">
        <x:f>IF(RAND()&lt;(('Team_Info'!$E$2-COUNTIF($B360:B360,"W"))/('Team_Info'!$E$4-1)),"W","B")</x:f>
        <x:v>W</x:v>
      </x:c>
      <x:c r="D360" t="str">
        <x:f>IF(RAND()&lt;(('Team_Info'!$E$2-COUNTIF($B360:C360,"W"))/('Team_Info'!$E$4-2)),"W","B")</x:f>
        <x:v>W</x:v>
      </x:c>
      <x:c r="E360" t="str">
        <x:f>IF(RAND()&lt;(('Team_Info'!$E$2-COUNTIF($B360:D360,"W"))/('Team_Info'!$E$4-3)),"W","B")</x:f>
        <x:v>W</x:v>
      </x:c>
      <x:c r="F360" t="str">
        <x:f>IF(RAND()&lt;(('Team_Info'!$E$2-COUNTIF($B360:E360,"W"))/('Team_Info'!$E$4-4)),"W","B")</x:f>
        <x:v>B</x:v>
      </x:c>
      <x:c r="G360" t="str">
        <x:f>IF(RAND()&lt;(('Team_Info'!$E$2-COUNTIF($B360:F360,"W"))/('Team_Info'!$E$4-5)),"W","B")</x:f>
        <x:v>B</x:v>
      </x:c>
      <x:c r="H360" t="str">
        <x:f>IF(RAND()&lt;(('Team_Info'!$E$2-COUNTIF($B360:G360,"W"))/('Team_Info'!$E$4-6)),"W","B")</x:f>
        <x:v>B</x:v>
      </x:c>
      <x:c r="I360" t="str">
        <x:f>IF(RAND()&lt;(('Team_Info'!$E$2-COUNTIF($B360:H360,"W"))/('Team_Info'!$E$4-7)),"W","B")</x:f>
        <x:v>W</x:v>
      </x:c>
      <x:c r="J360" t="str">
        <x:f>IF(RAND()&lt;(('Team_Info'!$E$2-COUNTIF($B360:I360,"W"))/('Team_Info'!$E$4-8)),"W","B")</x:f>
        <x:v>B</x:v>
      </x:c>
      <x:c r="K360" t="str">
        <x:f>IF(RAND()&lt;(('Team_Info'!$E$2-COUNTIF($B360:J360,"W"))/('Team_Info'!$E$4-9)),"W","B")</x:f>
        <x:v>B</x:v>
      </x:c>
      <x:c r="L360" t="str">
        <x:f>IF(RAND()&lt;(('Team_Info'!$E$2-COUNTIF($B360:K360,"W"))/('Team_Info'!$E$4-10)),"W","B")</x:f>
        <x:v>B</x:v>
      </x:c>
      <x:c r="M360" t="str">
        <x:f>IF(RAND()&lt;(('Team_Info'!$E$2-COUNTIF($B360:L360,"W"))/('Team_Info'!$E$4-11)),"W","B")</x:f>
        <x:v>W</x:v>
      </x:c>
      <x:c r="N360" t="str">
        <x:f>IF(RAND()&lt;(('Team_Info'!$E$2-COUNTIF($B360:M360,"W"))/('Team_Info'!$E$4-12)),"W","B")</x:f>
        <x:v>W</x:v>
      </x:c>
      <x:c r="O360" t="str">
        <x:f>IF(RAND()&lt;(('Team_Info'!$E$2-COUNTIF($B360:N360,"W"))/('Team_Info'!$E$4-13)),"W","B")</x:f>
        <x:v>B</x:v>
      </x:c>
      <x:c r="P360" t="str">
        <x:f>IF(RAND()&lt;(('Team_Info'!$E$2-COUNTIF($B360:O360,"W"))/('Team_Info'!$E$4-14)),"W","B")</x:f>
        <x:v>W</x:v>
      </x:c>
      <x:c r="Q360" t="str">
        <x:f>IF(RAND()&lt;(('Team_Info'!$E$2-COUNTIF($B360:P360,"W"))/('Team_Info'!$E$4-15)),"W","B")</x:f>
        <x:v>B</x:v>
      </x:c>
      <x:c r="R360" t="str">
        <x:f>IF(RAND()&lt;(('Team_Info'!$E$2-COUNTIF($B360:Q360,"W"))/('Team_Info'!$E$4-16)),"W","B")</x:f>
        <x:v>B</x:v>
      </x:c>
      <x:c r="S360" t="str">
        <x:f>IF(RAND()&lt;(('Team_Info'!$E$2-COUNTIF($B360:R360,"W"))/('Team_Info'!$E$4-17)),"W","B")</x:f>
        <x:v>B</x:v>
      </x:c>
      <x:c r="T360" t="str">
        <x:f>IF(RAND()&lt;(('Team_Info'!$E$2-COUNTIF($B360:S360,"W"))/('Team_Info'!$E$4-18)),"W","B")</x:f>
        <x:v>B</x:v>
      </x:c>
      <x:c r="U360" t="str">
        <x:f>IF(RAND()&lt;(('Team_Info'!$E$2-COUNTIF($B360:T360,"W"))/('Team_Info'!$E$4-19)),"W","B")</x:f>
        <x:v>W</x:v>
      </x:c>
    </x:row>
    <x:row r="361">
      <x:c r="A361" s="1">
        <x:v>360</x:v>
      </x:c>
      <x:c r="B361" t="str">
        <x:f>IF(RAND()&lt;'Team_Info'!$E$5,"W","B")</x:f>
        <x:v>W</x:v>
      </x:c>
      <x:c r="C361" t="str">
        <x:f>IF(RAND()&lt;(('Team_Info'!$E$2-COUNTIF($B361:B361,"W"))/('Team_Info'!$E$4-1)),"W","B")</x:f>
        <x:v>B</x:v>
      </x:c>
      <x:c r="D361" t="str">
        <x:f>IF(RAND()&lt;(('Team_Info'!$E$2-COUNTIF($B361:C361,"W"))/('Team_Info'!$E$4-2)),"W","B")</x:f>
        <x:v>W</x:v>
      </x:c>
      <x:c r="E361" t="str">
        <x:f>IF(RAND()&lt;(('Team_Info'!$E$2-COUNTIF($B361:D361,"W"))/('Team_Info'!$E$4-3)),"W","B")</x:f>
        <x:v>W</x:v>
      </x:c>
      <x:c r="F361" t="str">
        <x:f>IF(RAND()&lt;(('Team_Info'!$E$2-COUNTIF($B361:E361,"W"))/('Team_Info'!$E$4-4)),"W","B")</x:f>
        <x:v>W</x:v>
      </x:c>
      <x:c r="G361" t="str">
        <x:f>IF(RAND()&lt;(('Team_Info'!$E$2-COUNTIF($B361:F361,"W"))/('Team_Info'!$E$4-5)),"W","B")</x:f>
        <x:v>W</x:v>
      </x:c>
      <x:c r="H361" t="str">
        <x:f>IF(RAND()&lt;(('Team_Info'!$E$2-COUNTIF($B361:G361,"W"))/('Team_Info'!$E$4-6)),"W","B")</x:f>
        <x:v>B</x:v>
      </x:c>
      <x:c r="I361" t="str">
        <x:f>IF(RAND()&lt;(('Team_Info'!$E$2-COUNTIF($B361:H361,"W"))/('Team_Info'!$E$4-7)),"W","B")</x:f>
        <x:v>W</x:v>
      </x:c>
      <x:c r="J361" t="str">
        <x:f>IF(RAND()&lt;(('Team_Info'!$E$2-COUNTIF($B361:I361,"W"))/('Team_Info'!$E$4-8)),"W","B")</x:f>
        <x:v>B</x:v>
      </x:c>
      <x:c r="K361" t="str">
        <x:f>IF(RAND()&lt;(('Team_Info'!$E$2-COUNTIF($B361:J361,"W"))/('Team_Info'!$E$4-9)),"W","B")</x:f>
        <x:v>B</x:v>
      </x:c>
      <x:c r="L361" t="str">
        <x:f>IF(RAND()&lt;(('Team_Info'!$E$2-COUNTIF($B361:K361,"W"))/('Team_Info'!$E$4-10)),"W","B")</x:f>
        <x:v>B</x:v>
      </x:c>
      <x:c r="M361" t="str">
        <x:f>IF(RAND()&lt;(('Team_Info'!$E$2-COUNTIF($B361:L361,"W"))/('Team_Info'!$E$4-11)),"W","B")</x:f>
        <x:v>W</x:v>
      </x:c>
      <x:c r="N361" t="str">
        <x:f>IF(RAND()&lt;(('Team_Info'!$E$2-COUNTIF($B361:M361,"W"))/('Team_Info'!$E$4-12)),"W","B")</x:f>
        <x:v>B</x:v>
      </x:c>
      <x:c r="O361" t="str">
        <x:f>IF(RAND()&lt;(('Team_Info'!$E$2-COUNTIF($B361:N361,"W"))/('Team_Info'!$E$4-13)),"W","B")</x:f>
        <x:v>B</x:v>
      </x:c>
      <x:c r="P361" t="str">
        <x:f>IF(RAND()&lt;(('Team_Info'!$E$2-COUNTIF($B361:O361,"W"))/('Team_Info'!$E$4-14)),"W","B")</x:f>
        <x:v>W</x:v>
      </x:c>
      <x:c r="Q361" t="str">
        <x:f>IF(RAND()&lt;(('Team_Info'!$E$2-COUNTIF($B361:P361,"W"))/('Team_Info'!$E$4-15)),"W","B")</x:f>
        <x:v>W</x:v>
      </x:c>
      <x:c r="R361" t="str">
        <x:f>IF(RAND()&lt;(('Team_Info'!$E$2-COUNTIF($B361:Q361,"W"))/('Team_Info'!$E$4-16)),"W","B")</x:f>
        <x:v>B</x:v>
      </x:c>
      <x:c r="S361" t="str">
        <x:f>IF(RAND()&lt;(('Team_Info'!$E$2-COUNTIF($B361:R361,"W"))/('Team_Info'!$E$4-17)),"W","B")</x:f>
        <x:v>W</x:v>
      </x:c>
      <x:c r="T361" t="str">
        <x:f>IF(RAND()&lt;(('Team_Info'!$E$2-COUNTIF($B361:S361,"W"))/('Team_Info'!$E$4-18)),"W","B")</x:f>
        <x:v>B</x:v>
      </x:c>
      <x:c r="U361" t="str">
        <x:f>IF(RAND()&lt;(('Team_Info'!$E$2-COUNTIF($B361:T361,"W"))/('Team_Info'!$E$4-19)),"W","B")</x:f>
        <x:v>W</x:v>
      </x:c>
    </x:row>
    <x:row r="362">
      <x:c r="A362" s="1">
        <x:v>361</x:v>
      </x:c>
      <x:c r="B362" t="str">
        <x:f>IF(RAND()&lt;'Team_Info'!$E$5,"W","B")</x:f>
        <x:v>W</x:v>
      </x:c>
      <x:c r="C362" t="str">
        <x:f>IF(RAND()&lt;(('Team_Info'!$E$2-COUNTIF($B362:B362,"W"))/('Team_Info'!$E$4-1)),"W","B")</x:f>
        <x:v>B</x:v>
      </x:c>
      <x:c r="D362" t="str">
        <x:f>IF(RAND()&lt;(('Team_Info'!$E$2-COUNTIF($B362:C362,"W"))/('Team_Info'!$E$4-2)),"W","B")</x:f>
        <x:v>B</x:v>
      </x:c>
      <x:c r="E362" t="str">
        <x:f>IF(RAND()&lt;(('Team_Info'!$E$2-COUNTIF($B362:D362,"W"))/('Team_Info'!$E$4-3)),"W","B")</x:f>
        <x:v>B</x:v>
      </x:c>
      <x:c r="F362" t="str">
        <x:f>IF(RAND()&lt;(('Team_Info'!$E$2-COUNTIF($B362:E362,"W"))/('Team_Info'!$E$4-4)),"W","B")</x:f>
        <x:v>W</x:v>
      </x:c>
      <x:c r="G362" t="str">
        <x:f>IF(RAND()&lt;(('Team_Info'!$E$2-COUNTIF($B362:F362,"W"))/('Team_Info'!$E$4-5)),"W","B")</x:f>
        <x:v>B</x:v>
      </x:c>
      <x:c r="H362" t="str">
        <x:f>IF(RAND()&lt;(('Team_Info'!$E$2-COUNTIF($B362:G362,"W"))/('Team_Info'!$E$4-6)),"W","B")</x:f>
        <x:v>B</x:v>
      </x:c>
      <x:c r="I362" t="str">
        <x:f>IF(RAND()&lt;(('Team_Info'!$E$2-COUNTIF($B362:H362,"W"))/('Team_Info'!$E$4-7)),"W","B")</x:f>
        <x:v>B</x:v>
      </x:c>
      <x:c r="J362" t="str">
        <x:f>IF(RAND()&lt;(('Team_Info'!$E$2-COUNTIF($B362:I362,"W"))/('Team_Info'!$E$4-8)),"W","B")</x:f>
        <x:v>B</x:v>
      </x:c>
      <x:c r="K362" t="str">
        <x:f>IF(RAND()&lt;(('Team_Info'!$E$2-COUNTIF($B362:J362,"W"))/('Team_Info'!$E$4-9)),"W","B")</x:f>
        <x:v>W</x:v>
      </x:c>
      <x:c r="L362" t="str">
        <x:f>IF(RAND()&lt;(('Team_Info'!$E$2-COUNTIF($B362:K362,"W"))/('Team_Info'!$E$4-10)),"W","B")</x:f>
        <x:v>B</x:v>
      </x:c>
      <x:c r="M362" t="str">
        <x:f>IF(RAND()&lt;(('Team_Info'!$E$2-COUNTIF($B362:L362,"W"))/('Team_Info'!$E$4-11)),"W","B")</x:f>
        <x:v>B</x:v>
      </x:c>
      <x:c r="N362" t="str">
        <x:f>IF(RAND()&lt;(('Team_Info'!$E$2-COUNTIF($B362:M362,"W"))/('Team_Info'!$E$4-12)),"W","B")</x:f>
        <x:v>B</x:v>
      </x:c>
      <x:c r="O362" t="str">
        <x:f>IF(RAND()&lt;(('Team_Info'!$E$2-COUNTIF($B362:N362,"W"))/('Team_Info'!$E$4-13)),"W","B")</x:f>
        <x:v>B</x:v>
      </x:c>
      <x:c r="P362" t="str">
        <x:f>IF(RAND()&lt;(('Team_Info'!$E$2-COUNTIF($B362:O362,"W"))/('Team_Info'!$E$4-14)),"W","B")</x:f>
        <x:v>B</x:v>
      </x:c>
      <x:c r="Q362" t="str">
        <x:f>IF(RAND()&lt;(('Team_Info'!$E$2-COUNTIF($B362:P362,"W"))/('Team_Info'!$E$4-15)),"W","B")</x:f>
        <x:v>B</x:v>
      </x:c>
      <x:c r="R362" t="str">
        <x:f>IF(RAND()&lt;(('Team_Info'!$E$2-COUNTIF($B362:Q362,"W"))/('Team_Info'!$E$4-16)),"W","B")</x:f>
        <x:v>B</x:v>
      </x:c>
      <x:c r="S362" t="str">
        <x:f>IF(RAND()&lt;(('Team_Info'!$E$2-COUNTIF($B362:R362,"W"))/('Team_Info'!$E$4-17)),"W","B")</x:f>
        <x:v>W</x:v>
      </x:c>
      <x:c r="T362" t="str">
        <x:f>IF(RAND()&lt;(('Team_Info'!$E$2-COUNTIF($B362:S362,"W"))/('Team_Info'!$E$4-18)),"W","B")</x:f>
        <x:v>B</x:v>
      </x:c>
      <x:c r="U362" t="str">
        <x:f>IF(RAND()&lt;(('Team_Info'!$E$2-COUNTIF($B362:T362,"W"))/('Team_Info'!$E$4-19)),"W","B")</x:f>
        <x:v>B</x:v>
      </x:c>
    </x:row>
    <x:row r="363">
      <x:c r="A363" s="1">
        <x:v>362</x:v>
      </x:c>
      <x:c r="B363" t="str">
        <x:f>IF(RAND()&lt;'Team_Info'!$E$5,"W","B")</x:f>
        <x:v>B</x:v>
      </x:c>
      <x:c r="C363" t="str">
        <x:f>IF(RAND()&lt;(('Team_Info'!$E$2-COUNTIF($B363:B363,"W"))/('Team_Info'!$E$4-1)),"W","B")</x:f>
        <x:v>B</x:v>
      </x:c>
      <x:c r="D363" t="str">
        <x:f>IF(RAND()&lt;(('Team_Info'!$E$2-COUNTIF($B363:C363,"W"))/('Team_Info'!$E$4-2)),"W","B")</x:f>
        <x:v>B</x:v>
      </x:c>
      <x:c r="E363" t="str">
        <x:f>IF(RAND()&lt;(('Team_Info'!$E$2-COUNTIF($B363:D363,"W"))/('Team_Info'!$E$4-3)),"W","B")</x:f>
        <x:v>W</x:v>
      </x:c>
      <x:c r="F363" t="str">
        <x:f>IF(RAND()&lt;(('Team_Info'!$E$2-COUNTIF($B363:E363,"W"))/('Team_Info'!$E$4-4)),"W","B")</x:f>
        <x:v>B</x:v>
      </x:c>
      <x:c r="G363" t="str">
        <x:f>IF(RAND()&lt;(('Team_Info'!$E$2-COUNTIF($B363:F363,"W"))/('Team_Info'!$E$4-5)),"W","B")</x:f>
        <x:v>B</x:v>
      </x:c>
      <x:c r="H363" t="str">
        <x:f>IF(RAND()&lt;(('Team_Info'!$E$2-COUNTIF($B363:G363,"W"))/('Team_Info'!$E$4-6)),"W","B")</x:f>
        <x:v>W</x:v>
      </x:c>
      <x:c r="I363" t="str">
        <x:f>IF(RAND()&lt;(('Team_Info'!$E$2-COUNTIF($B363:H363,"W"))/('Team_Info'!$E$4-7)),"W","B")</x:f>
        <x:v>B</x:v>
      </x:c>
      <x:c r="J363" t="str">
        <x:f>IF(RAND()&lt;(('Team_Info'!$E$2-COUNTIF($B363:I363,"W"))/('Team_Info'!$E$4-8)),"W","B")</x:f>
        <x:v>B</x:v>
      </x:c>
      <x:c r="K363" t="str">
        <x:f>IF(RAND()&lt;(('Team_Info'!$E$2-COUNTIF($B363:J363,"W"))/('Team_Info'!$E$4-9)),"W","B")</x:f>
        <x:v>W</x:v>
      </x:c>
      <x:c r="L363" t="str">
        <x:f>IF(RAND()&lt;(('Team_Info'!$E$2-COUNTIF($B363:K363,"W"))/('Team_Info'!$E$4-10)),"W","B")</x:f>
        <x:v>W</x:v>
      </x:c>
      <x:c r="M363" t="str">
        <x:f>IF(RAND()&lt;(('Team_Info'!$E$2-COUNTIF($B363:L363,"W"))/('Team_Info'!$E$4-11)),"W","B")</x:f>
        <x:v>B</x:v>
      </x:c>
      <x:c r="N363" t="str">
        <x:f>IF(RAND()&lt;(('Team_Info'!$E$2-COUNTIF($B363:M363,"W"))/('Team_Info'!$E$4-12)),"W","B")</x:f>
        <x:v>W</x:v>
      </x:c>
      <x:c r="O363" t="str">
        <x:f>IF(RAND()&lt;(('Team_Info'!$E$2-COUNTIF($B363:N363,"W"))/('Team_Info'!$E$4-13)),"W","B")</x:f>
        <x:v>B</x:v>
      </x:c>
      <x:c r="P363" t="str">
        <x:f>IF(RAND()&lt;(('Team_Info'!$E$2-COUNTIF($B363:O363,"W"))/('Team_Info'!$E$4-14)),"W","B")</x:f>
        <x:v>B</x:v>
      </x:c>
      <x:c r="Q363" t="str">
        <x:f>IF(RAND()&lt;(('Team_Info'!$E$2-COUNTIF($B363:P363,"W"))/('Team_Info'!$E$4-15)),"W","B")</x:f>
        <x:v>B</x:v>
      </x:c>
      <x:c r="R363" t="str">
        <x:f>IF(RAND()&lt;(('Team_Info'!$E$2-COUNTIF($B363:Q363,"W"))/('Team_Info'!$E$4-16)),"W","B")</x:f>
        <x:v>B</x:v>
      </x:c>
      <x:c r="S363" t="str">
        <x:f>IF(RAND()&lt;(('Team_Info'!$E$2-COUNTIF($B363:R363,"W"))/('Team_Info'!$E$4-17)),"W","B")</x:f>
        <x:v>W</x:v>
      </x:c>
      <x:c r="T363" t="str">
        <x:f>IF(RAND()&lt;(('Team_Info'!$E$2-COUNTIF($B363:S363,"W"))/('Team_Info'!$E$4-18)),"W","B")</x:f>
        <x:v>B</x:v>
      </x:c>
      <x:c r="U363" t="str">
        <x:f>IF(RAND()&lt;(('Team_Info'!$E$2-COUNTIF($B363:T363,"W"))/('Team_Info'!$E$4-19)),"W","B")</x:f>
        <x:v>W</x:v>
      </x:c>
    </x:row>
    <x:row r="364">
      <x:c r="A364" s="1">
        <x:v>363</x:v>
      </x:c>
      <x:c r="B364" t="str">
        <x:f>IF(RAND()&lt;'Team_Info'!$E$5,"W","B")</x:f>
        <x:v>W</x:v>
      </x:c>
      <x:c r="C364" t="str">
        <x:f>IF(RAND()&lt;(('Team_Info'!$E$2-COUNTIF($B364:B364,"W"))/('Team_Info'!$E$4-1)),"W","B")</x:f>
        <x:v>B</x:v>
      </x:c>
      <x:c r="D364" t="str">
        <x:f>IF(RAND()&lt;(('Team_Info'!$E$2-COUNTIF($B364:C364,"W"))/('Team_Info'!$E$4-2)),"W","B")</x:f>
        <x:v>B</x:v>
      </x:c>
      <x:c r="E364" t="str">
        <x:f>IF(RAND()&lt;(('Team_Info'!$E$2-COUNTIF($B364:D364,"W"))/('Team_Info'!$E$4-3)),"W","B")</x:f>
        <x:v>B</x:v>
      </x:c>
      <x:c r="F364" t="str">
        <x:f>IF(RAND()&lt;(('Team_Info'!$E$2-COUNTIF($B364:E364,"W"))/('Team_Info'!$E$4-4)),"W","B")</x:f>
        <x:v>B</x:v>
      </x:c>
      <x:c r="G364" t="str">
        <x:f>IF(RAND()&lt;(('Team_Info'!$E$2-COUNTIF($B364:F364,"W"))/('Team_Info'!$E$4-5)),"W","B")</x:f>
        <x:v>W</x:v>
      </x:c>
      <x:c r="H364" t="str">
        <x:f>IF(RAND()&lt;(('Team_Info'!$E$2-COUNTIF($B364:G364,"W"))/('Team_Info'!$E$4-6)),"W","B")</x:f>
        <x:v>B</x:v>
      </x:c>
      <x:c r="I364" t="str">
        <x:f>IF(RAND()&lt;(('Team_Info'!$E$2-COUNTIF($B364:H364,"W"))/('Team_Info'!$E$4-7)),"W","B")</x:f>
        <x:v>W</x:v>
      </x:c>
      <x:c r="J364" t="str">
        <x:f>IF(RAND()&lt;(('Team_Info'!$E$2-COUNTIF($B364:I364,"W"))/('Team_Info'!$E$4-8)),"W","B")</x:f>
        <x:v>B</x:v>
      </x:c>
      <x:c r="K364" t="str">
        <x:f>IF(RAND()&lt;(('Team_Info'!$E$2-COUNTIF($B364:J364,"W"))/('Team_Info'!$E$4-9)),"W","B")</x:f>
        <x:v>B</x:v>
      </x:c>
      <x:c r="L364" t="str">
        <x:f>IF(RAND()&lt;(('Team_Info'!$E$2-COUNTIF($B364:K364,"W"))/('Team_Info'!$E$4-10)),"W","B")</x:f>
        <x:v>B</x:v>
      </x:c>
      <x:c r="M364" t="str">
        <x:f>IF(RAND()&lt;(('Team_Info'!$E$2-COUNTIF($B364:L364,"W"))/('Team_Info'!$E$4-11)),"W","B")</x:f>
        <x:v>W</x:v>
      </x:c>
      <x:c r="N364" t="str">
        <x:f>IF(RAND()&lt;(('Team_Info'!$E$2-COUNTIF($B364:M364,"W"))/('Team_Info'!$E$4-12)),"W","B")</x:f>
        <x:v>B</x:v>
      </x:c>
      <x:c r="O364" t="str">
        <x:f>IF(RAND()&lt;(('Team_Info'!$E$2-COUNTIF($B364:N364,"W"))/('Team_Info'!$E$4-13)),"W","B")</x:f>
        <x:v>B</x:v>
      </x:c>
      <x:c r="P364" t="str">
        <x:f>IF(RAND()&lt;(('Team_Info'!$E$2-COUNTIF($B364:O364,"W"))/('Team_Info'!$E$4-14)),"W","B")</x:f>
        <x:v>B</x:v>
      </x:c>
      <x:c r="Q364" t="str">
        <x:f>IF(RAND()&lt;(('Team_Info'!$E$2-COUNTIF($B364:P364,"W"))/('Team_Info'!$E$4-15)),"W","B")</x:f>
        <x:v>W</x:v>
      </x:c>
      <x:c r="R364" t="str">
        <x:f>IF(RAND()&lt;(('Team_Info'!$E$2-COUNTIF($B364:Q364,"W"))/('Team_Info'!$E$4-16)),"W","B")</x:f>
        <x:v>B</x:v>
      </x:c>
      <x:c r="S364" t="str">
        <x:f>IF(RAND()&lt;(('Team_Info'!$E$2-COUNTIF($B364:R364,"W"))/('Team_Info'!$E$4-17)),"W","B")</x:f>
        <x:v>W</x:v>
      </x:c>
      <x:c r="T364" t="str">
        <x:f>IF(RAND()&lt;(('Team_Info'!$E$2-COUNTIF($B364:S364,"W"))/('Team_Info'!$E$4-18)),"W","B")</x:f>
        <x:v>B</x:v>
      </x:c>
      <x:c r="U364" t="str">
        <x:f>IF(RAND()&lt;(('Team_Info'!$E$2-COUNTIF($B364:T364,"W"))/('Team_Info'!$E$4-19)),"W","B")</x:f>
        <x:v>B</x:v>
      </x:c>
    </x:row>
    <x:row r="365">
      <x:c r="A365" s="1">
        <x:v>364</x:v>
      </x:c>
      <x:c r="B365" t="str">
        <x:f>IF(RAND()&lt;'Team_Info'!$E$5,"W","B")</x:f>
        <x:v>B</x:v>
      </x:c>
      <x:c r="C365" t="str">
        <x:f>IF(RAND()&lt;(('Team_Info'!$E$2-COUNTIF($B365:B365,"W"))/('Team_Info'!$E$4-1)),"W","B")</x:f>
        <x:v>W</x:v>
      </x:c>
      <x:c r="D365" t="str">
        <x:f>IF(RAND()&lt;(('Team_Info'!$E$2-COUNTIF($B365:C365,"W"))/('Team_Info'!$E$4-2)),"W","B")</x:f>
        <x:v>B</x:v>
      </x:c>
      <x:c r="E365" t="str">
        <x:f>IF(RAND()&lt;(('Team_Info'!$E$2-COUNTIF($B365:D365,"W"))/('Team_Info'!$E$4-3)),"W","B")</x:f>
        <x:v>W</x:v>
      </x:c>
      <x:c r="F365" t="str">
        <x:f>IF(RAND()&lt;(('Team_Info'!$E$2-COUNTIF($B365:E365,"W"))/('Team_Info'!$E$4-4)),"W","B")</x:f>
        <x:v>B</x:v>
      </x:c>
      <x:c r="G365" t="str">
        <x:f>IF(RAND()&lt;(('Team_Info'!$E$2-COUNTIF($B365:F365,"W"))/('Team_Info'!$E$4-5)),"W","B")</x:f>
        <x:v>W</x:v>
      </x:c>
      <x:c r="H365" t="str">
        <x:f>IF(RAND()&lt;(('Team_Info'!$E$2-COUNTIF($B365:G365,"W"))/('Team_Info'!$E$4-6)),"W","B")</x:f>
        <x:v>W</x:v>
      </x:c>
      <x:c r="I365" t="str">
        <x:f>IF(RAND()&lt;(('Team_Info'!$E$2-COUNTIF($B365:H365,"W"))/('Team_Info'!$E$4-7)),"W","B")</x:f>
        <x:v>W</x:v>
      </x:c>
      <x:c r="J365" t="str">
        <x:f>IF(RAND()&lt;(('Team_Info'!$E$2-COUNTIF($B365:I365,"W"))/('Team_Info'!$E$4-8)),"W","B")</x:f>
        <x:v>W</x:v>
      </x:c>
      <x:c r="K365" t="str">
        <x:f>IF(RAND()&lt;(('Team_Info'!$E$2-COUNTIF($B365:J365,"W"))/('Team_Info'!$E$4-9)),"W","B")</x:f>
        <x:v>W</x:v>
      </x:c>
      <x:c r="L365" t="str">
        <x:f>IF(RAND()&lt;(('Team_Info'!$E$2-COUNTIF($B365:K365,"W"))/('Team_Info'!$E$4-10)),"W","B")</x:f>
        <x:v>W</x:v>
      </x:c>
      <x:c r="M365" t="str">
        <x:f>IF(RAND()&lt;(('Team_Info'!$E$2-COUNTIF($B365:L365,"W"))/('Team_Info'!$E$4-11)),"W","B")</x:f>
        <x:v>B</x:v>
      </x:c>
      <x:c r="N365" t="str">
        <x:f>IF(RAND()&lt;(('Team_Info'!$E$2-COUNTIF($B365:M365,"W"))/('Team_Info'!$E$4-12)),"W","B")</x:f>
        <x:v>B</x:v>
      </x:c>
      <x:c r="O365" t="str">
        <x:f>IF(RAND()&lt;(('Team_Info'!$E$2-COUNTIF($B365:N365,"W"))/('Team_Info'!$E$4-13)),"W","B")</x:f>
        <x:v>B</x:v>
      </x:c>
      <x:c r="P365" t="str">
        <x:f>IF(RAND()&lt;(('Team_Info'!$E$2-COUNTIF($B365:O365,"W"))/('Team_Info'!$E$4-14)),"W","B")</x:f>
        <x:v>W</x:v>
      </x:c>
      <x:c r="Q365" t="str">
        <x:f>IF(RAND()&lt;(('Team_Info'!$E$2-COUNTIF($B365:P365,"W"))/('Team_Info'!$E$4-15)),"W","B")</x:f>
        <x:v>W</x:v>
      </x:c>
      <x:c r="R365" t="str">
        <x:f>IF(RAND()&lt;(('Team_Info'!$E$2-COUNTIF($B365:Q365,"W"))/('Team_Info'!$E$4-16)),"W","B")</x:f>
        <x:v>B</x:v>
      </x:c>
      <x:c r="S365" t="str">
        <x:f>IF(RAND()&lt;(('Team_Info'!$E$2-COUNTIF($B365:R365,"W"))/('Team_Info'!$E$4-17)),"W","B")</x:f>
        <x:v>W</x:v>
      </x:c>
      <x:c r="T365" t="str">
        <x:f>IF(RAND()&lt;(('Team_Info'!$E$2-COUNTIF($B365:S365,"W"))/('Team_Info'!$E$4-18)),"W","B")</x:f>
        <x:v>B</x:v>
      </x:c>
      <x:c r="U365" t="str">
        <x:f>IF(RAND()&lt;(('Team_Info'!$E$2-COUNTIF($B365:T365,"W"))/('Team_Info'!$E$4-19)),"W","B")</x:f>
        <x:v>B</x:v>
      </x:c>
    </x:row>
    <x:row r="366">
      <x:c r="A366" s="1">
        <x:v>365</x:v>
      </x:c>
      <x:c r="B366" t="str">
        <x:f>IF(RAND()&lt;'Team_Info'!$E$5,"W","B")</x:f>
        <x:v>W</x:v>
      </x:c>
      <x:c r="C366" t="str">
        <x:f>IF(RAND()&lt;(('Team_Info'!$E$2-COUNTIF($B366:B366,"W"))/('Team_Info'!$E$4-1)),"W","B")</x:f>
        <x:v>B</x:v>
      </x:c>
      <x:c r="D366" t="str">
        <x:f>IF(RAND()&lt;(('Team_Info'!$E$2-COUNTIF($B366:C366,"W"))/('Team_Info'!$E$4-2)),"W","B")</x:f>
        <x:v>B</x:v>
      </x:c>
      <x:c r="E366" t="str">
        <x:f>IF(RAND()&lt;(('Team_Info'!$E$2-COUNTIF($B366:D366,"W"))/('Team_Info'!$E$4-3)),"W","B")</x:f>
        <x:v>W</x:v>
      </x:c>
      <x:c r="F366" t="str">
        <x:f>IF(RAND()&lt;(('Team_Info'!$E$2-COUNTIF($B366:E366,"W"))/('Team_Info'!$E$4-4)),"W","B")</x:f>
        <x:v>B</x:v>
      </x:c>
      <x:c r="G366" t="str">
        <x:f>IF(RAND()&lt;(('Team_Info'!$E$2-COUNTIF($B366:F366,"W"))/('Team_Info'!$E$4-5)),"W","B")</x:f>
        <x:v>W</x:v>
      </x:c>
      <x:c r="H366" t="str">
        <x:f>IF(RAND()&lt;(('Team_Info'!$E$2-COUNTIF($B366:G366,"W"))/('Team_Info'!$E$4-6)),"W","B")</x:f>
        <x:v>B</x:v>
      </x:c>
      <x:c r="I366" t="str">
        <x:f>IF(RAND()&lt;(('Team_Info'!$E$2-COUNTIF($B366:H366,"W"))/('Team_Info'!$E$4-7)),"W","B")</x:f>
        <x:v>B</x:v>
      </x:c>
      <x:c r="J366" t="str">
        <x:f>IF(RAND()&lt;(('Team_Info'!$E$2-COUNTIF($B366:I366,"W"))/('Team_Info'!$E$4-8)),"W","B")</x:f>
        <x:v>B</x:v>
      </x:c>
      <x:c r="K366" t="str">
        <x:f>IF(RAND()&lt;(('Team_Info'!$E$2-COUNTIF($B366:J366,"W"))/('Team_Info'!$E$4-9)),"W","B")</x:f>
        <x:v>B</x:v>
      </x:c>
      <x:c r="L366" t="str">
        <x:f>IF(RAND()&lt;(('Team_Info'!$E$2-COUNTIF($B366:K366,"W"))/('Team_Info'!$E$4-10)),"W","B")</x:f>
        <x:v>W</x:v>
      </x:c>
      <x:c r="M366" t="str">
        <x:f>IF(RAND()&lt;(('Team_Info'!$E$2-COUNTIF($B366:L366,"W"))/('Team_Info'!$E$4-11)),"W","B")</x:f>
        <x:v>W</x:v>
      </x:c>
      <x:c r="N366" t="str">
        <x:f>IF(RAND()&lt;(('Team_Info'!$E$2-COUNTIF($B366:M366,"W"))/('Team_Info'!$E$4-12)),"W","B")</x:f>
        <x:v>W</x:v>
      </x:c>
      <x:c r="O366" t="str">
        <x:f>IF(RAND()&lt;(('Team_Info'!$E$2-COUNTIF($B366:N366,"W"))/('Team_Info'!$E$4-13)),"W","B")</x:f>
        <x:v>W</x:v>
      </x:c>
      <x:c r="P366" t="str">
        <x:f>IF(RAND()&lt;(('Team_Info'!$E$2-COUNTIF($B366:O366,"W"))/('Team_Info'!$E$4-14)),"W","B")</x:f>
        <x:v>B</x:v>
      </x:c>
      <x:c r="Q366" t="str">
        <x:f>IF(RAND()&lt;(('Team_Info'!$E$2-COUNTIF($B366:P366,"W"))/('Team_Info'!$E$4-15)),"W","B")</x:f>
        <x:v>W</x:v>
      </x:c>
      <x:c r="R366" t="str">
        <x:f>IF(RAND()&lt;(('Team_Info'!$E$2-COUNTIF($B366:Q366,"W"))/('Team_Info'!$E$4-16)),"W","B")</x:f>
        <x:v>B</x:v>
      </x:c>
      <x:c r="S366" t="str">
        <x:f>IF(RAND()&lt;(('Team_Info'!$E$2-COUNTIF($B366:R366,"W"))/('Team_Info'!$E$4-17)),"W","B")</x:f>
        <x:v>B</x:v>
      </x:c>
      <x:c r="T366" t="str">
        <x:f>IF(RAND()&lt;(('Team_Info'!$E$2-COUNTIF($B366:S366,"W"))/('Team_Info'!$E$4-18)),"W","B")</x:f>
        <x:v>B</x:v>
      </x:c>
      <x:c r="U366" t="str">
        <x:f>IF(RAND()&lt;(('Team_Info'!$E$2-COUNTIF($B366:T366,"W"))/('Team_Info'!$E$4-19)),"W","B")</x:f>
        <x:v>W</x:v>
      </x:c>
    </x:row>
    <x:row r="367">
      <x:c r="A367" s="1">
        <x:v>366</x:v>
      </x:c>
      <x:c r="B367" t="str">
        <x:f>IF(RAND()&lt;'Team_Info'!$E$5,"W","B")</x:f>
        <x:v>B</x:v>
      </x:c>
      <x:c r="C367" t="str">
        <x:f>IF(RAND()&lt;(('Team_Info'!$E$2-COUNTIF($B367:B367,"W"))/('Team_Info'!$E$4-1)),"W","B")</x:f>
        <x:v>W</x:v>
      </x:c>
      <x:c r="D367" t="str">
        <x:f>IF(RAND()&lt;(('Team_Info'!$E$2-COUNTIF($B367:C367,"W"))/('Team_Info'!$E$4-2)),"W","B")</x:f>
        <x:v>W</x:v>
      </x:c>
      <x:c r="E367" t="str">
        <x:f>IF(RAND()&lt;(('Team_Info'!$E$2-COUNTIF($B367:D367,"W"))/('Team_Info'!$E$4-3)),"W","B")</x:f>
        <x:v>W</x:v>
      </x:c>
      <x:c r="F367" t="str">
        <x:f>IF(RAND()&lt;(('Team_Info'!$E$2-COUNTIF($B367:E367,"W"))/('Team_Info'!$E$4-4)),"W","B")</x:f>
        <x:v>B</x:v>
      </x:c>
      <x:c r="G367" t="str">
        <x:f>IF(RAND()&lt;(('Team_Info'!$E$2-COUNTIF($B367:F367,"W"))/('Team_Info'!$E$4-5)),"W","B")</x:f>
        <x:v>B</x:v>
      </x:c>
      <x:c r="H367" t="str">
        <x:f>IF(RAND()&lt;(('Team_Info'!$E$2-COUNTIF($B367:G367,"W"))/('Team_Info'!$E$4-6)),"W","B")</x:f>
        <x:v>B</x:v>
      </x:c>
      <x:c r="I367" t="str">
        <x:f>IF(RAND()&lt;(('Team_Info'!$E$2-COUNTIF($B367:H367,"W"))/('Team_Info'!$E$4-7)),"W","B")</x:f>
        <x:v>B</x:v>
      </x:c>
      <x:c r="J367" t="str">
        <x:f>IF(RAND()&lt;(('Team_Info'!$E$2-COUNTIF($B367:I367,"W"))/('Team_Info'!$E$4-8)),"W","B")</x:f>
        <x:v>W</x:v>
      </x:c>
      <x:c r="K367" t="str">
        <x:f>IF(RAND()&lt;(('Team_Info'!$E$2-COUNTIF($B367:J367,"W"))/('Team_Info'!$E$4-9)),"W","B")</x:f>
        <x:v>W</x:v>
      </x:c>
      <x:c r="L367" t="str">
        <x:f>IF(RAND()&lt;(('Team_Info'!$E$2-COUNTIF($B367:K367,"W"))/('Team_Info'!$E$4-10)),"W","B")</x:f>
        <x:v>B</x:v>
      </x:c>
      <x:c r="M367" t="str">
        <x:f>IF(RAND()&lt;(('Team_Info'!$E$2-COUNTIF($B367:L367,"W"))/('Team_Info'!$E$4-11)),"W","B")</x:f>
        <x:v>W</x:v>
      </x:c>
      <x:c r="N367" t="str">
        <x:f>IF(RAND()&lt;(('Team_Info'!$E$2-COUNTIF($B367:M367,"W"))/('Team_Info'!$E$4-12)),"W","B")</x:f>
        <x:v>B</x:v>
      </x:c>
      <x:c r="O367" t="str">
        <x:f>IF(RAND()&lt;(('Team_Info'!$E$2-COUNTIF($B367:N367,"W"))/('Team_Info'!$E$4-13)),"W","B")</x:f>
        <x:v>B</x:v>
      </x:c>
      <x:c r="P367" t="str">
        <x:f>IF(RAND()&lt;(('Team_Info'!$E$2-COUNTIF($B367:O367,"W"))/('Team_Info'!$E$4-14)),"W","B")</x:f>
        <x:v>B</x:v>
      </x:c>
      <x:c r="Q367" t="str">
        <x:f>IF(RAND()&lt;(('Team_Info'!$E$2-COUNTIF($B367:P367,"W"))/('Team_Info'!$E$4-15)),"W","B")</x:f>
        <x:v>W</x:v>
      </x:c>
      <x:c r="R367" t="str">
        <x:f>IF(RAND()&lt;(('Team_Info'!$E$2-COUNTIF($B367:Q367,"W"))/('Team_Info'!$E$4-16)),"W","B")</x:f>
        <x:v>W</x:v>
      </x:c>
      <x:c r="S367" t="str">
        <x:f>IF(RAND()&lt;(('Team_Info'!$E$2-COUNTIF($B367:R367,"W"))/('Team_Info'!$E$4-17)),"W","B")</x:f>
        <x:v>B</x:v>
      </x:c>
      <x:c r="T367" t="str">
        <x:f>IF(RAND()&lt;(('Team_Info'!$E$2-COUNTIF($B367:S367,"W"))/('Team_Info'!$E$4-18)),"W","B")</x:f>
        <x:v>B</x:v>
      </x:c>
      <x:c r="U367" t="str">
        <x:f>IF(RAND()&lt;(('Team_Info'!$E$2-COUNTIF($B367:T367,"W"))/('Team_Info'!$E$4-19)),"W","B")</x:f>
        <x:v>B</x:v>
      </x:c>
    </x:row>
    <x:row r="368">
      <x:c r="A368" s="1">
        <x:v>367</x:v>
      </x:c>
      <x:c r="B368" t="str">
        <x:f>IF(RAND()&lt;'Team_Info'!$E$5,"W","B")</x:f>
        <x:v>W</x:v>
      </x:c>
      <x:c r="C368" t="str">
        <x:f>IF(RAND()&lt;(('Team_Info'!$E$2-COUNTIF($B368:B368,"W"))/('Team_Info'!$E$4-1)),"W","B")</x:f>
        <x:v>B</x:v>
      </x:c>
      <x:c r="D368" t="str">
        <x:f>IF(RAND()&lt;(('Team_Info'!$E$2-COUNTIF($B368:C368,"W"))/('Team_Info'!$E$4-2)),"W","B")</x:f>
        <x:v>B</x:v>
      </x:c>
      <x:c r="E368" t="str">
        <x:f>IF(RAND()&lt;(('Team_Info'!$E$2-COUNTIF($B368:D368,"W"))/('Team_Info'!$E$4-3)),"W","B")</x:f>
        <x:v>B</x:v>
      </x:c>
      <x:c r="F368" t="str">
        <x:f>IF(RAND()&lt;(('Team_Info'!$E$2-COUNTIF($B368:E368,"W"))/('Team_Info'!$E$4-4)),"W","B")</x:f>
        <x:v>W</x:v>
      </x:c>
      <x:c r="G368" t="str">
        <x:f>IF(RAND()&lt;(('Team_Info'!$E$2-COUNTIF($B368:F368,"W"))/('Team_Info'!$E$4-5)),"W","B")</x:f>
        <x:v>B</x:v>
      </x:c>
      <x:c r="H368" t="str">
        <x:f>IF(RAND()&lt;(('Team_Info'!$E$2-COUNTIF($B368:G368,"W"))/('Team_Info'!$E$4-6)),"W","B")</x:f>
        <x:v>W</x:v>
      </x:c>
      <x:c r="I368" t="str">
        <x:f>IF(RAND()&lt;(('Team_Info'!$E$2-COUNTIF($B368:H368,"W"))/('Team_Info'!$E$4-7)),"W","B")</x:f>
        <x:v>B</x:v>
      </x:c>
      <x:c r="J368" t="str">
        <x:f>IF(RAND()&lt;(('Team_Info'!$E$2-COUNTIF($B368:I368,"W"))/('Team_Info'!$E$4-8)),"W","B")</x:f>
        <x:v>B</x:v>
      </x:c>
      <x:c r="K368" t="str">
        <x:f>IF(RAND()&lt;(('Team_Info'!$E$2-COUNTIF($B368:J368,"W"))/('Team_Info'!$E$4-9)),"W","B")</x:f>
        <x:v>B</x:v>
      </x:c>
      <x:c r="L368" t="str">
        <x:f>IF(RAND()&lt;(('Team_Info'!$E$2-COUNTIF($B368:K368,"W"))/('Team_Info'!$E$4-10)),"W","B")</x:f>
        <x:v>W</x:v>
      </x:c>
      <x:c r="M368" t="str">
        <x:f>IF(RAND()&lt;(('Team_Info'!$E$2-COUNTIF($B368:L368,"W"))/('Team_Info'!$E$4-11)),"W","B")</x:f>
        <x:v>B</x:v>
      </x:c>
      <x:c r="N368" t="str">
        <x:f>IF(RAND()&lt;(('Team_Info'!$E$2-COUNTIF($B368:M368,"W"))/('Team_Info'!$E$4-12)),"W","B")</x:f>
        <x:v>B</x:v>
      </x:c>
      <x:c r="O368" t="str">
        <x:f>IF(RAND()&lt;(('Team_Info'!$E$2-COUNTIF($B368:N368,"W"))/('Team_Info'!$E$4-13)),"W","B")</x:f>
        <x:v>B</x:v>
      </x:c>
      <x:c r="P368" t="str">
        <x:f>IF(RAND()&lt;(('Team_Info'!$E$2-COUNTIF($B368:O368,"W"))/('Team_Info'!$E$4-14)),"W","B")</x:f>
        <x:v>W</x:v>
      </x:c>
      <x:c r="Q368" t="str">
        <x:f>IF(RAND()&lt;(('Team_Info'!$E$2-COUNTIF($B368:P368,"W"))/('Team_Info'!$E$4-15)),"W","B")</x:f>
        <x:v>B</x:v>
      </x:c>
      <x:c r="R368" t="str">
        <x:f>IF(RAND()&lt;(('Team_Info'!$E$2-COUNTIF($B368:Q368,"W"))/('Team_Info'!$E$4-16)),"W","B")</x:f>
        <x:v>B</x:v>
      </x:c>
      <x:c r="S368" t="str">
        <x:f>IF(RAND()&lt;(('Team_Info'!$E$2-COUNTIF($B368:R368,"W"))/('Team_Info'!$E$4-17)),"W","B")</x:f>
        <x:v>B</x:v>
      </x:c>
      <x:c r="T368" t="str">
        <x:f>IF(RAND()&lt;(('Team_Info'!$E$2-COUNTIF($B368:S368,"W"))/('Team_Info'!$E$4-18)),"W","B")</x:f>
        <x:v>B</x:v>
      </x:c>
      <x:c r="U368" t="str">
        <x:f>IF(RAND()&lt;(('Team_Info'!$E$2-COUNTIF($B368:T368,"W"))/('Team_Info'!$E$4-19)),"W","B")</x:f>
        <x:v>B</x:v>
      </x:c>
    </x:row>
    <x:row r="369">
      <x:c r="A369" s="1">
        <x:v>368</x:v>
      </x:c>
      <x:c r="B369" t="str">
        <x:f>IF(RAND()&lt;'Team_Info'!$E$5,"W","B")</x:f>
        <x:v>B</x:v>
      </x:c>
      <x:c r="C369" t="str">
        <x:f>IF(RAND()&lt;(('Team_Info'!$E$2-COUNTIF($B369:B369,"W"))/('Team_Info'!$E$4-1)),"W","B")</x:f>
        <x:v>B</x:v>
      </x:c>
      <x:c r="D369" t="str">
        <x:f>IF(RAND()&lt;(('Team_Info'!$E$2-COUNTIF($B369:C369,"W"))/('Team_Info'!$E$4-2)),"W","B")</x:f>
        <x:v>B</x:v>
      </x:c>
      <x:c r="E369" t="str">
        <x:f>IF(RAND()&lt;(('Team_Info'!$E$2-COUNTIF($B369:D369,"W"))/('Team_Info'!$E$4-3)),"W","B")</x:f>
        <x:v>B</x:v>
      </x:c>
      <x:c r="F369" t="str">
        <x:f>IF(RAND()&lt;(('Team_Info'!$E$2-COUNTIF($B369:E369,"W"))/('Team_Info'!$E$4-4)),"W","B")</x:f>
        <x:v>W</x:v>
      </x:c>
      <x:c r="G369" t="str">
        <x:f>IF(RAND()&lt;(('Team_Info'!$E$2-COUNTIF($B369:F369,"W"))/('Team_Info'!$E$4-5)),"W","B")</x:f>
        <x:v>B</x:v>
      </x:c>
      <x:c r="H369" t="str">
        <x:f>IF(RAND()&lt;(('Team_Info'!$E$2-COUNTIF($B369:G369,"W"))/('Team_Info'!$E$4-6)),"W","B")</x:f>
        <x:v>W</x:v>
      </x:c>
      <x:c r="I369" t="str">
        <x:f>IF(RAND()&lt;(('Team_Info'!$E$2-COUNTIF($B369:H369,"W"))/('Team_Info'!$E$4-7)),"W","B")</x:f>
        <x:v>W</x:v>
      </x:c>
      <x:c r="J369" t="str">
        <x:f>IF(RAND()&lt;(('Team_Info'!$E$2-COUNTIF($B369:I369,"W"))/('Team_Info'!$E$4-8)),"W","B")</x:f>
        <x:v>W</x:v>
      </x:c>
      <x:c r="K369" t="str">
        <x:f>IF(RAND()&lt;(('Team_Info'!$E$2-COUNTIF($B369:J369,"W"))/('Team_Info'!$E$4-9)),"W","B")</x:f>
        <x:v>B</x:v>
      </x:c>
      <x:c r="L369" t="str">
        <x:f>IF(RAND()&lt;(('Team_Info'!$E$2-COUNTIF($B369:K369,"W"))/('Team_Info'!$E$4-10)),"W","B")</x:f>
        <x:v>B</x:v>
      </x:c>
      <x:c r="M369" t="str">
        <x:f>IF(RAND()&lt;(('Team_Info'!$E$2-COUNTIF($B369:L369,"W"))/('Team_Info'!$E$4-11)),"W","B")</x:f>
        <x:v>B</x:v>
      </x:c>
      <x:c r="N369" t="str">
        <x:f>IF(RAND()&lt;(('Team_Info'!$E$2-COUNTIF($B369:M369,"W"))/('Team_Info'!$E$4-12)),"W","B")</x:f>
        <x:v>B</x:v>
      </x:c>
      <x:c r="O369" t="str">
        <x:f>IF(RAND()&lt;(('Team_Info'!$E$2-COUNTIF($B369:N369,"W"))/('Team_Info'!$E$4-13)),"W","B")</x:f>
        <x:v>W</x:v>
      </x:c>
      <x:c r="P369" t="str">
        <x:f>IF(RAND()&lt;(('Team_Info'!$E$2-COUNTIF($B369:O369,"W"))/('Team_Info'!$E$4-14)),"W","B")</x:f>
        <x:v>B</x:v>
      </x:c>
      <x:c r="Q369" t="str">
        <x:f>IF(RAND()&lt;(('Team_Info'!$E$2-COUNTIF($B369:P369,"W"))/('Team_Info'!$E$4-15)),"W","B")</x:f>
        <x:v>B</x:v>
      </x:c>
      <x:c r="R369" t="str">
        <x:f>IF(RAND()&lt;(('Team_Info'!$E$2-COUNTIF($B369:Q369,"W"))/('Team_Info'!$E$4-16)),"W","B")</x:f>
        <x:v>W</x:v>
      </x:c>
      <x:c r="S369" t="str">
        <x:f>IF(RAND()&lt;(('Team_Info'!$E$2-COUNTIF($B369:R369,"W"))/('Team_Info'!$E$4-17)),"W","B")</x:f>
        <x:v>B</x:v>
      </x:c>
      <x:c r="T369" t="str">
        <x:f>IF(RAND()&lt;(('Team_Info'!$E$2-COUNTIF($B369:S369,"W"))/('Team_Info'!$E$4-18)),"W","B")</x:f>
        <x:v>W</x:v>
      </x:c>
      <x:c r="U369" t="str">
        <x:f>IF(RAND()&lt;(('Team_Info'!$E$2-COUNTIF($B369:T369,"W"))/('Team_Info'!$E$4-19)),"W","B")</x:f>
        <x:v>W</x:v>
      </x:c>
    </x:row>
    <x:row r="370">
      <x:c r="A370" s="1">
        <x:v>369</x:v>
      </x:c>
      <x:c r="B370" t="str">
        <x:f>IF(RAND()&lt;'Team_Info'!$E$5,"W","B")</x:f>
        <x:v>B</x:v>
      </x:c>
      <x:c r="C370" t="str">
        <x:f>IF(RAND()&lt;(('Team_Info'!$E$2-COUNTIF($B370:B370,"W"))/('Team_Info'!$E$4-1)),"W","B")</x:f>
        <x:v>W</x:v>
      </x:c>
      <x:c r="D370" t="str">
        <x:f>IF(RAND()&lt;(('Team_Info'!$E$2-COUNTIF($B370:C370,"W"))/('Team_Info'!$E$4-2)),"W","B")</x:f>
        <x:v>B</x:v>
      </x:c>
      <x:c r="E370" t="str">
        <x:f>IF(RAND()&lt;(('Team_Info'!$E$2-COUNTIF($B370:D370,"W"))/('Team_Info'!$E$4-3)),"W","B")</x:f>
        <x:v>W</x:v>
      </x:c>
      <x:c r="F370" t="str">
        <x:f>IF(RAND()&lt;(('Team_Info'!$E$2-COUNTIF($B370:E370,"W"))/('Team_Info'!$E$4-4)),"W","B")</x:f>
        <x:v>B</x:v>
      </x:c>
      <x:c r="G370" t="str">
        <x:f>IF(RAND()&lt;(('Team_Info'!$E$2-COUNTIF($B370:F370,"W"))/('Team_Info'!$E$4-5)),"W","B")</x:f>
        <x:v>B</x:v>
      </x:c>
      <x:c r="H370" t="str">
        <x:f>IF(RAND()&lt;(('Team_Info'!$E$2-COUNTIF($B370:G370,"W"))/('Team_Info'!$E$4-6)),"W","B")</x:f>
        <x:v>B</x:v>
      </x:c>
      <x:c r="I370" t="str">
        <x:f>IF(RAND()&lt;(('Team_Info'!$E$2-COUNTIF($B370:H370,"W"))/('Team_Info'!$E$4-7)),"W","B")</x:f>
        <x:v>W</x:v>
      </x:c>
      <x:c r="J370" t="str">
        <x:f>IF(RAND()&lt;(('Team_Info'!$E$2-COUNTIF($B370:I370,"W"))/('Team_Info'!$E$4-8)),"W","B")</x:f>
        <x:v>B</x:v>
      </x:c>
      <x:c r="K370" t="str">
        <x:f>IF(RAND()&lt;(('Team_Info'!$E$2-COUNTIF($B370:J370,"W"))/('Team_Info'!$E$4-9)),"W","B")</x:f>
        <x:v>B</x:v>
      </x:c>
      <x:c r="L370" t="str">
        <x:f>IF(RAND()&lt;(('Team_Info'!$E$2-COUNTIF($B370:K370,"W"))/('Team_Info'!$E$4-10)),"W","B")</x:f>
        <x:v>W</x:v>
      </x:c>
      <x:c r="M370" t="str">
        <x:f>IF(RAND()&lt;(('Team_Info'!$E$2-COUNTIF($B370:L370,"W"))/('Team_Info'!$E$4-11)),"W","B")</x:f>
        <x:v>B</x:v>
      </x:c>
      <x:c r="N370" t="str">
        <x:f>IF(RAND()&lt;(('Team_Info'!$E$2-COUNTIF($B370:M370,"W"))/('Team_Info'!$E$4-12)),"W","B")</x:f>
        <x:v>B</x:v>
      </x:c>
      <x:c r="O370" t="str">
        <x:f>IF(RAND()&lt;(('Team_Info'!$E$2-COUNTIF($B370:N370,"W"))/('Team_Info'!$E$4-13)),"W","B")</x:f>
        <x:v>B</x:v>
      </x:c>
      <x:c r="P370" t="str">
        <x:f>IF(RAND()&lt;(('Team_Info'!$E$2-COUNTIF($B370:O370,"W"))/('Team_Info'!$E$4-14)),"W","B")</x:f>
        <x:v>W</x:v>
      </x:c>
      <x:c r="Q370" t="str">
        <x:f>IF(RAND()&lt;(('Team_Info'!$E$2-COUNTIF($B370:P370,"W"))/('Team_Info'!$E$4-15)),"W","B")</x:f>
        <x:v>B</x:v>
      </x:c>
      <x:c r="R370" t="str">
        <x:f>IF(RAND()&lt;(('Team_Info'!$E$2-COUNTIF($B370:Q370,"W"))/('Team_Info'!$E$4-16)),"W","B")</x:f>
        <x:v>B</x:v>
      </x:c>
      <x:c r="S370" t="str">
        <x:f>IF(RAND()&lt;(('Team_Info'!$E$2-COUNTIF($B370:R370,"W"))/('Team_Info'!$E$4-17)),"W","B")</x:f>
        <x:v>W</x:v>
      </x:c>
      <x:c r="T370" t="str">
        <x:f>IF(RAND()&lt;(('Team_Info'!$E$2-COUNTIF($B370:S370,"W"))/('Team_Info'!$E$4-18)),"W","B")</x:f>
        <x:v>W</x:v>
      </x:c>
      <x:c r="U370" t="str">
        <x:f>IF(RAND()&lt;(('Team_Info'!$E$2-COUNTIF($B370:T370,"W"))/('Team_Info'!$E$4-19)),"W","B")</x:f>
        <x:v>W</x:v>
      </x:c>
    </x:row>
    <x:row r="371">
      <x:c r="A371" s="1">
        <x:v>370</x:v>
      </x:c>
      <x:c r="B371" t="str">
        <x:f>IF(RAND()&lt;'Team_Info'!$E$5,"W","B")</x:f>
        <x:v>B</x:v>
      </x:c>
      <x:c r="C371" t="str">
        <x:f>IF(RAND()&lt;(('Team_Info'!$E$2-COUNTIF($B371:B371,"W"))/('Team_Info'!$E$4-1)),"W","B")</x:f>
        <x:v>B</x:v>
      </x:c>
      <x:c r="D371" t="str">
        <x:f>IF(RAND()&lt;(('Team_Info'!$E$2-COUNTIF($B371:C371,"W"))/('Team_Info'!$E$4-2)),"W","B")</x:f>
        <x:v>B</x:v>
      </x:c>
      <x:c r="E371" t="str">
        <x:f>IF(RAND()&lt;(('Team_Info'!$E$2-COUNTIF($B371:D371,"W"))/('Team_Info'!$E$4-3)),"W","B")</x:f>
        <x:v>B</x:v>
      </x:c>
      <x:c r="F371" t="str">
        <x:f>IF(RAND()&lt;(('Team_Info'!$E$2-COUNTIF($B371:E371,"W"))/('Team_Info'!$E$4-4)),"W","B")</x:f>
        <x:v>W</x:v>
      </x:c>
      <x:c r="G371" t="str">
        <x:f>IF(RAND()&lt;(('Team_Info'!$E$2-COUNTIF($B371:F371,"W"))/('Team_Info'!$E$4-5)),"W","B")</x:f>
        <x:v>B</x:v>
      </x:c>
      <x:c r="H371" t="str">
        <x:f>IF(RAND()&lt;(('Team_Info'!$E$2-COUNTIF($B371:G371,"W"))/('Team_Info'!$E$4-6)),"W","B")</x:f>
        <x:v>W</x:v>
      </x:c>
      <x:c r="I371" t="str">
        <x:f>IF(RAND()&lt;(('Team_Info'!$E$2-COUNTIF($B371:H371,"W"))/('Team_Info'!$E$4-7)),"W","B")</x:f>
        <x:v>B</x:v>
      </x:c>
      <x:c r="J371" t="str">
        <x:f>IF(RAND()&lt;(('Team_Info'!$E$2-COUNTIF($B371:I371,"W"))/('Team_Info'!$E$4-8)),"W","B")</x:f>
        <x:v>B</x:v>
      </x:c>
      <x:c r="K371" t="str">
        <x:f>IF(RAND()&lt;(('Team_Info'!$E$2-COUNTIF($B371:J371,"W"))/('Team_Info'!$E$4-9)),"W","B")</x:f>
        <x:v>B</x:v>
      </x:c>
      <x:c r="L371" t="str">
        <x:f>IF(RAND()&lt;(('Team_Info'!$E$2-COUNTIF($B371:K371,"W"))/('Team_Info'!$E$4-10)),"W","B")</x:f>
        <x:v>B</x:v>
      </x:c>
      <x:c r="M371" t="str">
        <x:f>IF(RAND()&lt;(('Team_Info'!$E$2-COUNTIF($B371:L371,"W"))/('Team_Info'!$E$4-11)),"W","B")</x:f>
        <x:v>W</x:v>
      </x:c>
      <x:c r="N371" t="str">
        <x:f>IF(RAND()&lt;(('Team_Info'!$E$2-COUNTIF($B371:M371,"W"))/('Team_Info'!$E$4-12)),"W","B")</x:f>
        <x:v>W</x:v>
      </x:c>
      <x:c r="O371" t="str">
        <x:f>IF(RAND()&lt;(('Team_Info'!$E$2-COUNTIF($B371:N371,"W"))/('Team_Info'!$E$4-13)),"W","B")</x:f>
        <x:v>B</x:v>
      </x:c>
      <x:c r="P371" t="str">
        <x:f>IF(RAND()&lt;(('Team_Info'!$E$2-COUNTIF($B371:O371,"W"))/('Team_Info'!$E$4-14)),"W","B")</x:f>
        <x:v>B</x:v>
      </x:c>
      <x:c r="Q371" t="str">
        <x:f>IF(RAND()&lt;(('Team_Info'!$E$2-COUNTIF($B371:P371,"W"))/('Team_Info'!$E$4-15)),"W","B")</x:f>
        <x:v>B</x:v>
      </x:c>
      <x:c r="R371" t="str">
        <x:f>IF(RAND()&lt;(('Team_Info'!$E$2-COUNTIF($B371:Q371,"W"))/('Team_Info'!$E$4-16)),"W","B")</x:f>
        <x:v>W</x:v>
      </x:c>
      <x:c r="S371" t="str">
        <x:f>IF(RAND()&lt;(('Team_Info'!$E$2-COUNTIF($B371:R371,"W"))/('Team_Info'!$E$4-17)),"W","B")</x:f>
        <x:v>W</x:v>
      </x:c>
      <x:c r="T371" t="str">
        <x:f>IF(RAND()&lt;(('Team_Info'!$E$2-COUNTIF($B371:S371,"W"))/('Team_Info'!$E$4-18)),"W","B")</x:f>
        <x:v>W</x:v>
      </x:c>
      <x:c r="U371" t="str">
        <x:f>IF(RAND()&lt;(('Team_Info'!$E$2-COUNTIF($B371:T371,"W"))/('Team_Info'!$E$4-19)),"W","B")</x:f>
        <x:v>B</x:v>
      </x:c>
    </x:row>
    <x:row r="372">
      <x:c r="A372" s="1">
        <x:v>371</x:v>
      </x:c>
      <x:c r="B372" t="str">
        <x:f>IF(RAND()&lt;'Team_Info'!$E$5,"W","B")</x:f>
        <x:v>B</x:v>
      </x:c>
      <x:c r="C372" t="str">
        <x:f>IF(RAND()&lt;(('Team_Info'!$E$2-COUNTIF($B372:B372,"W"))/('Team_Info'!$E$4-1)),"W","B")</x:f>
        <x:v>W</x:v>
      </x:c>
      <x:c r="D372" t="str">
        <x:f>IF(RAND()&lt;(('Team_Info'!$E$2-COUNTIF($B372:C372,"W"))/('Team_Info'!$E$4-2)),"W","B")</x:f>
        <x:v>B</x:v>
      </x:c>
      <x:c r="E372" t="str">
        <x:f>IF(RAND()&lt;(('Team_Info'!$E$2-COUNTIF($B372:D372,"W"))/('Team_Info'!$E$4-3)),"W","B")</x:f>
        <x:v>W</x:v>
      </x:c>
      <x:c r="F372" t="str">
        <x:f>IF(RAND()&lt;(('Team_Info'!$E$2-COUNTIF($B372:E372,"W"))/('Team_Info'!$E$4-4)),"W","B")</x:f>
        <x:v>B</x:v>
      </x:c>
      <x:c r="G372" t="str">
        <x:f>IF(RAND()&lt;(('Team_Info'!$E$2-COUNTIF($B372:F372,"W"))/('Team_Info'!$E$4-5)),"W","B")</x:f>
        <x:v>B</x:v>
      </x:c>
      <x:c r="H372" t="str">
        <x:f>IF(RAND()&lt;(('Team_Info'!$E$2-COUNTIF($B372:G372,"W"))/('Team_Info'!$E$4-6)),"W","B")</x:f>
        <x:v>B</x:v>
      </x:c>
      <x:c r="I372" t="str">
        <x:f>IF(RAND()&lt;(('Team_Info'!$E$2-COUNTIF($B372:H372,"W"))/('Team_Info'!$E$4-7)),"W","B")</x:f>
        <x:v>B</x:v>
      </x:c>
      <x:c r="J372" t="str">
        <x:f>IF(RAND()&lt;(('Team_Info'!$E$2-COUNTIF($B372:I372,"W"))/('Team_Info'!$E$4-8)),"W","B")</x:f>
        <x:v>W</x:v>
      </x:c>
      <x:c r="K372" t="str">
        <x:f>IF(RAND()&lt;(('Team_Info'!$E$2-COUNTIF($B372:J372,"W"))/('Team_Info'!$E$4-9)),"W","B")</x:f>
        <x:v>B</x:v>
      </x:c>
      <x:c r="L372" t="str">
        <x:f>IF(RAND()&lt;(('Team_Info'!$E$2-COUNTIF($B372:K372,"W"))/('Team_Info'!$E$4-10)),"W","B")</x:f>
        <x:v>W</x:v>
      </x:c>
      <x:c r="M372" t="str">
        <x:f>IF(RAND()&lt;(('Team_Info'!$E$2-COUNTIF($B372:L372,"W"))/('Team_Info'!$E$4-11)),"W","B")</x:f>
        <x:v>W</x:v>
      </x:c>
      <x:c r="N372" t="str">
        <x:f>IF(RAND()&lt;(('Team_Info'!$E$2-COUNTIF($B372:M372,"W"))/('Team_Info'!$E$4-12)),"W","B")</x:f>
        <x:v>B</x:v>
      </x:c>
      <x:c r="O372" t="str">
        <x:f>IF(RAND()&lt;(('Team_Info'!$E$2-COUNTIF($B372:N372,"W"))/('Team_Info'!$E$4-13)),"W","B")</x:f>
        <x:v>B</x:v>
      </x:c>
      <x:c r="P372" t="str">
        <x:f>IF(RAND()&lt;(('Team_Info'!$E$2-COUNTIF($B372:O372,"W"))/('Team_Info'!$E$4-14)),"W","B")</x:f>
        <x:v>B</x:v>
      </x:c>
      <x:c r="Q372" t="str">
        <x:f>IF(RAND()&lt;(('Team_Info'!$E$2-COUNTIF($B372:P372,"W"))/('Team_Info'!$E$4-15)),"W","B")</x:f>
        <x:v>B</x:v>
      </x:c>
      <x:c r="R372" t="str">
        <x:f>IF(RAND()&lt;(('Team_Info'!$E$2-COUNTIF($B372:Q372,"W"))/('Team_Info'!$E$4-16)),"W","B")</x:f>
        <x:v>B</x:v>
      </x:c>
      <x:c r="S372" t="str">
        <x:f>IF(RAND()&lt;(('Team_Info'!$E$2-COUNTIF($B372:R372,"W"))/('Team_Info'!$E$4-17)),"W","B")</x:f>
        <x:v>B</x:v>
      </x:c>
      <x:c r="T372" t="str">
        <x:f>IF(RAND()&lt;(('Team_Info'!$E$2-COUNTIF($B372:S372,"W"))/('Team_Info'!$E$4-18)),"W","B")</x:f>
        <x:v>W</x:v>
      </x:c>
      <x:c r="U372" t="str">
        <x:f>IF(RAND()&lt;(('Team_Info'!$E$2-COUNTIF($B372:T372,"W"))/('Team_Info'!$E$4-19)),"W","B")</x:f>
        <x:v>W</x:v>
      </x:c>
    </x:row>
    <x:row r="373">
      <x:c r="A373" s="1">
        <x:v>372</x:v>
      </x:c>
      <x:c r="B373" t="str">
        <x:f>IF(RAND()&lt;'Team_Info'!$E$5,"W","B")</x:f>
        <x:v>B</x:v>
      </x:c>
      <x:c r="C373" t="str">
        <x:f>IF(RAND()&lt;(('Team_Info'!$E$2-COUNTIF($B373:B373,"W"))/('Team_Info'!$E$4-1)),"W","B")</x:f>
        <x:v>B</x:v>
      </x:c>
      <x:c r="D373" t="str">
        <x:f>IF(RAND()&lt;(('Team_Info'!$E$2-COUNTIF($B373:C373,"W"))/('Team_Info'!$E$4-2)),"W","B")</x:f>
        <x:v>B</x:v>
      </x:c>
      <x:c r="E373" t="str">
        <x:f>IF(RAND()&lt;(('Team_Info'!$E$2-COUNTIF($B373:D373,"W"))/('Team_Info'!$E$4-3)),"W","B")</x:f>
        <x:v>B</x:v>
      </x:c>
      <x:c r="F373" t="str">
        <x:f>IF(RAND()&lt;(('Team_Info'!$E$2-COUNTIF($B373:E373,"W"))/('Team_Info'!$E$4-4)),"W","B")</x:f>
        <x:v>B</x:v>
      </x:c>
      <x:c r="G373" t="str">
        <x:f>IF(RAND()&lt;(('Team_Info'!$E$2-COUNTIF($B373:F373,"W"))/('Team_Info'!$E$4-5)),"W","B")</x:f>
        <x:v>B</x:v>
      </x:c>
      <x:c r="H373" t="str">
        <x:f>IF(RAND()&lt;(('Team_Info'!$E$2-COUNTIF($B373:G373,"W"))/('Team_Info'!$E$4-6)),"W","B")</x:f>
        <x:v>B</x:v>
      </x:c>
      <x:c r="I373" t="str">
        <x:f>IF(RAND()&lt;(('Team_Info'!$E$2-COUNTIF($B373:H373,"W"))/('Team_Info'!$E$4-7)),"W","B")</x:f>
        <x:v>W</x:v>
      </x:c>
      <x:c r="J373" t="str">
        <x:f>IF(RAND()&lt;(('Team_Info'!$E$2-COUNTIF($B373:I373,"W"))/('Team_Info'!$E$4-8)),"W","B")</x:f>
        <x:v>W</x:v>
      </x:c>
      <x:c r="K373" t="str">
        <x:f>IF(RAND()&lt;(('Team_Info'!$E$2-COUNTIF($B373:J373,"W"))/('Team_Info'!$E$4-9)),"W","B")</x:f>
        <x:v>W</x:v>
      </x:c>
      <x:c r="L373" t="str">
        <x:f>IF(RAND()&lt;(('Team_Info'!$E$2-COUNTIF($B373:K373,"W"))/('Team_Info'!$E$4-10)),"W","B")</x:f>
        <x:v>W</x:v>
      </x:c>
      <x:c r="M373" t="str">
        <x:f>IF(RAND()&lt;(('Team_Info'!$E$2-COUNTIF($B373:L373,"W"))/('Team_Info'!$E$4-11)),"W","B")</x:f>
        <x:v>B</x:v>
      </x:c>
      <x:c r="N373" t="str">
        <x:f>IF(RAND()&lt;(('Team_Info'!$E$2-COUNTIF($B373:M373,"W"))/('Team_Info'!$E$4-12)),"W","B")</x:f>
        <x:v>B</x:v>
      </x:c>
      <x:c r="O373" t="str">
        <x:f>IF(RAND()&lt;(('Team_Info'!$E$2-COUNTIF($B373:N373,"W"))/('Team_Info'!$E$4-13)),"W","B")</x:f>
        <x:v>B</x:v>
      </x:c>
      <x:c r="P373" t="str">
        <x:f>IF(RAND()&lt;(('Team_Info'!$E$2-COUNTIF($B373:O373,"W"))/('Team_Info'!$E$4-14)),"W","B")</x:f>
        <x:v>B</x:v>
      </x:c>
      <x:c r="Q373" t="str">
        <x:f>IF(RAND()&lt;(('Team_Info'!$E$2-COUNTIF($B373:P373,"W"))/('Team_Info'!$E$4-15)),"W","B")</x:f>
        <x:v>B</x:v>
      </x:c>
      <x:c r="R373" t="str">
        <x:f>IF(RAND()&lt;(('Team_Info'!$E$2-COUNTIF($B373:Q373,"W"))/('Team_Info'!$E$4-16)),"W","B")</x:f>
        <x:v>B</x:v>
      </x:c>
      <x:c r="S373" t="str">
        <x:f>IF(RAND()&lt;(('Team_Info'!$E$2-COUNTIF($B373:R373,"W"))/('Team_Info'!$E$4-17)),"W","B")</x:f>
        <x:v>B</x:v>
      </x:c>
      <x:c r="T373" t="str">
        <x:f>IF(RAND()&lt;(('Team_Info'!$E$2-COUNTIF($B373:S373,"W"))/('Team_Info'!$E$4-18)),"W","B")</x:f>
        <x:v>W</x:v>
      </x:c>
      <x:c r="U373" t="str">
        <x:f>IF(RAND()&lt;(('Team_Info'!$E$2-COUNTIF($B373:T373,"W"))/('Team_Info'!$E$4-19)),"W","B")</x:f>
        <x:v>W</x:v>
      </x:c>
    </x:row>
    <x:row r="374">
      <x:c r="A374" s="1">
        <x:v>373</x:v>
      </x:c>
      <x:c r="B374" t="str">
        <x:f>IF(RAND()&lt;'Team_Info'!$E$5,"W","B")</x:f>
        <x:v>B</x:v>
      </x:c>
      <x:c r="C374" t="str">
        <x:f>IF(RAND()&lt;(('Team_Info'!$E$2-COUNTIF($B374:B374,"W"))/('Team_Info'!$E$4-1)),"W","B")</x:f>
        <x:v>B</x:v>
      </x:c>
      <x:c r="D374" t="str">
        <x:f>IF(RAND()&lt;(('Team_Info'!$E$2-COUNTIF($B374:C374,"W"))/('Team_Info'!$E$4-2)),"W","B")</x:f>
        <x:v>B</x:v>
      </x:c>
      <x:c r="E374" t="str">
        <x:f>IF(RAND()&lt;(('Team_Info'!$E$2-COUNTIF($B374:D374,"W"))/('Team_Info'!$E$4-3)),"W","B")</x:f>
        <x:v>B</x:v>
      </x:c>
      <x:c r="F374" t="str">
        <x:f>IF(RAND()&lt;(('Team_Info'!$E$2-COUNTIF($B374:E374,"W"))/('Team_Info'!$E$4-4)),"W","B")</x:f>
        <x:v>B</x:v>
      </x:c>
      <x:c r="G374" t="str">
        <x:f>IF(RAND()&lt;(('Team_Info'!$E$2-COUNTIF($B374:F374,"W"))/('Team_Info'!$E$4-5)),"W","B")</x:f>
        <x:v>W</x:v>
      </x:c>
      <x:c r="H374" t="str">
        <x:f>IF(RAND()&lt;(('Team_Info'!$E$2-COUNTIF($B374:G374,"W"))/('Team_Info'!$E$4-6)),"W","B")</x:f>
        <x:v>B</x:v>
      </x:c>
      <x:c r="I374" t="str">
        <x:f>IF(RAND()&lt;(('Team_Info'!$E$2-COUNTIF($B374:H374,"W"))/('Team_Info'!$E$4-7)),"W","B")</x:f>
        <x:v>B</x:v>
      </x:c>
      <x:c r="J374" t="str">
        <x:f>IF(RAND()&lt;(('Team_Info'!$E$2-COUNTIF($B374:I374,"W"))/('Team_Info'!$E$4-8)),"W","B")</x:f>
        <x:v>B</x:v>
      </x:c>
      <x:c r="K374" t="str">
        <x:f>IF(RAND()&lt;(('Team_Info'!$E$2-COUNTIF($B374:J374,"W"))/('Team_Info'!$E$4-9)),"W","B")</x:f>
        <x:v>W</x:v>
      </x:c>
      <x:c r="L374" t="str">
        <x:f>IF(RAND()&lt;(('Team_Info'!$E$2-COUNTIF($B374:K374,"W"))/('Team_Info'!$E$4-10)),"W","B")</x:f>
        <x:v>W</x:v>
      </x:c>
      <x:c r="M374" t="str">
        <x:f>IF(RAND()&lt;(('Team_Info'!$E$2-COUNTIF($B374:L374,"W"))/('Team_Info'!$E$4-11)),"W","B")</x:f>
        <x:v>B</x:v>
      </x:c>
      <x:c r="N374" t="str">
        <x:f>IF(RAND()&lt;(('Team_Info'!$E$2-COUNTIF($B374:M374,"W"))/('Team_Info'!$E$4-12)),"W","B")</x:f>
        <x:v>B</x:v>
      </x:c>
      <x:c r="O374" t="str">
        <x:f>IF(RAND()&lt;(('Team_Info'!$E$2-COUNTIF($B374:N374,"W"))/('Team_Info'!$E$4-13)),"W","B")</x:f>
        <x:v>B</x:v>
      </x:c>
      <x:c r="P374" t="str">
        <x:f>IF(RAND()&lt;(('Team_Info'!$E$2-COUNTIF($B374:O374,"W"))/('Team_Info'!$E$4-14)),"W","B")</x:f>
        <x:v>B</x:v>
      </x:c>
      <x:c r="Q374" t="str">
        <x:f>IF(RAND()&lt;(('Team_Info'!$E$2-COUNTIF($B374:P374,"W"))/('Team_Info'!$E$4-15)),"W","B")</x:f>
        <x:v>B</x:v>
      </x:c>
      <x:c r="R374" t="str">
        <x:f>IF(RAND()&lt;(('Team_Info'!$E$2-COUNTIF($B374:Q374,"W"))/('Team_Info'!$E$4-16)),"W","B")</x:f>
        <x:v>W</x:v>
      </x:c>
      <x:c r="S374" t="str">
        <x:f>IF(RAND()&lt;(('Team_Info'!$E$2-COUNTIF($B374:R374,"W"))/('Team_Info'!$E$4-17)),"W","B")</x:f>
        <x:v>W</x:v>
      </x:c>
      <x:c r="T374" t="str">
        <x:f>IF(RAND()&lt;(('Team_Info'!$E$2-COUNTIF($B374:S374,"W"))/('Team_Info'!$E$4-18)),"W","B")</x:f>
        <x:v>B</x:v>
      </x:c>
      <x:c r="U374" t="str">
        <x:f>IF(RAND()&lt;(('Team_Info'!$E$2-COUNTIF($B374:T374,"W"))/('Team_Info'!$E$4-19)),"W","B")</x:f>
        <x:v>B</x:v>
      </x:c>
    </x:row>
    <x:row r="375">
      <x:c r="A375" s="1">
        <x:v>374</x:v>
      </x:c>
      <x:c r="B375" t="str">
        <x:f>IF(RAND()&lt;'Team_Info'!$E$5,"W","B")</x:f>
        <x:v>B</x:v>
      </x:c>
      <x:c r="C375" t="str">
        <x:f>IF(RAND()&lt;(('Team_Info'!$E$2-COUNTIF($B375:B375,"W"))/('Team_Info'!$E$4-1)),"W","B")</x:f>
        <x:v>B</x:v>
      </x:c>
      <x:c r="D375" t="str">
        <x:f>IF(RAND()&lt;(('Team_Info'!$E$2-COUNTIF($B375:C375,"W"))/('Team_Info'!$E$4-2)),"W","B")</x:f>
        <x:v>B</x:v>
      </x:c>
      <x:c r="E375" t="str">
        <x:f>IF(RAND()&lt;(('Team_Info'!$E$2-COUNTIF($B375:D375,"W"))/('Team_Info'!$E$4-3)),"W","B")</x:f>
        <x:v>W</x:v>
      </x:c>
      <x:c r="F375" t="str">
        <x:f>IF(RAND()&lt;(('Team_Info'!$E$2-COUNTIF($B375:E375,"W"))/('Team_Info'!$E$4-4)),"W","B")</x:f>
        <x:v>W</x:v>
      </x:c>
      <x:c r="G375" t="str">
        <x:f>IF(RAND()&lt;(('Team_Info'!$E$2-COUNTIF($B375:F375,"W"))/('Team_Info'!$E$4-5)),"W","B")</x:f>
        <x:v>B</x:v>
      </x:c>
      <x:c r="H375" t="str">
        <x:f>IF(RAND()&lt;(('Team_Info'!$E$2-COUNTIF($B375:G375,"W"))/('Team_Info'!$E$4-6)),"W","B")</x:f>
        <x:v>B</x:v>
      </x:c>
      <x:c r="I375" t="str">
        <x:f>IF(RAND()&lt;(('Team_Info'!$E$2-COUNTIF($B375:H375,"W"))/('Team_Info'!$E$4-7)),"W","B")</x:f>
        <x:v>W</x:v>
      </x:c>
      <x:c r="J375" t="str">
        <x:f>IF(RAND()&lt;(('Team_Info'!$E$2-COUNTIF($B375:I375,"W"))/('Team_Info'!$E$4-8)),"W","B")</x:f>
        <x:v>B</x:v>
      </x:c>
      <x:c r="K375" t="str">
        <x:f>IF(RAND()&lt;(('Team_Info'!$E$2-COUNTIF($B375:J375,"W"))/('Team_Info'!$E$4-9)),"W","B")</x:f>
        <x:v>B</x:v>
      </x:c>
      <x:c r="L375" t="str">
        <x:f>IF(RAND()&lt;(('Team_Info'!$E$2-COUNTIF($B375:K375,"W"))/('Team_Info'!$E$4-10)),"W","B")</x:f>
        <x:v>B</x:v>
      </x:c>
      <x:c r="M375" t="str">
        <x:f>IF(RAND()&lt;(('Team_Info'!$E$2-COUNTIF($B375:L375,"W"))/('Team_Info'!$E$4-11)),"W","B")</x:f>
        <x:v>B</x:v>
      </x:c>
      <x:c r="N375" t="str">
        <x:f>IF(RAND()&lt;(('Team_Info'!$E$2-COUNTIF($B375:M375,"W"))/('Team_Info'!$E$4-12)),"W","B")</x:f>
        <x:v>B</x:v>
      </x:c>
      <x:c r="O375" t="str">
        <x:f>IF(RAND()&lt;(('Team_Info'!$E$2-COUNTIF($B375:N375,"W"))/('Team_Info'!$E$4-13)),"W","B")</x:f>
        <x:v>B</x:v>
      </x:c>
      <x:c r="P375" t="str">
        <x:f>IF(RAND()&lt;(('Team_Info'!$E$2-COUNTIF($B375:O375,"W"))/('Team_Info'!$E$4-14)),"W","B")</x:f>
        <x:v>B</x:v>
      </x:c>
      <x:c r="Q375" t="str">
        <x:f>IF(RAND()&lt;(('Team_Info'!$E$2-COUNTIF($B375:P375,"W"))/('Team_Info'!$E$4-15)),"W","B")</x:f>
        <x:v>W</x:v>
      </x:c>
      <x:c r="R375" t="str">
        <x:f>IF(RAND()&lt;(('Team_Info'!$E$2-COUNTIF($B375:Q375,"W"))/('Team_Info'!$E$4-16)),"W","B")</x:f>
        <x:v>B</x:v>
      </x:c>
      <x:c r="S375" t="str">
        <x:f>IF(RAND()&lt;(('Team_Info'!$E$2-COUNTIF($B375:R375,"W"))/('Team_Info'!$E$4-17)),"W","B")</x:f>
        <x:v>W</x:v>
      </x:c>
      <x:c r="T375" t="str">
        <x:f>IF(RAND()&lt;(('Team_Info'!$E$2-COUNTIF($B375:S375,"W"))/('Team_Info'!$E$4-18)),"W","B")</x:f>
        <x:v>B</x:v>
      </x:c>
      <x:c r="U375" t="str">
        <x:f>IF(RAND()&lt;(('Team_Info'!$E$2-COUNTIF($B375:T375,"W"))/('Team_Info'!$E$4-19)),"W","B")</x:f>
        <x:v>W</x:v>
      </x:c>
    </x:row>
    <x:row r="376">
      <x:c r="A376" s="1">
        <x:v>375</x:v>
      </x:c>
      <x:c r="B376" t="str">
        <x:f>IF(RAND()&lt;'Team_Info'!$E$5,"W","B")</x:f>
        <x:v>B</x:v>
      </x:c>
      <x:c r="C376" t="str">
        <x:f>IF(RAND()&lt;(('Team_Info'!$E$2-COUNTIF($B376:B376,"W"))/('Team_Info'!$E$4-1)),"W","B")</x:f>
        <x:v>B</x:v>
      </x:c>
      <x:c r="D376" t="str">
        <x:f>IF(RAND()&lt;(('Team_Info'!$E$2-COUNTIF($B376:C376,"W"))/('Team_Info'!$E$4-2)),"W","B")</x:f>
        <x:v>W</x:v>
      </x:c>
      <x:c r="E376" t="str">
        <x:f>IF(RAND()&lt;(('Team_Info'!$E$2-COUNTIF($B376:D376,"W"))/('Team_Info'!$E$4-3)),"W","B")</x:f>
        <x:v>W</x:v>
      </x:c>
      <x:c r="F376" t="str">
        <x:f>IF(RAND()&lt;(('Team_Info'!$E$2-COUNTIF($B376:E376,"W"))/('Team_Info'!$E$4-4)),"W","B")</x:f>
        <x:v>B</x:v>
      </x:c>
      <x:c r="G376" t="str">
        <x:f>IF(RAND()&lt;(('Team_Info'!$E$2-COUNTIF($B376:F376,"W"))/('Team_Info'!$E$4-5)),"W","B")</x:f>
        <x:v>B</x:v>
      </x:c>
      <x:c r="H376" t="str">
        <x:f>IF(RAND()&lt;(('Team_Info'!$E$2-COUNTIF($B376:G376,"W"))/('Team_Info'!$E$4-6)),"W","B")</x:f>
        <x:v>B</x:v>
      </x:c>
      <x:c r="I376" t="str">
        <x:f>IF(RAND()&lt;(('Team_Info'!$E$2-COUNTIF($B376:H376,"W"))/('Team_Info'!$E$4-7)),"W","B")</x:f>
        <x:v>B</x:v>
      </x:c>
      <x:c r="J376" t="str">
        <x:f>IF(RAND()&lt;(('Team_Info'!$E$2-COUNTIF($B376:I376,"W"))/('Team_Info'!$E$4-8)),"W","B")</x:f>
        <x:v>B</x:v>
      </x:c>
      <x:c r="K376" t="str">
        <x:f>IF(RAND()&lt;(('Team_Info'!$E$2-COUNTIF($B376:J376,"W"))/('Team_Info'!$E$4-9)),"W","B")</x:f>
        <x:v>B</x:v>
      </x:c>
      <x:c r="L376" t="str">
        <x:f>IF(RAND()&lt;(('Team_Info'!$E$2-COUNTIF($B376:K376,"W"))/('Team_Info'!$E$4-10)),"W","B")</x:f>
        <x:v>B</x:v>
      </x:c>
      <x:c r="M376" t="str">
        <x:f>IF(RAND()&lt;(('Team_Info'!$E$2-COUNTIF($B376:L376,"W"))/('Team_Info'!$E$4-11)),"W","B")</x:f>
        <x:v>B</x:v>
      </x:c>
      <x:c r="N376" t="str">
        <x:f>IF(RAND()&lt;(('Team_Info'!$E$2-COUNTIF($B376:M376,"W"))/('Team_Info'!$E$4-12)),"W","B")</x:f>
        <x:v>W</x:v>
      </x:c>
      <x:c r="O376" t="str">
        <x:f>IF(RAND()&lt;(('Team_Info'!$E$2-COUNTIF($B376:N376,"W"))/('Team_Info'!$E$4-13)),"W","B")</x:f>
        <x:v>B</x:v>
      </x:c>
      <x:c r="P376" t="str">
        <x:f>IF(RAND()&lt;(('Team_Info'!$E$2-COUNTIF($B376:O376,"W"))/('Team_Info'!$E$4-14)),"W","B")</x:f>
        <x:v>W</x:v>
      </x:c>
      <x:c r="Q376" t="str">
        <x:f>IF(RAND()&lt;(('Team_Info'!$E$2-COUNTIF($B376:P376,"W"))/('Team_Info'!$E$4-15)),"W","B")</x:f>
        <x:v>B</x:v>
      </x:c>
      <x:c r="R376" t="str">
        <x:f>IF(RAND()&lt;(('Team_Info'!$E$2-COUNTIF($B376:Q376,"W"))/('Team_Info'!$E$4-16)),"W","B")</x:f>
        <x:v>B</x:v>
      </x:c>
      <x:c r="S376" t="str">
        <x:f>IF(RAND()&lt;(('Team_Info'!$E$2-COUNTIF($B376:R376,"W"))/('Team_Info'!$E$4-17)),"W","B")</x:f>
        <x:v>B</x:v>
      </x:c>
      <x:c r="T376" t="str">
        <x:f>IF(RAND()&lt;(('Team_Info'!$E$2-COUNTIF($B376:S376,"W"))/('Team_Info'!$E$4-18)),"W","B")</x:f>
        <x:v>B</x:v>
      </x:c>
      <x:c r="U376" t="str">
        <x:f>IF(RAND()&lt;(('Team_Info'!$E$2-COUNTIF($B376:T376,"W"))/('Team_Info'!$E$4-19)),"W","B")</x:f>
        <x:v>W</x:v>
      </x:c>
    </x:row>
    <x:row r="377">
      <x:c r="A377" s="1">
        <x:v>376</x:v>
      </x:c>
      <x:c r="B377" t="str">
        <x:f>IF(RAND()&lt;'Team_Info'!$E$5,"W","B")</x:f>
        <x:v>B</x:v>
      </x:c>
      <x:c r="C377" t="str">
        <x:f>IF(RAND()&lt;(('Team_Info'!$E$2-COUNTIF($B377:B377,"W"))/('Team_Info'!$E$4-1)),"W","B")</x:f>
        <x:v>W</x:v>
      </x:c>
      <x:c r="D377" t="str">
        <x:f>IF(RAND()&lt;(('Team_Info'!$E$2-COUNTIF($B377:C377,"W"))/('Team_Info'!$E$4-2)),"W","B")</x:f>
        <x:v>W</x:v>
      </x:c>
      <x:c r="E377" t="str">
        <x:f>IF(RAND()&lt;(('Team_Info'!$E$2-COUNTIF($B377:D377,"W"))/('Team_Info'!$E$4-3)),"W","B")</x:f>
        <x:v>W</x:v>
      </x:c>
      <x:c r="F377" t="str">
        <x:f>IF(RAND()&lt;(('Team_Info'!$E$2-COUNTIF($B377:E377,"W"))/('Team_Info'!$E$4-4)),"W","B")</x:f>
        <x:v>W</x:v>
      </x:c>
      <x:c r="G377" t="str">
        <x:f>IF(RAND()&lt;(('Team_Info'!$E$2-COUNTIF($B377:F377,"W"))/('Team_Info'!$E$4-5)),"W","B")</x:f>
        <x:v>B</x:v>
      </x:c>
      <x:c r="H377" t="str">
        <x:f>IF(RAND()&lt;(('Team_Info'!$E$2-COUNTIF($B377:G377,"W"))/('Team_Info'!$E$4-6)),"W","B")</x:f>
        <x:v>B</x:v>
      </x:c>
      <x:c r="I377" t="str">
        <x:f>IF(RAND()&lt;(('Team_Info'!$E$2-COUNTIF($B377:H377,"W"))/('Team_Info'!$E$4-7)),"W","B")</x:f>
        <x:v>B</x:v>
      </x:c>
      <x:c r="J377" t="str">
        <x:f>IF(RAND()&lt;(('Team_Info'!$E$2-COUNTIF($B377:I377,"W"))/('Team_Info'!$E$4-8)),"W","B")</x:f>
        <x:v>W</x:v>
      </x:c>
      <x:c r="K377" t="str">
        <x:f>IF(RAND()&lt;(('Team_Info'!$E$2-COUNTIF($B377:J377,"W"))/('Team_Info'!$E$4-9)),"W","B")</x:f>
        <x:v>B</x:v>
      </x:c>
      <x:c r="L377" t="str">
        <x:f>IF(RAND()&lt;(('Team_Info'!$E$2-COUNTIF($B377:K377,"W"))/('Team_Info'!$E$4-10)),"W","B")</x:f>
        <x:v>B</x:v>
      </x:c>
      <x:c r="M377" t="str">
        <x:f>IF(RAND()&lt;(('Team_Info'!$E$2-COUNTIF($B377:L377,"W"))/('Team_Info'!$E$4-11)),"W","B")</x:f>
        <x:v>W</x:v>
      </x:c>
      <x:c r="N377" t="str">
        <x:f>IF(RAND()&lt;(('Team_Info'!$E$2-COUNTIF($B377:M377,"W"))/('Team_Info'!$E$4-12)),"W","B")</x:f>
        <x:v>W</x:v>
      </x:c>
      <x:c r="O377" t="str">
        <x:f>IF(RAND()&lt;(('Team_Info'!$E$2-COUNTIF($B377:N377,"W"))/('Team_Info'!$E$4-13)),"W","B")</x:f>
        <x:v>B</x:v>
      </x:c>
      <x:c r="P377" t="str">
        <x:f>IF(RAND()&lt;(('Team_Info'!$E$2-COUNTIF($B377:O377,"W"))/('Team_Info'!$E$4-14)),"W","B")</x:f>
        <x:v>B</x:v>
      </x:c>
      <x:c r="Q377" t="str">
        <x:f>IF(RAND()&lt;(('Team_Info'!$E$2-COUNTIF($B377:P377,"W"))/('Team_Info'!$E$4-15)),"W","B")</x:f>
        <x:v>B</x:v>
      </x:c>
      <x:c r="R377" t="str">
        <x:f>IF(RAND()&lt;(('Team_Info'!$E$2-COUNTIF($B377:Q377,"W"))/('Team_Info'!$E$4-16)),"W","B")</x:f>
        <x:v>W</x:v>
      </x:c>
      <x:c r="S377" t="str">
        <x:f>IF(RAND()&lt;(('Team_Info'!$E$2-COUNTIF($B377:R377,"W"))/('Team_Info'!$E$4-17)),"W","B")</x:f>
        <x:v>B</x:v>
      </x:c>
      <x:c r="T377" t="str">
        <x:f>IF(RAND()&lt;(('Team_Info'!$E$2-COUNTIF($B377:S377,"W"))/('Team_Info'!$E$4-18)),"W","B")</x:f>
        <x:v>W</x:v>
      </x:c>
      <x:c r="U377" t="str">
        <x:f>IF(RAND()&lt;(('Team_Info'!$E$2-COUNTIF($B377:T377,"W"))/('Team_Info'!$E$4-19)),"W","B")</x:f>
        <x:v>B</x:v>
      </x:c>
    </x:row>
    <x:row r="378">
      <x:c r="A378" s="1">
        <x:v>377</x:v>
      </x:c>
      <x:c r="B378" t="str">
        <x:f>IF(RAND()&lt;'Team_Info'!$E$5,"W","B")</x:f>
        <x:v>W</x:v>
      </x:c>
      <x:c r="C378" t="str">
        <x:f>IF(RAND()&lt;(('Team_Info'!$E$2-COUNTIF($B378:B378,"W"))/('Team_Info'!$E$4-1)),"W","B")</x:f>
        <x:v>B</x:v>
      </x:c>
      <x:c r="D378" t="str">
        <x:f>IF(RAND()&lt;(('Team_Info'!$E$2-COUNTIF($B378:C378,"W"))/('Team_Info'!$E$4-2)),"W","B")</x:f>
        <x:v>B</x:v>
      </x:c>
      <x:c r="E378" t="str">
        <x:f>IF(RAND()&lt;(('Team_Info'!$E$2-COUNTIF($B378:D378,"W"))/('Team_Info'!$E$4-3)),"W","B")</x:f>
        <x:v>W</x:v>
      </x:c>
      <x:c r="F378" t="str">
        <x:f>IF(RAND()&lt;(('Team_Info'!$E$2-COUNTIF($B378:E378,"W"))/('Team_Info'!$E$4-4)),"W","B")</x:f>
        <x:v>B</x:v>
      </x:c>
      <x:c r="G378" t="str">
        <x:f>IF(RAND()&lt;(('Team_Info'!$E$2-COUNTIF($B378:F378,"W"))/('Team_Info'!$E$4-5)),"W","B")</x:f>
        <x:v>B</x:v>
      </x:c>
      <x:c r="H378" t="str">
        <x:f>IF(RAND()&lt;(('Team_Info'!$E$2-COUNTIF($B378:G378,"W"))/('Team_Info'!$E$4-6)),"W","B")</x:f>
        <x:v>B</x:v>
      </x:c>
      <x:c r="I378" t="str">
        <x:f>IF(RAND()&lt;(('Team_Info'!$E$2-COUNTIF($B378:H378,"W"))/('Team_Info'!$E$4-7)),"W","B")</x:f>
        <x:v>W</x:v>
      </x:c>
      <x:c r="J378" t="str">
        <x:f>IF(RAND()&lt;(('Team_Info'!$E$2-COUNTIF($B378:I378,"W"))/('Team_Info'!$E$4-8)),"W","B")</x:f>
        <x:v>B</x:v>
      </x:c>
      <x:c r="K378" t="str">
        <x:f>IF(RAND()&lt;(('Team_Info'!$E$2-COUNTIF($B378:J378,"W"))/('Team_Info'!$E$4-9)),"W","B")</x:f>
        <x:v>B</x:v>
      </x:c>
      <x:c r="L378" t="str">
        <x:f>IF(RAND()&lt;(('Team_Info'!$E$2-COUNTIF($B378:K378,"W"))/('Team_Info'!$E$4-10)),"W","B")</x:f>
        <x:v>W</x:v>
      </x:c>
      <x:c r="M378" t="str">
        <x:f>IF(RAND()&lt;(('Team_Info'!$E$2-COUNTIF($B378:L378,"W"))/('Team_Info'!$E$4-11)),"W","B")</x:f>
        <x:v>W</x:v>
      </x:c>
      <x:c r="N378" t="str">
        <x:f>IF(RAND()&lt;(('Team_Info'!$E$2-COUNTIF($B378:M378,"W"))/('Team_Info'!$E$4-12)),"W","B")</x:f>
        <x:v>B</x:v>
      </x:c>
      <x:c r="O378" t="str">
        <x:f>IF(RAND()&lt;(('Team_Info'!$E$2-COUNTIF($B378:N378,"W"))/('Team_Info'!$E$4-13)),"W","B")</x:f>
        <x:v>B</x:v>
      </x:c>
      <x:c r="P378" t="str">
        <x:f>IF(RAND()&lt;(('Team_Info'!$E$2-COUNTIF($B378:O378,"W"))/('Team_Info'!$E$4-14)),"W","B")</x:f>
        <x:v>B</x:v>
      </x:c>
      <x:c r="Q378" t="str">
        <x:f>IF(RAND()&lt;(('Team_Info'!$E$2-COUNTIF($B378:P378,"W"))/('Team_Info'!$E$4-15)),"W","B")</x:f>
        <x:v>B</x:v>
      </x:c>
      <x:c r="R378" t="str">
        <x:f>IF(RAND()&lt;(('Team_Info'!$E$2-COUNTIF($B378:Q378,"W"))/('Team_Info'!$E$4-16)),"W","B")</x:f>
        <x:v>B</x:v>
      </x:c>
      <x:c r="S378" t="str">
        <x:f>IF(RAND()&lt;(('Team_Info'!$E$2-COUNTIF($B378:R378,"W"))/('Team_Info'!$E$4-17)),"W","B")</x:f>
        <x:v>B</x:v>
      </x:c>
      <x:c r="T378" t="str">
        <x:f>IF(RAND()&lt;(('Team_Info'!$E$2-COUNTIF($B378:S378,"W"))/('Team_Info'!$E$4-18)),"W","B")</x:f>
        <x:v>B</x:v>
      </x:c>
      <x:c r="U378" t="str">
        <x:f>IF(RAND()&lt;(('Team_Info'!$E$2-COUNTIF($B378:T378,"W"))/('Team_Info'!$E$4-19)),"W","B")</x:f>
        <x:v>W</x:v>
      </x:c>
    </x:row>
    <x:row r="379">
      <x:c r="A379" s="1">
        <x:v>378</x:v>
      </x:c>
      <x:c r="B379" t="str">
        <x:f>IF(RAND()&lt;'Team_Info'!$E$5,"W","B")</x:f>
        <x:v>B</x:v>
      </x:c>
      <x:c r="C379" t="str">
        <x:f>IF(RAND()&lt;(('Team_Info'!$E$2-COUNTIF($B379:B379,"W"))/('Team_Info'!$E$4-1)),"W","B")</x:f>
        <x:v>B</x:v>
      </x:c>
      <x:c r="D379" t="str">
        <x:f>IF(RAND()&lt;(('Team_Info'!$E$2-COUNTIF($B379:C379,"W"))/('Team_Info'!$E$4-2)),"W","B")</x:f>
        <x:v>W</x:v>
      </x:c>
      <x:c r="E379" t="str">
        <x:f>IF(RAND()&lt;(('Team_Info'!$E$2-COUNTIF($B379:D379,"W"))/('Team_Info'!$E$4-3)),"W","B")</x:f>
        <x:v>W</x:v>
      </x:c>
      <x:c r="F379" t="str">
        <x:f>IF(RAND()&lt;(('Team_Info'!$E$2-COUNTIF($B379:E379,"W"))/('Team_Info'!$E$4-4)),"W","B")</x:f>
        <x:v>W</x:v>
      </x:c>
      <x:c r="G379" t="str">
        <x:f>IF(RAND()&lt;(('Team_Info'!$E$2-COUNTIF($B379:F379,"W"))/('Team_Info'!$E$4-5)),"W","B")</x:f>
        <x:v>W</x:v>
      </x:c>
      <x:c r="H379" t="str">
        <x:f>IF(RAND()&lt;(('Team_Info'!$E$2-COUNTIF($B379:G379,"W"))/('Team_Info'!$E$4-6)),"W","B")</x:f>
        <x:v>W</x:v>
      </x:c>
      <x:c r="I379" t="str">
        <x:f>IF(RAND()&lt;(('Team_Info'!$E$2-COUNTIF($B379:H379,"W"))/('Team_Info'!$E$4-7)),"W","B")</x:f>
        <x:v>B</x:v>
      </x:c>
      <x:c r="J379" t="str">
        <x:f>IF(RAND()&lt;(('Team_Info'!$E$2-COUNTIF($B379:I379,"W"))/('Team_Info'!$E$4-8)),"W","B")</x:f>
        <x:v>B</x:v>
      </x:c>
      <x:c r="K379" t="str">
        <x:f>IF(RAND()&lt;(('Team_Info'!$E$2-COUNTIF($B379:J379,"W"))/('Team_Info'!$E$4-9)),"W","B")</x:f>
        <x:v>B</x:v>
      </x:c>
      <x:c r="L379" t="str">
        <x:f>IF(RAND()&lt;(('Team_Info'!$E$2-COUNTIF($B379:K379,"W"))/('Team_Info'!$E$4-10)),"W","B")</x:f>
        <x:v>B</x:v>
      </x:c>
      <x:c r="M379" t="str">
        <x:f>IF(RAND()&lt;(('Team_Info'!$E$2-COUNTIF($B379:L379,"W"))/('Team_Info'!$E$4-11)),"W","B")</x:f>
        <x:v>B</x:v>
      </x:c>
      <x:c r="N379" t="str">
        <x:f>IF(RAND()&lt;(('Team_Info'!$E$2-COUNTIF($B379:M379,"W"))/('Team_Info'!$E$4-12)),"W","B")</x:f>
        <x:v>B</x:v>
      </x:c>
      <x:c r="O379" t="str">
        <x:f>IF(RAND()&lt;(('Team_Info'!$E$2-COUNTIF($B379:N379,"W"))/('Team_Info'!$E$4-13)),"W","B")</x:f>
        <x:v>B</x:v>
      </x:c>
      <x:c r="P379" t="str">
        <x:f>IF(RAND()&lt;(('Team_Info'!$E$2-COUNTIF($B379:O379,"W"))/('Team_Info'!$E$4-14)),"W","B")</x:f>
        <x:v>B</x:v>
      </x:c>
      <x:c r="Q379" t="str">
        <x:f>IF(RAND()&lt;(('Team_Info'!$E$2-COUNTIF($B379:P379,"W"))/('Team_Info'!$E$4-15)),"W","B")</x:f>
        <x:v>W</x:v>
      </x:c>
      <x:c r="R379" t="str">
        <x:f>IF(RAND()&lt;(('Team_Info'!$E$2-COUNTIF($B379:Q379,"W"))/('Team_Info'!$E$4-16)),"W","B")</x:f>
        <x:v>W</x:v>
      </x:c>
      <x:c r="S379" t="str">
        <x:f>IF(RAND()&lt;(('Team_Info'!$E$2-COUNTIF($B379:R379,"W"))/('Team_Info'!$E$4-17)),"W","B")</x:f>
        <x:v>B</x:v>
      </x:c>
      <x:c r="T379" t="str">
        <x:f>IF(RAND()&lt;(('Team_Info'!$E$2-COUNTIF($B379:S379,"W"))/('Team_Info'!$E$4-18)),"W","B")</x:f>
        <x:v>W</x:v>
      </x:c>
      <x:c r="U379" t="str">
        <x:f>IF(RAND()&lt;(('Team_Info'!$E$2-COUNTIF($B379:T379,"W"))/('Team_Info'!$E$4-19)),"W","B")</x:f>
        <x:v>W</x:v>
      </x:c>
    </x:row>
    <x:row r="380">
      <x:c r="A380" s="1">
        <x:v>379</x:v>
      </x:c>
      <x:c r="B380" t="str">
        <x:f>IF(RAND()&lt;'Team_Info'!$E$5,"W","B")</x:f>
        <x:v>B</x:v>
      </x:c>
      <x:c r="C380" t="str">
        <x:f>IF(RAND()&lt;(('Team_Info'!$E$2-COUNTIF($B380:B380,"W"))/('Team_Info'!$E$4-1)),"W","B")</x:f>
        <x:v>W</x:v>
      </x:c>
      <x:c r="D380" t="str">
        <x:f>IF(RAND()&lt;(('Team_Info'!$E$2-COUNTIF($B380:C380,"W"))/('Team_Info'!$E$4-2)),"W","B")</x:f>
        <x:v>W</x:v>
      </x:c>
      <x:c r="E380" t="str">
        <x:f>IF(RAND()&lt;(('Team_Info'!$E$2-COUNTIF($B380:D380,"W"))/('Team_Info'!$E$4-3)),"W","B")</x:f>
        <x:v>B</x:v>
      </x:c>
      <x:c r="F380" t="str">
        <x:f>IF(RAND()&lt;(('Team_Info'!$E$2-COUNTIF($B380:E380,"W"))/('Team_Info'!$E$4-4)),"W","B")</x:f>
        <x:v>B</x:v>
      </x:c>
      <x:c r="G380" t="str">
        <x:f>IF(RAND()&lt;(('Team_Info'!$E$2-COUNTIF($B380:F380,"W"))/('Team_Info'!$E$4-5)),"W","B")</x:f>
        <x:v>W</x:v>
      </x:c>
      <x:c r="H380" t="str">
        <x:f>IF(RAND()&lt;(('Team_Info'!$E$2-COUNTIF($B380:G380,"W"))/('Team_Info'!$E$4-6)),"W","B")</x:f>
        <x:v>B</x:v>
      </x:c>
      <x:c r="I380" t="str">
        <x:f>IF(RAND()&lt;(('Team_Info'!$E$2-COUNTIF($B380:H380,"W"))/('Team_Info'!$E$4-7)),"W","B")</x:f>
        <x:v>B</x:v>
      </x:c>
      <x:c r="J380" t="str">
        <x:f>IF(RAND()&lt;(('Team_Info'!$E$2-COUNTIF($B380:I380,"W"))/('Team_Info'!$E$4-8)),"W","B")</x:f>
        <x:v>B</x:v>
      </x:c>
      <x:c r="K380" t="str">
        <x:f>IF(RAND()&lt;(('Team_Info'!$E$2-COUNTIF($B380:J380,"W"))/('Team_Info'!$E$4-9)),"W","B")</x:f>
        <x:v>W</x:v>
      </x:c>
      <x:c r="L380" t="str">
        <x:f>IF(RAND()&lt;(('Team_Info'!$E$2-COUNTIF($B380:K380,"W"))/('Team_Info'!$E$4-10)),"W","B")</x:f>
        <x:v>B</x:v>
      </x:c>
      <x:c r="M380" t="str">
        <x:f>IF(RAND()&lt;(('Team_Info'!$E$2-COUNTIF($B380:L380,"W"))/('Team_Info'!$E$4-11)),"W","B")</x:f>
        <x:v>B</x:v>
      </x:c>
      <x:c r="N380" t="str">
        <x:f>IF(RAND()&lt;(('Team_Info'!$E$2-COUNTIF($B380:M380,"W"))/('Team_Info'!$E$4-12)),"W","B")</x:f>
        <x:v>W</x:v>
      </x:c>
      <x:c r="O380" t="str">
        <x:f>IF(RAND()&lt;(('Team_Info'!$E$2-COUNTIF($B380:N380,"W"))/('Team_Info'!$E$4-13)),"W","B")</x:f>
        <x:v>B</x:v>
      </x:c>
      <x:c r="P380" t="str">
        <x:f>IF(RAND()&lt;(('Team_Info'!$E$2-COUNTIF($B380:O380,"W"))/('Team_Info'!$E$4-14)),"W","B")</x:f>
        <x:v>W</x:v>
      </x:c>
      <x:c r="Q380" t="str">
        <x:f>IF(RAND()&lt;(('Team_Info'!$E$2-COUNTIF($B380:P380,"W"))/('Team_Info'!$E$4-15)),"W","B")</x:f>
        <x:v>B</x:v>
      </x:c>
      <x:c r="R380" t="str">
        <x:f>IF(RAND()&lt;(('Team_Info'!$E$2-COUNTIF($B380:Q380,"W"))/('Team_Info'!$E$4-16)),"W","B")</x:f>
        <x:v>B</x:v>
      </x:c>
      <x:c r="S380" t="str">
        <x:f>IF(RAND()&lt;(('Team_Info'!$E$2-COUNTIF($B380:R380,"W"))/('Team_Info'!$E$4-17)),"W","B")</x:f>
        <x:v>B</x:v>
      </x:c>
      <x:c r="T380" t="str">
        <x:f>IF(RAND()&lt;(('Team_Info'!$E$2-COUNTIF($B380:S380,"W"))/('Team_Info'!$E$4-18)),"W","B")</x:f>
        <x:v>W</x:v>
      </x:c>
      <x:c r="U380" t="str">
        <x:f>IF(RAND()&lt;(('Team_Info'!$E$2-COUNTIF($B380:T380,"W"))/('Team_Info'!$E$4-19)),"W","B")</x:f>
        <x:v>B</x:v>
      </x:c>
    </x:row>
    <x:row r="381">
      <x:c r="A381" s="1">
        <x:v>380</x:v>
      </x:c>
      <x:c r="B381" t="str">
        <x:f>IF(RAND()&lt;'Team_Info'!$E$5,"W","B")</x:f>
        <x:v>B</x:v>
      </x:c>
      <x:c r="C381" t="str">
        <x:f>IF(RAND()&lt;(('Team_Info'!$E$2-COUNTIF($B381:B381,"W"))/('Team_Info'!$E$4-1)),"W","B")</x:f>
        <x:v>B</x:v>
      </x:c>
      <x:c r="D381" t="str">
        <x:f>IF(RAND()&lt;(('Team_Info'!$E$2-COUNTIF($B381:C381,"W"))/('Team_Info'!$E$4-2)),"W","B")</x:f>
        <x:v>B</x:v>
      </x:c>
      <x:c r="E381" t="str">
        <x:f>IF(RAND()&lt;(('Team_Info'!$E$2-COUNTIF($B381:D381,"W"))/('Team_Info'!$E$4-3)),"W","B")</x:f>
        <x:v>W</x:v>
      </x:c>
      <x:c r="F381" t="str">
        <x:f>IF(RAND()&lt;(('Team_Info'!$E$2-COUNTIF($B381:E381,"W"))/('Team_Info'!$E$4-4)),"W","B")</x:f>
        <x:v>B</x:v>
      </x:c>
      <x:c r="G381" t="str">
        <x:f>IF(RAND()&lt;(('Team_Info'!$E$2-COUNTIF($B381:F381,"W"))/('Team_Info'!$E$4-5)),"W","B")</x:f>
        <x:v>W</x:v>
      </x:c>
      <x:c r="H381" t="str">
        <x:f>IF(RAND()&lt;(('Team_Info'!$E$2-COUNTIF($B381:G381,"W"))/('Team_Info'!$E$4-6)),"W","B")</x:f>
        <x:v>B</x:v>
      </x:c>
      <x:c r="I381" t="str">
        <x:f>IF(RAND()&lt;(('Team_Info'!$E$2-COUNTIF($B381:H381,"W"))/('Team_Info'!$E$4-7)),"W","B")</x:f>
        <x:v>B</x:v>
      </x:c>
      <x:c r="J381" t="str">
        <x:f>IF(RAND()&lt;(('Team_Info'!$E$2-COUNTIF($B381:I381,"W"))/('Team_Info'!$E$4-8)),"W","B")</x:f>
        <x:v>W</x:v>
      </x:c>
      <x:c r="K381" t="str">
        <x:f>IF(RAND()&lt;(('Team_Info'!$E$2-COUNTIF($B381:J381,"W"))/('Team_Info'!$E$4-9)),"W","B")</x:f>
        <x:v>B</x:v>
      </x:c>
      <x:c r="L381" t="str">
        <x:f>IF(RAND()&lt;(('Team_Info'!$E$2-COUNTIF($B381:K381,"W"))/('Team_Info'!$E$4-10)),"W","B")</x:f>
        <x:v>B</x:v>
      </x:c>
      <x:c r="M381" t="str">
        <x:f>IF(RAND()&lt;(('Team_Info'!$E$2-COUNTIF($B381:L381,"W"))/('Team_Info'!$E$4-11)),"W","B")</x:f>
        <x:v>B</x:v>
      </x:c>
      <x:c r="N381" t="str">
        <x:f>IF(RAND()&lt;(('Team_Info'!$E$2-COUNTIF($B381:M381,"W"))/('Team_Info'!$E$4-12)),"W","B")</x:f>
        <x:v>B</x:v>
      </x:c>
      <x:c r="O381" t="str">
        <x:f>IF(RAND()&lt;(('Team_Info'!$E$2-COUNTIF($B381:N381,"W"))/('Team_Info'!$E$4-13)),"W","B")</x:f>
        <x:v>W</x:v>
      </x:c>
      <x:c r="P381" t="str">
        <x:f>IF(RAND()&lt;(('Team_Info'!$E$2-COUNTIF($B381:O381,"W"))/('Team_Info'!$E$4-14)),"W","B")</x:f>
        <x:v>W</x:v>
      </x:c>
      <x:c r="Q381" t="str">
        <x:f>IF(RAND()&lt;(('Team_Info'!$E$2-COUNTIF($B381:P381,"W"))/('Team_Info'!$E$4-15)),"W","B")</x:f>
        <x:v>W</x:v>
      </x:c>
      <x:c r="R381" t="str">
        <x:f>IF(RAND()&lt;(('Team_Info'!$E$2-COUNTIF($B381:Q381,"W"))/('Team_Info'!$E$4-16)),"W","B")</x:f>
        <x:v>B</x:v>
      </x:c>
      <x:c r="S381" t="str">
        <x:f>IF(RAND()&lt;(('Team_Info'!$E$2-COUNTIF($B381:R381,"W"))/('Team_Info'!$E$4-17)),"W","B")</x:f>
        <x:v>B</x:v>
      </x:c>
      <x:c r="T381" t="str">
        <x:f>IF(RAND()&lt;(('Team_Info'!$E$2-COUNTIF($B381:S381,"W"))/('Team_Info'!$E$4-18)),"W","B")</x:f>
        <x:v>W</x:v>
      </x:c>
      <x:c r="U381" t="str">
        <x:f>IF(RAND()&lt;(('Team_Info'!$E$2-COUNTIF($B381:T381,"W"))/('Team_Info'!$E$4-19)),"W","B")</x:f>
        <x:v>W</x:v>
      </x:c>
    </x:row>
    <x:row r="382">
      <x:c r="A382" s="1">
        <x:v>381</x:v>
      </x:c>
      <x:c r="B382" t="str">
        <x:f>IF(RAND()&lt;'Team_Info'!$E$5,"W","B")</x:f>
        <x:v>B</x:v>
      </x:c>
      <x:c r="C382" t="str">
        <x:f>IF(RAND()&lt;(('Team_Info'!$E$2-COUNTIF($B382:B382,"W"))/('Team_Info'!$E$4-1)),"W","B")</x:f>
        <x:v>W</x:v>
      </x:c>
      <x:c r="D382" t="str">
        <x:f>IF(RAND()&lt;(('Team_Info'!$E$2-COUNTIF($B382:C382,"W"))/('Team_Info'!$E$4-2)),"W","B")</x:f>
        <x:v>B</x:v>
      </x:c>
      <x:c r="E382" t="str">
        <x:f>IF(RAND()&lt;(('Team_Info'!$E$2-COUNTIF($B382:D382,"W"))/('Team_Info'!$E$4-3)),"W","B")</x:f>
        <x:v>W</x:v>
      </x:c>
      <x:c r="F382" t="str">
        <x:f>IF(RAND()&lt;(('Team_Info'!$E$2-COUNTIF($B382:E382,"W"))/('Team_Info'!$E$4-4)),"W","B")</x:f>
        <x:v>B</x:v>
      </x:c>
      <x:c r="G382" t="str">
        <x:f>IF(RAND()&lt;(('Team_Info'!$E$2-COUNTIF($B382:F382,"W"))/('Team_Info'!$E$4-5)),"W","B")</x:f>
        <x:v>B</x:v>
      </x:c>
      <x:c r="H382" t="str">
        <x:f>IF(RAND()&lt;(('Team_Info'!$E$2-COUNTIF($B382:G382,"W"))/('Team_Info'!$E$4-6)),"W","B")</x:f>
        <x:v>B</x:v>
      </x:c>
      <x:c r="I382" t="str">
        <x:f>IF(RAND()&lt;(('Team_Info'!$E$2-COUNTIF($B382:H382,"W"))/('Team_Info'!$E$4-7)),"W","B")</x:f>
        <x:v>W</x:v>
      </x:c>
      <x:c r="J382" t="str">
        <x:f>IF(RAND()&lt;(('Team_Info'!$E$2-COUNTIF($B382:I382,"W"))/('Team_Info'!$E$4-8)),"W","B")</x:f>
        <x:v>W</x:v>
      </x:c>
      <x:c r="K382" t="str">
        <x:f>IF(RAND()&lt;(('Team_Info'!$E$2-COUNTIF($B382:J382,"W"))/('Team_Info'!$E$4-9)),"W","B")</x:f>
        <x:v>W</x:v>
      </x:c>
      <x:c r="L382" t="str">
        <x:f>IF(RAND()&lt;(('Team_Info'!$E$2-COUNTIF($B382:K382,"W"))/('Team_Info'!$E$4-10)),"W","B")</x:f>
        <x:v>B</x:v>
      </x:c>
      <x:c r="M382" t="str">
        <x:f>IF(RAND()&lt;(('Team_Info'!$E$2-COUNTIF($B382:L382,"W"))/('Team_Info'!$E$4-11)),"W","B")</x:f>
        <x:v>B</x:v>
      </x:c>
      <x:c r="N382" t="str">
        <x:f>IF(RAND()&lt;(('Team_Info'!$E$2-COUNTIF($B382:M382,"W"))/('Team_Info'!$E$4-12)),"W","B")</x:f>
        <x:v>B</x:v>
      </x:c>
      <x:c r="O382" t="str">
        <x:f>IF(RAND()&lt;(('Team_Info'!$E$2-COUNTIF($B382:N382,"W"))/('Team_Info'!$E$4-13)),"W","B")</x:f>
        <x:v>B</x:v>
      </x:c>
      <x:c r="P382" t="str">
        <x:f>IF(RAND()&lt;(('Team_Info'!$E$2-COUNTIF($B382:O382,"W"))/('Team_Info'!$E$4-14)),"W","B")</x:f>
        <x:v>B</x:v>
      </x:c>
      <x:c r="Q382" t="str">
        <x:f>IF(RAND()&lt;(('Team_Info'!$E$2-COUNTIF($B382:P382,"W"))/('Team_Info'!$E$4-15)),"W","B")</x:f>
        <x:v>W</x:v>
      </x:c>
      <x:c r="R382" t="str">
        <x:f>IF(RAND()&lt;(('Team_Info'!$E$2-COUNTIF($B382:Q382,"W"))/('Team_Info'!$E$4-16)),"W","B")</x:f>
        <x:v>W</x:v>
      </x:c>
      <x:c r="S382" t="str">
        <x:f>IF(RAND()&lt;(('Team_Info'!$E$2-COUNTIF($B382:R382,"W"))/('Team_Info'!$E$4-17)),"W","B")</x:f>
        <x:v>B</x:v>
      </x:c>
      <x:c r="T382" t="str">
        <x:f>IF(RAND()&lt;(('Team_Info'!$E$2-COUNTIF($B382:S382,"W"))/('Team_Info'!$E$4-18)),"W","B")</x:f>
        <x:v>B</x:v>
      </x:c>
      <x:c r="U382" t="str">
        <x:f>IF(RAND()&lt;(('Team_Info'!$E$2-COUNTIF($B382:T382,"W"))/('Team_Info'!$E$4-19)),"W","B")</x:f>
        <x:v>B</x:v>
      </x:c>
    </x:row>
    <x:row r="383">
      <x:c r="A383" s="1">
        <x:v>382</x:v>
      </x:c>
      <x:c r="B383" t="str">
        <x:f>IF(RAND()&lt;'Team_Info'!$E$5,"W","B")</x:f>
        <x:v>W</x:v>
      </x:c>
      <x:c r="C383" t="str">
        <x:f>IF(RAND()&lt;(('Team_Info'!$E$2-COUNTIF($B383:B383,"W"))/('Team_Info'!$E$4-1)),"W","B")</x:f>
        <x:v>B</x:v>
      </x:c>
      <x:c r="D383" t="str">
        <x:f>IF(RAND()&lt;(('Team_Info'!$E$2-COUNTIF($B383:C383,"W"))/('Team_Info'!$E$4-2)),"W","B")</x:f>
        <x:v>B</x:v>
      </x:c>
      <x:c r="E383" t="str">
        <x:f>IF(RAND()&lt;(('Team_Info'!$E$2-COUNTIF($B383:D383,"W"))/('Team_Info'!$E$4-3)),"W","B")</x:f>
        <x:v>B</x:v>
      </x:c>
      <x:c r="F383" t="str">
        <x:f>IF(RAND()&lt;(('Team_Info'!$E$2-COUNTIF($B383:E383,"W"))/('Team_Info'!$E$4-4)),"W","B")</x:f>
        <x:v>B</x:v>
      </x:c>
      <x:c r="G383" t="str">
        <x:f>IF(RAND()&lt;(('Team_Info'!$E$2-COUNTIF($B383:F383,"W"))/('Team_Info'!$E$4-5)),"W","B")</x:f>
        <x:v>B</x:v>
      </x:c>
      <x:c r="H383" t="str">
        <x:f>IF(RAND()&lt;(('Team_Info'!$E$2-COUNTIF($B383:G383,"W"))/('Team_Info'!$E$4-6)),"W","B")</x:f>
        <x:v>W</x:v>
      </x:c>
      <x:c r="I383" t="str">
        <x:f>IF(RAND()&lt;(('Team_Info'!$E$2-COUNTIF($B383:H383,"W"))/('Team_Info'!$E$4-7)),"W","B")</x:f>
        <x:v>B</x:v>
      </x:c>
      <x:c r="J383" t="str">
        <x:f>IF(RAND()&lt;(('Team_Info'!$E$2-COUNTIF($B383:I383,"W"))/('Team_Info'!$E$4-8)),"W","B")</x:f>
        <x:v>B</x:v>
      </x:c>
      <x:c r="K383" t="str">
        <x:f>IF(RAND()&lt;(('Team_Info'!$E$2-COUNTIF($B383:J383,"W"))/('Team_Info'!$E$4-9)),"W","B")</x:f>
        <x:v>B</x:v>
      </x:c>
      <x:c r="L383" t="str">
        <x:f>IF(RAND()&lt;(('Team_Info'!$E$2-COUNTIF($B383:K383,"W"))/('Team_Info'!$E$4-10)),"W","B")</x:f>
        <x:v>B</x:v>
      </x:c>
      <x:c r="M383" t="str">
        <x:f>IF(RAND()&lt;(('Team_Info'!$E$2-COUNTIF($B383:L383,"W"))/('Team_Info'!$E$4-11)),"W","B")</x:f>
        <x:v>W</x:v>
      </x:c>
      <x:c r="N383" t="str">
        <x:f>IF(RAND()&lt;(('Team_Info'!$E$2-COUNTIF($B383:M383,"W"))/('Team_Info'!$E$4-12)),"W","B")</x:f>
        <x:v>W</x:v>
      </x:c>
      <x:c r="O383" t="str">
        <x:f>IF(RAND()&lt;(('Team_Info'!$E$2-COUNTIF($B383:N383,"W"))/('Team_Info'!$E$4-13)),"W","B")</x:f>
        <x:v>W</x:v>
      </x:c>
      <x:c r="P383" t="str">
        <x:f>IF(RAND()&lt;(('Team_Info'!$E$2-COUNTIF($B383:O383,"W"))/('Team_Info'!$E$4-14)),"W","B")</x:f>
        <x:v>B</x:v>
      </x:c>
      <x:c r="Q383" t="str">
        <x:f>IF(RAND()&lt;(('Team_Info'!$E$2-COUNTIF($B383:P383,"W"))/('Team_Info'!$E$4-15)),"W","B")</x:f>
        <x:v>B</x:v>
      </x:c>
      <x:c r="R383" t="str">
        <x:f>IF(RAND()&lt;(('Team_Info'!$E$2-COUNTIF($B383:Q383,"W"))/('Team_Info'!$E$4-16)),"W","B")</x:f>
        <x:v>B</x:v>
      </x:c>
      <x:c r="S383" t="str">
        <x:f>IF(RAND()&lt;(('Team_Info'!$E$2-COUNTIF($B383:R383,"W"))/('Team_Info'!$E$4-17)),"W","B")</x:f>
        <x:v>W</x:v>
      </x:c>
      <x:c r="T383" t="str">
        <x:f>IF(RAND()&lt;(('Team_Info'!$E$2-COUNTIF($B383:S383,"W"))/('Team_Info'!$E$4-18)),"W","B")</x:f>
        <x:v>W</x:v>
      </x:c>
      <x:c r="U383" t="str">
        <x:f>IF(RAND()&lt;(('Team_Info'!$E$2-COUNTIF($B383:T383,"W"))/('Team_Info'!$E$4-19)),"W","B")</x:f>
        <x:v>B</x:v>
      </x:c>
    </x:row>
    <x:row r="384">
      <x:c r="A384" s="1">
        <x:v>383</x:v>
      </x:c>
      <x:c r="B384" t="str">
        <x:f>IF(RAND()&lt;'Team_Info'!$E$5,"W","B")</x:f>
        <x:v>B</x:v>
      </x:c>
      <x:c r="C384" t="str">
        <x:f>IF(RAND()&lt;(('Team_Info'!$E$2-COUNTIF($B384:B384,"W"))/('Team_Info'!$E$4-1)),"W","B")</x:f>
        <x:v>W</x:v>
      </x:c>
      <x:c r="D384" t="str">
        <x:f>IF(RAND()&lt;(('Team_Info'!$E$2-COUNTIF($B384:C384,"W"))/('Team_Info'!$E$4-2)),"W","B")</x:f>
        <x:v>W</x:v>
      </x:c>
      <x:c r="E384" t="str">
        <x:f>IF(RAND()&lt;(('Team_Info'!$E$2-COUNTIF($B384:D384,"W"))/('Team_Info'!$E$4-3)),"W","B")</x:f>
        <x:v>W</x:v>
      </x:c>
      <x:c r="F384" t="str">
        <x:f>IF(RAND()&lt;(('Team_Info'!$E$2-COUNTIF($B384:E384,"W"))/('Team_Info'!$E$4-4)),"W","B")</x:f>
        <x:v>W</x:v>
      </x:c>
      <x:c r="G384" t="str">
        <x:f>IF(RAND()&lt;(('Team_Info'!$E$2-COUNTIF($B384:F384,"W"))/('Team_Info'!$E$4-5)),"W","B")</x:f>
        <x:v>W</x:v>
      </x:c>
      <x:c r="H384" t="str">
        <x:f>IF(RAND()&lt;(('Team_Info'!$E$2-COUNTIF($B384:G384,"W"))/('Team_Info'!$E$4-6)),"W","B")</x:f>
        <x:v>W</x:v>
      </x:c>
      <x:c r="I384" t="str">
        <x:f>IF(RAND()&lt;(('Team_Info'!$E$2-COUNTIF($B384:H384,"W"))/('Team_Info'!$E$4-7)),"W","B")</x:f>
        <x:v>B</x:v>
      </x:c>
      <x:c r="J384" t="str">
        <x:f>IF(RAND()&lt;(('Team_Info'!$E$2-COUNTIF($B384:I384,"W"))/('Team_Info'!$E$4-8)),"W","B")</x:f>
        <x:v>B</x:v>
      </x:c>
      <x:c r="K384" t="str">
        <x:f>IF(RAND()&lt;(('Team_Info'!$E$2-COUNTIF($B384:J384,"W"))/('Team_Info'!$E$4-9)),"W","B")</x:f>
        <x:v>B</x:v>
      </x:c>
      <x:c r="L384" t="str">
        <x:f>IF(RAND()&lt;(('Team_Info'!$E$2-COUNTIF($B384:K384,"W"))/('Team_Info'!$E$4-10)),"W","B")</x:f>
        <x:v>B</x:v>
      </x:c>
      <x:c r="M384" t="str">
        <x:f>IF(RAND()&lt;(('Team_Info'!$E$2-COUNTIF($B384:L384,"W"))/('Team_Info'!$E$4-11)),"W","B")</x:f>
        <x:v>B</x:v>
      </x:c>
      <x:c r="N384" t="str">
        <x:f>IF(RAND()&lt;(('Team_Info'!$E$2-COUNTIF($B384:M384,"W"))/('Team_Info'!$E$4-12)),"W","B")</x:f>
        <x:v>B</x:v>
      </x:c>
      <x:c r="O384" t="str">
        <x:f>IF(RAND()&lt;(('Team_Info'!$E$2-COUNTIF($B384:N384,"W"))/('Team_Info'!$E$4-13)),"W","B")</x:f>
        <x:v>B</x:v>
      </x:c>
      <x:c r="P384" t="str">
        <x:f>IF(RAND()&lt;(('Team_Info'!$E$2-COUNTIF($B384:O384,"W"))/('Team_Info'!$E$4-14)),"W","B")</x:f>
        <x:v>W</x:v>
      </x:c>
      <x:c r="Q384" t="str">
        <x:f>IF(RAND()&lt;(('Team_Info'!$E$2-COUNTIF($B384:P384,"W"))/('Team_Info'!$E$4-15)),"W","B")</x:f>
        <x:v>B</x:v>
      </x:c>
      <x:c r="R384" t="str">
        <x:f>IF(RAND()&lt;(('Team_Info'!$E$2-COUNTIF($B384:Q384,"W"))/('Team_Info'!$E$4-16)),"W","B")</x:f>
        <x:v>W</x:v>
      </x:c>
      <x:c r="S384" t="str">
        <x:f>IF(RAND()&lt;(('Team_Info'!$E$2-COUNTIF($B384:R384,"W"))/('Team_Info'!$E$4-17)),"W","B")</x:f>
        <x:v>B</x:v>
      </x:c>
      <x:c r="T384" t="str">
        <x:f>IF(RAND()&lt;(('Team_Info'!$E$2-COUNTIF($B384:S384,"W"))/('Team_Info'!$E$4-18)),"W","B")</x:f>
        <x:v>B</x:v>
      </x:c>
      <x:c r="U384" t="str">
        <x:f>IF(RAND()&lt;(('Team_Info'!$E$2-COUNTIF($B384:T384,"W"))/('Team_Info'!$E$4-19)),"W","B")</x:f>
        <x:v>B</x:v>
      </x:c>
    </x:row>
    <x:row r="385">
      <x:c r="A385" s="1">
        <x:v>384</x:v>
      </x:c>
      <x:c r="B385" t="str">
        <x:f>IF(RAND()&lt;'Team_Info'!$E$5,"W","B")</x:f>
        <x:v>B</x:v>
      </x:c>
      <x:c r="C385" t="str">
        <x:f>IF(RAND()&lt;(('Team_Info'!$E$2-COUNTIF($B385:B385,"W"))/('Team_Info'!$E$4-1)),"W","B")</x:f>
        <x:v>B</x:v>
      </x:c>
      <x:c r="D385" t="str">
        <x:f>IF(RAND()&lt;(('Team_Info'!$E$2-COUNTIF($B385:C385,"W"))/('Team_Info'!$E$4-2)),"W","B")</x:f>
        <x:v>B</x:v>
      </x:c>
      <x:c r="E385" t="str">
        <x:f>IF(RAND()&lt;(('Team_Info'!$E$2-COUNTIF($B385:D385,"W"))/('Team_Info'!$E$4-3)),"W","B")</x:f>
        <x:v>W</x:v>
      </x:c>
      <x:c r="F385" t="str">
        <x:f>IF(RAND()&lt;(('Team_Info'!$E$2-COUNTIF($B385:E385,"W"))/('Team_Info'!$E$4-4)),"W","B")</x:f>
        <x:v>W</x:v>
      </x:c>
      <x:c r="G385" t="str">
        <x:f>IF(RAND()&lt;(('Team_Info'!$E$2-COUNTIF($B385:F385,"W"))/('Team_Info'!$E$4-5)),"W","B")</x:f>
        <x:v>W</x:v>
      </x:c>
      <x:c r="H385" t="str">
        <x:f>IF(RAND()&lt;(('Team_Info'!$E$2-COUNTIF($B385:G385,"W"))/('Team_Info'!$E$4-6)),"W","B")</x:f>
        <x:v>W</x:v>
      </x:c>
      <x:c r="I385" t="str">
        <x:f>IF(RAND()&lt;(('Team_Info'!$E$2-COUNTIF($B385:H385,"W"))/('Team_Info'!$E$4-7)),"W","B")</x:f>
        <x:v>B</x:v>
      </x:c>
      <x:c r="J385" t="str">
        <x:f>IF(RAND()&lt;(('Team_Info'!$E$2-COUNTIF($B385:I385,"W"))/('Team_Info'!$E$4-8)),"W","B")</x:f>
        <x:v>B</x:v>
      </x:c>
      <x:c r="K385" t="str">
        <x:f>IF(RAND()&lt;(('Team_Info'!$E$2-COUNTIF($B385:J385,"W"))/('Team_Info'!$E$4-9)),"W","B")</x:f>
        <x:v>B</x:v>
      </x:c>
      <x:c r="L385" t="str">
        <x:f>IF(RAND()&lt;(('Team_Info'!$E$2-COUNTIF($B385:K385,"W"))/('Team_Info'!$E$4-10)),"W","B")</x:f>
        <x:v>W</x:v>
      </x:c>
      <x:c r="M385" t="str">
        <x:f>IF(RAND()&lt;(('Team_Info'!$E$2-COUNTIF($B385:L385,"W"))/('Team_Info'!$E$4-11)),"W","B")</x:f>
        <x:v>B</x:v>
      </x:c>
      <x:c r="N385" t="str">
        <x:f>IF(RAND()&lt;(('Team_Info'!$E$2-COUNTIF($B385:M385,"W"))/('Team_Info'!$E$4-12)),"W","B")</x:f>
        <x:v>B</x:v>
      </x:c>
      <x:c r="O385" t="str">
        <x:f>IF(RAND()&lt;(('Team_Info'!$E$2-COUNTIF($B385:N385,"W"))/('Team_Info'!$E$4-13)),"W","B")</x:f>
        <x:v>B</x:v>
      </x:c>
      <x:c r="P385" t="str">
        <x:f>IF(RAND()&lt;(('Team_Info'!$E$2-COUNTIF($B385:O385,"W"))/('Team_Info'!$E$4-14)),"W","B")</x:f>
        <x:v>B</x:v>
      </x:c>
      <x:c r="Q385" t="str">
        <x:f>IF(RAND()&lt;(('Team_Info'!$E$2-COUNTIF($B385:P385,"W"))/('Team_Info'!$E$4-15)),"W","B")</x:f>
        <x:v>W</x:v>
      </x:c>
      <x:c r="R385" t="str">
        <x:f>IF(RAND()&lt;(('Team_Info'!$E$2-COUNTIF($B385:Q385,"W"))/('Team_Info'!$E$4-16)),"W","B")</x:f>
        <x:v>B</x:v>
      </x:c>
      <x:c r="S385" t="str">
        <x:f>IF(RAND()&lt;(('Team_Info'!$E$2-COUNTIF($B385:R385,"W"))/('Team_Info'!$E$4-17)),"W","B")</x:f>
        <x:v>B</x:v>
      </x:c>
      <x:c r="T385" t="str">
        <x:f>IF(RAND()&lt;(('Team_Info'!$E$2-COUNTIF($B385:S385,"W"))/('Team_Info'!$E$4-18)),"W","B")</x:f>
        <x:v>B</x:v>
      </x:c>
      <x:c r="U385" t="str">
        <x:f>IF(RAND()&lt;(('Team_Info'!$E$2-COUNTIF($B385:T385,"W"))/('Team_Info'!$E$4-19)),"W","B")</x:f>
        <x:v>W</x:v>
      </x:c>
    </x:row>
    <x:row r="386">
      <x:c r="A386" s="1">
        <x:v>385</x:v>
      </x:c>
      <x:c r="B386" t="str">
        <x:f>IF(RAND()&lt;'Team_Info'!$E$5,"W","B")</x:f>
        <x:v>W</x:v>
      </x:c>
      <x:c r="C386" t="str">
        <x:f>IF(RAND()&lt;(('Team_Info'!$E$2-COUNTIF($B386:B386,"W"))/('Team_Info'!$E$4-1)),"W","B")</x:f>
        <x:v>B</x:v>
      </x:c>
      <x:c r="D386" t="str">
        <x:f>IF(RAND()&lt;(('Team_Info'!$E$2-COUNTIF($B386:C386,"W"))/('Team_Info'!$E$4-2)),"W","B")</x:f>
        <x:v>W</x:v>
      </x:c>
      <x:c r="E386" t="str">
        <x:f>IF(RAND()&lt;(('Team_Info'!$E$2-COUNTIF($B386:D386,"W"))/('Team_Info'!$E$4-3)),"W","B")</x:f>
        <x:v>W</x:v>
      </x:c>
      <x:c r="F386" t="str">
        <x:f>IF(RAND()&lt;(('Team_Info'!$E$2-COUNTIF($B386:E386,"W"))/('Team_Info'!$E$4-4)),"W","B")</x:f>
        <x:v>W</x:v>
      </x:c>
      <x:c r="G386" t="str">
        <x:f>IF(RAND()&lt;(('Team_Info'!$E$2-COUNTIF($B386:F386,"W"))/('Team_Info'!$E$4-5)),"W","B")</x:f>
        <x:v>W</x:v>
      </x:c>
      <x:c r="H386" t="str">
        <x:f>IF(RAND()&lt;(('Team_Info'!$E$2-COUNTIF($B386:G386,"W"))/('Team_Info'!$E$4-6)),"W","B")</x:f>
        <x:v>B</x:v>
      </x:c>
      <x:c r="I386" t="str">
        <x:f>IF(RAND()&lt;(('Team_Info'!$E$2-COUNTIF($B386:H386,"W"))/('Team_Info'!$E$4-7)),"W","B")</x:f>
        <x:v>B</x:v>
      </x:c>
      <x:c r="J386" t="str">
        <x:f>IF(RAND()&lt;(('Team_Info'!$E$2-COUNTIF($B386:I386,"W"))/('Team_Info'!$E$4-8)),"W","B")</x:f>
        <x:v>B</x:v>
      </x:c>
      <x:c r="K386" t="str">
        <x:f>IF(RAND()&lt;(('Team_Info'!$E$2-COUNTIF($B386:J386,"W"))/('Team_Info'!$E$4-9)),"W","B")</x:f>
        <x:v>W</x:v>
      </x:c>
      <x:c r="L386" t="str">
        <x:f>IF(RAND()&lt;(('Team_Info'!$E$2-COUNTIF($B386:K386,"W"))/('Team_Info'!$E$4-10)),"W","B")</x:f>
        <x:v>B</x:v>
      </x:c>
      <x:c r="M386" t="str">
        <x:f>IF(RAND()&lt;(('Team_Info'!$E$2-COUNTIF($B386:L386,"W"))/('Team_Info'!$E$4-11)),"W","B")</x:f>
        <x:v>W</x:v>
      </x:c>
      <x:c r="N386" t="str">
        <x:f>IF(RAND()&lt;(('Team_Info'!$E$2-COUNTIF($B386:M386,"W"))/('Team_Info'!$E$4-12)),"W","B")</x:f>
        <x:v>W</x:v>
      </x:c>
      <x:c r="O386" t="str">
        <x:f>IF(RAND()&lt;(('Team_Info'!$E$2-COUNTIF($B386:N386,"W"))/('Team_Info'!$E$4-13)),"W","B")</x:f>
        <x:v>B</x:v>
      </x:c>
      <x:c r="P386" t="str">
        <x:f>IF(RAND()&lt;(('Team_Info'!$E$2-COUNTIF($B386:O386,"W"))/('Team_Info'!$E$4-14)),"W","B")</x:f>
        <x:v>B</x:v>
      </x:c>
      <x:c r="Q386" t="str">
        <x:f>IF(RAND()&lt;(('Team_Info'!$E$2-COUNTIF($B386:P386,"W"))/('Team_Info'!$E$4-15)),"W","B")</x:f>
        <x:v>B</x:v>
      </x:c>
      <x:c r="R386" t="str">
        <x:f>IF(RAND()&lt;(('Team_Info'!$E$2-COUNTIF($B386:Q386,"W"))/('Team_Info'!$E$4-16)),"W","B")</x:f>
        <x:v>B</x:v>
      </x:c>
      <x:c r="S386" t="str">
        <x:f>IF(RAND()&lt;(('Team_Info'!$E$2-COUNTIF($B386:R386,"W"))/('Team_Info'!$E$4-17)),"W","B")</x:f>
        <x:v>B</x:v>
      </x:c>
      <x:c r="T386" t="str">
        <x:f>IF(RAND()&lt;(('Team_Info'!$E$2-COUNTIF($B386:S386,"W"))/('Team_Info'!$E$4-18)),"W","B")</x:f>
        <x:v>W</x:v>
      </x:c>
      <x:c r="U386" t="str">
        <x:f>IF(RAND()&lt;(('Team_Info'!$E$2-COUNTIF($B386:T386,"W"))/('Team_Info'!$E$4-19)),"W","B")</x:f>
        <x:v>B</x:v>
      </x:c>
    </x:row>
    <x:row r="387">
      <x:c r="A387" s="1">
        <x:v>386</x:v>
      </x:c>
      <x:c r="B387" t="str">
        <x:f>IF(RAND()&lt;'Team_Info'!$E$5,"W","B")</x:f>
        <x:v>B</x:v>
      </x:c>
      <x:c r="C387" t="str">
        <x:f>IF(RAND()&lt;(('Team_Info'!$E$2-COUNTIF($B387:B387,"W"))/('Team_Info'!$E$4-1)),"W","B")</x:f>
        <x:v>B</x:v>
      </x:c>
      <x:c r="D387" t="str">
        <x:f>IF(RAND()&lt;(('Team_Info'!$E$2-COUNTIF($B387:C387,"W"))/('Team_Info'!$E$4-2)),"W","B")</x:f>
        <x:v>W</x:v>
      </x:c>
      <x:c r="E387" t="str">
        <x:f>IF(RAND()&lt;(('Team_Info'!$E$2-COUNTIF($B387:D387,"W"))/('Team_Info'!$E$4-3)),"W","B")</x:f>
        <x:v>W</x:v>
      </x:c>
      <x:c r="F387" t="str">
        <x:f>IF(RAND()&lt;(('Team_Info'!$E$2-COUNTIF($B387:E387,"W"))/('Team_Info'!$E$4-4)),"W","B")</x:f>
        <x:v>B</x:v>
      </x:c>
      <x:c r="G387" t="str">
        <x:f>IF(RAND()&lt;(('Team_Info'!$E$2-COUNTIF($B387:F387,"W"))/('Team_Info'!$E$4-5)),"W","B")</x:f>
        <x:v>B</x:v>
      </x:c>
      <x:c r="H387" t="str">
        <x:f>IF(RAND()&lt;(('Team_Info'!$E$2-COUNTIF($B387:G387,"W"))/('Team_Info'!$E$4-6)),"W","B")</x:f>
        <x:v>B</x:v>
      </x:c>
      <x:c r="I387" t="str">
        <x:f>IF(RAND()&lt;(('Team_Info'!$E$2-COUNTIF($B387:H387,"W"))/('Team_Info'!$E$4-7)),"W","B")</x:f>
        <x:v>W</x:v>
      </x:c>
      <x:c r="J387" t="str">
        <x:f>IF(RAND()&lt;(('Team_Info'!$E$2-COUNTIF($B387:I387,"W"))/('Team_Info'!$E$4-8)),"W","B")</x:f>
        <x:v>B</x:v>
      </x:c>
      <x:c r="K387" t="str">
        <x:f>IF(RAND()&lt;(('Team_Info'!$E$2-COUNTIF($B387:J387,"W"))/('Team_Info'!$E$4-9)),"W","B")</x:f>
        <x:v>W</x:v>
      </x:c>
      <x:c r="L387" t="str">
        <x:f>IF(RAND()&lt;(('Team_Info'!$E$2-COUNTIF($B387:K387,"W"))/('Team_Info'!$E$4-10)),"W","B")</x:f>
        <x:v>B</x:v>
      </x:c>
      <x:c r="M387" t="str">
        <x:f>IF(RAND()&lt;(('Team_Info'!$E$2-COUNTIF($B387:L387,"W"))/('Team_Info'!$E$4-11)),"W","B")</x:f>
        <x:v>B</x:v>
      </x:c>
      <x:c r="N387" t="str">
        <x:f>IF(RAND()&lt;(('Team_Info'!$E$2-COUNTIF($B387:M387,"W"))/('Team_Info'!$E$4-12)),"W","B")</x:f>
        <x:v>B</x:v>
      </x:c>
      <x:c r="O387" t="str">
        <x:f>IF(RAND()&lt;(('Team_Info'!$E$2-COUNTIF($B387:N387,"W"))/('Team_Info'!$E$4-13)),"W","B")</x:f>
        <x:v>B</x:v>
      </x:c>
      <x:c r="P387" t="str">
        <x:f>IF(RAND()&lt;(('Team_Info'!$E$2-COUNTIF($B387:O387,"W"))/('Team_Info'!$E$4-14)),"W","B")</x:f>
        <x:v>B</x:v>
      </x:c>
      <x:c r="Q387" t="str">
        <x:f>IF(RAND()&lt;(('Team_Info'!$E$2-COUNTIF($B387:P387,"W"))/('Team_Info'!$E$4-15)),"W","B")</x:f>
        <x:v>B</x:v>
      </x:c>
      <x:c r="R387" t="str">
        <x:f>IF(RAND()&lt;(('Team_Info'!$E$2-COUNTIF($B387:Q387,"W"))/('Team_Info'!$E$4-16)),"W","B")</x:f>
        <x:v>B</x:v>
      </x:c>
      <x:c r="S387" t="str">
        <x:f>IF(RAND()&lt;(('Team_Info'!$E$2-COUNTIF($B387:R387,"W"))/('Team_Info'!$E$4-17)),"W","B")</x:f>
        <x:v>B</x:v>
      </x:c>
      <x:c r="T387" t="str">
        <x:f>IF(RAND()&lt;(('Team_Info'!$E$2-COUNTIF($B387:S387,"W"))/('Team_Info'!$E$4-18)),"W","B")</x:f>
        <x:v>W</x:v>
      </x:c>
      <x:c r="U387" t="str">
        <x:f>IF(RAND()&lt;(('Team_Info'!$E$2-COUNTIF($B387:T387,"W"))/('Team_Info'!$E$4-19)),"W","B")</x:f>
        <x:v>B</x:v>
      </x:c>
    </x:row>
    <x:row r="388">
      <x:c r="A388" s="1">
        <x:v>387</x:v>
      </x:c>
      <x:c r="B388" t="str">
        <x:f>IF(RAND()&lt;'Team_Info'!$E$5,"W","B")</x:f>
        <x:v>B</x:v>
      </x:c>
      <x:c r="C388" t="str">
        <x:f>IF(RAND()&lt;(('Team_Info'!$E$2-COUNTIF($B388:B388,"W"))/('Team_Info'!$E$4-1)),"W","B")</x:f>
        <x:v>B</x:v>
      </x:c>
      <x:c r="D388" t="str">
        <x:f>IF(RAND()&lt;(('Team_Info'!$E$2-COUNTIF($B388:C388,"W"))/('Team_Info'!$E$4-2)),"W","B")</x:f>
        <x:v>W</x:v>
      </x:c>
      <x:c r="E388" t="str">
        <x:f>IF(RAND()&lt;(('Team_Info'!$E$2-COUNTIF($B388:D388,"W"))/('Team_Info'!$E$4-3)),"W","B")</x:f>
        <x:v>B</x:v>
      </x:c>
      <x:c r="F388" t="str">
        <x:f>IF(RAND()&lt;(('Team_Info'!$E$2-COUNTIF($B388:E388,"W"))/('Team_Info'!$E$4-4)),"W","B")</x:f>
        <x:v>B</x:v>
      </x:c>
      <x:c r="G388" t="str">
        <x:f>IF(RAND()&lt;(('Team_Info'!$E$2-COUNTIF($B388:F388,"W"))/('Team_Info'!$E$4-5)),"W","B")</x:f>
        <x:v>B</x:v>
      </x:c>
      <x:c r="H388" t="str">
        <x:f>IF(RAND()&lt;(('Team_Info'!$E$2-COUNTIF($B388:G388,"W"))/('Team_Info'!$E$4-6)),"W","B")</x:f>
        <x:v>W</x:v>
      </x:c>
      <x:c r="I388" t="str">
        <x:f>IF(RAND()&lt;(('Team_Info'!$E$2-COUNTIF($B388:H388,"W"))/('Team_Info'!$E$4-7)),"W","B")</x:f>
        <x:v>B</x:v>
      </x:c>
      <x:c r="J388" t="str">
        <x:f>IF(RAND()&lt;(('Team_Info'!$E$2-COUNTIF($B388:I388,"W"))/('Team_Info'!$E$4-8)),"W","B")</x:f>
        <x:v>B</x:v>
      </x:c>
      <x:c r="K388" t="str">
        <x:f>IF(RAND()&lt;(('Team_Info'!$E$2-COUNTIF($B388:J388,"W"))/('Team_Info'!$E$4-9)),"W","B")</x:f>
        <x:v>B</x:v>
      </x:c>
      <x:c r="L388" t="str">
        <x:f>IF(RAND()&lt;(('Team_Info'!$E$2-COUNTIF($B388:K388,"W"))/('Team_Info'!$E$4-10)),"W","B")</x:f>
        <x:v>B</x:v>
      </x:c>
      <x:c r="M388" t="str">
        <x:f>IF(RAND()&lt;(('Team_Info'!$E$2-COUNTIF($B388:L388,"W"))/('Team_Info'!$E$4-11)),"W","B")</x:f>
        <x:v>B</x:v>
      </x:c>
      <x:c r="N388" t="str">
        <x:f>IF(RAND()&lt;(('Team_Info'!$E$2-COUNTIF($B388:M388,"W"))/('Team_Info'!$E$4-12)),"W","B")</x:f>
        <x:v>W</x:v>
      </x:c>
      <x:c r="O388" t="str">
        <x:f>IF(RAND()&lt;(('Team_Info'!$E$2-COUNTIF($B388:N388,"W"))/('Team_Info'!$E$4-13)),"W","B")</x:f>
        <x:v>B</x:v>
      </x:c>
      <x:c r="P388" t="str">
        <x:f>IF(RAND()&lt;(('Team_Info'!$E$2-COUNTIF($B388:O388,"W"))/('Team_Info'!$E$4-14)),"W","B")</x:f>
        <x:v>W</x:v>
      </x:c>
      <x:c r="Q388" t="str">
        <x:f>IF(RAND()&lt;(('Team_Info'!$E$2-COUNTIF($B388:P388,"W"))/('Team_Info'!$E$4-15)),"W","B")</x:f>
        <x:v>B</x:v>
      </x:c>
      <x:c r="R388" t="str">
        <x:f>IF(RAND()&lt;(('Team_Info'!$E$2-COUNTIF($B388:Q388,"W"))/('Team_Info'!$E$4-16)),"W","B")</x:f>
        <x:v>B</x:v>
      </x:c>
      <x:c r="S388" t="str">
        <x:f>IF(RAND()&lt;(('Team_Info'!$E$2-COUNTIF($B388:R388,"W"))/('Team_Info'!$E$4-17)),"W","B")</x:f>
        <x:v>B</x:v>
      </x:c>
      <x:c r="T388" t="str">
        <x:f>IF(RAND()&lt;(('Team_Info'!$E$2-COUNTIF($B388:S388,"W"))/('Team_Info'!$E$4-18)),"W","B")</x:f>
        <x:v>W</x:v>
      </x:c>
      <x:c r="U388" t="str">
        <x:f>IF(RAND()&lt;(('Team_Info'!$E$2-COUNTIF($B388:T388,"W"))/('Team_Info'!$E$4-19)),"W","B")</x:f>
        <x:v>W</x:v>
      </x:c>
    </x:row>
    <x:row r="389">
      <x:c r="A389" s="1">
        <x:v>388</x:v>
      </x:c>
      <x:c r="B389" t="str">
        <x:f>IF(RAND()&lt;'Team_Info'!$E$5,"W","B")</x:f>
        <x:v>W</x:v>
      </x:c>
      <x:c r="C389" t="str">
        <x:f>IF(RAND()&lt;(('Team_Info'!$E$2-COUNTIF($B389:B389,"W"))/('Team_Info'!$E$4-1)),"W","B")</x:f>
        <x:v>B</x:v>
      </x:c>
      <x:c r="D389" t="str">
        <x:f>IF(RAND()&lt;(('Team_Info'!$E$2-COUNTIF($B389:C389,"W"))/('Team_Info'!$E$4-2)),"W","B")</x:f>
        <x:v>B</x:v>
      </x:c>
      <x:c r="E389" t="str">
        <x:f>IF(RAND()&lt;(('Team_Info'!$E$2-COUNTIF($B389:D389,"W"))/('Team_Info'!$E$4-3)),"W","B")</x:f>
        <x:v>B</x:v>
      </x:c>
      <x:c r="F389" t="str">
        <x:f>IF(RAND()&lt;(('Team_Info'!$E$2-COUNTIF($B389:E389,"W"))/('Team_Info'!$E$4-4)),"W","B")</x:f>
        <x:v>W</x:v>
      </x:c>
      <x:c r="G389" t="str">
        <x:f>IF(RAND()&lt;(('Team_Info'!$E$2-COUNTIF($B389:F389,"W"))/('Team_Info'!$E$4-5)),"W","B")</x:f>
        <x:v>B</x:v>
      </x:c>
      <x:c r="H389" t="str">
        <x:f>IF(RAND()&lt;(('Team_Info'!$E$2-COUNTIF($B389:G389,"W"))/('Team_Info'!$E$4-6)),"W","B")</x:f>
        <x:v>W</x:v>
      </x:c>
      <x:c r="I389" t="str">
        <x:f>IF(RAND()&lt;(('Team_Info'!$E$2-COUNTIF($B389:H389,"W"))/('Team_Info'!$E$4-7)),"W","B")</x:f>
        <x:v>B</x:v>
      </x:c>
      <x:c r="J389" t="str">
        <x:f>IF(RAND()&lt;(('Team_Info'!$E$2-COUNTIF($B389:I389,"W"))/('Team_Info'!$E$4-8)),"W","B")</x:f>
        <x:v>W</x:v>
      </x:c>
      <x:c r="K389" t="str">
        <x:f>IF(RAND()&lt;(('Team_Info'!$E$2-COUNTIF($B389:J389,"W"))/('Team_Info'!$E$4-9)),"W","B")</x:f>
        <x:v>B</x:v>
      </x:c>
      <x:c r="L389" t="str">
        <x:f>IF(RAND()&lt;(('Team_Info'!$E$2-COUNTIF($B389:K389,"W"))/('Team_Info'!$E$4-10)),"W","B")</x:f>
        <x:v>B</x:v>
      </x:c>
      <x:c r="M389" t="str">
        <x:f>IF(RAND()&lt;(('Team_Info'!$E$2-COUNTIF($B389:L389,"W"))/('Team_Info'!$E$4-11)),"W","B")</x:f>
        <x:v>W</x:v>
      </x:c>
      <x:c r="N389" t="str">
        <x:f>IF(RAND()&lt;(('Team_Info'!$E$2-COUNTIF($B389:M389,"W"))/('Team_Info'!$E$4-12)),"W","B")</x:f>
        <x:v>W</x:v>
      </x:c>
      <x:c r="O389" t="str">
        <x:f>IF(RAND()&lt;(('Team_Info'!$E$2-COUNTIF($B389:N389,"W"))/('Team_Info'!$E$4-13)),"W","B")</x:f>
        <x:v>B</x:v>
      </x:c>
      <x:c r="P389" t="str">
        <x:f>IF(RAND()&lt;(('Team_Info'!$E$2-COUNTIF($B389:O389,"W"))/('Team_Info'!$E$4-14)),"W","B")</x:f>
        <x:v>B</x:v>
      </x:c>
      <x:c r="Q389" t="str">
        <x:f>IF(RAND()&lt;(('Team_Info'!$E$2-COUNTIF($B389:P389,"W"))/('Team_Info'!$E$4-15)),"W","B")</x:f>
        <x:v>B</x:v>
      </x:c>
      <x:c r="R389" t="str">
        <x:f>IF(RAND()&lt;(('Team_Info'!$E$2-COUNTIF($B389:Q389,"W"))/('Team_Info'!$E$4-16)),"W","B")</x:f>
        <x:v>B</x:v>
      </x:c>
      <x:c r="S389" t="str">
        <x:f>IF(RAND()&lt;(('Team_Info'!$E$2-COUNTIF($B389:R389,"W"))/('Team_Info'!$E$4-17)),"W","B")</x:f>
        <x:v>B</x:v>
      </x:c>
      <x:c r="T389" t="str">
        <x:f>IF(RAND()&lt;(('Team_Info'!$E$2-COUNTIF($B389:S389,"W"))/('Team_Info'!$E$4-18)),"W","B")</x:f>
        <x:v>W</x:v>
      </x:c>
      <x:c r="U389" t="str">
        <x:f>IF(RAND()&lt;(('Team_Info'!$E$2-COUNTIF($B389:T389,"W"))/('Team_Info'!$E$4-19)),"W","B")</x:f>
        <x:v>W</x:v>
      </x:c>
    </x:row>
    <x:row r="390">
      <x:c r="A390" s="1">
        <x:v>389</x:v>
      </x:c>
      <x:c r="B390" t="str">
        <x:f>IF(RAND()&lt;'Team_Info'!$E$5,"W","B")</x:f>
        <x:v>B</x:v>
      </x:c>
      <x:c r="C390" t="str">
        <x:f>IF(RAND()&lt;(('Team_Info'!$E$2-COUNTIF($B390:B390,"W"))/('Team_Info'!$E$4-1)),"W","B")</x:f>
        <x:v>B</x:v>
      </x:c>
      <x:c r="D390" t="str">
        <x:f>IF(RAND()&lt;(('Team_Info'!$E$2-COUNTIF($B390:C390,"W"))/('Team_Info'!$E$4-2)),"W","B")</x:f>
        <x:v>B</x:v>
      </x:c>
      <x:c r="E390" t="str">
        <x:f>IF(RAND()&lt;(('Team_Info'!$E$2-COUNTIF($B390:D390,"W"))/('Team_Info'!$E$4-3)),"W","B")</x:f>
        <x:v>W</x:v>
      </x:c>
      <x:c r="F390" t="str">
        <x:f>IF(RAND()&lt;(('Team_Info'!$E$2-COUNTIF($B390:E390,"W"))/('Team_Info'!$E$4-4)),"W","B")</x:f>
        <x:v>B</x:v>
      </x:c>
      <x:c r="G390" t="str">
        <x:f>IF(RAND()&lt;(('Team_Info'!$E$2-COUNTIF($B390:F390,"W"))/('Team_Info'!$E$4-5)),"W","B")</x:f>
        <x:v>W</x:v>
      </x:c>
      <x:c r="H390" t="str">
        <x:f>IF(RAND()&lt;(('Team_Info'!$E$2-COUNTIF($B390:G390,"W"))/('Team_Info'!$E$4-6)),"W","B")</x:f>
        <x:v>W</x:v>
      </x:c>
      <x:c r="I390" t="str">
        <x:f>IF(RAND()&lt;(('Team_Info'!$E$2-COUNTIF($B390:H390,"W"))/('Team_Info'!$E$4-7)),"W","B")</x:f>
        <x:v>B</x:v>
      </x:c>
      <x:c r="J390" t="str">
        <x:f>IF(RAND()&lt;(('Team_Info'!$E$2-COUNTIF($B390:I390,"W"))/('Team_Info'!$E$4-8)),"W","B")</x:f>
        <x:v>B</x:v>
      </x:c>
      <x:c r="K390" t="str">
        <x:f>IF(RAND()&lt;(('Team_Info'!$E$2-COUNTIF($B390:J390,"W"))/('Team_Info'!$E$4-9)),"W","B")</x:f>
        <x:v>W</x:v>
      </x:c>
      <x:c r="L390" t="str">
        <x:f>IF(RAND()&lt;(('Team_Info'!$E$2-COUNTIF($B390:K390,"W"))/('Team_Info'!$E$4-10)),"W","B")</x:f>
        <x:v>B</x:v>
      </x:c>
      <x:c r="M390" t="str">
        <x:f>IF(RAND()&lt;(('Team_Info'!$E$2-COUNTIF($B390:L390,"W"))/('Team_Info'!$E$4-11)),"W","B")</x:f>
        <x:v>B</x:v>
      </x:c>
      <x:c r="N390" t="str">
        <x:f>IF(RAND()&lt;(('Team_Info'!$E$2-COUNTIF($B390:M390,"W"))/('Team_Info'!$E$4-12)),"W","B")</x:f>
        <x:v>W</x:v>
      </x:c>
      <x:c r="O390" t="str">
        <x:f>IF(RAND()&lt;(('Team_Info'!$E$2-COUNTIF($B390:N390,"W"))/('Team_Info'!$E$4-13)),"W","B")</x:f>
        <x:v>W</x:v>
      </x:c>
      <x:c r="P390" t="str">
        <x:f>IF(RAND()&lt;(('Team_Info'!$E$2-COUNTIF($B390:O390,"W"))/('Team_Info'!$E$4-14)),"W","B")</x:f>
        <x:v>B</x:v>
      </x:c>
      <x:c r="Q390" t="str">
        <x:f>IF(RAND()&lt;(('Team_Info'!$E$2-COUNTIF($B390:P390,"W"))/('Team_Info'!$E$4-15)),"W","B")</x:f>
        <x:v>B</x:v>
      </x:c>
      <x:c r="R390" t="str">
        <x:f>IF(RAND()&lt;(('Team_Info'!$E$2-COUNTIF($B390:Q390,"W"))/('Team_Info'!$E$4-16)),"W","B")</x:f>
        <x:v>B</x:v>
      </x:c>
      <x:c r="S390" t="str">
        <x:f>IF(RAND()&lt;(('Team_Info'!$E$2-COUNTIF($B390:R390,"W"))/('Team_Info'!$E$4-17)),"W","B")</x:f>
        <x:v>W</x:v>
      </x:c>
      <x:c r="T390" t="str">
        <x:f>IF(RAND()&lt;(('Team_Info'!$E$2-COUNTIF($B390:S390,"W"))/('Team_Info'!$E$4-18)),"W","B")</x:f>
        <x:v>B</x:v>
      </x:c>
      <x:c r="U390" t="str">
        <x:f>IF(RAND()&lt;(('Team_Info'!$E$2-COUNTIF($B390:T390,"W"))/('Team_Info'!$E$4-19)),"W","B")</x:f>
        <x:v>B</x:v>
      </x:c>
    </x:row>
    <x:row r="391">
      <x:c r="A391" s="1">
        <x:v>390</x:v>
      </x:c>
      <x:c r="B391" t="str">
        <x:f>IF(RAND()&lt;'Team_Info'!$E$5,"W","B")</x:f>
        <x:v>B</x:v>
      </x:c>
      <x:c r="C391" t="str">
        <x:f>IF(RAND()&lt;(('Team_Info'!$E$2-COUNTIF($B391:B391,"W"))/('Team_Info'!$E$4-1)),"W","B")</x:f>
        <x:v>W</x:v>
      </x:c>
      <x:c r="D391" t="str">
        <x:f>IF(RAND()&lt;(('Team_Info'!$E$2-COUNTIF($B391:C391,"W"))/('Team_Info'!$E$4-2)),"W","B")</x:f>
        <x:v>B</x:v>
      </x:c>
      <x:c r="E391" t="str">
        <x:f>IF(RAND()&lt;(('Team_Info'!$E$2-COUNTIF($B391:D391,"W"))/('Team_Info'!$E$4-3)),"W","B")</x:f>
        <x:v>B</x:v>
      </x:c>
      <x:c r="F391" t="str">
        <x:f>IF(RAND()&lt;(('Team_Info'!$E$2-COUNTIF($B391:E391,"W"))/('Team_Info'!$E$4-4)),"W","B")</x:f>
        <x:v>B</x:v>
      </x:c>
      <x:c r="G391" t="str">
        <x:f>IF(RAND()&lt;(('Team_Info'!$E$2-COUNTIF($B391:F391,"W"))/('Team_Info'!$E$4-5)),"W","B")</x:f>
        <x:v>W</x:v>
      </x:c>
      <x:c r="H391" t="str">
        <x:f>IF(RAND()&lt;(('Team_Info'!$E$2-COUNTIF($B391:G391,"W"))/('Team_Info'!$E$4-6)),"W","B")</x:f>
        <x:v>B</x:v>
      </x:c>
      <x:c r="I391" t="str">
        <x:f>IF(RAND()&lt;(('Team_Info'!$E$2-COUNTIF($B391:H391,"W"))/('Team_Info'!$E$4-7)),"W","B")</x:f>
        <x:v>B</x:v>
      </x:c>
      <x:c r="J391" t="str">
        <x:f>IF(RAND()&lt;(('Team_Info'!$E$2-COUNTIF($B391:I391,"W"))/('Team_Info'!$E$4-8)),"W","B")</x:f>
        <x:v>B</x:v>
      </x:c>
      <x:c r="K391" t="str">
        <x:f>IF(RAND()&lt;(('Team_Info'!$E$2-COUNTIF($B391:J391,"W"))/('Team_Info'!$E$4-9)),"W","B")</x:f>
        <x:v>B</x:v>
      </x:c>
      <x:c r="L391" t="str">
        <x:f>IF(RAND()&lt;(('Team_Info'!$E$2-COUNTIF($B391:K391,"W"))/('Team_Info'!$E$4-10)),"W","B")</x:f>
        <x:v>B</x:v>
      </x:c>
      <x:c r="M391" t="str">
        <x:f>IF(RAND()&lt;(('Team_Info'!$E$2-COUNTIF($B391:L391,"W"))/('Team_Info'!$E$4-11)),"W","B")</x:f>
        <x:v>W</x:v>
      </x:c>
      <x:c r="N391" t="str">
        <x:f>IF(RAND()&lt;(('Team_Info'!$E$2-COUNTIF($B391:M391,"W"))/('Team_Info'!$E$4-12)),"W","B")</x:f>
        <x:v>B</x:v>
      </x:c>
      <x:c r="O391" t="str">
        <x:f>IF(RAND()&lt;(('Team_Info'!$E$2-COUNTIF($B391:N391,"W"))/('Team_Info'!$E$4-13)),"W","B")</x:f>
        <x:v>W</x:v>
      </x:c>
      <x:c r="P391" t="str">
        <x:f>IF(RAND()&lt;(('Team_Info'!$E$2-COUNTIF($B391:O391,"W"))/('Team_Info'!$E$4-14)),"W","B")</x:f>
        <x:v>B</x:v>
      </x:c>
      <x:c r="Q391" t="str">
        <x:f>IF(RAND()&lt;(('Team_Info'!$E$2-COUNTIF($B391:P391,"W"))/('Team_Info'!$E$4-15)),"W","B")</x:f>
        <x:v>B</x:v>
      </x:c>
      <x:c r="R391" t="str">
        <x:f>IF(RAND()&lt;(('Team_Info'!$E$2-COUNTIF($B391:Q391,"W"))/('Team_Info'!$E$4-16)),"W","B")</x:f>
        <x:v>B</x:v>
      </x:c>
      <x:c r="S391" t="str">
        <x:f>IF(RAND()&lt;(('Team_Info'!$E$2-COUNTIF($B391:R391,"W"))/('Team_Info'!$E$4-17)),"W","B")</x:f>
        <x:v>B</x:v>
      </x:c>
      <x:c r="T391" t="str">
        <x:f>IF(RAND()&lt;(('Team_Info'!$E$2-COUNTIF($B391:S391,"W"))/('Team_Info'!$E$4-18)),"W","B")</x:f>
        <x:v>B</x:v>
      </x:c>
      <x:c r="U391" t="str">
        <x:f>IF(RAND()&lt;(('Team_Info'!$E$2-COUNTIF($B391:T391,"W"))/('Team_Info'!$E$4-19)),"W","B")</x:f>
        <x:v>B</x:v>
      </x:c>
    </x:row>
    <x:row r="392">
      <x:c r="A392" s="1">
        <x:v>391</x:v>
      </x:c>
      <x:c r="B392" t="str">
        <x:f>IF(RAND()&lt;'Team_Info'!$E$5,"W","B")</x:f>
        <x:v>W</x:v>
      </x:c>
      <x:c r="C392" t="str">
        <x:f>IF(RAND()&lt;(('Team_Info'!$E$2-COUNTIF($B392:B392,"W"))/('Team_Info'!$E$4-1)),"W","B")</x:f>
        <x:v>W</x:v>
      </x:c>
      <x:c r="D392" t="str">
        <x:f>IF(RAND()&lt;(('Team_Info'!$E$2-COUNTIF($B392:C392,"W"))/('Team_Info'!$E$4-2)),"W","B")</x:f>
        <x:v>B</x:v>
      </x:c>
      <x:c r="E392" t="str">
        <x:f>IF(RAND()&lt;(('Team_Info'!$E$2-COUNTIF($B392:D392,"W"))/('Team_Info'!$E$4-3)),"W","B")</x:f>
        <x:v>W</x:v>
      </x:c>
      <x:c r="F392" t="str">
        <x:f>IF(RAND()&lt;(('Team_Info'!$E$2-COUNTIF($B392:E392,"W"))/('Team_Info'!$E$4-4)),"W","B")</x:f>
        <x:v>B</x:v>
      </x:c>
      <x:c r="G392" t="str">
        <x:f>IF(RAND()&lt;(('Team_Info'!$E$2-COUNTIF($B392:F392,"W"))/('Team_Info'!$E$4-5)),"W","B")</x:f>
        <x:v>B</x:v>
      </x:c>
      <x:c r="H392" t="str">
        <x:f>IF(RAND()&lt;(('Team_Info'!$E$2-COUNTIF($B392:G392,"W"))/('Team_Info'!$E$4-6)),"W","B")</x:f>
        <x:v>B</x:v>
      </x:c>
      <x:c r="I392" t="str">
        <x:f>IF(RAND()&lt;(('Team_Info'!$E$2-COUNTIF($B392:H392,"W"))/('Team_Info'!$E$4-7)),"W","B")</x:f>
        <x:v>B</x:v>
      </x:c>
      <x:c r="J392" t="str">
        <x:f>IF(RAND()&lt;(('Team_Info'!$E$2-COUNTIF($B392:I392,"W"))/('Team_Info'!$E$4-8)),"W","B")</x:f>
        <x:v>W</x:v>
      </x:c>
      <x:c r="K392" t="str">
        <x:f>IF(RAND()&lt;(('Team_Info'!$E$2-COUNTIF($B392:J392,"W"))/('Team_Info'!$E$4-9)),"W","B")</x:f>
        <x:v>B</x:v>
      </x:c>
      <x:c r="L392" t="str">
        <x:f>IF(RAND()&lt;(('Team_Info'!$E$2-COUNTIF($B392:K392,"W"))/('Team_Info'!$E$4-10)),"W","B")</x:f>
        <x:v>W</x:v>
      </x:c>
      <x:c r="M392" t="str">
        <x:f>IF(RAND()&lt;(('Team_Info'!$E$2-COUNTIF($B392:L392,"W"))/('Team_Info'!$E$4-11)),"W","B")</x:f>
        <x:v>B</x:v>
      </x:c>
      <x:c r="N392" t="str">
        <x:f>IF(RAND()&lt;(('Team_Info'!$E$2-COUNTIF($B392:M392,"W"))/('Team_Info'!$E$4-12)),"W","B")</x:f>
        <x:v>B</x:v>
      </x:c>
      <x:c r="O392" t="str">
        <x:f>IF(RAND()&lt;(('Team_Info'!$E$2-COUNTIF($B392:N392,"W"))/('Team_Info'!$E$4-13)),"W","B")</x:f>
        <x:v>B</x:v>
      </x:c>
      <x:c r="P392" t="str">
        <x:f>IF(RAND()&lt;(('Team_Info'!$E$2-COUNTIF($B392:O392,"W"))/('Team_Info'!$E$4-14)),"W","B")</x:f>
        <x:v>B</x:v>
      </x:c>
      <x:c r="Q392" t="str">
        <x:f>IF(RAND()&lt;(('Team_Info'!$E$2-COUNTIF($B392:P392,"W"))/('Team_Info'!$E$4-15)),"W","B")</x:f>
        <x:v>W</x:v>
      </x:c>
      <x:c r="R392" t="str">
        <x:f>IF(RAND()&lt;(('Team_Info'!$E$2-COUNTIF($B392:Q392,"W"))/('Team_Info'!$E$4-16)),"W","B")</x:f>
        <x:v>W</x:v>
      </x:c>
      <x:c r="S392" t="str">
        <x:f>IF(RAND()&lt;(('Team_Info'!$E$2-COUNTIF($B392:R392,"W"))/('Team_Info'!$E$4-17)),"W","B")</x:f>
        <x:v>W</x:v>
      </x:c>
      <x:c r="T392" t="str">
        <x:f>IF(RAND()&lt;(('Team_Info'!$E$2-COUNTIF($B392:S392,"W"))/('Team_Info'!$E$4-18)),"W","B")</x:f>
        <x:v>B</x:v>
      </x:c>
      <x:c r="U392" t="str">
        <x:f>IF(RAND()&lt;(('Team_Info'!$E$2-COUNTIF($B392:T392,"W"))/('Team_Info'!$E$4-19)),"W","B")</x:f>
        <x:v>B</x:v>
      </x:c>
    </x:row>
    <x:row r="393">
      <x:c r="A393" s="1">
        <x:v>392</x:v>
      </x:c>
      <x:c r="B393" t="str">
        <x:f>IF(RAND()&lt;'Team_Info'!$E$5,"W","B")</x:f>
        <x:v>B</x:v>
      </x:c>
      <x:c r="C393" t="str">
        <x:f>IF(RAND()&lt;(('Team_Info'!$E$2-COUNTIF($B393:B393,"W"))/('Team_Info'!$E$4-1)),"W","B")</x:f>
        <x:v>W</x:v>
      </x:c>
      <x:c r="D393" t="str">
        <x:f>IF(RAND()&lt;(('Team_Info'!$E$2-COUNTIF($B393:C393,"W"))/('Team_Info'!$E$4-2)),"W","B")</x:f>
        <x:v>B</x:v>
      </x:c>
      <x:c r="E393" t="str">
        <x:f>IF(RAND()&lt;(('Team_Info'!$E$2-COUNTIF($B393:D393,"W"))/('Team_Info'!$E$4-3)),"W","B")</x:f>
        <x:v>W</x:v>
      </x:c>
      <x:c r="F393" t="str">
        <x:f>IF(RAND()&lt;(('Team_Info'!$E$2-COUNTIF($B393:E393,"W"))/('Team_Info'!$E$4-4)),"W","B")</x:f>
        <x:v>B</x:v>
      </x:c>
      <x:c r="G393" t="str">
        <x:f>IF(RAND()&lt;(('Team_Info'!$E$2-COUNTIF($B393:F393,"W"))/('Team_Info'!$E$4-5)),"W","B")</x:f>
        <x:v>B</x:v>
      </x:c>
      <x:c r="H393" t="str">
        <x:f>IF(RAND()&lt;(('Team_Info'!$E$2-COUNTIF($B393:G393,"W"))/('Team_Info'!$E$4-6)),"W","B")</x:f>
        <x:v>B</x:v>
      </x:c>
      <x:c r="I393" t="str">
        <x:f>IF(RAND()&lt;(('Team_Info'!$E$2-COUNTIF($B393:H393,"W"))/('Team_Info'!$E$4-7)),"W","B")</x:f>
        <x:v>W</x:v>
      </x:c>
      <x:c r="J393" t="str">
        <x:f>IF(RAND()&lt;(('Team_Info'!$E$2-COUNTIF($B393:I393,"W"))/('Team_Info'!$E$4-8)),"W","B")</x:f>
        <x:v>B</x:v>
      </x:c>
      <x:c r="K393" t="str">
        <x:f>IF(RAND()&lt;(('Team_Info'!$E$2-COUNTIF($B393:J393,"W"))/('Team_Info'!$E$4-9)),"W","B")</x:f>
        <x:v>B</x:v>
      </x:c>
      <x:c r="L393" t="str">
        <x:f>IF(RAND()&lt;(('Team_Info'!$E$2-COUNTIF($B393:K393,"W"))/('Team_Info'!$E$4-10)),"W","B")</x:f>
        <x:v>W</x:v>
      </x:c>
      <x:c r="M393" t="str">
        <x:f>IF(RAND()&lt;(('Team_Info'!$E$2-COUNTIF($B393:L393,"W"))/('Team_Info'!$E$4-11)),"W","B")</x:f>
        <x:v>B</x:v>
      </x:c>
      <x:c r="N393" t="str">
        <x:f>IF(RAND()&lt;(('Team_Info'!$E$2-COUNTIF($B393:M393,"W"))/('Team_Info'!$E$4-12)),"W","B")</x:f>
        <x:v>B</x:v>
      </x:c>
      <x:c r="O393" t="str">
        <x:f>IF(RAND()&lt;(('Team_Info'!$E$2-COUNTIF($B393:N393,"W"))/('Team_Info'!$E$4-13)),"W","B")</x:f>
        <x:v>W</x:v>
      </x:c>
      <x:c r="P393" t="str">
        <x:f>IF(RAND()&lt;(('Team_Info'!$E$2-COUNTIF($B393:O393,"W"))/('Team_Info'!$E$4-14)),"W","B")</x:f>
        <x:v>W</x:v>
      </x:c>
      <x:c r="Q393" t="str">
        <x:f>IF(RAND()&lt;(('Team_Info'!$E$2-COUNTIF($B393:P393,"W"))/('Team_Info'!$E$4-15)),"W","B")</x:f>
        <x:v>W</x:v>
      </x:c>
      <x:c r="R393" t="str">
        <x:f>IF(RAND()&lt;(('Team_Info'!$E$2-COUNTIF($B393:Q393,"W"))/('Team_Info'!$E$4-16)),"W","B")</x:f>
        <x:v>W</x:v>
      </x:c>
      <x:c r="S393" t="str">
        <x:f>IF(RAND()&lt;(('Team_Info'!$E$2-COUNTIF($B393:R393,"W"))/('Team_Info'!$E$4-17)),"W","B")</x:f>
        <x:v>W</x:v>
      </x:c>
      <x:c r="T393" t="str">
        <x:f>IF(RAND()&lt;(('Team_Info'!$E$2-COUNTIF($B393:S393,"W"))/('Team_Info'!$E$4-18)),"W","B")</x:f>
        <x:v>W</x:v>
      </x:c>
      <x:c r="U393" t="str">
        <x:f>IF(RAND()&lt;(('Team_Info'!$E$2-COUNTIF($B393:T393,"W"))/('Team_Info'!$E$4-19)),"W","B")</x:f>
        <x:v>W</x:v>
      </x:c>
    </x:row>
    <x:row r="394">
      <x:c r="A394" s="1">
        <x:v>393</x:v>
      </x:c>
      <x:c r="B394" t="str">
        <x:f>IF(RAND()&lt;'Team_Info'!$E$5,"W","B")</x:f>
        <x:v>B</x:v>
      </x:c>
      <x:c r="C394" t="str">
        <x:f>IF(RAND()&lt;(('Team_Info'!$E$2-COUNTIF($B394:B394,"W"))/('Team_Info'!$E$4-1)),"W","B")</x:f>
        <x:v>B</x:v>
      </x:c>
      <x:c r="D394" t="str">
        <x:f>IF(RAND()&lt;(('Team_Info'!$E$2-COUNTIF($B394:C394,"W"))/('Team_Info'!$E$4-2)),"W","B")</x:f>
        <x:v>W</x:v>
      </x:c>
      <x:c r="E394" t="str">
        <x:f>IF(RAND()&lt;(('Team_Info'!$E$2-COUNTIF($B394:D394,"W"))/('Team_Info'!$E$4-3)),"W","B")</x:f>
        <x:v>W</x:v>
      </x:c>
      <x:c r="F394" t="str">
        <x:f>IF(RAND()&lt;(('Team_Info'!$E$2-COUNTIF($B394:E394,"W"))/('Team_Info'!$E$4-4)),"W","B")</x:f>
        <x:v>B</x:v>
      </x:c>
      <x:c r="G394" t="str">
        <x:f>IF(RAND()&lt;(('Team_Info'!$E$2-COUNTIF($B394:F394,"W"))/('Team_Info'!$E$4-5)),"W","B")</x:f>
        <x:v>B</x:v>
      </x:c>
      <x:c r="H394" t="str">
        <x:f>IF(RAND()&lt;(('Team_Info'!$E$2-COUNTIF($B394:G394,"W"))/('Team_Info'!$E$4-6)),"W","B")</x:f>
        <x:v>B</x:v>
      </x:c>
      <x:c r="I394" t="str">
        <x:f>IF(RAND()&lt;(('Team_Info'!$E$2-COUNTIF($B394:H394,"W"))/('Team_Info'!$E$4-7)),"W","B")</x:f>
        <x:v>B</x:v>
      </x:c>
      <x:c r="J394" t="str">
        <x:f>IF(RAND()&lt;(('Team_Info'!$E$2-COUNTIF($B394:I394,"W"))/('Team_Info'!$E$4-8)),"W","B")</x:f>
        <x:v>B</x:v>
      </x:c>
      <x:c r="K394" t="str">
        <x:f>IF(RAND()&lt;(('Team_Info'!$E$2-COUNTIF($B394:J394,"W"))/('Team_Info'!$E$4-9)),"W","B")</x:f>
        <x:v>B</x:v>
      </x:c>
      <x:c r="L394" t="str">
        <x:f>IF(RAND()&lt;(('Team_Info'!$E$2-COUNTIF($B394:K394,"W"))/('Team_Info'!$E$4-10)),"W","B")</x:f>
        <x:v>B</x:v>
      </x:c>
      <x:c r="M394" t="str">
        <x:f>IF(RAND()&lt;(('Team_Info'!$E$2-COUNTIF($B394:L394,"W"))/('Team_Info'!$E$4-11)),"W","B")</x:f>
        <x:v>B</x:v>
      </x:c>
      <x:c r="N394" t="str">
        <x:f>IF(RAND()&lt;(('Team_Info'!$E$2-COUNTIF($B394:M394,"W"))/('Team_Info'!$E$4-12)),"W","B")</x:f>
        <x:v>W</x:v>
      </x:c>
      <x:c r="O394" t="str">
        <x:f>IF(RAND()&lt;(('Team_Info'!$E$2-COUNTIF($B394:N394,"W"))/('Team_Info'!$E$4-13)),"W","B")</x:f>
        <x:v>W</x:v>
      </x:c>
      <x:c r="P394" t="str">
        <x:f>IF(RAND()&lt;(('Team_Info'!$E$2-COUNTIF($B394:O394,"W"))/('Team_Info'!$E$4-14)),"W","B")</x:f>
        <x:v>B</x:v>
      </x:c>
      <x:c r="Q394" t="str">
        <x:f>IF(RAND()&lt;(('Team_Info'!$E$2-COUNTIF($B394:P394,"W"))/('Team_Info'!$E$4-15)),"W","B")</x:f>
        <x:v>B</x:v>
      </x:c>
      <x:c r="R394" t="str">
        <x:f>IF(RAND()&lt;(('Team_Info'!$E$2-COUNTIF($B394:Q394,"W"))/('Team_Info'!$E$4-16)),"W","B")</x:f>
        <x:v>W</x:v>
      </x:c>
      <x:c r="S394" t="str">
        <x:f>IF(RAND()&lt;(('Team_Info'!$E$2-COUNTIF($B394:R394,"W"))/('Team_Info'!$E$4-17)),"W","B")</x:f>
        <x:v>B</x:v>
      </x:c>
      <x:c r="T394" t="str">
        <x:f>IF(RAND()&lt;(('Team_Info'!$E$2-COUNTIF($B394:S394,"W"))/('Team_Info'!$E$4-18)),"W","B")</x:f>
        <x:v>B</x:v>
      </x:c>
      <x:c r="U394" t="str">
        <x:f>IF(RAND()&lt;(('Team_Info'!$E$2-COUNTIF($B394:T394,"W"))/('Team_Info'!$E$4-19)),"W","B")</x:f>
        <x:v>W</x:v>
      </x:c>
    </x:row>
    <x:row r="395">
      <x:c r="A395" s="1">
        <x:v>394</x:v>
      </x:c>
      <x:c r="B395" t="str">
        <x:f>IF(RAND()&lt;'Team_Info'!$E$5,"W","B")</x:f>
        <x:v>B</x:v>
      </x:c>
      <x:c r="C395" t="str">
        <x:f>IF(RAND()&lt;(('Team_Info'!$E$2-COUNTIF($B395:B395,"W"))/('Team_Info'!$E$4-1)),"W","B")</x:f>
        <x:v>B</x:v>
      </x:c>
      <x:c r="D395" t="str">
        <x:f>IF(RAND()&lt;(('Team_Info'!$E$2-COUNTIF($B395:C395,"W"))/('Team_Info'!$E$4-2)),"W","B")</x:f>
        <x:v>B</x:v>
      </x:c>
      <x:c r="E395" t="str">
        <x:f>IF(RAND()&lt;(('Team_Info'!$E$2-COUNTIF($B395:D395,"W"))/('Team_Info'!$E$4-3)),"W","B")</x:f>
        <x:v>B</x:v>
      </x:c>
      <x:c r="F395" t="str">
        <x:f>IF(RAND()&lt;(('Team_Info'!$E$2-COUNTIF($B395:E395,"W"))/('Team_Info'!$E$4-4)),"W","B")</x:f>
        <x:v>W</x:v>
      </x:c>
      <x:c r="G395" t="str">
        <x:f>IF(RAND()&lt;(('Team_Info'!$E$2-COUNTIF($B395:F395,"W"))/('Team_Info'!$E$4-5)),"W","B")</x:f>
        <x:v>W</x:v>
      </x:c>
      <x:c r="H395" t="str">
        <x:f>IF(RAND()&lt;(('Team_Info'!$E$2-COUNTIF($B395:G395,"W"))/('Team_Info'!$E$4-6)),"W","B")</x:f>
        <x:v>W</x:v>
      </x:c>
      <x:c r="I395" t="str">
        <x:f>IF(RAND()&lt;(('Team_Info'!$E$2-COUNTIF($B395:H395,"W"))/('Team_Info'!$E$4-7)),"W","B")</x:f>
        <x:v>B</x:v>
      </x:c>
      <x:c r="J395" t="str">
        <x:f>IF(RAND()&lt;(('Team_Info'!$E$2-COUNTIF($B395:I395,"W"))/('Team_Info'!$E$4-8)),"W","B")</x:f>
        <x:v>W</x:v>
      </x:c>
      <x:c r="K395" t="str">
        <x:f>IF(RAND()&lt;(('Team_Info'!$E$2-COUNTIF($B395:J395,"W"))/('Team_Info'!$E$4-9)),"W","B")</x:f>
        <x:v>B</x:v>
      </x:c>
      <x:c r="L395" t="str">
        <x:f>IF(RAND()&lt;(('Team_Info'!$E$2-COUNTIF($B395:K395,"W"))/('Team_Info'!$E$4-10)),"W","B")</x:f>
        <x:v>W</x:v>
      </x:c>
      <x:c r="M395" t="str">
        <x:f>IF(RAND()&lt;(('Team_Info'!$E$2-COUNTIF($B395:L395,"W"))/('Team_Info'!$E$4-11)),"W","B")</x:f>
        <x:v>B</x:v>
      </x:c>
      <x:c r="N395" t="str">
        <x:f>IF(RAND()&lt;(('Team_Info'!$E$2-COUNTIF($B395:M395,"W"))/('Team_Info'!$E$4-12)),"W","B")</x:f>
        <x:v>B</x:v>
      </x:c>
      <x:c r="O395" t="str">
        <x:f>IF(RAND()&lt;(('Team_Info'!$E$2-COUNTIF($B395:N395,"W"))/('Team_Info'!$E$4-13)),"W","B")</x:f>
        <x:v>W</x:v>
      </x:c>
      <x:c r="P395" t="str">
        <x:f>IF(RAND()&lt;(('Team_Info'!$E$2-COUNTIF($B395:O395,"W"))/('Team_Info'!$E$4-14)),"W","B")</x:f>
        <x:v>B</x:v>
      </x:c>
      <x:c r="Q395" t="str">
        <x:f>IF(RAND()&lt;(('Team_Info'!$E$2-COUNTIF($B395:P395,"W"))/('Team_Info'!$E$4-15)),"W","B")</x:f>
        <x:v>B</x:v>
      </x:c>
      <x:c r="R395" t="str">
        <x:f>IF(RAND()&lt;(('Team_Info'!$E$2-COUNTIF($B395:Q395,"W"))/('Team_Info'!$E$4-16)),"W","B")</x:f>
        <x:v>B</x:v>
      </x:c>
      <x:c r="S395" t="str">
        <x:f>IF(RAND()&lt;(('Team_Info'!$E$2-COUNTIF($B395:R395,"W"))/('Team_Info'!$E$4-17)),"W","B")</x:f>
        <x:v>B</x:v>
      </x:c>
      <x:c r="T395" t="str">
        <x:f>IF(RAND()&lt;(('Team_Info'!$E$2-COUNTIF($B395:S395,"W"))/('Team_Info'!$E$4-18)),"W","B")</x:f>
        <x:v>W</x:v>
      </x:c>
      <x:c r="U395" t="str">
        <x:f>IF(RAND()&lt;(('Team_Info'!$E$2-COUNTIF($B395:T395,"W"))/('Team_Info'!$E$4-19)),"W","B")</x:f>
        <x:v>B</x:v>
      </x:c>
    </x:row>
    <x:row r="396">
      <x:c r="A396" s="1">
        <x:v>395</x:v>
      </x:c>
      <x:c r="B396" t="str">
        <x:f>IF(RAND()&lt;'Team_Info'!$E$5,"W","B")</x:f>
        <x:v>B</x:v>
      </x:c>
      <x:c r="C396" t="str">
        <x:f>IF(RAND()&lt;(('Team_Info'!$E$2-COUNTIF($B396:B396,"W"))/('Team_Info'!$E$4-1)),"W","B")</x:f>
        <x:v>B</x:v>
      </x:c>
      <x:c r="D396" t="str">
        <x:f>IF(RAND()&lt;(('Team_Info'!$E$2-COUNTIF($B396:C396,"W"))/('Team_Info'!$E$4-2)),"W","B")</x:f>
        <x:v>W</x:v>
      </x:c>
      <x:c r="E396" t="str">
        <x:f>IF(RAND()&lt;(('Team_Info'!$E$2-COUNTIF($B396:D396,"W"))/('Team_Info'!$E$4-3)),"W","B")</x:f>
        <x:v>W</x:v>
      </x:c>
      <x:c r="F396" t="str">
        <x:f>IF(RAND()&lt;(('Team_Info'!$E$2-COUNTIF($B396:E396,"W"))/('Team_Info'!$E$4-4)),"W","B")</x:f>
        <x:v>W</x:v>
      </x:c>
      <x:c r="G396" t="str">
        <x:f>IF(RAND()&lt;(('Team_Info'!$E$2-COUNTIF($B396:F396,"W"))/('Team_Info'!$E$4-5)),"W","B")</x:f>
        <x:v>W</x:v>
      </x:c>
      <x:c r="H396" t="str">
        <x:f>IF(RAND()&lt;(('Team_Info'!$E$2-COUNTIF($B396:G396,"W"))/('Team_Info'!$E$4-6)),"W","B")</x:f>
        <x:v>B</x:v>
      </x:c>
      <x:c r="I396" t="str">
        <x:f>IF(RAND()&lt;(('Team_Info'!$E$2-COUNTIF($B396:H396,"W"))/('Team_Info'!$E$4-7)),"W","B")</x:f>
        <x:v>W</x:v>
      </x:c>
      <x:c r="J396" t="str">
        <x:f>IF(RAND()&lt;(('Team_Info'!$E$2-COUNTIF($B396:I396,"W"))/('Team_Info'!$E$4-8)),"W","B")</x:f>
        <x:v>W</x:v>
      </x:c>
      <x:c r="K396" t="str">
        <x:f>IF(RAND()&lt;(('Team_Info'!$E$2-COUNTIF($B396:J396,"W"))/('Team_Info'!$E$4-9)),"W","B")</x:f>
        <x:v>B</x:v>
      </x:c>
      <x:c r="L396" t="str">
        <x:f>IF(RAND()&lt;(('Team_Info'!$E$2-COUNTIF($B396:K396,"W"))/('Team_Info'!$E$4-10)),"W","B")</x:f>
        <x:v>B</x:v>
      </x:c>
      <x:c r="M396" t="str">
        <x:f>IF(RAND()&lt;(('Team_Info'!$E$2-COUNTIF($B396:L396,"W"))/('Team_Info'!$E$4-11)),"W","B")</x:f>
        <x:v>W</x:v>
      </x:c>
      <x:c r="N396" t="str">
        <x:f>IF(RAND()&lt;(('Team_Info'!$E$2-COUNTIF($B396:M396,"W"))/('Team_Info'!$E$4-12)),"W","B")</x:f>
        <x:v>W</x:v>
      </x:c>
      <x:c r="O396" t="str">
        <x:f>IF(RAND()&lt;(('Team_Info'!$E$2-COUNTIF($B396:N396,"W"))/('Team_Info'!$E$4-13)),"W","B")</x:f>
        <x:v>B</x:v>
      </x:c>
      <x:c r="P396" t="str">
        <x:f>IF(RAND()&lt;(('Team_Info'!$E$2-COUNTIF($B396:O396,"W"))/('Team_Info'!$E$4-14)),"W","B")</x:f>
        <x:v>W</x:v>
      </x:c>
      <x:c r="Q396" t="str">
        <x:f>IF(RAND()&lt;(('Team_Info'!$E$2-COUNTIF($B396:P396,"W"))/('Team_Info'!$E$4-15)),"W","B")</x:f>
        <x:v>B</x:v>
      </x:c>
      <x:c r="R396" t="str">
        <x:f>IF(RAND()&lt;(('Team_Info'!$E$2-COUNTIF($B396:Q396,"W"))/('Team_Info'!$E$4-16)),"W","B")</x:f>
        <x:v>W</x:v>
      </x:c>
      <x:c r="S396" t="str">
        <x:f>IF(RAND()&lt;(('Team_Info'!$E$2-COUNTIF($B396:R396,"W"))/('Team_Info'!$E$4-17)),"W","B")</x:f>
        <x:v>B</x:v>
      </x:c>
      <x:c r="T396" t="str">
        <x:f>IF(RAND()&lt;(('Team_Info'!$E$2-COUNTIF($B396:S396,"W"))/('Team_Info'!$E$4-18)),"W","B")</x:f>
        <x:v>B</x:v>
      </x:c>
      <x:c r="U396" t="str">
        <x:f>IF(RAND()&lt;(('Team_Info'!$E$2-COUNTIF($B396:T396,"W"))/('Team_Info'!$E$4-19)),"W","B")</x:f>
        <x:v>W</x:v>
      </x:c>
    </x:row>
    <x:row r="397">
      <x:c r="A397" s="1">
        <x:v>396</x:v>
      </x:c>
      <x:c r="B397" t="str">
        <x:f>IF(RAND()&lt;'Team_Info'!$E$5,"W","B")</x:f>
        <x:v>B</x:v>
      </x:c>
      <x:c r="C397" t="str">
        <x:f>IF(RAND()&lt;(('Team_Info'!$E$2-COUNTIF($B397:B397,"W"))/('Team_Info'!$E$4-1)),"W","B")</x:f>
        <x:v>B</x:v>
      </x:c>
      <x:c r="D397" t="str">
        <x:f>IF(RAND()&lt;(('Team_Info'!$E$2-COUNTIF($B397:C397,"W"))/('Team_Info'!$E$4-2)),"W","B")</x:f>
        <x:v>W</x:v>
      </x:c>
      <x:c r="E397" t="str">
        <x:f>IF(RAND()&lt;(('Team_Info'!$E$2-COUNTIF($B397:D397,"W"))/('Team_Info'!$E$4-3)),"W","B")</x:f>
        <x:v>B</x:v>
      </x:c>
      <x:c r="F397" t="str">
        <x:f>IF(RAND()&lt;(('Team_Info'!$E$2-COUNTIF($B397:E397,"W"))/('Team_Info'!$E$4-4)),"W","B")</x:f>
        <x:v>W</x:v>
      </x:c>
      <x:c r="G397" t="str">
        <x:f>IF(RAND()&lt;(('Team_Info'!$E$2-COUNTIF($B397:F397,"W"))/('Team_Info'!$E$4-5)),"W","B")</x:f>
        <x:v>W</x:v>
      </x:c>
      <x:c r="H397" t="str">
        <x:f>IF(RAND()&lt;(('Team_Info'!$E$2-COUNTIF($B397:G397,"W"))/('Team_Info'!$E$4-6)),"W","B")</x:f>
        <x:v>B</x:v>
      </x:c>
      <x:c r="I397" t="str">
        <x:f>IF(RAND()&lt;(('Team_Info'!$E$2-COUNTIF($B397:H397,"W"))/('Team_Info'!$E$4-7)),"W","B")</x:f>
        <x:v>B</x:v>
      </x:c>
      <x:c r="J397" t="str">
        <x:f>IF(RAND()&lt;(('Team_Info'!$E$2-COUNTIF($B397:I397,"W"))/('Team_Info'!$E$4-8)),"W","B")</x:f>
        <x:v>W</x:v>
      </x:c>
      <x:c r="K397" t="str">
        <x:f>IF(RAND()&lt;(('Team_Info'!$E$2-COUNTIF($B397:J397,"W"))/('Team_Info'!$E$4-9)),"W","B")</x:f>
        <x:v>B</x:v>
      </x:c>
      <x:c r="L397" t="str">
        <x:f>IF(RAND()&lt;(('Team_Info'!$E$2-COUNTIF($B397:K397,"W"))/('Team_Info'!$E$4-10)),"W","B")</x:f>
        <x:v>W</x:v>
      </x:c>
      <x:c r="M397" t="str">
        <x:f>IF(RAND()&lt;(('Team_Info'!$E$2-COUNTIF($B397:L397,"W"))/('Team_Info'!$E$4-11)),"W","B")</x:f>
        <x:v>B</x:v>
      </x:c>
      <x:c r="N397" t="str">
        <x:f>IF(RAND()&lt;(('Team_Info'!$E$2-COUNTIF($B397:M397,"W"))/('Team_Info'!$E$4-12)),"W","B")</x:f>
        <x:v>W</x:v>
      </x:c>
      <x:c r="O397" t="str">
        <x:f>IF(RAND()&lt;(('Team_Info'!$E$2-COUNTIF($B397:N397,"W"))/('Team_Info'!$E$4-13)),"W","B")</x:f>
        <x:v>B</x:v>
      </x:c>
      <x:c r="P397" t="str">
        <x:f>IF(RAND()&lt;(('Team_Info'!$E$2-COUNTIF($B397:O397,"W"))/('Team_Info'!$E$4-14)),"W","B")</x:f>
        <x:v>B</x:v>
      </x:c>
      <x:c r="Q397" t="str">
        <x:f>IF(RAND()&lt;(('Team_Info'!$E$2-COUNTIF($B397:P397,"W"))/('Team_Info'!$E$4-15)),"W","B")</x:f>
        <x:v>B</x:v>
      </x:c>
      <x:c r="R397" t="str">
        <x:f>IF(RAND()&lt;(('Team_Info'!$E$2-COUNTIF($B397:Q397,"W"))/('Team_Info'!$E$4-16)),"W","B")</x:f>
        <x:v>B</x:v>
      </x:c>
      <x:c r="S397" t="str">
        <x:f>IF(RAND()&lt;(('Team_Info'!$E$2-COUNTIF($B397:R397,"W"))/('Team_Info'!$E$4-17)),"W","B")</x:f>
        <x:v>W</x:v>
      </x:c>
      <x:c r="T397" t="str">
        <x:f>IF(RAND()&lt;(('Team_Info'!$E$2-COUNTIF($B397:S397,"W"))/('Team_Info'!$E$4-18)),"W","B")</x:f>
        <x:v>W</x:v>
      </x:c>
      <x:c r="U397" t="str">
        <x:f>IF(RAND()&lt;(('Team_Info'!$E$2-COUNTIF($B397:T397,"W"))/('Team_Info'!$E$4-19)),"W","B")</x:f>
        <x:v>W</x:v>
      </x:c>
    </x:row>
    <x:row r="398">
      <x:c r="A398" s="1">
        <x:v>397</x:v>
      </x:c>
      <x:c r="B398" t="str">
        <x:f>IF(RAND()&lt;'Team_Info'!$E$5,"W","B")</x:f>
        <x:v>B</x:v>
      </x:c>
      <x:c r="C398" t="str">
        <x:f>IF(RAND()&lt;(('Team_Info'!$E$2-COUNTIF($B398:B398,"W"))/('Team_Info'!$E$4-1)),"W","B")</x:f>
        <x:v>B</x:v>
      </x:c>
      <x:c r="D398" t="str">
        <x:f>IF(RAND()&lt;(('Team_Info'!$E$2-COUNTIF($B398:C398,"W"))/('Team_Info'!$E$4-2)),"W","B")</x:f>
        <x:v>B</x:v>
      </x:c>
      <x:c r="E398" t="str">
        <x:f>IF(RAND()&lt;(('Team_Info'!$E$2-COUNTIF($B398:D398,"W"))/('Team_Info'!$E$4-3)),"W","B")</x:f>
        <x:v>B</x:v>
      </x:c>
      <x:c r="F398" t="str">
        <x:f>IF(RAND()&lt;(('Team_Info'!$E$2-COUNTIF($B398:E398,"W"))/('Team_Info'!$E$4-4)),"W","B")</x:f>
        <x:v>B</x:v>
      </x:c>
      <x:c r="G398" t="str">
        <x:f>IF(RAND()&lt;(('Team_Info'!$E$2-COUNTIF($B398:F398,"W"))/('Team_Info'!$E$4-5)),"W","B")</x:f>
        <x:v>B</x:v>
      </x:c>
      <x:c r="H398" t="str">
        <x:f>IF(RAND()&lt;(('Team_Info'!$E$2-COUNTIF($B398:G398,"W"))/('Team_Info'!$E$4-6)),"W","B")</x:f>
        <x:v>B</x:v>
      </x:c>
      <x:c r="I398" t="str">
        <x:f>IF(RAND()&lt;(('Team_Info'!$E$2-COUNTIF($B398:H398,"W"))/('Team_Info'!$E$4-7)),"W","B")</x:f>
        <x:v>B</x:v>
      </x:c>
      <x:c r="J398" t="str">
        <x:f>IF(RAND()&lt;(('Team_Info'!$E$2-COUNTIF($B398:I398,"W"))/('Team_Info'!$E$4-8)),"W","B")</x:f>
        <x:v>W</x:v>
      </x:c>
      <x:c r="K398" t="str">
        <x:f>IF(RAND()&lt;(('Team_Info'!$E$2-COUNTIF($B398:J398,"W"))/('Team_Info'!$E$4-9)),"W","B")</x:f>
        <x:v>W</x:v>
      </x:c>
      <x:c r="L398" t="str">
        <x:f>IF(RAND()&lt;(('Team_Info'!$E$2-COUNTIF($B398:K398,"W"))/('Team_Info'!$E$4-10)),"W","B")</x:f>
        <x:v>W</x:v>
      </x:c>
      <x:c r="M398" t="str">
        <x:f>IF(RAND()&lt;(('Team_Info'!$E$2-COUNTIF($B398:L398,"W"))/('Team_Info'!$E$4-11)),"W","B")</x:f>
        <x:v>B</x:v>
      </x:c>
      <x:c r="N398" t="str">
        <x:f>IF(RAND()&lt;(('Team_Info'!$E$2-COUNTIF($B398:M398,"W"))/('Team_Info'!$E$4-12)),"W","B")</x:f>
        <x:v>W</x:v>
      </x:c>
      <x:c r="O398" t="str">
        <x:f>IF(RAND()&lt;(('Team_Info'!$E$2-COUNTIF($B398:N398,"W"))/('Team_Info'!$E$4-13)),"W","B")</x:f>
        <x:v>B</x:v>
      </x:c>
      <x:c r="P398" t="str">
        <x:f>IF(RAND()&lt;(('Team_Info'!$E$2-COUNTIF($B398:O398,"W"))/('Team_Info'!$E$4-14)),"W","B")</x:f>
        <x:v>B</x:v>
      </x:c>
      <x:c r="Q398" t="str">
        <x:f>IF(RAND()&lt;(('Team_Info'!$E$2-COUNTIF($B398:P398,"W"))/('Team_Info'!$E$4-15)),"W","B")</x:f>
        <x:v>B</x:v>
      </x:c>
      <x:c r="R398" t="str">
        <x:f>IF(RAND()&lt;(('Team_Info'!$E$2-COUNTIF($B398:Q398,"W"))/('Team_Info'!$E$4-16)),"W","B")</x:f>
        <x:v>W</x:v>
      </x:c>
      <x:c r="S398" t="str">
        <x:f>IF(RAND()&lt;(('Team_Info'!$E$2-COUNTIF($B398:R398,"W"))/('Team_Info'!$E$4-17)),"W","B")</x:f>
        <x:v>B</x:v>
      </x:c>
      <x:c r="T398" t="str">
        <x:f>IF(RAND()&lt;(('Team_Info'!$E$2-COUNTIF($B398:S398,"W"))/('Team_Info'!$E$4-18)),"W","B")</x:f>
        <x:v>B</x:v>
      </x:c>
      <x:c r="U398" t="str">
        <x:f>IF(RAND()&lt;(('Team_Info'!$E$2-COUNTIF($B398:T398,"W"))/('Team_Info'!$E$4-19)),"W","B")</x:f>
        <x:v>W</x:v>
      </x:c>
    </x:row>
    <x:row r="399">
      <x:c r="A399" s="1">
        <x:v>398</x:v>
      </x:c>
      <x:c r="B399" t="str">
        <x:f>IF(RAND()&lt;'Team_Info'!$E$5,"W","B")</x:f>
        <x:v>W</x:v>
      </x:c>
      <x:c r="C399" t="str">
        <x:f>IF(RAND()&lt;(('Team_Info'!$E$2-COUNTIF($B399:B399,"W"))/('Team_Info'!$E$4-1)),"W","B")</x:f>
        <x:v>B</x:v>
      </x:c>
      <x:c r="D399" t="str">
        <x:f>IF(RAND()&lt;(('Team_Info'!$E$2-COUNTIF($B399:C399,"W"))/('Team_Info'!$E$4-2)),"W","B")</x:f>
        <x:v>B</x:v>
      </x:c>
      <x:c r="E399" t="str">
        <x:f>IF(RAND()&lt;(('Team_Info'!$E$2-COUNTIF($B399:D399,"W"))/('Team_Info'!$E$4-3)),"W","B")</x:f>
        <x:v>W</x:v>
      </x:c>
      <x:c r="F399" t="str">
        <x:f>IF(RAND()&lt;(('Team_Info'!$E$2-COUNTIF($B399:E399,"W"))/('Team_Info'!$E$4-4)),"W","B")</x:f>
        <x:v>W</x:v>
      </x:c>
      <x:c r="G399" t="str">
        <x:f>IF(RAND()&lt;(('Team_Info'!$E$2-COUNTIF($B399:F399,"W"))/('Team_Info'!$E$4-5)),"W","B")</x:f>
        <x:v>B</x:v>
      </x:c>
      <x:c r="H399" t="str">
        <x:f>IF(RAND()&lt;(('Team_Info'!$E$2-COUNTIF($B399:G399,"W"))/('Team_Info'!$E$4-6)),"W","B")</x:f>
        <x:v>B</x:v>
      </x:c>
      <x:c r="I399" t="str">
        <x:f>IF(RAND()&lt;(('Team_Info'!$E$2-COUNTIF($B399:H399,"W"))/('Team_Info'!$E$4-7)),"W","B")</x:f>
        <x:v>B</x:v>
      </x:c>
      <x:c r="J399" t="str">
        <x:f>IF(RAND()&lt;(('Team_Info'!$E$2-COUNTIF($B399:I399,"W"))/('Team_Info'!$E$4-8)),"W","B")</x:f>
        <x:v>B</x:v>
      </x:c>
      <x:c r="K399" t="str">
        <x:f>IF(RAND()&lt;(('Team_Info'!$E$2-COUNTIF($B399:J399,"W"))/('Team_Info'!$E$4-9)),"W","B")</x:f>
        <x:v>W</x:v>
      </x:c>
      <x:c r="L399" t="str">
        <x:f>IF(RAND()&lt;(('Team_Info'!$E$2-COUNTIF($B399:K399,"W"))/('Team_Info'!$E$4-10)),"W","B")</x:f>
        <x:v>W</x:v>
      </x:c>
      <x:c r="M399" t="str">
        <x:f>IF(RAND()&lt;(('Team_Info'!$E$2-COUNTIF($B399:L399,"W"))/('Team_Info'!$E$4-11)),"W","B")</x:f>
        <x:v>B</x:v>
      </x:c>
      <x:c r="N399" t="str">
        <x:f>IF(RAND()&lt;(('Team_Info'!$E$2-COUNTIF($B399:M399,"W"))/('Team_Info'!$E$4-12)),"W","B")</x:f>
        <x:v>W</x:v>
      </x:c>
      <x:c r="O399" t="str">
        <x:f>IF(RAND()&lt;(('Team_Info'!$E$2-COUNTIF($B399:N399,"W"))/('Team_Info'!$E$4-13)),"W","B")</x:f>
        <x:v>B</x:v>
      </x:c>
      <x:c r="P399" t="str">
        <x:f>IF(RAND()&lt;(('Team_Info'!$E$2-COUNTIF($B399:O399,"W"))/('Team_Info'!$E$4-14)),"W","B")</x:f>
        <x:v>W</x:v>
      </x:c>
      <x:c r="Q399" t="str">
        <x:f>IF(RAND()&lt;(('Team_Info'!$E$2-COUNTIF($B399:P399,"W"))/('Team_Info'!$E$4-15)),"W","B")</x:f>
        <x:v>W</x:v>
      </x:c>
      <x:c r="R399" t="str">
        <x:f>IF(RAND()&lt;(('Team_Info'!$E$2-COUNTIF($B399:Q399,"W"))/('Team_Info'!$E$4-16)),"W","B")</x:f>
        <x:v>W</x:v>
      </x:c>
      <x:c r="S399" t="str">
        <x:f>IF(RAND()&lt;(('Team_Info'!$E$2-COUNTIF($B399:R399,"W"))/('Team_Info'!$E$4-17)),"W","B")</x:f>
        <x:v>B</x:v>
      </x:c>
      <x:c r="T399" t="str">
        <x:f>IF(RAND()&lt;(('Team_Info'!$E$2-COUNTIF($B399:S399,"W"))/('Team_Info'!$E$4-18)),"W","B")</x:f>
        <x:v>W</x:v>
      </x:c>
      <x:c r="U399" t="str">
        <x:f>IF(RAND()&lt;(('Team_Info'!$E$2-COUNTIF($B399:T399,"W"))/('Team_Info'!$E$4-19)),"W","B")</x:f>
        <x:v>B</x:v>
      </x:c>
    </x:row>
    <x:row r="400">
      <x:c r="A400" s="1">
        <x:v>399</x:v>
      </x:c>
      <x:c r="B400" t="str">
        <x:f>IF(RAND()&lt;'Team_Info'!$E$5,"W","B")</x:f>
        <x:v>B</x:v>
      </x:c>
      <x:c r="C400" t="str">
        <x:f>IF(RAND()&lt;(('Team_Info'!$E$2-COUNTIF($B400:B400,"W"))/('Team_Info'!$E$4-1)),"W","B")</x:f>
        <x:v>B</x:v>
      </x:c>
      <x:c r="D400" t="str">
        <x:f>IF(RAND()&lt;(('Team_Info'!$E$2-COUNTIF($B400:C400,"W"))/('Team_Info'!$E$4-2)),"W","B")</x:f>
        <x:v>B</x:v>
      </x:c>
      <x:c r="E400" t="str">
        <x:f>IF(RAND()&lt;(('Team_Info'!$E$2-COUNTIF($B400:D400,"W"))/('Team_Info'!$E$4-3)),"W","B")</x:f>
        <x:v>B</x:v>
      </x:c>
      <x:c r="F400" t="str">
        <x:f>IF(RAND()&lt;(('Team_Info'!$E$2-COUNTIF($B400:E400,"W"))/('Team_Info'!$E$4-4)),"W","B")</x:f>
        <x:v>W</x:v>
      </x:c>
      <x:c r="G400" t="str">
        <x:f>IF(RAND()&lt;(('Team_Info'!$E$2-COUNTIF($B400:F400,"W"))/('Team_Info'!$E$4-5)),"W","B")</x:f>
        <x:v>B</x:v>
      </x:c>
      <x:c r="H400" t="str">
        <x:f>IF(RAND()&lt;(('Team_Info'!$E$2-COUNTIF($B400:G400,"W"))/('Team_Info'!$E$4-6)),"W","B")</x:f>
        <x:v>B</x:v>
      </x:c>
      <x:c r="I400" t="str">
        <x:f>IF(RAND()&lt;(('Team_Info'!$E$2-COUNTIF($B400:H400,"W"))/('Team_Info'!$E$4-7)),"W","B")</x:f>
        <x:v>W</x:v>
      </x:c>
      <x:c r="J400" t="str">
        <x:f>IF(RAND()&lt;(('Team_Info'!$E$2-COUNTIF($B400:I400,"W"))/('Team_Info'!$E$4-8)),"W","B")</x:f>
        <x:v>B</x:v>
      </x:c>
      <x:c r="K400" t="str">
        <x:f>IF(RAND()&lt;(('Team_Info'!$E$2-COUNTIF($B400:J400,"W"))/('Team_Info'!$E$4-9)),"W","B")</x:f>
        <x:v>B</x:v>
      </x:c>
      <x:c r="L400" t="str">
        <x:f>IF(RAND()&lt;(('Team_Info'!$E$2-COUNTIF($B400:K400,"W"))/('Team_Info'!$E$4-10)),"W","B")</x:f>
        <x:v>W</x:v>
      </x:c>
      <x:c r="M400" t="str">
        <x:f>IF(RAND()&lt;(('Team_Info'!$E$2-COUNTIF($B400:L400,"W"))/('Team_Info'!$E$4-11)),"W","B")</x:f>
        <x:v>B</x:v>
      </x:c>
      <x:c r="N400" t="str">
        <x:f>IF(RAND()&lt;(('Team_Info'!$E$2-COUNTIF($B400:M400,"W"))/('Team_Info'!$E$4-12)),"W","B")</x:f>
        <x:v>B</x:v>
      </x:c>
      <x:c r="O400" t="str">
        <x:f>IF(RAND()&lt;(('Team_Info'!$E$2-COUNTIF($B400:N400,"W"))/('Team_Info'!$E$4-13)),"W","B")</x:f>
        <x:v>B</x:v>
      </x:c>
      <x:c r="P400" t="str">
        <x:f>IF(RAND()&lt;(('Team_Info'!$E$2-COUNTIF($B400:O400,"W"))/('Team_Info'!$E$4-14)),"W","B")</x:f>
        <x:v>B</x:v>
      </x:c>
      <x:c r="Q400" t="str">
        <x:f>IF(RAND()&lt;(('Team_Info'!$E$2-COUNTIF($B400:P400,"W"))/('Team_Info'!$E$4-15)),"W","B")</x:f>
        <x:v>W</x:v>
      </x:c>
      <x:c r="R400" t="str">
        <x:f>IF(RAND()&lt;(('Team_Info'!$E$2-COUNTIF($B400:Q400,"W"))/('Team_Info'!$E$4-16)),"W","B")</x:f>
        <x:v>B</x:v>
      </x:c>
      <x:c r="S400" t="str">
        <x:f>IF(RAND()&lt;(('Team_Info'!$E$2-COUNTIF($B400:R400,"W"))/('Team_Info'!$E$4-17)),"W","B")</x:f>
        <x:v>B</x:v>
      </x:c>
      <x:c r="T400" t="str">
        <x:f>IF(RAND()&lt;(('Team_Info'!$E$2-COUNTIF($B400:S400,"W"))/('Team_Info'!$E$4-18)),"W","B")</x:f>
        <x:v>W</x:v>
      </x:c>
      <x:c r="U400" t="str">
        <x:f>IF(RAND()&lt;(('Team_Info'!$E$2-COUNTIF($B400:T400,"W"))/('Team_Info'!$E$4-19)),"W","B")</x:f>
        <x:v>B</x:v>
      </x:c>
    </x:row>
    <x:row r="401">
      <x:c r="A401" s="1">
        <x:v>400</x:v>
      </x:c>
      <x:c r="B401" t="str">
        <x:f>IF(RAND()&lt;'Team_Info'!$E$5,"W","B")</x:f>
        <x:v>B</x:v>
      </x:c>
      <x:c r="C401" t="str">
        <x:f>IF(RAND()&lt;(('Team_Info'!$E$2-COUNTIF($B401:B401,"W"))/('Team_Info'!$E$4-1)),"W","B")</x:f>
        <x:v>W</x:v>
      </x:c>
      <x:c r="D401" t="str">
        <x:f>IF(RAND()&lt;(('Team_Info'!$E$2-COUNTIF($B401:C401,"W"))/('Team_Info'!$E$4-2)),"W","B")</x:f>
        <x:v>B</x:v>
      </x:c>
      <x:c r="E401" t="str">
        <x:f>IF(RAND()&lt;(('Team_Info'!$E$2-COUNTIF($B401:D401,"W"))/('Team_Info'!$E$4-3)),"W","B")</x:f>
        <x:v>B</x:v>
      </x:c>
      <x:c r="F401" t="str">
        <x:f>IF(RAND()&lt;(('Team_Info'!$E$2-COUNTIF($B401:E401,"W"))/('Team_Info'!$E$4-4)),"W","B")</x:f>
        <x:v>W</x:v>
      </x:c>
      <x:c r="G401" t="str">
        <x:f>IF(RAND()&lt;(('Team_Info'!$E$2-COUNTIF($B401:F401,"W"))/('Team_Info'!$E$4-5)),"W","B")</x:f>
        <x:v>B</x:v>
      </x:c>
      <x:c r="H401" t="str">
        <x:f>IF(RAND()&lt;(('Team_Info'!$E$2-COUNTIF($B401:G401,"W"))/('Team_Info'!$E$4-6)),"W","B")</x:f>
        <x:v>W</x:v>
      </x:c>
      <x:c r="I401" t="str">
        <x:f>IF(RAND()&lt;(('Team_Info'!$E$2-COUNTIF($B401:H401,"W"))/('Team_Info'!$E$4-7)),"W","B")</x:f>
        <x:v>B</x:v>
      </x:c>
      <x:c r="J401" t="str">
        <x:f>IF(RAND()&lt;(('Team_Info'!$E$2-COUNTIF($B401:I401,"W"))/('Team_Info'!$E$4-8)),"W","B")</x:f>
        <x:v>B</x:v>
      </x:c>
      <x:c r="K401" t="str">
        <x:f>IF(RAND()&lt;(('Team_Info'!$E$2-COUNTIF($B401:J401,"W"))/('Team_Info'!$E$4-9)),"W","B")</x:f>
        <x:v>B</x:v>
      </x:c>
      <x:c r="L401" t="str">
        <x:f>IF(RAND()&lt;(('Team_Info'!$E$2-COUNTIF($B401:K401,"W"))/('Team_Info'!$E$4-10)),"W","B")</x:f>
        <x:v>B</x:v>
      </x:c>
      <x:c r="M401" t="str">
        <x:f>IF(RAND()&lt;(('Team_Info'!$E$2-COUNTIF($B401:L401,"W"))/('Team_Info'!$E$4-11)),"W","B")</x:f>
        <x:v>B</x:v>
      </x:c>
      <x:c r="N401" t="str">
        <x:f>IF(RAND()&lt;(('Team_Info'!$E$2-COUNTIF($B401:M401,"W"))/('Team_Info'!$E$4-12)),"W","B")</x:f>
        <x:v>B</x:v>
      </x:c>
      <x:c r="O401" t="str">
        <x:f>IF(RAND()&lt;(('Team_Info'!$E$2-COUNTIF($B401:N401,"W"))/('Team_Info'!$E$4-13)),"W","B")</x:f>
        <x:v>B</x:v>
      </x:c>
      <x:c r="P401" t="str">
        <x:f>IF(RAND()&lt;(('Team_Info'!$E$2-COUNTIF($B401:O401,"W"))/('Team_Info'!$E$4-14)),"W","B")</x:f>
        <x:v>B</x:v>
      </x:c>
      <x:c r="Q401" t="str">
        <x:f>IF(RAND()&lt;(('Team_Info'!$E$2-COUNTIF($B401:P401,"W"))/('Team_Info'!$E$4-15)),"W","B")</x:f>
        <x:v>B</x:v>
      </x:c>
      <x:c r="R401" t="str">
        <x:f>IF(RAND()&lt;(('Team_Info'!$E$2-COUNTIF($B401:Q401,"W"))/('Team_Info'!$E$4-16)),"W","B")</x:f>
        <x:v>B</x:v>
      </x:c>
      <x:c r="S401" t="str">
        <x:f>IF(RAND()&lt;(('Team_Info'!$E$2-COUNTIF($B401:R401,"W"))/('Team_Info'!$E$4-17)),"W","B")</x:f>
        <x:v>B</x:v>
      </x:c>
      <x:c r="T401" t="str">
        <x:f>IF(RAND()&lt;(('Team_Info'!$E$2-COUNTIF($B401:S401,"W"))/('Team_Info'!$E$4-18)),"W","B")</x:f>
        <x:v>W</x:v>
      </x:c>
      <x:c r="U401" t="str">
        <x:f>IF(RAND()&lt;(('Team_Info'!$E$2-COUNTIF($B401:T401,"W"))/('Team_Info'!$E$4-19)),"W","B")</x:f>
        <x:v>B</x:v>
      </x:c>
    </x:row>
    <x:row r="402">
      <x:c r="A402" s="1">
        <x:v>401</x:v>
      </x:c>
      <x:c r="B402" t="str">
        <x:f>IF(RAND()&lt;'Team_Info'!$E$5,"W","B")</x:f>
        <x:v>B</x:v>
      </x:c>
      <x:c r="C402" t="str">
        <x:f>IF(RAND()&lt;(('Team_Info'!$E$2-COUNTIF($B402:B402,"W"))/('Team_Info'!$E$4-1)),"W","B")</x:f>
        <x:v>B</x:v>
      </x:c>
      <x:c r="D402" t="str">
        <x:f>IF(RAND()&lt;(('Team_Info'!$E$2-COUNTIF($B402:C402,"W"))/('Team_Info'!$E$4-2)),"W","B")</x:f>
        <x:v>B</x:v>
      </x:c>
      <x:c r="E402" t="str">
        <x:f>IF(RAND()&lt;(('Team_Info'!$E$2-COUNTIF($B402:D402,"W"))/('Team_Info'!$E$4-3)),"W","B")</x:f>
        <x:v>B</x:v>
      </x:c>
      <x:c r="F402" t="str">
        <x:f>IF(RAND()&lt;(('Team_Info'!$E$2-COUNTIF($B402:E402,"W"))/('Team_Info'!$E$4-4)),"W","B")</x:f>
        <x:v>B</x:v>
      </x:c>
      <x:c r="G402" t="str">
        <x:f>IF(RAND()&lt;(('Team_Info'!$E$2-COUNTIF($B402:F402,"W"))/('Team_Info'!$E$4-5)),"W","B")</x:f>
        <x:v>B</x:v>
      </x:c>
      <x:c r="H402" t="str">
        <x:f>IF(RAND()&lt;(('Team_Info'!$E$2-COUNTIF($B402:G402,"W"))/('Team_Info'!$E$4-6)),"W","B")</x:f>
        <x:v>B</x:v>
      </x:c>
      <x:c r="I402" t="str">
        <x:f>IF(RAND()&lt;(('Team_Info'!$E$2-COUNTIF($B402:H402,"W"))/('Team_Info'!$E$4-7)),"W","B")</x:f>
        <x:v>W</x:v>
      </x:c>
      <x:c r="J402" t="str">
        <x:f>IF(RAND()&lt;(('Team_Info'!$E$2-COUNTIF($B402:I402,"W"))/('Team_Info'!$E$4-8)),"W","B")</x:f>
        <x:v>W</x:v>
      </x:c>
      <x:c r="K402" t="str">
        <x:f>IF(RAND()&lt;(('Team_Info'!$E$2-COUNTIF($B402:J402,"W"))/('Team_Info'!$E$4-9)),"W","B")</x:f>
        <x:v>W</x:v>
      </x:c>
      <x:c r="L402" t="str">
        <x:f>IF(RAND()&lt;(('Team_Info'!$E$2-COUNTIF($B402:K402,"W"))/('Team_Info'!$E$4-10)),"W","B")</x:f>
        <x:v>B</x:v>
      </x:c>
      <x:c r="M402" t="str">
        <x:f>IF(RAND()&lt;(('Team_Info'!$E$2-COUNTIF($B402:L402,"W"))/('Team_Info'!$E$4-11)),"W","B")</x:f>
        <x:v>W</x:v>
      </x:c>
      <x:c r="N402" t="str">
        <x:f>IF(RAND()&lt;(('Team_Info'!$E$2-COUNTIF($B402:M402,"W"))/('Team_Info'!$E$4-12)),"W","B")</x:f>
        <x:v>B</x:v>
      </x:c>
      <x:c r="O402" t="str">
        <x:f>IF(RAND()&lt;(('Team_Info'!$E$2-COUNTIF($B402:N402,"W"))/('Team_Info'!$E$4-13)),"W","B")</x:f>
        <x:v>W</x:v>
      </x:c>
      <x:c r="P402" t="str">
        <x:f>IF(RAND()&lt;(('Team_Info'!$E$2-COUNTIF($B402:O402,"W"))/('Team_Info'!$E$4-14)),"W","B")</x:f>
        <x:v>W</x:v>
      </x:c>
      <x:c r="Q402" t="str">
        <x:f>IF(RAND()&lt;(('Team_Info'!$E$2-COUNTIF($B402:P402,"W"))/('Team_Info'!$E$4-15)),"W","B")</x:f>
        <x:v>B</x:v>
      </x:c>
      <x:c r="R402" t="str">
        <x:f>IF(RAND()&lt;(('Team_Info'!$E$2-COUNTIF($B402:Q402,"W"))/('Team_Info'!$E$4-16)),"W","B")</x:f>
        <x:v>B</x:v>
      </x:c>
      <x:c r="S402" t="str">
        <x:f>IF(RAND()&lt;(('Team_Info'!$E$2-COUNTIF($B402:R402,"W"))/('Team_Info'!$E$4-17)),"W","B")</x:f>
        <x:v>B</x:v>
      </x:c>
      <x:c r="T402" t="str">
        <x:f>IF(RAND()&lt;(('Team_Info'!$E$2-COUNTIF($B402:S402,"W"))/('Team_Info'!$E$4-18)),"W","B")</x:f>
        <x:v>B</x:v>
      </x:c>
      <x:c r="U402" t="str">
        <x:f>IF(RAND()&lt;(('Team_Info'!$E$2-COUNTIF($B402:T402,"W"))/('Team_Info'!$E$4-19)),"W","B")</x:f>
        <x:v>B</x:v>
      </x:c>
    </x:row>
    <x:row r="403">
      <x:c r="A403" s="1">
        <x:v>402</x:v>
      </x:c>
      <x:c r="B403" t="str">
        <x:f>IF(RAND()&lt;'Team_Info'!$E$5,"W","B")</x:f>
        <x:v>W</x:v>
      </x:c>
      <x:c r="C403" t="str">
        <x:f>IF(RAND()&lt;(('Team_Info'!$E$2-COUNTIF($B403:B403,"W"))/('Team_Info'!$E$4-1)),"W","B")</x:f>
        <x:v>B</x:v>
      </x:c>
      <x:c r="D403" t="str">
        <x:f>IF(RAND()&lt;(('Team_Info'!$E$2-COUNTIF($B403:C403,"W"))/('Team_Info'!$E$4-2)),"W","B")</x:f>
        <x:v>B</x:v>
      </x:c>
      <x:c r="E403" t="str">
        <x:f>IF(RAND()&lt;(('Team_Info'!$E$2-COUNTIF($B403:D403,"W"))/('Team_Info'!$E$4-3)),"W","B")</x:f>
        <x:v>B</x:v>
      </x:c>
      <x:c r="F403" t="str">
        <x:f>IF(RAND()&lt;(('Team_Info'!$E$2-COUNTIF($B403:E403,"W"))/('Team_Info'!$E$4-4)),"W","B")</x:f>
        <x:v>B</x:v>
      </x:c>
      <x:c r="G403" t="str">
        <x:f>IF(RAND()&lt;(('Team_Info'!$E$2-COUNTIF($B403:F403,"W"))/('Team_Info'!$E$4-5)),"W","B")</x:f>
        <x:v>W</x:v>
      </x:c>
      <x:c r="H403" t="str">
        <x:f>IF(RAND()&lt;(('Team_Info'!$E$2-COUNTIF($B403:G403,"W"))/('Team_Info'!$E$4-6)),"W","B")</x:f>
        <x:v>B</x:v>
      </x:c>
      <x:c r="I403" t="str">
        <x:f>IF(RAND()&lt;(('Team_Info'!$E$2-COUNTIF($B403:H403,"W"))/('Team_Info'!$E$4-7)),"W","B")</x:f>
        <x:v>B</x:v>
      </x:c>
      <x:c r="J403" t="str">
        <x:f>IF(RAND()&lt;(('Team_Info'!$E$2-COUNTIF($B403:I403,"W"))/('Team_Info'!$E$4-8)),"W","B")</x:f>
        <x:v>W</x:v>
      </x:c>
      <x:c r="K403" t="str">
        <x:f>IF(RAND()&lt;(('Team_Info'!$E$2-COUNTIF($B403:J403,"W"))/('Team_Info'!$E$4-9)),"W","B")</x:f>
        <x:v>W</x:v>
      </x:c>
      <x:c r="L403" t="str">
        <x:f>IF(RAND()&lt;(('Team_Info'!$E$2-COUNTIF($B403:K403,"W"))/('Team_Info'!$E$4-10)),"W","B")</x:f>
        <x:v>B</x:v>
      </x:c>
      <x:c r="M403" t="str">
        <x:f>IF(RAND()&lt;(('Team_Info'!$E$2-COUNTIF($B403:L403,"W"))/('Team_Info'!$E$4-11)),"W","B")</x:f>
        <x:v>W</x:v>
      </x:c>
      <x:c r="N403" t="str">
        <x:f>IF(RAND()&lt;(('Team_Info'!$E$2-COUNTIF($B403:M403,"W"))/('Team_Info'!$E$4-12)),"W","B")</x:f>
        <x:v>W</x:v>
      </x:c>
      <x:c r="O403" t="str">
        <x:f>IF(RAND()&lt;(('Team_Info'!$E$2-COUNTIF($B403:N403,"W"))/('Team_Info'!$E$4-13)),"W","B")</x:f>
        <x:v>B</x:v>
      </x:c>
      <x:c r="P403" t="str">
        <x:f>IF(RAND()&lt;(('Team_Info'!$E$2-COUNTIF($B403:O403,"W"))/('Team_Info'!$E$4-14)),"W","B")</x:f>
        <x:v>W</x:v>
      </x:c>
      <x:c r="Q403" t="str">
        <x:f>IF(RAND()&lt;(('Team_Info'!$E$2-COUNTIF($B403:P403,"W"))/('Team_Info'!$E$4-15)),"W","B")</x:f>
        <x:v>W</x:v>
      </x:c>
      <x:c r="R403" t="str">
        <x:f>IF(RAND()&lt;(('Team_Info'!$E$2-COUNTIF($B403:Q403,"W"))/('Team_Info'!$E$4-16)),"W","B")</x:f>
        <x:v>B</x:v>
      </x:c>
      <x:c r="S403" t="str">
        <x:f>IF(RAND()&lt;(('Team_Info'!$E$2-COUNTIF($B403:R403,"W"))/('Team_Info'!$E$4-17)),"W","B")</x:f>
        <x:v>W</x:v>
      </x:c>
      <x:c r="T403" t="str">
        <x:f>IF(RAND()&lt;(('Team_Info'!$E$2-COUNTIF($B403:S403,"W"))/('Team_Info'!$E$4-18)),"W","B")</x:f>
        <x:v>B</x:v>
      </x:c>
      <x:c r="U403" t="str">
        <x:f>IF(RAND()&lt;(('Team_Info'!$E$2-COUNTIF($B403:T403,"W"))/('Team_Info'!$E$4-19)),"W","B")</x:f>
        <x:v>B</x:v>
      </x:c>
    </x:row>
    <x:row r="404">
      <x:c r="A404" s="1">
        <x:v>403</x:v>
      </x:c>
      <x:c r="B404" t="str">
        <x:f>IF(RAND()&lt;'Team_Info'!$E$5,"W","B")</x:f>
        <x:v>B</x:v>
      </x:c>
      <x:c r="C404" t="str">
        <x:f>IF(RAND()&lt;(('Team_Info'!$E$2-COUNTIF($B404:B404,"W"))/('Team_Info'!$E$4-1)),"W","B")</x:f>
        <x:v>W</x:v>
      </x:c>
      <x:c r="D404" t="str">
        <x:f>IF(RAND()&lt;(('Team_Info'!$E$2-COUNTIF($B404:C404,"W"))/('Team_Info'!$E$4-2)),"W","B")</x:f>
        <x:v>W</x:v>
      </x:c>
      <x:c r="E404" t="str">
        <x:f>IF(RAND()&lt;(('Team_Info'!$E$2-COUNTIF($B404:D404,"W"))/('Team_Info'!$E$4-3)),"W","B")</x:f>
        <x:v>W</x:v>
      </x:c>
      <x:c r="F404" t="str">
        <x:f>IF(RAND()&lt;(('Team_Info'!$E$2-COUNTIF($B404:E404,"W"))/('Team_Info'!$E$4-4)),"W","B")</x:f>
        <x:v>B</x:v>
      </x:c>
      <x:c r="G404" t="str">
        <x:f>IF(RAND()&lt;(('Team_Info'!$E$2-COUNTIF($B404:F404,"W"))/('Team_Info'!$E$4-5)),"W","B")</x:f>
        <x:v>B</x:v>
      </x:c>
      <x:c r="H404" t="str">
        <x:f>IF(RAND()&lt;(('Team_Info'!$E$2-COUNTIF($B404:G404,"W"))/('Team_Info'!$E$4-6)),"W","B")</x:f>
        <x:v>B</x:v>
      </x:c>
      <x:c r="I404" t="str">
        <x:f>IF(RAND()&lt;(('Team_Info'!$E$2-COUNTIF($B404:H404,"W"))/('Team_Info'!$E$4-7)),"W","B")</x:f>
        <x:v>B</x:v>
      </x:c>
      <x:c r="J404" t="str">
        <x:f>IF(RAND()&lt;(('Team_Info'!$E$2-COUNTIF($B404:I404,"W"))/('Team_Info'!$E$4-8)),"W","B")</x:f>
        <x:v>B</x:v>
      </x:c>
      <x:c r="K404" t="str">
        <x:f>IF(RAND()&lt;(('Team_Info'!$E$2-COUNTIF($B404:J404,"W"))/('Team_Info'!$E$4-9)),"W","B")</x:f>
        <x:v>B</x:v>
      </x:c>
      <x:c r="L404" t="str">
        <x:f>IF(RAND()&lt;(('Team_Info'!$E$2-COUNTIF($B404:K404,"W"))/('Team_Info'!$E$4-10)),"W","B")</x:f>
        <x:v>W</x:v>
      </x:c>
      <x:c r="M404" t="str">
        <x:f>IF(RAND()&lt;(('Team_Info'!$E$2-COUNTIF($B404:L404,"W"))/('Team_Info'!$E$4-11)),"W","B")</x:f>
        <x:v>W</x:v>
      </x:c>
      <x:c r="N404" t="str">
        <x:f>IF(RAND()&lt;(('Team_Info'!$E$2-COUNTIF($B404:M404,"W"))/('Team_Info'!$E$4-12)),"W","B")</x:f>
        <x:v>W</x:v>
      </x:c>
      <x:c r="O404" t="str">
        <x:f>IF(RAND()&lt;(('Team_Info'!$E$2-COUNTIF($B404:N404,"W"))/('Team_Info'!$E$4-13)),"W","B")</x:f>
        <x:v>W</x:v>
      </x:c>
      <x:c r="P404" t="str">
        <x:f>IF(RAND()&lt;(('Team_Info'!$E$2-COUNTIF($B404:O404,"W"))/('Team_Info'!$E$4-14)),"W","B")</x:f>
        <x:v>B</x:v>
      </x:c>
      <x:c r="Q404" t="str">
        <x:f>IF(RAND()&lt;(('Team_Info'!$E$2-COUNTIF($B404:P404,"W"))/('Team_Info'!$E$4-15)),"W","B")</x:f>
        <x:v>W</x:v>
      </x:c>
      <x:c r="R404" t="str">
        <x:f>IF(RAND()&lt;(('Team_Info'!$E$2-COUNTIF($B404:Q404,"W"))/('Team_Info'!$E$4-16)),"W","B")</x:f>
        <x:v>B</x:v>
      </x:c>
      <x:c r="S404" t="str">
        <x:f>IF(RAND()&lt;(('Team_Info'!$E$2-COUNTIF($B404:R404,"W"))/('Team_Info'!$E$4-17)),"W","B")</x:f>
        <x:v>W</x:v>
      </x:c>
      <x:c r="T404" t="str">
        <x:f>IF(RAND()&lt;(('Team_Info'!$E$2-COUNTIF($B404:S404,"W"))/('Team_Info'!$E$4-18)),"W","B")</x:f>
        <x:v>B</x:v>
      </x:c>
      <x:c r="U404" t="str">
        <x:f>IF(RAND()&lt;(('Team_Info'!$E$2-COUNTIF($B404:T404,"W"))/('Team_Info'!$E$4-19)),"W","B")</x:f>
        <x:v>B</x:v>
      </x:c>
    </x:row>
    <x:row r="405">
      <x:c r="A405" s="1">
        <x:v>404</x:v>
      </x:c>
      <x:c r="B405" t="str">
        <x:f>IF(RAND()&lt;'Team_Info'!$E$5,"W","B")</x:f>
        <x:v>B</x:v>
      </x:c>
      <x:c r="C405" t="str">
        <x:f>IF(RAND()&lt;(('Team_Info'!$E$2-COUNTIF($B405:B405,"W"))/('Team_Info'!$E$4-1)),"W","B")</x:f>
        <x:v>W</x:v>
      </x:c>
      <x:c r="D405" t="str">
        <x:f>IF(RAND()&lt;(('Team_Info'!$E$2-COUNTIF($B405:C405,"W"))/('Team_Info'!$E$4-2)),"W","B")</x:f>
        <x:v>B</x:v>
      </x:c>
      <x:c r="E405" t="str">
        <x:f>IF(RAND()&lt;(('Team_Info'!$E$2-COUNTIF($B405:D405,"W"))/('Team_Info'!$E$4-3)),"W","B")</x:f>
        <x:v>B</x:v>
      </x:c>
      <x:c r="F405" t="str">
        <x:f>IF(RAND()&lt;(('Team_Info'!$E$2-COUNTIF($B405:E405,"W"))/('Team_Info'!$E$4-4)),"W","B")</x:f>
        <x:v>W</x:v>
      </x:c>
      <x:c r="G405" t="str">
        <x:f>IF(RAND()&lt;(('Team_Info'!$E$2-COUNTIF($B405:F405,"W"))/('Team_Info'!$E$4-5)),"W","B")</x:f>
        <x:v>W</x:v>
      </x:c>
      <x:c r="H405" t="str">
        <x:f>IF(RAND()&lt;(('Team_Info'!$E$2-COUNTIF($B405:G405,"W"))/('Team_Info'!$E$4-6)),"W","B")</x:f>
        <x:v>B</x:v>
      </x:c>
      <x:c r="I405" t="str">
        <x:f>IF(RAND()&lt;(('Team_Info'!$E$2-COUNTIF($B405:H405,"W"))/('Team_Info'!$E$4-7)),"W","B")</x:f>
        <x:v>B</x:v>
      </x:c>
      <x:c r="J405" t="str">
        <x:f>IF(RAND()&lt;(('Team_Info'!$E$2-COUNTIF($B405:I405,"W"))/('Team_Info'!$E$4-8)),"W","B")</x:f>
        <x:v>B</x:v>
      </x:c>
      <x:c r="K405" t="str">
        <x:f>IF(RAND()&lt;(('Team_Info'!$E$2-COUNTIF($B405:J405,"W"))/('Team_Info'!$E$4-9)),"W","B")</x:f>
        <x:v>W</x:v>
      </x:c>
      <x:c r="L405" t="str">
        <x:f>IF(RAND()&lt;(('Team_Info'!$E$2-COUNTIF($B405:K405,"W"))/('Team_Info'!$E$4-10)),"W","B")</x:f>
        <x:v>W</x:v>
      </x:c>
      <x:c r="M405" t="str">
        <x:f>IF(RAND()&lt;(('Team_Info'!$E$2-COUNTIF($B405:L405,"W"))/('Team_Info'!$E$4-11)),"W","B")</x:f>
        <x:v>W</x:v>
      </x:c>
      <x:c r="N405" t="str">
        <x:f>IF(RAND()&lt;(('Team_Info'!$E$2-COUNTIF($B405:M405,"W"))/('Team_Info'!$E$4-12)),"W","B")</x:f>
        <x:v>B</x:v>
      </x:c>
      <x:c r="O405" t="str">
        <x:f>IF(RAND()&lt;(('Team_Info'!$E$2-COUNTIF($B405:N405,"W"))/('Team_Info'!$E$4-13)),"W","B")</x:f>
        <x:v>B</x:v>
      </x:c>
      <x:c r="P405" t="str">
        <x:f>IF(RAND()&lt;(('Team_Info'!$E$2-COUNTIF($B405:O405,"W"))/('Team_Info'!$E$4-14)),"W","B")</x:f>
        <x:v>B</x:v>
      </x:c>
      <x:c r="Q405" t="str">
        <x:f>IF(RAND()&lt;(('Team_Info'!$E$2-COUNTIF($B405:P405,"W"))/('Team_Info'!$E$4-15)),"W","B")</x:f>
        <x:v>B</x:v>
      </x:c>
      <x:c r="R405" t="str">
        <x:f>IF(RAND()&lt;(('Team_Info'!$E$2-COUNTIF($B405:Q405,"W"))/('Team_Info'!$E$4-16)),"W","B")</x:f>
        <x:v>W</x:v>
      </x:c>
      <x:c r="S405" t="str">
        <x:f>IF(RAND()&lt;(('Team_Info'!$E$2-COUNTIF($B405:R405,"W"))/('Team_Info'!$E$4-17)),"W","B")</x:f>
        <x:v>W</x:v>
      </x:c>
      <x:c r="T405" t="str">
        <x:f>IF(RAND()&lt;(('Team_Info'!$E$2-COUNTIF($B405:S405,"W"))/('Team_Info'!$E$4-18)),"W","B")</x:f>
        <x:v>B</x:v>
      </x:c>
      <x:c r="U405" t="str">
        <x:f>IF(RAND()&lt;(('Team_Info'!$E$2-COUNTIF($B405:T405,"W"))/('Team_Info'!$E$4-19)),"W","B")</x:f>
        <x:v>W</x:v>
      </x:c>
    </x:row>
    <x:row r="406">
      <x:c r="A406" s="1">
        <x:v>405</x:v>
      </x:c>
      <x:c r="B406" t="str">
        <x:f>IF(RAND()&lt;'Team_Info'!$E$5,"W","B")</x:f>
        <x:v>B</x:v>
      </x:c>
      <x:c r="C406" t="str">
        <x:f>IF(RAND()&lt;(('Team_Info'!$E$2-COUNTIF($B406:B406,"W"))/('Team_Info'!$E$4-1)),"W","B")</x:f>
        <x:v>W</x:v>
      </x:c>
      <x:c r="D406" t="str">
        <x:f>IF(RAND()&lt;(('Team_Info'!$E$2-COUNTIF($B406:C406,"W"))/('Team_Info'!$E$4-2)),"W","B")</x:f>
        <x:v>B</x:v>
      </x:c>
      <x:c r="E406" t="str">
        <x:f>IF(RAND()&lt;(('Team_Info'!$E$2-COUNTIF($B406:D406,"W"))/('Team_Info'!$E$4-3)),"W","B")</x:f>
        <x:v>W</x:v>
      </x:c>
      <x:c r="F406" t="str">
        <x:f>IF(RAND()&lt;(('Team_Info'!$E$2-COUNTIF($B406:E406,"W"))/('Team_Info'!$E$4-4)),"W","B")</x:f>
        <x:v>B</x:v>
      </x:c>
      <x:c r="G406" t="str">
        <x:f>IF(RAND()&lt;(('Team_Info'!$E$2-COUNTIF($B406:F406,"W"))/('Team_Info'!$E$4-5)),"W","B")</x:f>
        <x:v>B</x:v>
      </x:c>
      <x:c r="H406" t="str">
        <x:f>IF(RAND()&lt;(('Team_Info'!$E$2-COUNTIF($B406:G406,"W"))/('Team_Info'!$E$4-6)),"W","B")</x:f>
        <x:v>W</x:v>
      </x:c>
      <x:c r="I406" t="str">
        <x:f>IF(RAND()&lt;(('Team_Info'!$E$2-COUNTIF($B406:H406,"W"))/('Team_Info'!$E$4-7)),"W","B")</x:f>
        <x:v>W</x:v>
      </x:c>
      <x:c r="J406" t="str">
        <x:f>IF(RAND()&lt;(('Team_Info'!$E$2-COUNTIF($B406:I406,"W"))/('Team_Info'!$E$4-8)),"W","B")</x:f>
        <x:v>W</x:v>
      </x:c>
      <x:c r="K406" t="str">
        <x:f>IF(RAND()&lt;(('Team_Info'!$E$2-COUNTIF($B406:J406,"W"))/('Team_Info'!$E$4-9)),"W","B")</x:f>
        <x:v>B</x:v>
      </x:c>
      <x:c r="L406" t="str">
        <x:f>IF(RAND()&lt;(('Team_Info'!$E$2-COUNTIF($B406:K406,"W"))/('Team_Info'!$E$4-10)),"W","B")</x:f>
        <x:v>W</x:v>
      </x:c>
      <x:c r="M406" t="str">
        <x:f>IF(RAND()&lt;(('Team_Info'!$E$2-COUNTIF($B406:L406,"W"))/('Team_Info'!$E$4-11)),"W","B")</x:f>
        <x:v>B</x:v>
      </x:c>
      <x:c r="N406" t="str">
        <x:f>IF(RAND()&lt;(('Team_Info'!$E$2-COUNTIF($B406:M406,"W"))/('Team_Info'!$E$4-12)),"W","B")</x:f>
        <x:v>W</x:v>
      </x:c>
      <x:c r="O406" t="str">
        <x:f>IF(RAND()&lt;(('Team_Info'!$E$2-COUNTIF($B406:N406,"W"))/('Team_Info'!$E$4-13)),"W","B")</x:f>
        <x:v>B</x:v>
      </x:c>
      <x:c r="P406" t="str">
        <x:f>IF(RAND()&lt;(('Team_Info'!$E$2-COUNTIF($B406:O406,"W"))/('Team_Info'!$E$4-14)),"W","B")</x:f>
        <x:v>B</x:v>
      </x:c>
      <x:c r="Q406" t="str">
        <x:f>IF(RAND()&lt;(('Team_Info'!$E$2-COUNTIF($B406:P406,"W"))/('Team_Info'!$E$4-15)),"W","B")</x:f>
        <x:v>W</x:v>
      </x:c>
      <x:c r="R406" t="str">
        <x:f>IF(RAND()&lt;(('Team_Info'!$E$2-COUNTIF($B406:Q406,"W"))/('Team_Info'!$E$4-16)),"W","B")</x:f>
        <x:v>B</x:v>
      </x:c>
      <x:c r="S406" t="str">
        <x:f>IF(RAND()&lt;(('Team_Info'!$E$2-COUNTIF($B406:R406,"W"))/('Team_Info'!$E$4-17)),"W","B")</x:f>
        <x:v>W</x:v>
      </x:c>
      <x:c r="T406" t="str">
        <x:f>IF(RAND()&lt;(('Team_Info'!$E$2-COUNTIF($B406:S406,"W"))/('Team_Info'!$E$4-18)),"W","B")</x:f>
        <x:v>B</x:v>
      </x:c>
      <x:c r="U406" t="str">
        <x:f>IF(RAND()&lt;(('Team_Info'!$E$2-COUNTIF($B406:T406,"W"))/('Team_Info'!$E$4-19)),"W","B")</x:f>
        <x:v>W</x:v>
      </x:c>
    </x:row>
    <x:row r="407">
      <x:c r="A407" s="1">
        <x:v>406</x:v>
      </x:c>
      <x:c r="B407" t="str">
        <x:f>IF(RAND()&lt;'Team_Info'!$E$5,"W","B")</x:f>
        <x:v>B</x:v>
      </x:c>
      <x:c r="C407" t="str">
        <x:f>IF(RAND()&lt;(('Team_Info'!$E$2-COUNTIF($B407:B407,"W"))/('Team_Info'!$E$4-1)),"W","B")</x:f>
        <x:v>W</x:v>
      </x:c>
      <x:c r="D407" t="str">
        <x:f>IF(RAND()&lt;(('Team_Info'!$E$2-COUNTIF($B407:C407,"W"))/('Team_Info'!$E$4-2)),"W","B")</x:f>
        <x:v>B</x:v>
      </x:c>
      <x:c r="E407" t="str">
        <x:f>IF(RAND()&lt;(('Team_Info'!$E$2-COUNTIF($B407:D407,"W"))/('Team_Info'!$E$4-3)),"W","B")</x:f>
        <x:v>W</x:v>
      </x:c>
      <x:c r="F407" t="str">
        <x:f>IF(RAND()&lt;(('Team_Info'!$E$2-COUNTIF($B407:E407,"W"))/('Team_Info'!$E$4-4)),"W","B")</x:f>
        <x:v>W</x:v>
      </x:c>
      <x:c r="G407" t="str">
        <x:f>IF(RAND()&lt;(('Team_Info'!$E$2-COUNTIF($B407:F407,"W"))/('Team_Info'!$E$4-5)),"W","B")</x:f>
        <x:v>B</x:v>
      </x:c>
      <x:c r="H407" t="str">
        <x:f>IF(RAND()&lt;(('Team_Info'!$E$2-COUNTIF($B407:G407,"W"))/('Team_Info'!$E$4-6)),"W","B")</x:f>
        <x:v>W</x:v>
      </x:c>
      <x:c r="I407" t="str">
        <x:f>IF(RAND()&lt;(('Team_Info'!$E$2-COUNTIF($B407:H407,"W"))/('Team_Info'!$E$4-7)),"W","B")</x:f>
        <x:v>B</x:v>
      </x:c>
      <x:c r="J407" t="str">
        <x:f>IF(RAND()&lt;(('Team_Info'!$E$2-COUNTIF($B407:I407,"W"))/('Team_Info'!$E$4-8)),"W","B")</x:f>
        <x:v>W</x:v>
      </x:c>
      <x:c r="K407" t="str">
        <x:f>IF(RAND()&lt;(('Team_Info'!$E$2-COUNTIF($B407:J407,"W"))/('Team_Info'!$E$4-9)),"W","B")</x:f>
        <x:v>W</x:v>
      </x:c>
      <x:c r="L407" t="str">
        <x:f>IF(RAND()&lt;(('Team_Info'!$E$2-COUNTIF($B407:K407,"W"))/('Team_Info'!$E$4-10)),"W","B")</x:f>
        <x:v>W</x:v>
      </x:c>
      <x:c r="M407" t="str">
        <x:f>IF(RAND()&lt;(('Team_Info'!$E$2-COUNTIF($B407:L407,"W"))/('Team_Info'!$E$4-11)),"W","B")</x:f>
        <x:v>B</x:v>
      </x:c>
      <x:c r="N407" t="str">
        <x:f>IF(RAND()&lt;(('Team_Info'!$E$2-COUNTIF($B407:M407,"W"))/('Team_Info'!$E$4-12)),"W","B")</x:f>
        <x:v>B</x:v>
      </x:c>
      <x:c r="O407" t="str">
        <x:f>IF(RAND()&lt;(('Team_Info'!$E$2-COUNTIF($B407:N407,"W"))/('Team_Info'!$E$4-13)),"W","B")</x:f>
        <x:v>W</x:v>
      </x:c>
      <x:c r="P407" t="str">
        <x:f>IF(RAND()&lt;(('Team_Info'!$E$2-COUNTIF($B407:O407,"W"))/('Team_Info'!$E$4-14)),"W","B")</x:f>
        <x:v>B</x:v>
      </x:c>
      <x:c r="Q407" t="str">
        <x:f>IF(RAND()&lt;(('Team_Info'!$E$2-COUNTIF($B407:P407,"W"))/('Team_Info'!$E$4-15)),"W","B")</x:f>
        <x:v>W</x:v>
      </x:c>
      <x:c r="R407" t="str">
        <x:f>IF(RAND()&lt;(('Team_Info'!$E$2-COUNTIF($B407:Q407,"W"))/('Team_Info'!$E$4-16)),"W","B")</x:f>
        <x:v>W</x:v>
      </x:c>
      <x:c r="S407" t="str">
        <x:f>IF(RAND()&lt;(('Team_Info'!$E$2-COUNTIF($B407:R407,"W"))/('Team_Info'!$E$4-17)),"W","B")</x:f>
        <x:v>B</x:v>
      </x:c>
      <x:c r="T407" t="str">
        <x:f>IF(RAND()&lt;(('Team_Info'!$E$2-COUNTIF($B407:S407,"W"))/('Team_Info'!$E$4-18)),"W","B")</x:f>
        <x:v>B</x:v>
      </x:c>
      <x:c r="U407" t="str">
        <x:f>IF(RAND()&lt;(('Team_Info'!$E$2-COUNTIF($B407:T407,"W"))/('Team_Info'!$E$4-19)),"W","B")</x:f>
        <x:v>W</x:v>
      </x:c>
    </x:row>
    <x:row r="408">
      <x:c r="A408" s="1">
        <x:v>407</x:v>
      </x:c>
      <x:c r="B408" t="str">
        <x:f>IF(RAND()&lt;'Team_Info'!$E$5,"W","B")</x:f>
        <x:v>B</x:v>
      </x:c>
      <x:c r="C408" t="str">
        <x:f>IF(RAND()&lt;(('Team_Info'!$E$2-COUNTIF($B408:B408,"W"))/('Team_Info'!$E$4-1)),"W","B")</x:f>
        <x:v>B</x:v>
      </x:c>
      <x:c r="D408" t="str">
        <x:f>IF(RAND()&lt;(('Team_Info'!$E$2-COUNTIF($B408:C408,"W"))/('Team_Info'!$E$4-2)),"W","B")</x:f>
        <x:v>B</x:v>
      </x:c>
      <x:c r="E408" t="str">
        <x:f>IF(RAND()&lt;(('Team_Info'!$E$2-COUNTIF($B408:D408,"W"))/('Team_Info'!$E$4-3)),"W","B")</x:f>
        <x:v>B</x:v>
      </x:c>
      <x:c r="F408" t="str">
        <x:f>IF(RAND()&lt;(('Team_Info'!$E$2-COUNTIF($B408:E408,"W"))/('Team_Info'!$E$4-4)),"W","B")</x:f>
        <x:v>B</x:v>
      </x:c>
      <x:c r="G408" t="str">
        <x:f>IF(RAND()&lt;(('Team_Info'!$E$2-COUNTIF($B408:F408,"W"))/('Team_Info'!$E$4-5)),"W","B")</x:f>
        <x:v>W</x:v>
      </x:c>
      <x:c r="H408" t="str">
        <x:f>IF(RAND()&lt;(('Team_Info'!$E$2-COUNTIF($B408:G408,"W"))/('Team_Info'!$E$4-6)),"W","B")</x:f>
        <x:v>B</x:v>
      </x:c>
      <x:c r="I408" t="str">
        <x:f>IF(RAND()&lt;(('Team_Info'!$E$2-COUNTIF($B408:H408,"W"))/('Team_Info'!$E$4-7)),"W","B")</x:f>
        <x:v>W</x:v>
      </x:c>
      <x:c r="J408" t="str">
        <x:f>IF(RAND()&lt;(('Team_Info'!$E$2-COUNTIF($B408:I408,"W"))/('Team_Info'!$E$4-8)),"W","B")</x:f>
        <x:v>B</x:v>
      </x:c>
      <x:c r="K408" t="str">
        <x:f>IF(RAND()&lt;(('Team_Info'!$E$2-COUNTIF($B408:J408,"W"))/('Team_Info'!$E$4-9)),"W","B")</x:f>
        <x:v>B</x:v>
      </x:c>
      <x:c r="L408" t="str">
        <x:f>IF(RAND()&lt;(('Team_Info'!$E$2-COUNTIF($B408:K408,"W"))/('Team_Info'!$E$4-10)),"W","B")</x:f>
        <x:v>B</x:v>
      </x:c>
      <x:c r="M408" t="str">
        <x:f>IF(RAND()&lt;(('Team_Info'!$E$2-COUNTIF($B408:L408,"W"))/('Team_Info'!$E$4-11)),"W","B")</x:f>
        <x:v>W</x:v>
      </x:c>
      <x:c r="N408" t="str">
        <x:f>IF(RAND()&lt;(('Team_Info'!$E$2-COUNTIF($B408:M408,"W"))/('Team_Info'!$E$4-12)),"W","B")</x:f>
        <x:v>B</x:v>
      </x:c>
      <x:c r="O408" t="str">
        <x:f>IF(RAND()&lt;(('Team_Info'!$E$2-COUNTIF($B408:N408,"W"))/('Team_Info'!$E$4-13)),"W","B")</x:f>
        <x:v>B</x:v>
      </x:c>
      <x:c r="P408" t="str">
        <x:f>IF(RAND()&lt;(('Team_Info'!$E$2-COUNTIF($B408:O408,"W"))/('Team_Info'!$E$4-14)),"W","B")</x:f>
        <x:v>B</x:v>
      </x:c>
      <x:c r="Q408" t="str">
        <x:f>IF(RAND()&lt;(('Team_Info'!$E$2-COUNTIF($B408:P408,"W"))/('Team_Info'!$E$4-15)),"W","B")</x:f>
        <x:v>B</x:v>
      </x:c>
      <x:c r="R408" t="str">
        <x:f>IF(RAND()&lt;(('Team_Info'!$E$2-COUNTIF($B408:Q408,"W"))/('Team_Info'!$E$4-16)),"W","B")</x:f>
        <x:v>W</x:v>
      </x:c>
      <x:c r="S408" t="str">
        <x:f>IF(RAND()&lt;(('Team_Info'!$E$2-COUNTIF($B408:R408,"W"))/('Team_Info'!$E$4-17)),"W","B")</x:f>
        <x:v>W</x:v>
      </x:c>
      <x:c r="T408" t="str">
        <x:f>IF(RAND()&lt;(('Team_Info'!$E$2-COUNTIF($B408:S408,"W"))/('Team_Info'!$E$4-18)),"W","B")</x:f>
        <x:v>B</x:v>
      </x:c>
      <x:c r="U408" t="str">
        <x:f>IF(RAND()&lt;(('Team_Info'!$E$2-COUNTIF($B408:T408,"W"))/('Team_Info'!$E$4-19)),"W","B")</x:f>
        <x:v>B</x:v>
      </x:c>
    </x:row>
    <x:row r="409">
      <x:c r="A409" s="1">
        <x:v>408</x:v>
      </x:c>
      <x:c r="B409" t="str">
        <x:f>IF(RAND()&lt;'Team_Info'!$E$5,"W","B")</x:f>
        <x:v>B</x:v>
      </x:c>
      <x:c r="C409" t="str">
        <x:f>IF(RAND()&lt;(('Team_Info'!$E$2-COUNTIF($B409:B409,"W"))/('Team_Info'!$E$4-1)),"W","B")</x:f>
        <x:v>W</x:v>
      </x:c>
      <x:c r="D409" t="str">
        <x:f>IF(RAND()&lt;(('Team_Info'!$E$2-COUNTIF($B409:C409,"W"))/('Team_Info'!$E$4-2)),"W","B")</x:f>
        <x:v>W</x:v>
      </x:c>
      <x:c r="E409" t="str">
        <x:f>IF(RAND()&lt;(('Team_Info'!$E$2-COUNTIF($B409:D409,"W"))/('Team_Info'!$E$4-3)),"W","B")</x:f>
        <x:v>B</x:v>
      </x:c>
      <x:c r="F409" t="str">
        <x:f>IF(RAND()&lt;(('Team_Info'!$E$2-COUNTIF($B409:E409,"W"))/('Team_Info'!$E$4-4)),"W","B")</x:f>
        <x:v>W</x:v>
      </x:c>
      <x:c r="G409" t="str">
        <x:f>IF(RAND()&lt;(('Team_Info'!$E$2-COUNTIF($B409:F409,"W"))/('Team_Info'!$E$4-5)),"W","B")</x:f>
        <x:v>B</x:v>
      </x:c>
      <x:c r="H409" t="str">
        <x:f>IF(RAND()&lt;(('Team_Info'!$E$2-COUNTIF($B409:G409,"W"))/('Team_Info'!$E$4-6)),"W","B")</x:f>
        <x:v>B</x:v>
      </x:c>
      <x:c r="I409" t="str">
        <x:f>IF(RAND()&lt;(('Team_Info'!$E$2-COUNTIF($B409:H409,"W"))/('Team_Info'!$E$4-7)),"W","B")</x:f>
        <x:v>W</x:v>
      </x:c>
      <x:c r="J409" t="str">
        <x:f>IF(RAND()&lt;(('Team_Info'!$E$2-COUNTIF($B409:I409,"W"))/('Team_Info'!$E$4-8)),"W","B")</x:f>
        <x:v>B</x:v>
      </x:c>
      <x:c r="K409" t="str">
        <x:f>IF(RAND()&lt;(('Team_Info'!$E$2-COUNTIF($B409:J409,"W"))/('Team_Info'!$E$4-9)),"W","B")</x:f>
        <x:v>W</x:v>
      </x:c>
      <x:c r="L409" t="str">
        <x:f>IF(RAND()&lt;(('Team_Info'!$E$2-COUNTIF($B409:K409,"W"))/('Team_Info'!$E$4-10)),"W","B")</x:f>
        <x:v>B</x:v>
      </x:c>
      <x:c r="M409" t="str">
        <x:f>IF(RAND()&lt;(('Team_Info'!$E$2-COUNTIF($B409:L409,"W"))/('Team_Info'!$E$4-11)),"W","B")</x:f>
        <x:v>B</x:v>
      </x:c>
      <x:c r="N409" t="str">
        <x:f>IF(RAND()&lt;(('Team_Info'!$E$2-COUNTIF($B409:M409,"W"))/('Team_Info'!$E$4-12)),"W","B")</x:f>
        <x:v>B</x:v>
      </x:c>
      <x:c r="O409" t="str">
        <x:f>IF(RAND()&lt;(('Team_Info'!$E$2-COUNTIF($B409:N409,"W"))/('Team_Info'!$E$4-13)),"W","B")</x:f>
        <x:v>B</x:v>
      </x:c>
      <x:c r="P409" t="str">
        <x:f>IF(RAND()&lt;(('Team_Info'!$E$2-COUNTIF($B409:O409,"W"))/('Team_Info'!$E$4-14)),"W","B")</x:f>
        <x:v>B</x:v>
      </x:c>
      <x:c r="Q409" t="str">
        <x:f>IF(RAND()&lt;(('Team_Info'!$E$2-COUNTIF($B409:P409,"W"))/('Team_Info'!$E$4-15)),"W","B")</x:f>
        <x:v>B</x:v>
      </x:c>
      <x:c r="R409" t="str">
        <x:f>IF(RAND()&lt;(('Team_Info'!$E$2-COUNTIF($B409:Q409,"W"))/('Team_Info'!$E$4-16)),"W","B")</x:f>
        <x:v>B</x:v>
      </x:c>
      <x:c r="S409" t="str">
        <x:f>IF(RAND()&lt;(('Team_Info'!$E$2-COUNTIF($B409:R409,"W"))/('Team_Info'!$E$4-17)),"W","B")</x:f>
        <x:v>W</x:v>
      </x:c>
      <x:c r="T409" t="str">
        <x:f>IF(RAND()&lt;(('Team_Info'!$E$2-COUNTIF($B409:S409,"W"))/('Team_Info'!$E$4-18)),"W","B")</x:f>
        <x:v>B</x:v>
      </x:c>
      <x:c r="U409" t="str">
        <x:f>IF(RAND()&lt;(('Team_Info'!$E$2-COUNTIF($B409:T409,"W"))/('Team_Info'!$E$4-19)),"W","B")</x:f>
        <x:v>W</x:v>
      </x:c>
    </x:row>
    <x:row r="410">
      <x:c r="A410" s="1">
        <x:v>409</x:v>
      </x:c>
      <x:c r="B410" t="str">
        <x:f>IF(RAND()&lt;'Team_Info'!$E$5,"W","B")</x:f>
        <x:v>B</x:v>
      </x:c>
      <x:c r="C410" t="str">
        <x:f>IF(RAND()&lt;(('Team_Info'!$E$2-COUNTIF($B410:B410,"W"))/('Team_Info'!$E$4-1)),"W","B")</x:f>
        <x:v>B</x:v>
      </x:c>
      <x:c r="D410" t="str">
        <x:f>IF(RAND()&lt;(('Team_Info'!$E$2-COUNTIF($B410:C410,"W"))/('Team_Info'!$E$4-2)),"W","B")</x:f>
        <x:v>B</x:v>
      </x:c>
      <x:c r="E410" t="str">
        <x:f>IF(RAND()&lt;(('Team_Info'!$E$2-COUNTIF($B410:D410,"W"))/('Team_Info'!$E$4-3)),"W","B")</x:f>
        <x:v>B</x:v>
      </x:c>
      <x:c r="F410" t="str">
        <x:f>IF(RAND()&lt;(('Team_Info'!$E$2-COUNTIF($B410:E410,"W"))/('Team_Info'!$E$4-4)),"W","B")</x:f>
        <x:v>W</x:v>
      </x:c>
      <x:c r="G410" t="str">
        <x:f>IF(RAND()&lt;(('Team_Info'!$E$2-COUNTIF($B410:F410,"W"))/('Team_Info'!$E$4-5)),"W","B")</x:f>
        <x:v>B</x:v>
      </x:c>
      <x:c r="H410" t="str">
        <x:f>IF(RAND()&lt;(('Team_Info'!$E$2-COUNTIF($B410:G410,"W"))/('Team_Info'!$E$4-6)),"W","B")</x:f>
        <x:v>B</x:v>
      </x:c>
      <x:c r="I410" t="str">
        <x:f>IF(RAND()&lt;(('Team_Info'!$E$2-COUNTIF($B410:H410,"W"))/('Team_Info'!$E$4-7)),"W","B")</x:f>
        <x:v>W</x:v>
      </x:c>
      <x:c r="J410" t="str">
        <x:f>IF(RAND()&lt;(('Team_Info'!$E$2-COUNTIF($B410:I410,"W"))/('Team_Info'!$E$4-8)),"W","B")</x:f>
        <x:v>W</x:v>
      </x:c>
      <x:c r="K410" t="str">
        <x:f>IF(RAND()&lt;(('Team_Info'!$E$2-COUNTIF($B410:J410,"W"))/('Team_Info'!$E$4-9)),"W","B")</x:f>
        <x:v>W</x:v>
      </x:c>
      <x:c r="L410" t="str">
        <x:f>IF(RAND()&lt;(('Team_Info'!$E$2-COUNTIF($B410:K410,"W"))/('Team_Info'!$E$4-10)),"W","B")</x:f>
        <x:v>B</x:v>
      </x:c>
      <x:c r="M410" t="str">
        <x:f>IF(RAND()&lt;(('Team_Info'!$E$2-COUNTIF($B410:L410,"W"))/('Team_Info'!$E$4-11)),"W","B")</x:f>
        <x:v>B</x:v>
      </x:c>
      <x:c r="N410" t="str">
        <x:f>IF(RAND()&lt;(('Team_Info'!$E$2-COUNTIF($B410:M410,"W"))/('Team_Info'!$E$4-12)),"W","B")</x:f>
        <x:v>B</x:v>
      </x:c>
      <x:c r="O410" t="str">
        <x:f>IF(RAND()&lt;(('Team_Info'!$E$2-COUNTIF($B410:N410,"W"))/('Team_Info'!$E$4-13)),"W","B")</x:f>
        <x:v>B</x:v>
      </x:c>
      <x:c r="P410" t="str">
        <x:f>IF(RAND()&lt;(('Team_Info'!$E$2-COUNTIF($B410:O410,"W"))/('Team_Info'!$E$4-14)),"W","B")</x:f>
        <x:v>B</x:v>
      </x:c>
      <x:c r="Q410" t="str">
        <x:f>IF(RAND()&lt;(('Team_Info'!$E$2-COUNTIF($B410:P410,"W"))/('Team_Info'!$E$4-15)),"W","B")</x:f>
        <x:v>W</x:v>
      </x:c>
      <x:c r="R410" t="str">
        <x:f>IF(RAND()&lt;(('Team_Info'!$E$2-COUNTIF($B410:Q410,"W"))/('Team_Info'!$E$4-16)),"W","B")</x:f>
        <x:v>B</x:v>
      </x:c>
      <x:c r="S410" t="str">
        <x:f>IF(RAND()&lt;(('Team_Info'!$E$2-COUNTIF($B410:R410,"W"))/('Team_Info'!$E$4-17)),"W","B")</x:f>
        <x:v>W</x:v>
      </x:c>
      <x:c r="T410" t="str">
        <x:f>IF(RAND()&lt;(('Team_Info'!$E$2-COUNTIF($B410:S410,"W"))/('Team_Info'!$E$4-18)),"W","B")</x:f>
        <x:v>B</x:v>
      </x:c>
      <x:c r="U410" t="str">
        <x:f>IF(RAND()&lt;(('Team_Info'!$E$2-COUNTIF($B410:T410,"W"))/('Team_Info'!$E$4-19)),"W","B")</x:f>
        <x:v>B</x:v>
      </x:c>
    </x:row>
    <x:row r="411">
      <x:c r="A411" s="1">
        <x:v>410</x:v>
      </x:c>
      <x:c r="B411" t="str">
        <x:f>IF(RAND()&lt;'Team_Info'!$E$5,"W","B")</x:f>
        <x:v>W</x:v>
      </x:c>
      <x:c r="C411" t="str">
        <x:f>IF(RAND()&lt;(('Team_Info'!$E$2-COUNTIF($B411:B411,"W"))/('Team_Info'!$E$4-1)),"W","B")</x:f>
        <x:v>W</x:v>
      </x:c>
      <x:c r="D411" t="str">
        <x:f>IF(RAND()&lt;(('Team_Info'!$E$2-COUNTIF($B411:C411,"W"))/('Team_Info'!$E$4-2)),"W","B")</x:f>
        <x:v>B</x:v>
      </x:c>
      <x:c r="E411" t="str">
        <x:f>IF(RAND()&lt;(('Team_Info'!$E$2-COUNTIF($B411:D411,"W"))/('Team_Info'!$E$4-3)),"W","B")</x:f>
        <x:v>W</x:v>
      </x:c>
      <x:c r="F411" t="str">
        <x:f>IF(RAND()&lt;(('Team_Info'!$E$2-COUNTIF($B411:E411,"W"))/('Team_Info'!$E$4-4)),"W","B")</x:f>
        <x:v>B</x:v>
      </x:c>
      <x:c r="G411" t="str">
        <x:f>IF(RAND()&lt;(('Team_Info'!$E$2-COUNTIF($B411:F411,"W"))/('Team_Info'!$E$4-5)),"W","B")</x:f>
        <x:v>W</x:v>
      </x:c>
      <x:c r="H411" t="str">
        <x:f>IF(RAND()&lt;(('Team_Info'!$E$2-COUNTIF($B411:G411,"W"))/('Team_Info'!$E$4-6)),"W","B")</x:f>
        <x:v>W</x:v>
      </x:c>
      <x:c r="I411" t="str">
        <x:f>IF(RAND()&lt;(('Team_Info'!$E$2-COUNTIF($B411:H411,"W"))/('Team_Info'!$E$4-7)),"W","B")</x:f>
        <x:v>B</x:v>
      </x:c>
      <x:c r="J411" t="str">
        <x:f>IF(RAND()&lt;(('Team_Info'!$E$2-COUNTIF($B411:I411,"W"))/('Team_Info'!$E$4-8)),"W","B")</x:f>
        <x:v>W</x:v>
      </x:c>
      <x:c r="K411" t="str">
        <x:f>IF(RAND()&lt;(('Team_Info'!$E$2-COUNTIF($B411:J411,"W"))/('Team_Info'!$E$4-9)),"W","B")</x:f>
        <x:v>B</x:v>
      </x:c>
      <x:c r="L411" t="str">
        <x:f>IF(RAND()&lt;(('Team_Info'!$E$2-COUNTIF($B411:K411,"W"))/('Team_Info'!$E$4-10)),"W","B")</x:f>
        <x:v>W</x:v>
      </x:c>
      <x:c r="M411" t="str">
        <x:f>IF(RAND()&lt;(('Team_Info'!$E$2-COUNTIF($B411:L411,"W"))/('Team_Info'!$E$4-11)),"W","B")</x:f>
        <x:v>W</x:v>
      </x:c>
      <x:c r="N411" t="str">
        <x:f>IF(RAND()&lt;(('Team_Info'!$E$2-COUNTIF($B411:M411,"W"))/('Team_Info'!$E$4-12)),"W","B")</x:f>
        <x:v>B</x:v>
      </x:c>
      <x:c r="O411" t="str">
        <x:f>IF(RAND()&lt;(('Team_Info'!$E$2-COUNTIF($B411:N411,"W"))/('Team_Info'!$E$4-13)),"W","B")</x:f>
        <x:v>B</x:v>
      </x:c>
      <x:c r="P411" t="str">
        <x:f>IF(RAND()&lt;(('Team_Info'!$E$2-COUNTIF($B411:O411,"W"))/('Team_Info'!$E$4-14)),"W","B")</x:f>
        <x:v>B</x:v>
      </x:c>
      <x:c r="Q411" t="str">
        <x:f>IF(RAND()&lt;(('Team_Info'!$E$2-COUNTIF($B411:P411,"W"))/('Team_Info'!$E$4-15)),"W","B")</x:f>
        <x:v>B</x:v>
      </x:c>
      <x:c r="R411" t="str">
        <x:f>IF(RAND()&lt;(('Team_Info'!$E$2-COUNTIF($B411:Q411,"W"))/('Team_Info'!$E$4-16)),"W","B")</x:f>
        <x:v>W</x:v>
      </x:c>
      <x:c r="S411" t="str">
        <x:f>IF(RAND()&lt;(('Team_Info'!$E$2-COUNTIF($B411:R411,"W"))/('Team_Info'!$E$4-17)),"W","B")</x:f>
        <x:v>W</x:v>
      </x:c>
      <x:c r="T411" t="str">
        <x:f>IF(RAND()&lt;(('Team_Info'!$E$2-COUNTIF($B411:S411,"W"))/('Team_Info'!$E$4-18)),"W","B")</x:f>
        <x:v>B</x:v>
      </x:c>
      <x:c r="U411" t="str">
        <x:f>IF(RAND()&lt;(('Team_Info'!$E$2-COUNTIF($B411:T411,"W"))/('Team_Info'!$E$4-19)),"W","B")</x:f>
        <x:v>B</x:v>
      </x:c>
    </x:row>
    <x:row r="412">
      <x:c r="A412" s="1">
        <x:v>411</x:v>
      </x:c>
      <x:c r="B412" t="str">
        <x:f>IF(RAND()&lt;'Team_Info'!$E$5,"W","B")</x:f>
        <x:v>B</x:v>
      </x:c>
      <x:c r="C412" t="str">
        <x:f>IF(RAND()&lt;(('Team_Info'!$E$2-COUNTIF($B412:B412,"W"))/('Team_Info'!$E$4-1)),"W","B")</x:f>
        <x:v>W</x:v>
      </x:c>
      <x:c r="D412" t="str">
        <x:f>IF(RAND()&lt;(('Team_Info'!$E$2-COUNTIF($B412:C412,"W"))/('Team_Info'!$E$4-2)),"W","B")</x:f>
        <x:v>B</x:v>
      </x:c>
      <x:c r="E412" t="str">
        <x:f>IF(RAND()&lt;(('Team_Info'!$E$2-COUNTIF($B412:D412,"W"))/('Team_Info'!$E$4-3)),"W","B")</x:f>
        <x:v>B</x:v>
      </x:c>
      <x:c r="F412" t="str">
        <x:f>IF(RAND()&lt;(('Team_Info'!$E$2-COUNTIF($B412:E412,"W"))/('Team_Info'!$E$4-4)),"W","B")</x:f>
        <x:v>B</x:v>
      </x:c>
      <x:c r="G412" t="str">
        <x:f>IF(RAND()&lt;(('Team_Info'!$E$2-COUNTIF($B412:F412,"W"))/('Team_Info'!$E$4-5)),"W","B")</x:f>
        <x:v>B</x:v>
      </x:c>
      <x:c r="H412" t="str">
        <x:f>IF(RAND()&lt;(('Team_Info'!$E$2-COUNTIF($B412:G412,"W"))/('Team_Info'!$E$4-6)),"W","B")</x:f>
        <x:v>B</x:v>
      </x:c>
      <x:c r="I412" t="str">
        <x:f>IF(RAND()&lt;(('Team_Info'!$E$2-COUNTIF($B412:H412,"W"))/('Team_Info'!$E$4-7)),"W","B")</x:f>
        <x:v>B</x:v>
      </x:c>
      <x:c r="J412" t="str">
        <x:f>IF(RAND()&lt;(('Team_Info'!$E$2-COUNTIF($B412:I412,"W"))/('Team_Info'!$E$4-8)),"W","B")</x:f>
        <x:v>B</x:v>
      </x:c>
      <x:c r="K412" t="str">
        <x:f>IF(RAND()&lt;(('Team_Info'!$E$2-COUNTIF($B412:J412,"W"))/('Team_Info'!$E$4-9)),"W","B")</x:f>
        <x:v>B</x:v>
      </x:c>
      <x:c r="L412" t="str">
        <x:f>IF(RAND()&lt;(('Team_Info'!$E$2-COUNTIF($B412:K412,"W"))/('Team_Info'!$E$4-10)),"W","B")</x:f>
        <x:v>B</x:v>
      </x:c>
      <x:c r="M412" t="str">
        <x:f>IF(RAND()&lt;(('Team_Info'!$E$2-COUNTIF($B412:L412,"W"))/('Team_Info'!$E$4-11)),"W","B")</x:f>
        <x:v>B</x:v>
      </x:c>
      <x:c r="N412" t="str">
        <x:f>IF(RAND()&lt;(('Team_Info'!$E$2-COUNTIF($B412:M412,"W"))/('Team_Info'!$E$4-12)),"W","B")</x:f>
        <x:v>W</x:v>
      </x:c>
      <x:c r="O412" t="str">
        <x:f>IF(RAND()&lt;(('Team_Info'!$E$2-COUNTIF($B412:N412,"W"))/('Team_Info'!$E$4-13)),"W","B")</x:f>
        <x:v>B</x:v>
      </x:c>
      <x:c r="P412" t="str">
        <x:f>IF(RAND()&lt;(('Team_Info'!$E$2-COUNTIF($B412:O412,"W"))/('Team_Info'!$E$4-14)),"W","B")</x:f>
        <x:v>W</x:v>
      </x:c>
      <x:c r="Q412" t="str">
        <x:f>IF(RAND()&lt;(('Team_Info'!$E$2-COUNTIF($B412:P412,"W"))/('Team_Info'!$E$4-15)),"W","B")</x:f>
        <x:v>B</x:v>
      </x:c>
      <x:c r="R412" t="str">
        <x:f>IF(RAND()&lt;(('Team_Info'!$E$2-COUNTIF($B412:Q412,"W"))/('Team_Info'!$E$4-16)),"W","B")</x:f>
        <x:v>W</x:v>
      </x:c>
      <x:c r="S412" t="str">
        <x:f>IF(RAND()&lt;(('Team_Info'!$E$2-COUNTIF($B412:R412,"W"))/('Team_Info'!$E$4-17)),"W","B")</x:f>
        <x:v>B</x:v>
      </x:c>
      <x:c r="T412" t="str">
        <x:f>IF(RAND()&lt;(('Team_Info'!$E$2-COUNTIF($B412:S412,"W"))/('Team_Info'!$E$4-18)),"W","B")</x:f>
        <x:v>B</x:v>
      </x:c>
      <x:c r="U412" t="str">
        <x:f>IF(RAND()&lt;(('Team_Info'!$E$2-COUNTIF($B412:T412,"W"))/('Team_Info'!$E$4-19)),"W","B")</x:f>
        <x:v>B</x:v>
      </x:c>
    </x:row>
    <x:row r="413">
      <x:c r="A413" s="1">
        <x:v>412</x:v>
      </x:c>
      <x:c r="B413" t="str">
        <x:f>IF(RAND()&lt;'Team_Info'!$E$5,"W","B")</x:f>
        <x:v>W</x:v>
      </x:c>
      <x:c r="C413" t="str">
        <x:f>IF(RAND()&lt;(('Team_Info'!$E$2-COUNTIF($B413:B413,"W"))/('Team_Info'!$E$4-1)),"W","B")</x:f>
        <x:v>B</x:v>
      </x:c>
      <x:c r="D413" t="str">
        <x:f>IF(RAND()&lt;(('Team_Info'!$E$2-COUNTIF($B413:C413,"W"))/('Team_Info'!$E$4-2)),"W","B")</x:f>
        <x:v>W</x:v>
      </x:c>
      <x:c r="E413" t="str">
        <x:f>IF(RAND()&lt;(('Team_Info'!$E$2-COUNTIF($B413:D413,"W"))/('Team_Info'!$E$4-3)),"W","B")</x:f>
        <x:v>B</x:v>
      </x:c>
      <x:c r="F413" t="str">
        <x:f>IF(RAND()&lt;(('Team_Info'!$E$2-COUNTIF($B413:E413,"W"))/('Team_Info'!$E$4-4)),"W","B")</x:f>
        <x:v>B</x:v>
      </x:c>
      <x:c r="G413" t="str">
        <x:f>IF(RAND()&lt;(('Team_Info'!$E$2-COUNTIF($B413:F413,"W"))/('Team_Info'!$E$4-5)),"W","B")</x:f>
        <x:v>W</x:v>
      </x:c>
      <x:c r="H413" t="str">
        <x:f>IF(RAND()&lt;(('Team_Info'!$E$2-COUNTIF($B413:G413,"W"))/('Team_Info'!$E$4-6)),"W","B")</x:f>
        <x:v>W</x:v>
      </x:c>
      <x:c r="I413" t="str">
        <x:f>IF(RAND()&lt;(('Team_Info'!$E$2-COUNTIF($B413:H413,"W"))/('Team_Info'!$E$4-7)),"W","B")</x:f>
        <x:v>W</x:v>
      </x:c>
      <x:c r="J413" t="str">
        <x:f>IF(RAND()&lt;(('Team_Info'!$E$2-COUNTIF($B413:I413,"W"))/('Team_Info'!$E$4-8)),"W","B")</x:f>
        <x:v>W</x:v>
      </x:c>
      <x:c r="K413" t="str">
        <x:f>IF(RAND()&lt;(('Team_Info'!$E$2-COUNTIF($B413:J413,"W"))/('Team_Info'!$E$4-9)),"W","B")</x:f>
        <x:v>W</x:v>
      </x:c>
      <x:c r="L413" t="str">
        <x:f>IF(RAND()&lt;(('Team_Info'!$E$2-COUNTIF($B413:K413,"W"))/('Team_Info'!$E$4-10)),"W","B")</x:f>
        <x:v>W</x:v>
      </x:c>
      <x:c r="M413" t="str">
        <x:f>IF(RAND()&lt;(('Team_Info'!$E$2-COUNTIF($B413:L413,"W"))/('Team_Info'!$E$4-11)),"W","B")</x:f>
        <x:v>W</x:v>
      </x:c>
      <x:c r="N413" t="str">
        <x:f>IF(RAND()&lt;(('Team_Info'!$E$2-COUNTIF($B413:M413,"W"))/('Team_Info'!$E$4-12)),"W","B")</x:f>
        <x:v>B</x:v>
      </x:c>
      <x:c r="O413" t="str">
        <x:f>IF(RAND()&lt;(('Team_Info'!$E$2-COUNTIF($B413:N413,"W"))/('Team_Info'!$E$4-13)),"W","B")</x:f>
        <x:v>B</x:v>
      </x:c>
      <x:c r="P413" t="str">
        <x:f>IF(RAND()&lt;(('Team_Info'!$E$2-COUNTIF($B413:O413,"W"))/('Team_Info'!$E$4-14)),"W","B")</x:f>
        <x:v>B</x:v>
      </x:c>
      <x:c r="Q413" t="str">
        <x:f>IF(RAND()&lt;(('Team_Info'!$E$2-COUNTIF($B413:P413,"W"))/('Team_Info'!$E$4-15)),"W","B")</x:f>
        <x:v>W</x:v>
      </x:c>
      <x:c r="R413" t="str">
        <x:f>IF(RAND()&lt;(('Team_Info'!$E$2-COUNTIF($B413:Q413,"W"))/('Team_Info'!$E$4-16)),"W","B")</x:f>
        <x:v>W</x:v>
      </x:c>
      <x:c r="S413" t="str">
        <x:f>IF(RAND()&lt;(('Team_Info'!$E$2-COUNTIF($B413:R413,"W"))/('Team_Info'!$E$4-17)),"W","B")</x:f>
        <x:v>B</x:v>
      </x:c>
      <x:c r="T413" t="str">
        <x:f>IF(RAND()&lt;(('Team_Info'!$E$2-COUNTIF($B413:S413,"W"))/('Team_Info'!$E$4-18)),"W","B")</x:f>
        <x:v>B</x:v>
      </x:c>
      <x:c r="U413" t="str">
        <x:f>IF(RAND()&lt;(('Team_Info'!$E$2-COUNTIF($B413:T413,"W"))/('Team_Info'!$E$4-19)),"W","B")</x:f>
        <x:v>W</x:v>
      </x:c>
    </x:row>
    <x:row r="414">
      <x:c r="A414" s="1">
        <x:v>413</x:v>
      </x:c>
      <x:c r="B414" t="str">
        <x:f>IF(RAND()&lt;'Team_Info'!$E$5,"W","B")</x:f>
        <x:v>B</x:v>
      </x:c>
      <x:c r="C414" t="str">
        <x:f>IF(RAND()&lt;(('Team_Info'!$E$2-COUNTIF($B414:B414,"W"))/('Team_Info'!$E$4-1)),"W","B")</x:f>
        <x:v>B</x:v>
      </x:c>
      <x:c r="D414" t="str">
        <x:f>IF(RAND()&lt;(('Team_Info'!$E$2-COUNTIF($B414:C414,"W"))/('Team_Info'!$E$4-2)),"W","B")</x:f>
        <x:v>W</x:v>
      </x:c>
      <x:c r="E414" t="str">
        <x:f>IF(RAND()&lt;(('Team_Info'!$E$2-COUNTIF($B414:D414,"W"))/('Team_Info'!$E$4-3)),"W","B")</x:f>
        <x:v>B</x:v>
      </x:c>
      <x:c r="F414" t="str">
        <x:f>IF(RAND()&lt;(('Team_Info'!$E$2-COUNTIF($B414:E414,"W"))/('Team_Info'!$E$4-4)),"W","B")</x:f>
        <x:v>B</x:v>
      </x:c>
      <x:c r="G414" t="str">
        <x:f>IF(RAND()&lt;(('Team_Info'!$E$2-COUNTIF($B414:F414,"W"))/('Team_Info'!$E$4-5)),"W","B")</x:f>
        <x:v>B</x:v>
      </x:c>
      <x:c r="H414" t="str">
        <x:f>IF(RAND()&lt;(('Team_Info'!$E$2-COUNTIF($B414:G414,"W"))/('Team_Info'!$E$4-6)),"W","B")</x:f>
        <x:v>W</x:v>
      </x:c>
      <x:c r="I414" t="str">
        <x:f>IF(RAND()&lt;(('Team_Info'!$E$2-COUNTIF($B414:H414,"W"))/('Team_Info'!$E$4-7)),"W","B")</x:f>
        <x:v>W</x:v>
      </x:c>
      <x:c r="J414" t="str">
        <x:f>IF(RAND()&lt;(('Team_Info'!$E$2-COUNTIF($B414:I414,"W"))/('Team_Info'!$E$4-8)),"W","B")</x:f>
        <x:v>W</x:v>
      </x:c>
      <x:c r="K414" t="str">
        <x:f>IF(RAND()&lt;(('Team_Info'!$E$2-COUNTIF($B414:J414,"W"))/('Team_Info'!$E$4-9)),"W","B")</x:f>
        <x:v>W</x:v>
      </x:c>
      <x:c r="L414" t="str">
        <x:f>IF(RAND()&lt;(('Team_Info'!$E$2-COUNTIF($B414:K414,"W"))/('Team_Info'!$E$4-10)),"W","B")</x:f>
        <x:v>W</x:v>
      </x:c>
      <x:c r="M414" t="str">
        <x:f>IF(RAND()&lt;(('Team_Info'!$E$2-COUNTIF($B414:L414,"W"))/('Team_Info'!$E$4-11)),"W","B")</x:f>
        <x:v>W</x:v>
      </x:c>
      <x:c r="N414" t="str">
        <x:f>IF(RAND()&lt;(('Team_Info'!$E$2-COUNTIF($B414:M414,"W"))/('Team_Info'!$E$4-12)),"W","B")</x:f>
        <x:v>B</x:v>
      </x:c>
      <x:c r="O414" t="str">
        <x:f>IF(RAND()&lt;(('Team_Info'!$E$2-COUNTIF($B414:N414,"W"))/('Team_Info'!$E$4-13)),"W","B")</x:f>
        <x:v>B</x:v>
      </x:c>
      <x:c r="P414" t="str">
        <x:f>IF(RAND()&lt;(('Team_Info'!$E$2-COUNTIF($B414:O414,"W"))/('Team_Info'!$E$4-14)),"W","B")</x:f>
        <x:v>B</x:v>
      </x:c>
      <x:c r="Q414" t="str">
        <x:f>IF(RAND()&lt;(('Team_Info'!$E$2-COUNTIF($B414:P414,"W"))/('Team_Info'!$E$4-15)),"W","B")</x:f>
        <x:v>W</x:v>
      </x:c>
      <x:c r="R414" t="str">
        <x:f>IF(RAND()&lt;(('Team_Info'!$E$2-COUNTIF($B414:Q414,"W"))/('Team_Info'!$E$4-16)),"W","B")</x:f>
        <x:v>W</x:v>
      </x:c>
      <x:c r="S414" t="str">
        <x:f>IF(RAND()&lt;(('Team_Info'!$E$2-COUNTIF($B414:R414,"W"))/('Team_Info'!$E$4-17)),"W","B")</x:f>
        <x:v>W</x:v>
      </x:c>
      <x:c r="T414" t="str">
        <x:f>IF(RAND()&lt;(('Team_Info'!$E$2-COUNTIF($B414:S414,"W"))/('Team_Info'!$E$4-18)),"W","B")</x:f>
        <x:v>B</x:v>
      </x:c>
      <x:c r="U414" t="str">
        <x:f>IF(RAND()&lt;(('Team_Info'!$E$2-COUNTIF($B414:T414,"W"))/('Team_Info'!$E$4-19)),"W","B")</x:f>
        <x:v>W</x:v>
      </x:c>
    </x:row>
    <x:row r="415">
      <x:c r="A415" s="1">
        <x:v>414</x:v>
      </x:c>
      <x:c r="B415" t="str">
        <x:f>IF(RAND()&lt;'Team_Info'!$E$5,"W","B")</x:f>
        <x:v>B</x:v>
      </x:c>
      <x:c r="C415" t="str">
        <x:f>IF(RAND()&lt;(('Team_Info'!$E$2-COUNTIF($B415:B415,"W"))/('Team_Info'!$E$4-1)),"W","B")</x:f>
        <x:v>B</x:v>
      </x:c>
      <x:c r="D415" t="str">
        <x:f>IF(RAND()&lt;(('Team_Info'!$E$2-COUNTIF($B415:C415,"W"))/('Team_Info'!$E$4-2)),"W","B")</x:f>
        <x:v>W</x:v>
      </x:c>
      <x:c r="E415" t="str">
        <x:f>IF(RAND()&lt;(('Team_Info'!$E$2-COUNTIF($B415:D415,"W"))/('Team_Info'!$E$4-3)),"W","B")</x:f>
        <x:v>B</x:v>
      </x:c>
      <x:c r="F415" t="str">
        <x:f>IF(RAND()&lt;(('Team_Info'!$E$2-COUNTIF($B415:E415,"W"))/('Team_Info'!$E$4-4)),"W","B")</x:f>
        <x:v>B</x:v>
      </x:c>
      <x:c r="G415" t="str">
        <x:f>IF(RAND()&lt;(('Team_Info'!$E$2-COUNTIF($B415:F415,"W"))/('Team_Info'!$E$4-5)),"W","B")</x:f>
        <x:v>B</x:v>
      </x:c>
      <x:c r="H415" t="str">
        <x:f>IF(RAND()&lt;(('Team_Info'!$E$2-COUNTIF($B415:G415,"W"))/('Team_Info'!$E$4-6)),"W","B")</x:f>
        <x:v>B</x:v>
      </x:c>
      <x:c r="I415" t="str">
        <x:f>IF(RAND()&lt;(('Team_Info'!$E$2-COUNTIF($B415:H415,"W"))/('Team_Info'!$E$4-7)),"W","B")</x:f>
        <x:v>W</x:v>
      </x:c>
      <x:c r="J415" t="str">
        <x:f>IF(RAND()&lt;(('Team_Info'!$E$2-COUNTIF($B415:I415,"W"))/('Team_Info'!$E$4-8)),"W","B")</x:f>
        <x:v>B</x:v>
      </x:c>
      <x:c r="K415" t="str">
        <x:f>IF(RAND()&lt;(('Team_Info'!$E$2-COUNTIF($B415:J415,"W"))/('Team_Info'!$E$4-9)),"W","B")</x:f>
        <x:v>B</x:v>
      </x:c>
      <x:c r="L415" t="str">
        <x:f>IF(RAND()&lt;(('Team_Info'!$E$2-COUNTIF($B415:K415,"W"))/('Team_Info'!$E$4-10)),"W","B")</x:f>
        <x:v>B</x:v>
      </x:c>
      <x:c r="M415" t="str">
        <x:f>IF(RAND()&lt;(('Team_Info'!$E$2-COUNTIF($B415:L415,"W"))/('Team_Info'!$E$4-11)),"W","B")</x:f>
        <x:v>W</x:v>
      </x:c>
      <x:c r="N415" t="str">
        <x:f>IF(RAND()&lt;(('Team_Info'!$E$2-COUNTIF($B415:M415,"W"))/('Team_Info'!$E$4-12)),"W","B")</x:f>
        <x:v>W</x:v>
      </x:c>
      <x:c r="O415" t="str">
        <x:f>IF(RAND()&lt;(('Team_Info'!$E$2-COUNTIF($B415:N415,"W"))/('Team_Info'!$E$4-13)),"W","B")</x:f>
        <x:v>B</x:v>
      </x:c>
      <x:c r="P415" t="str">
        <x:f>IF(RAND()&lt;(('Team_Info'!$E$2-COUNTIF($B415:O415,"W"))/('Team_Info'!$E$4-14)),"W","B")</x:f>
        <x:v>W</x:v>
      </x:c>
      <x:c r="Q415" t="str">
        <x:f>IF(RAND()&lt;(('Team_Info'!$E$2-COUNTIF($B415:P415,"W"))/('Team_Info'!$E$4-15)),"W","B")</x:f>
        <x:v>B</x:v>
      </x:c>
      <x:c r="R415" t="str">
        <x:f>IF(RAND()&lt;(('Team_Info'!$E$2-COUNTIF($B415:Q415,"W"))/('Team_Info'!$E$4-16)),"W","B")</x:f>
        <x:v>B</x:v>
      </x:c>
      <x:c r="S415" t="str">
        <x:f>IF(RAND()&lt;(('Team_Info'!$E$2-COUNTIF($B415:R415,"W"))/('Team_Info'!$E$4-17)),"W","B")</x:f>
        <x:v>W</x:v>
      </x:c>
      <x:c r="T415" t="str">
        <x:f>IF(RAND()&lt;(('Team_Info'!$E$2-COUNTIF($B415:S415,"W"))/('Team_Info'!$E$4-18)),"W","B")</x:f>
        <x:v>W</x:v>
      </x:c>
      <x:c r="U415" t="str">
        <x:f>IF(RAND()&lt;(('Team_Info'!$E$2-COUNTIF($B415:T415,"W"))/('Team_Info'!$E$4-19)),"W","B")</x:f>
        <x:v>B</x:v>
      </x:c>
    </x:row>
    <x:row r="416">
      <x:c r="A416" s="1">
        <x:v>415</x:v>
      </x:c>
      <x:c r="B416" t="str">
        <x:f>IF(RAND()&lt;'Team_Info'!$E$5,"W","B")</x:f>
        <x:v>W</x:v>
      </x:c>
      <x:c r="C416" t="str">
        <x:f>IF(RAND()&lt;(('Team_Info'!$E$2-COUNTIF($B416:B416,"W"))/('Team_Info'!$E$4-1)),"W","B")</x:f>
        <x:v>W</x:v>
      </x:c>
      <x:c r="D416" t="str">
        <x:f>IF(RAND()&lt;(('Team_Info'!$E$2-COUNTIF($B416:C416,"W"))/('Team_Info'!$E$4-2)),"W","B")</x:f>
        <x:v>W</x:v>
      </x:c>
      <x:c r="E416" t="str">
        <x:f>IF(RAND()&lt;(('Team_Info'!$E$2-COUNTIF($B416:D416,"W"))/('Team_Info'!$E$4-3)),"W","B")</x:f>
        <x:v>B</x:v>
      </x:c>
      <x:c r="F416" t="str">
        <x:f>IF(RAND()&lt;(('Team_Info'!$E$2-COUNTIF($B416:E416,"W"))/('Team_Info'!$E$4-4)),"W","B")</x:f>
        <x:v>W</x:v>
      </x:c>
      <x:c r="G416" t="str">
        <x:f>IF(RAND()&lt;(('Team_Info'!$E$2-COUNTIF($B416:F416,"W"))/('Team_Info'!$E$4-5)),"W","B")</x:f>
        <x:v>W</x:v>
      </x:c>
      <x:c r="H416" t="str">
        <x:f>IF(RAND()&lt;(('Team_Info'!$E$2-COUNTIF($B416:G416,"W"))/('Team_Info'!$E$4-6)),"W","B")</x:f>
        <x:v>W</x:v>
      </x:c>
      <x:c r="I416" t="str">
        <x:f>IF(RAND()&lt;(('Team_Info'!$E$2-COUNTIF($B416:H416,"W"))/('Team_Info'!$E$4-7)),"W","B")</x:f>
        <x:v>B</x:v>
      </x:c>
      <x:c r="J416" t="str">
        <x:f>IF(RAND()&lt;(('Team_Info'!$E$2-COUNTIF($B416:I416,"W"))/('Team_Info'!$E$4-8)),"W","B")</x:f>
        <x:v>B</x:v>
      </x:c>
      <x:c r="K416" t="str">
        <x:f>IF(RAND()&lt;(('Team_Info'!$E$2-COUNTIF($B416:J416,"W"))/('Team_Info'!$E$4-9)),"W","B")</x:f>
        <x:v>B</x:v>
      </x:c>
      <x:c r="L416" t="str">
        <x:f>IF(RAND()&lt;(('Team_Info'!$E$2-COUNTIF($B416:K416,"W"))/('Team_Info'!$E$4-10)),"W","B")</x:f>
        <x:v>B</x:v>
      </x:c>
      <x:c r="M416" t="str">
        <x:f>IF(RAND()&lt;(('Team_Info'!$E$2-COUNTIF($B416:L416,"W"))/('Team_Info'!$E$4-11)),"W","B")</x:f>
        <x:v>B</x:v>
      </x:c>
      <x:c r="N416" t="str">
        <x:f>IF(RAND()&lt;(('Team_Info'!$E$2-COUNTIF($B416:M416,"W"))/('Team_Info'!$E$4-12)),"W","B")</x:f>
        <x:v>W</x:v>
      </x:c>
      <x:c r="O416" t="str">
        <x:f>IF(RAND()&lt;(('Team_Info'!$E$2-COUNTIF($B416:N416,"W"))/('Team_Info'!$E$4-13)),"W","B")</x:f>
        <x:v>B</x:v>
      </x:c>
      <x:c r="P416" t="str">
        <x:f>IF(RAND()&lt;(('Team_Info'!$E$2-COUNTIF($B416:O416,"W"))/('Team_Info'!$E$4-14)),"W","B")</x:f>
        <x:v>W</x:v>
      </x:c>
      <x:c r="Q416" t="str">
        <x:f>IF(RAND()&lt;(('Team_Info'!$E$2-COUNTIF($B416:P416,"W"))/('Team_Info'!$E$4-15)),"W","B")</x:f>
        <x:v>B</x:v>
      </x:c>
      <x:c r="R416" t="str">
        <x:f>IF(RAND()&lt;(('Team_Info'!$E$2-COUNTIF($B416:Q416,"W"))/('Team_Info'!$E$4-16)),"W","B")</x:f>
        <x:v>B</x:v>
      </x:c>
      <x:c r="S416" t="str">
        <x:f>IF(RAND()&lt;(('Team_Info'!$E$2-COUNTIF($B416:R416,"W"))/('Team_Info'!$E$4-17)),"W","B")</x:f>
        <x:v>B</x:v>
      </x:c>
      <x:c r="T416" t="str">
        <x:f>IF(RAND()&lt;(('Team_Info'!$E$2-COUNTIF($B416:S416,"W"))/('Team_Info'!$E$4-18)),"W","B")</x:f>
        <x:v>W</x:v>
      </x:c>
      <x:c r="U416" t="str">
        <x:f>IF(RAND()&lt;(('Team_Info'!$E$2-COUNTIF($B416:T416,"W"))/('Team_Info'!$E$4-19)),"W","B")</x:f>
        <x:v>B</x:v>
      </x:c>
    </x:row>
    <x:row r="417">
      <x:c r="A417" s="1">
        <x:v>416</x:v>
      </x:c>
      <x:c r="B417" t="str">
        <x:f>IF(RAND()&lt;'Team_Info'!$E$5,"W","B")</x:f>
        <x:v>B</x:v>
      </x:c>
      <x:c r="C417" t="str">
        <x:f>IF(RAND()&lt;(('Team_Info'!$E$2-COUNTIF($B417:B417,"W"))/('Team_Info'!$E$4-1)),"W","B")</x:f>
        <x:v>B</x:v>
      </x:c>
      <x:c r="D417" t="str">
        <x:f>IF(RAND()&lt;(('Team_Info'!$E$2-COUNTIF($B417:C417,"W"))/('Team_Info'!$E$4-2)),"W","B")</x:f>
        <x:v>B</x:v>
      </x:c>
      <x:c r="E417" t="str">
        <x:f>IF(RAND()&lt;(('Team_Info'!$E$2-COUNTIF($B417:D417,"W"))/('Team_Info'!$E$4-3)),"W","B")</x:f>
        <x:v>B</x:v>
      </x:c>
      <x:c r="F417" t="str">
        <x:f>IF(RAND()&lt;(('Team_Info'!$E$2-COUNTIF($B417:E417,"W"))/('Team_Info'!$E$4-4)),"W","B")</x:f>
        <x:v>B</x:v>
      </x:c>
      <x:c r="G417" t="str">
        <x:f>IF(RAND()&lt;(('Team_Info'!$E$2-COUNTIF($B417:F417,"W"))/('Team_Info'!$E$4-5)),"W","B")</x:f>
        <x:v>B</x:v>
      </x:c>
      <x:c r="H417" t="str">
        <x:f>IF(RAND()&lt;(('Team_Info'!$E$2-COUNTIF($B417:G417,"W"))/('Team_Info'!$E$4-6)),"W","B")</x:f>
        <x:v>W</x:v>
      </x:c>
      <x:c r="I417" t="str">
        <x:f>IF(RAND()&lt;(('Team_Info'!$E$2-COUNTIF($B417:H417,"W"))/('Team_Info'!$E$4-7)),"W","B")</x:f>
        <x:v>W</x:v>
      </x:c>
      <x:c r="J417" t="str">
        <x:f>IF(RAND()&lt;(('Team_Info'!$E$2-COUNTIF($B417:I417,"W"))/('Team_Info'!$E$4-8)),"W","B")</x:f>
        <x:v>B</x:v>
      </x:c>
      <x:c r="K417" t="str">
        <x:f>IF(RAND()&lt;(('Team_Info'!$E$2-COUNTIF($B417:J417,"W"))/('Team_Info'!$E$4-9)),"W","B")</x:f>
        <x:v>B</x:v>
      </x:c>
      <x:c r="L417" t="str">
        <x:f>IF(RAND()&lt;(('Team_Info'!$E$2-COUNTIF($B417:K417,"W"))/('Team_Info'!$E$4-10)),"W","B")</x:f>
        <x:v>B</x:v>
      </x:c>
      <x:c r="M417" t="str">
        <x:f>IF(RAND()&lt;(('Team_Info'!$E$2-COUNTIF($B417:L417,"W"))/('Team_Info'!$E$4-11)),"W","B")</x:f>
        <x:v>B</x:v>
      </x:c>
      <x:c r="N417" t="str">
        <x:f>IF(RAND()&lt;(('Team_Info'!$E$2-COUNTIF($B417:M417,"W"))/('Team_Info'!$E$4-12)),"W","B")</x:f>
        <x:v>B</x:v>
      </x:c>
      <x:c r="O417" t="str">
        <x:f>IF(RAND()&lt;(('Team_Info'!$E$2-COUNTIF($B417:N417,"W"))/('Team_Info'!$E$4-13)),"W","B")</x:f>
        <x:v>W</x:v>
      </x:c>
      <x:c r="P417" t="str">
        <x:f>IF(RAND()&lt;(('Team_Info'!$E$2-COUNTIF($B417:O417,"W"))/('Team_Info'!$E$4-14)),"W","B")</x:f>
        <x:v>W</x:v>
      </x:c>
      <x:c r="Q417" t="str">
        <x:f>IF(RAND()&lt;(('Team_Info'!$E$2-COUNTIF($B417:P417,"W"))/('Team_Info'!$E$4-15)),"W","B")</x:f>
        <x:v>B</x:v>
      </x:c>
      <x:c r="R417" t="str">
        <x:f>IF(RAND()&lt;(('Team_Info'!$E$2-COUNTIF($B417:Q417,"W"))/('Team_Info'!$E$4-16)),"W","B")</x:f>
        <x:v>W</x:v>
      </x:c>
      <x:c r="S417" t="str">
        <x:f>IF(RAND()&lt;(('Team_Info'!$E$2-COUNTIF($B417:R417,"W"))/('Team_Info'!$E$4-17)),"W","B")</x:f>
        <x:v>B</x:v>
      </x:c>
      <x:c r="T417" t="str">
        <x:f>IF(RAND()&lt;(('Team_Info'!$E$2-COUNTIF($B417:S417,"W"))/('Team_Info'!$E$4-18)),"W","B")</x:f>
        <x:v>B</x:v>
      </x:c>
      <x:c r="U417" t="str">
        <x:f>IF(RAND()&lt;(('Team_Info'!$E$2-COUNTIF($B417:T417,"W"))/('Team_Info'!$E$4-19)),"W","B")</x:f>
        <x:v>W</x:v>
      </x:c>
    </x:row>
    <x:row r="418">
      <x:c r="A418" s="1">
        <x:v>417</x:v>
      </x:c>
      <x:c r="B418" t="str">
        <x:f>IF(RAND()&lt;'Team_Info'!$E$5,"W","B")</x:f>
        <x:v>W</x:v>
      </x:c>
      <x:c r="C418" t="str">
        <x:f>IF(RAND()&lt;(('Team_Info'!$E$2-COUNTIF($B418:B418,"W"))/('Team_Info'!$E$4-1)),"W","B")</x:f>
        <x:v>B</x:v>
      </x:c>
      <x:c r="D418" t="str">
        <x:f>IF(RAND()&lt;(('Team_Info'!$E$2-COUNTIF($B418:C418,"W"))/('Team_Info'!$E$4-2)),"W","B")</x:f>
        <x:v>W</x:v>
      </x:c>
      <x:c r="E418" t="str">
        <x:f>IF(RAND()&lt;(('Team_Info'!$E$2-COUNTIF($B418:D418,"W"))/('Team_Info'!$E$4-3)),"W","B")</x:f>
        <x:v>W</x:v>
      </x:c>
      <x:c r="F418" t="str">
        <x:f>IF(RAND()&lt;(('Team_Info'!$E$2-COUNTIF($B418:E418,"W"))/('Team_Info'!$E$4-4)),"W","B")</x:f>
        <x:v>W</x:v>
      </x:c>
      <x:c r="G418" t="str">
        <x:f>IF(RAND()&lt;(('Team_Info'!$E$2-COUNTIF($B418:F418,"W"))/('Team_Info'!$E$4-5)),"W","B")</x:f>
        <x:v>B</x:v>
      </x:c>
      <x:c r="H418" t="str">
        <x:f>IF(RAND()&lt;(('Team_Info'!$E$2-COUNTIF($B418:G418,"W"))/('Team_Info'!$E$4-6)),"W","B")</x:f>
        <x:v>W</x:v>
      </x:c>
      <x:c r="I418" t="str">
        <x:f>IF(RAND()&lt;(('Team_Info'!$E$2-COUNTIF($B418:H418,"W"))/('Team_Info'!$E$4-7)),"W","B")</x:f>
        <x:v>W</x:v>
      </x:c>
      <x:c r="J418" t="str">
        <x:f>IF(RAND()&lt;(('Team_Info'!$E$2-COUNTIF($B418:I418,"W"))/('Team_Info'!$E$4-8)),"W","B")</x:f>
        <x:v>B</x:v>
      </x:c>
      <x:c r="K418" t="str">
        <x:f>IF(RAND()&lt;(('Team_Info'!$E$2-COUNTIF($B418:J418,"W"))/('Team_Info'!$E$4-9)),"W","B")</x:f>
        <x:v>W</x:v>
      </x:c>
      <x:c r="L418" t="str">
        <x:f>IF(RAND()&lt;(('Team_Info'!$E$2-COUNTIF($B418:K418,"W"))/('Team_Info'!$E$4-10)),"W","B")</x:f>
        <x:v>B</x:v>
      </x:c>
      <x:c r="M418" t="str">
        <x:f>IF(RAND()&lt;(('Team_Info'!$E$2-COUNTIF($B418:L418,"W"))/('Team_Info'!$E$4-11)),"W","B")</x:f>
        <x:v>B</x:v>
      </x:c>
      <x:c r="N418" t="str">
        <x:f>IF(RAND()&lt;(('Team_Info'!$E$2-COUNTIF($B418:M418,"W"))/('Team_Info'!$E$4-12)),"W","B")</x:f>
        <x:v>W</x:v>
      </x:c>
      <x:c r="O418" t="str">
        <x:f>IF(RAND()&lt;(('Team_Info'!$E$2-COUNTIF($B418:N418,"W"))/('Team_Info'!$E$4-13)),"W","B")</x:f>
        <x:v>W</x:v>
      </x:c>
      <x:c r="P418" t="str">
        <x:f>IF(RAND()&lt;(('Team_Info'!$E$2-COUNTIF($B418:O418,"W"))/('Team_Info'!$E$4-14)),"W","B")</x:f>
        <x:v>B</x:v>
      </x:c>
      <x:c r="Q418" t="str">
        <x:f>IF(RAND()&lt;(('Team_Info'!$E$2-COUNTIF($B418:P418,"W"))/('Team_Info'!$E$4-15)),"W","B")</x:f>
        <x:v>W</x:v>
      </x:c>
      <x:c r="R418" t="str">
        <x:f>IF(RAND()&lt;(('Team_Info'!$E$2-COUNTIF($B418:Q418,"W"))/('Team_Info'!$E$4-16)),"W","B")</x:f>
        <x:v>W</x:v>
      </x:c>
      <x:c r="S418" t="str">
        <x:f>IF(RAND()&lt;(('Team_Info'!$E$2-COUNTIF($B418:R418,"W"))/('Team_Info'!$E$4-17)),"W","B")</x:f>
        <x:v>B</x:v>
      </x:c>
      <x:c r="T418" t="str">
        <x:f>IF(RAND()&lt;(('Team_Info'!$E$2-COUNTIF($B418:S418,"W"))/('Team_Info'!$E$4-18)),"W","B")</x:f>
        <x:v>B</x:v>
      </x:c>
      <x:c r="U418" t="str">
        <x:f>IF(RAND()&lt;(('Team_Info'!$E$2-COUNTIF($B418:T418,"W"))/('Team_Info'!$E$4-19)),"W","B")</x:f>
        <x:v>W</x:v>
      </x:c>
    </x:row>
    <x:row r="419">
      <x:c r="A419" s="1">
        <x:v>418</x:v>
      </x:c>
      <x:c r="B419" t="str">
        <x:f>IF(RAND()&lt;'Team_Info'!$E$5,"W","B")</x:f>
        <x:v>B</x:v>
      </x:c>
      <x:c r="C419" t="str">
        <x:f>IF(RAND()&lt;(('Team_Info'!$E$2-COUNTIF($B419:B419,"W"))/('Team_Info'!$E$4-1)),"W","B")</x:f>
        <x:v>B</x:v>
      </x:c>
      <x:c r="D419" t="str">
        <x:f>IF(RAND()&lt;(('Team_Info'!$E$2-COUNTIF($B419:C419,"W"))/('Team_Info'!$E$4-2)),"W","B")</x:f>
        <x:v>B</x:v>
      </x:c>
      <x:c r="E419" t="str">
        <x:f>IF(RAND()&lt;(('Team_Info'!$E$2-COUNTIF($B419:D419,"W"))/('Team_Info'!$E$4-3)),"W","B")</x:f>
        <x:v>B</x:v>
      </x:c>
      <x:c r="F419" t="str">
        <x:f>IF(RAND()&lt;(('Team_Info'!$E$2-COUNTIF($B419:E419,"W"))/('Team_Info'!$E$4-4)),"W","B")</x:f>
        <x:v>B</x:v>
      </x:c>
      <x:c r="G419" t="str">
        <x:f>IF(RAND()&lt;(('Team_Info'!$E$2-COUNTIF($B419:F419,"W"))/('Team_Info'!$E$4-5)),"W","B")</x:f>
        <x:v>W</x:v>
      </x:c>
      <x:c r="H419" t="str">
        <x:f>IF(RAND()&lt;(('Team_Info'!$E$2-COUNTIF($B419:G419,"W"))/('Team_Info'!$E$4-6)),"W","B")</x:f>
        <x:v>B</x:v>
      </x:c>
      <x:c r="I419" t="str">
        <x:f>IF(RAND()&lt;(('Team_Info'!$E$2-COUNTIF($B419:H419,"W"))/('Team_Info'!$E$4-7)),"W","B")</x:f>
        <x:v>B</x:v>
      </x:c>
      <x:c r="J419" t="str">
        <x:f>IF(RAND()&lt;(('Team_Info'!$E$2-COUNTIF($B419:I419,"W"))/('Team_Info'!$E$4-8)),"W","B")</x:f>
        <x:v>B</x:v>
      </x:c>
      <x:c r="K419" t="str">
        <x:f>IF(RAND()&lt;(('Team_Info'!$E$2-COUNTIF($B419:J419,"W"))/('Team_Info'!$E$4-9)),"W","B")</x:f>
        <x:v>W</x:v>
      </x:c>
      <x:c r="L419" t="str">
        <x:f>IF(RAND()&lt;(('Team_Info'!$E$2-COUNTIF($B419:K419,"W"))/('Team_Info'!$E$4-10)),"W","B")</x:f>
        <x:v>W</x:v>
      </x:c>
      <x:c r="M419" t="str">
        <x:f>IF(RAND()&lt;(('Team_Info'!$E$2-COUNTIF($B419:L419,"W"))/('Team_Info'!$E$4-11)),"W","B")</x:f>
        <x:v>W</x:v>
      </x:c>
      <x:c r="N419" t="str">
        <x:f>IF(RAND()&lt;(('Team_Info'!$E$2-COUNTIF($B419:M419,"W"))/('Team_Info'!$E$4-12)),"W","B")</x:f>
        <x:v>W</x:v>
      </x:c>
      <x:c r="O419" t="str">
        <x:f>IF(RAND()&lt;(('Team_Info'!$E$2-COUNTIF($B419:N419,"W"))/('Team_Info'!$E$4-13)),"W","B")</x:f>
        <x:v>B</x:v>
      </x:c>
      <x:c r="P419" t="str">
        <x:f>IF(RAND()&lt;(('Team_Info'!$E$2-COUNTIF($B419:O419,"W"))/('Team_Info'!$E$4-14)),"W","B")</x:f>
        <x:v>B</x:v>
      </x:c>
      <x:c r="Q419" t="str">
        <x:f>IF(RAND()&lt;(('Team_Info'!$E$2-COUNTIF($B419:P419,"W"))/('Team_Info'!$E$4-15)),"W","B")</x:f>
        <x:v>B</x:v>
      </x:c>
      <x:c r="R419" t="str">
        <x:f>IF(RAND()&lt;(('Team_Info'!$E$2-COUNTIF($B419:Q419,"W"))/('Team_Info'!$E$4-16)),"W","B")</x:f>
        <x:v>B</x:v>
      </x:c>
      <x:c r="S419" t="str">
        <x:f>IF(RAND()&lt;(('Team_Info'!$E$2-COUNTIF($B419:R419,"W"))/('Team_Info'!$E$4-17)),"W","B")</x:f>
        <x:v>W</x:v>
      </x:c>
      <x:c r="T419" t="str">
        <x:f>IF(RAND()&lt;(('Team_Info'!$E$2-COUNTIF($B419:S419,"W"))/('Team_Info'!$E$4-18)),"W","B")</x:f>
        <x:v>B</x:v>
      </x:c>
      <x:c r="U419" t="str">
        <x:f>IF(RAND()&lt;(('Team_Info'!$E$2-COUNTIF($B419:T419,"W"))/('Team_Info'!$E$4-19)),"W","B")</x:f>
        <x:v>B</x:v>
      </x:c>
    </x:row>
    <x:row r="420">
      <x:c r="A420" s="1">
        <x:v>419</x:v>
      </x:c>
      <x:c r="B420" t="str">
        <x:f>IF(RAND()&lt;'Team_Info'!$E$5,"W","B")</x:f>
        <x:v>B</x:v>
      </x:c>
      <x:c r="C420" t="str">
        <x:f>IF(RAND()&lt;(('Team_Info'!$E$2-COUNTIF($B420:B420,"W"))/('Team_Info'!$E$4-1)),"W","B")</x:f>
        <x:v>B</x:v>
      </x:c>
      <x:c r="D420" t="str">
        <x:f>IF(RAND()&lt;(('Team_Info'!$E$2-COUNTIF($B420:C420,"W"))/('Team_Info'!$E$4-2)),"W","B")</x:f>
        <x:v>B</x:v>
      </x:c>
      <x:c r="E420" t="str">
        <x:f>IF(RAND()&lt;(('Team_Info'!$E$2-COUNTIF($B420:D420,"W"))/('Team_Info'!$E$4-3)),"W","B")</x:f>
        <x:v>W</x:v>
      </x:c>
      <x:c r="F420" t="str">
        <x:f>IF(RAND()&lt;(('Team_Info'!$E$2-COUNTIF($B420:E420,"W"))/('Team_Info'!$E$4-4)),"W","B")</x:f>
        <x:v>W</x:v>
      </x:c>
      <x:c r="G420" t="str">
        <x:f>IF(RAND()&lt;(('Team_Info'!$E$2-COUNTIF($B420:F420,"W"))/('Team_Info'!$E$4-5)),"W","B")</x:f>
        <x:v>W</x:v>
      </x:c>
      <x:c r="H420" t="str">
        <x:f>IF(RAND()&lt;(('Team_Info'!$E$2-COUNTIF($B420:G420,"W"))/('Team_Info'!$E$4-6)),"W","B")</x:f>
        <x:v>B</x:v>
      </x:c>
      <x:c r="I420" t="str">
        <x:f>IF(RAND()&lt;(('Team_Info'!$E$2-COUNTIF($B420:H420,"W"))/('Team_Info'!$E$4-7)),"W","B")</x:f>
        <x:v>B</x:v>
      </x:c>
      <x:c r="J420" t="str">
        <x:f>IF(RAND()&lt;(('Team_Info'!$E$2-COUNTIF($B420:I420,"W"))/('Team_Info'!$E$4-8)),"W","B")</x:f>
        <x:v>W</x:v>
      </x:c>
      <x:c r="K420" t="str">
        <x:f>IF(RAND()&lt;(('Team_Info'!$E$2-COUNTIF($B420:J420,"W"))/('Team_Info'!$E$4-9)),"W","B")</x:f>
        <x:v>B</x:v>
      </x:c>
      <x:c r="L420" t="str">
        <x:f>IF(RAND()&lt;(('Team_Info'!$E$2-COUNTIF($B420:K420,"W"))/('Team_Info'!$E$4-10)),"W","B")</x:f>
        <x:v>W</x:v>
      </x:c>
      <x:c r="M420" t="str">
        <x:f>IF(RAND()&lt;(('Team_Info'!$E$2-COUNTIF($B420:L420,"W"))/('Team_Info'!$E$4-11)),"W","B")</x:f>
        <x:v>B</x:v>
      </x:c>
      <x:c r="N420" t="str">
        <x:f>IF(RAND()&lt;(('Team_Info'!$E$2-COUNTIF($B420:M420,"W"))/('Team_Info'!$E$4-12)),"W","B")</x:f>
        <x:v>B</x:v>
      </x:c>
      <x:c r="O420" t="str">
        <x:f>IF(RAND()&lt;(('Team_Info'!$E$2-COUNTIF($B420:N420,"W"))/('Team_Info'!$E$4-13)),"W","B")</x:f>
        <x:v>W</x:v>
      </x:c>
      <x:c r="P420" t="str">
        <x:f>IF(RAND()&lt;(('Team_Info'!$E$2-COUNTIF($B420:O420,"W"))/('Team_Info'!$E$4-14)),"W","B")</x:f>
        <x:v>W</x:v>
      </x:c>
      <x:c r="Q420" t="str">
        <x:f>IF(RAND()&lt;(('Team_Info'!$E$2-COUNTIF($B420:P420,"W"))/('Team_Info'!$E$4-15)),"W","B")</x:f>
        <x:v>B</x:v>
      </x:c>
      <x:c r="R420" t="str">
        <x:f>IF(RAND()&lt;(('Team_Info'!$E$2-COUNTIF($B420:Q420,"W"))/('Team_Info'!$E$4-16)),"W","B")</x:f>
        <x:v>B</x:v>
      </x:c>
      <x:c r="S420" t="str">
        <x:f>IF(RAND()&lt;(('Team_Info'!$E$2-COUNTIF($B420:R420,"W"))/('Team_Info'!$E$4-17)),"W","B")</x:f>
        <x:v>B</x:v>
      </x:c>
      <x:c r="T420" t="str">
        <x:f>IF(RAND()&lt;(('Team_Info'!$E$2-COUNTIF($B420:S420,"W"))/('Team_Info'!$E$4-18)),"W","B")</x:f>
        <x:v>W</x:v>
      </x:c>
      <x:c r="U420" t="str">
        <x:f>IF(RAND()&lt;(('Team_Info'!$E$2-COUNTIF($B420:T420,"W"))/('Team_Info'!$E$4-19)),"W","B")</x:f>
        <x:v>W</x:v>
      </x:c>
    </x:row>
    <x:row r="421">
      <x:c r="A421" s="1">
        <x:v>420</x:v>
      </x:c>
      <x:c r="B421" t="str">
        <x:f>IF(RAND()&lt;'Team_Info'!$E$5,"W","B")</x:f>
        <x:v>W</x:v>
      </x:c>
      <x:c r="C421" t="str">
        <x:f>IF(RAND()&lt;(('Team_Info'!$E$2-COUNTIF($B421:B421,"W"))/('Team_Info'!$E$4-1)),"W","B")</x:f>
        <x:v>B</x:v>
      </x:c>
      <x:c r="D421" t="str">
        <x:f>IF(RAND()&lt;(('Team_Info'!$E$2-COUNTIF($B421:C421,"W"))/('Team_Info'!$E$4-2)),"W","B")</x:f>
        <x:v>B</x:v>
      </x:c>
      <x:c r="E421" t="str">
        <x:f>IF(RAND()&lt;(('Team_Info'!$E$2-COUNTIF($B421:D421,"W"))/('Team_Info'!$E$4-3)),"W","B")</x:f>
        <x:v>B</x:v>
      </x:c>
      <x:c r="F421" t="str">
        <x:f>IF(RAND()&lt;(('Team_Info'!$E$2-COUNTIF($B421:E421,"W"))/('Team_Info'!$E$4-4)),"W","B")</x:f>
        <x:v>W</x:v>
      </x:c>
      <x:c r="G421" t="str">
        <x:f>IF(RAND()&lt;(('Team_Info'!$E$2-COUNTIF($B421:F421,"W"))/('Team_Info'!$E$4-5)),"W","B")</x:f>
        <x:v>B</x:v>
      </x:c>
      <x:c r="H421" t="str">
        <x:f>IF(RAND()&lt;(('Team_Info'!$E$2-COUNTIF($B421:G421,"W"))/('Team_Info'!$E$4-6)),"W","B")</x:f>
        <x:v>B</x:v>
      </x:c>
      <x:c r="I421" t="str">
        <x:f>IF(RAND()&lt;(('Team_Info'!$E$2-COUNTIF($B421:H421,"W"))/('Team_Info'!$E$4-7)),"W","B")</x:f>
        <x:v>B</x:v>
      </x:c>
      <x:c r="J421" t="str">
        <x:f>IF(RAND()&lt;(('Team_Info'!$E$2-COUNTIF($B421:I421,"W"))/('Team_Info'!$E$4-8)),"W","B")</x:f>
        <x:v>B</x:v>
      </x:c>
      <x:c r="K421" t="str">
        <x:f>IF(RAND()&lt;(('Team_Info'!$E$2-COUNTIF($B421:J421,"W"))/('Team_Info'!$E$4-9)),"W","B")</x:f>
        <x:v>B</x:v>
      </x:c>
      <x:c r="L421" t="str">
        <x:f>IF(RAND()&lt;(('Team_Info'!$E$2-COUNTIF($B421:K421,"W"))/('Team_Info'!$E$4-10)),"W","B")</x:f>
        <x:v>B</x:v>
      </x:c>
      <x:c r="M421" t="str">
        <x:f>IF(RAND()&lt;(('Team_Info'!$E$2-COUNTIF($B421:L421,"W"))/('Team_Info'!$E$4-11)),"W","B")</x:f>
        <x:v>W</x:v>
      </x:c>
      <x:c r="N421" t="str">
        <x:f>IF(RAND()&lt;(('Team_Info'!$E$2-COUNTIF($B421:M421,"W"))/('Team_Info'!$E$4-12)),"W","B")</x:f>
        <x:v>W</x:v>
      </x:c>
      <x:c r="O421" t="str">
        <x:f>IF(RAND()&lt;(('Team_Info'!$E$2-COUNTIF($B421:N421,"W"))/('Team_Info'!$E$4-13)),"W","B")</x:f>
        <x:v>B</x:v>
      </x:c>
      <x:c r="P421" t="str">
        <x:f>IF(RAND()&lt;(('Team_Info'!$E$2-COUNTIF($B421:O421,"W"))/('Team_Info'!$E$4-14)),"W","B")</x:f>
        <x:v>B</x:v>
      </x:c>
      <x:c r="Q421" t="str">
        <x:f>IF(RAND()&lt;(('Team_Info'!$E$2-COUNTIF($B421:P421,"W"))/('Team_Info'!$E$4-15)),"W","B")</x:f>
        <x:v>B</x:v>
      </x:c>
      <x:c r="R421" t="str">
        <x:f>IF(RAND()&lt;(('Team_Info'!$E$2-COUNTIF($B421:Q421,"W"))/('Team_Info'!$E$4-16)),"W","B")</x:f>
        <x:v>B</x:v>
      </x:c>
      <x:c r="S421" t="str">
        <x:f>IF(RAND()&lt;(('Team_Info'!$E$2-COUNTIF($B421:R421,"W"))/('Team_Info'!$E$4-17)),"W","B")</x:f>
        <x:v>B</x:v>
      </x:c>
      <x:c r="T421" t="str">
        <x:f>IF(RAND()&lt;(('Team_Info'!$E$2-COUNTIF($B421:S421,"W"))/('Team_Info'!$E$4-18)),"W","B")</x:f>
        <x:v>W</x:v>
      </x:c>
      <x:c r="U421" t="str">
        <x:f>IF(RAND()&lt;(('Team_Info'!$E$2-COUNTIF($B421:T421,"W"))/('Team_Info'!$E$4-19)),"W","B")</x:f>
        <x:v>B</x:v>
      </x:c>
    </x:row>
    <x:row r="422">
      <x:c r="A422" s="1">
        <x:v>421</x:v>
      </x:c>
      <x:c r="B422" t="str">
        <x:f>IF(RAND()&lt;'Team_Info'!$E$5,"W","B")</x:f>
        <x:v>W</x:v>
      </x:c>
      <x:c r="C422" t="str">
        <x:f>IF(RAND()&lt;(('Team_Info'!$E$2-COUNTIF($B422:B422,"W"))/('Team_Info'!$E$4-1)),"W","B")</x:f>
        <x:v>W</x:v>
      </x:c>
      <x:c r="D422" t="str">
        <x:f>IF(RAND()&lt;(('Team_Info'!$E$2-COUNTIF($B422:C422,"W"))/('Team_Info'!$E$4-2)),"W","B")</x:f>
        <x:v>B</x:v>
      </x:c>
      <x:c r="E422" t="str">
        <x:f>IF(RAND()&lt;(('Team_Info'!$E$2-COUNTIF($B422:D422,"W"))/('Team_Info'!$E$4-3)),"W","B")</x:f>
        <x:v>W</x:v>
      </x:c>
      <x:c r="F422" t="str">
        <x:f>IF(RAND()&lt;(('Team_Info'!$E$2-COUNTIF($B422:E422,"W"))/('Team_Info'!$E$4-4)),"W","B")</x:f>
        <x:v>W</x:v>
      </x:c>
      <x:c r="G422" t="str">
        <x:f>IF(RAND()&lt;(('Team_Info'!$E$2-COUNTIF($B422:F422,"W"))/('Team_Info'!$E$4-5)),"W","B")</x:f>
        <x:v>B</x:v>
      </x:c>
      <x:c r="H422" t="str">
        <x:f>IF(RAND()&lt;(('Team_Info'!$E$2-COUNTIF($B422:G422,"W"))/('Team_Info'!$E$4-6)),"W","B")</x:f>
        <x:v>W</x:v>
      </x:c>
      <x:c r="I422" t="str">
        <x:f>IF(RAND()&lt;(('Team_Info'!$E$2-COUNTIF($B422:H422,"W"))/('Team_Info'!$E$4-7)),"W","B")</x:f>
        <x:v>B</x:v>
      </x:c>
      <x:c r="J422" t="str">
        <x:f>IF(RAND()&lt;(('Team_Info'!$E$2-COUNTIF($B422:I422,"W"))/('Team_Info'!$E$4-8)),"W","B")</x:f>
        <x:v>B</x:v>
      </x:c>
      <x:c r="K422" t="str">
        <x:f>IF(RAND()&lt;(('Team_Info'!$E$2-COUNTIF($B422:J422,"W"))/('Team_Info'!$E$4-9)),"W","B")</x:f>
        <x:v>W</x:v>
      </x:c>
      <x:c r="L422" t="str">
        <x:f>IF(RAND()&lt;(('Team_Info'!$E$2-COUNTIF($B422:K422,"W"))/('Team_Info'!$E$4-10)),"W","B")</x:f>
        <x:v>W</x:v>
      </x:c>
      <x:c r="M422" t="str">
        <x:f>IF(RAND()&lt;(('Team_Info'!$E$2-COUNTIF($B422:L422,"W"))/('Team_Info'!$E$4-11)),"W","B")</x:f>
        <x:v>W</x:v>
      </x:c>
      <x:c r="N422" t="str">
        <x:f>IF(RAND()&lt;(('Team_Info'!$E$2-COUNTIF($B422:M422,"W"))/('Team_Info'!$E$4-12)),"W","B")</x:f>
        <x:v>B</x:v>
      </x:c>
      <x:c r="O422" t="str">
        <x:f>IF(RAND()&lt;(('Team_Info'!$E$2-COUNTIF($B422:N422,"W"))/('Team_Info'!$E$4-13)),"W","B")</x:f>
        <x:v>B</x:v>
      </x:c>
      <x:c r="P422" t="str">
        <x:f>IF(RAND()&lt;(('Team_Info'!$E$2-COUNTIF($B422:O422,"W"))/('Team_Info'!$E$4-14)),"W","B")</x:f>
        <x:v>W</x:v>
      </x:c>
      <x:c r="Q422" t="str">
        <x:f>IF(RAND()&lt;(('Team_Info'!$E$2-COUNTIF($B422:P422,"W"))/('Team_Info'!$E$4-15)),"W","B")</x:f>
        <x:v>B</x:v>
      </x:c>
      <x:c r="R422" t="str">
        <x:f>IF(RAND()&lt;(('Team_Info'!$E$2-COUNTIF($B422:Q422,"W"))/('Team_Info'!$E$4-16)),"W","B")</x:f>
        <x:v>B</x:v>
      </x:c>
      <x:c r="S422" t="str">
        <x:f>IF(RAND()&lt;(('Team_Info'!$E$2-COUNTIF($B422:R422,"W"))/('Team_Info'!$E$4-17)),"W","B")</x:f>
        <x:v>B</x:v>
      </x:c>
      <x:c r="T422" t="str">
        <x:f>IF(RAND()&lt;(('Team_Info'!$E$2-COUNTIF($B422:S422,"W"))/('Team_Info'!$E$4-18)),"W","B")</x:f>
        <x:v>B</x:v>
      </x:c>
      <x:c r="U422" t="str">
        <x:f>IF(RAND()&lt;(('Team_Info'!$E$2-COUNTIF($B422:T422,"W"))/('Team_Info'!$E$4-19)),"W","B")</x:f>
        <x:v>B</x:v>
      </x:c>
    </x:row>
    <x:row r="423">
      <x:c r="A423" s="1">
        <x:v>422</x:v>
      </x:c>
      <x:c r="B423" t="str">
        <x:f>IF(RAND()&lt;'Team_Info'!$E$5,"W","B")</x:f>
        <x:v>B</x:v>
      </x:c>
      <x:c r="C423" t="str">
        <x:f>IF(RAND()&lt;(('Team_Info'!$E$2-COUNTIF($B423:B423,"W"))/('Team_Info'!$E$4-1)),"W","B")</x:f>
        <x:v>B</x:v>
      </x:c>
      <x:c r="D423" t="str">
        <x:f>IF(RAND()&lt;(('Team_Info'!$E$2-COUNTIF($B423:C423,"W"))/('Team_Info'!$E$4-2)),"W","B")</x:f>
        <x:v>B</x:v>
      </x:c>
      <x:c r="E423" t="str">
        <x:f>IF(RAND()&lt;(('Team_Info'!$E$2-COUNTIF($B423:D423,"W"))/('Team_Info'!$E$4-3)),"W","B")</x:f>
        <x:v>B</x:v>
      </x:c>
      <x:c r="F423" t="str">
        <x:f>IF(RAND()&lt;(('Team_Info'!$E$2-COUNTIF($B423:E423,"W"))/('Team_Info'!$E$4-4)),"W","B")</x:f>
        <x:v>B</x:v>
      </x:c>
      <x:c r="G423" t="str">
        <x:f>IF(RAND()&lt;(('Team_Info'!$E$2-COUNTIF($B423:F423,"W"))/('Team_Info'!$E$4-5)),"W","B")</x:f>
        <x:v>W</x:v>
      </x:c>
      <x:c r="H423" t="str">
        <x:f>IF(RAND()&lt;(('Team_Info'!$E$2-COUNTIF($B423:G423,"W"))/('Team_Info'!$E$4-6)),"W","B")</x:f>
        <x:v>W</x:v>
      </x:c>
      <x:c r="I423" t="str">
        <x:f>IF(RAND()&lt;(('Team_Info'!$E$2-COUNTIF($B423:H423,"W"))/('Team_Info'!$E$4-7)),"W","B")</x:f>
        <x:v>B</x:v>
      </x:c>
      <x:c r="J423" t="str">
        <x:f>IF(RAND()&lt;(('Team_Info'!$E$2-COUNTIF($B423:I423,"W"))/('Team_Info'!$E$4-8)),"W","B")</x:f>
        <x:v>B</x:v>
      </x:c>
      <x:c r="K423" t="str">
        <x:f>IF(RAND()&lt;(('Team_Info'!$E$2-COUNTIF($B423:J423,"W"))/('Team_Info'!$E$4-9)),"W","B")</x:f>
        <x:v>W</x:v>
      </x:c>
      <x:c r="L423" t="str">
        <x:f>IF(RAND()&lt;(('Team_Info'!$E$2-COUNTIF($B423:K423,"W"))/('Team_Info'!$E$4-10)),"W","B")</x:f>
        <x:v>W</x:v>
      </x:c>
      <x:c r="M423" t="str">
        <x:f>IF(RAND()&lt;(('Team_Info'!$E$2-COUNTIF($B423:L423,"W"))/('Team_Info'!$E$4-11)),"W","B")</x:f>
        <x:v>W</x:v>
      </x:c>
      <x:c r="N423" t="str">
        <x:f>IF(RAND()&lt;(('Team_Info'!$E$2-COUNTIF($B423:M423,"W"))/('Team_Info'!$E$4-12)),"W","B")</x:f>
        <x:v>B</x:v>
      </x:c>
      <x:c r="O423" t="str">
        <x:f>IF(RAND()&lt;(('Team_Info'!$E$2-COUNTIF($B423:N423,"W"))/('Team_Info'!$E$4-13)),"W","B")</x:f>
        <x:v>W</x:v>
      </x:c>
      <x:c r="P423" t="str">
        <x:f>IF(RAND()&lt;(('Team_Info'!$E$2-COUNTIF($B423:O423,"W"))/('Team_Info'!$E$4-14)),"W","B")</x:f>
        <x:v>W</x:v>
      </x:c>
      <x:c r="Q423" t="str">
        <x:f>IF(RAND()&lt;(('Team_Info'!$E$2-COUNTIF($B423:P423,"W"))/('Team_Info'!$E$4-15)),"W","B")</x:f>
        <x:v>B</x:v>
      </x:c>
      <x:c r="R423" t="str">
        <x:f>IF(RAND()&lt;(('Team_Info'!$E$2-COUNTIF($B423:Q423,"W"))/('Team_Info'!$E$4-16)),"W","B")</x:f>
        <x:v>W</x:v>
      </x:c>
      <x:c r="S423" t="str">
        <x:f>IF(RAND()&lt;(('Team_Info'!$E$2-COUNTIF($B423:R423,"W"))/('Team_Info'!$E$4-17)),"W","B")</x:f>
        <x:v>W</x:v>
      </x:c>
      <x:c r="T423" t="str">
        <x:f>IF(RAND()&lt;(('Team_Info'!$E$2-COUNTIF($B423:S423,"W"))/('Team_Info'!$E$4-18)),"W","B")</x:f>
        <x:v>B</x:v>
      </x:c>
      <x:c r="U423" t="str">
        <x:f>IF(RAND()&lt;(('Team_Info'!$E$2-COUNTIF($B423:T423,"W"))/('Team_Info'!$E$4-19)),"W","B")</x:f>
        <x:v>W</x:v>
      </x:c>
    </x:row>
    <x:row r="424">
      <x:c r="A424" s="1">
        <x:v>423</x:v>
      </x:c>
      <x:c r="B424" t="str">
        <x:f>IF(RAND()&lt;'Team_Info'!$E$5,"W","B")</x:f>
        <x:v>B</x:v>
      </x:c>
      <x:c r="C424" t="str">
        <x:f>IF(RAND()&lt;(('Team_Info'!$E$2-COUNTIF($B424:B424,"W"))/('Team_Info'!$E$4-1)),"W","B")</x:f>
        <x:v>W</x:v>
      </x:c>
      <x:c r="D424" t="str">
        <x:f>IF(RAND()&lt;(('Team_Info'!$E$2-COUNTIF($B424:C424,"W"))/('Team_Info'!$E$4-2)),"W","B")</x:f>
        <x:v>B</x:v>
      </x:c>
      <x:c r="E424" t="str">
        <x:f>IF(RAND()&lt;(('Team_Info'!$E$2-COUNTIF($B424:D424,"W"))/('Team_Info'!$E$4-3)),"W","B")</x:f>
        <x:v>W</x:v>
      </x:c>
      <x:c r="F424" t="str">
        <x:f>IF(RAND()&lt;(('Team_Info'!$E$2-COUNTIF($B424:E424,"W"))/('Team_Info'!$E$4-4)),"W","B")</x:f>
        <x:v>B</x:v>
      </x:c>
      <x:c r="G424" t="str">
        <x:f>IF(RAND()&lt;(('Team_Info'!$E$2-COUNTIF($B424:F424,"W"))/('Team_Info'!$E$4-5)),"W","B")</x:f>
        <x:v>B</x:v>
      </x:c>
      <x:c r="H424" t="str">
        <x:f>IF(RAND()&lt;(('Team_Info'!$E$2-COUNTIF($B424:G424,"W"))/('Team_Info'!$E$4-6)),"W","B")</x:f>
        <x:v>B</x:v>
      </x:c>
      <x:c r="I424" t="str">
        <x:f>IF(RAND()&lt;(('Team_Info'!$E$2-COUNTIF($B424:H424,"W"))/('Team_Info'!$E$4-7)),"W","B")</x:f>
        <x:v>B</x:v>
      </x:c>
      <x:c r="J424" t="str">
        <x:f>IF(RAND()&lt;(('Team_Info'!$E$2-COUNTIF($B424:I424,"W"))/('Team_Info'!$E$4-8)),"W","B")</x:f>
        <x:v>B</x:v>
      </x:c>
      <x:c r="K424" t="str">
        <x:f>IF(RAND()&lt;(('Team_Info'!$E$2-COUNTIF($B424:J424,"W"))/('Team_Info'!$E$4-9)),"W","B")</x:f>
        <x:v>B</x:v>
      </x:c>
      <x:c r="L424" t="str">
        <x:f>IF(RAND()&lt;(('Team_Info'!$E$2-COUNTIF($B424:K424,"W"))/('Team_Info'!$E$4-10)),"W","B")</x:f>
        <x:v>W</x:v>
      </x:c>
      <x:c r="M424" t="str">
        <x:f>IF(RAND()&lt;(('Team_Info'!$E$2-COUNTIF($B424:L424,"W"))/('Team_Info'!$E$4-11)),"W","B")</x:f>
        <x:v>B</x:v>
      </x:c>
      <x:c r="N424" t="str">
        <x:f>IF(RAND()&lt;(('Team_Info'!$E$2-COUNTIF($B424:M424,"W"))/('Team_Info'!$E$4-12)),"W","B")</x:f>
        <x:v>B</x:v>
      </x:c>
      <x:c r="O424" t="str">
        <x:f>IF(RAND()&lt;(('Team_Info'!$E$2-COUNTIF($B424:N424,"W"))/('Team_Info'!$E$4-13)),"W","B")</x:f>
        <x:v>W</x:v>
      </x:c>
      <x:c r="P424" t="str">
        <x:f>IF(RAND()&lt;(('Team_Info'!$E$2-COUNTIF($B424:O424,"W"))/('Team_Info'!$E$4-14)),"W","B")</x:f>
        <x:v>W</x:v>
      </x:c>
      <x:c r="Q424" t="str">
        <x:f>IF(RAND()&lt;(('Team_Info'!$E$2-COUNTIF($B424:P424,"W"))/('Team_Info'!$E$4-15)),"W","B")</x:f>
        <x:v>W</x:v>
      </x:c>
      <x:c r="R424" t="str">
        <x:f>IF(RAND()&lt;(('Team_Info'!$E$2-COUNTIF($B424:Q424,"W"))/('Team_Info'!$E$4-16)),"W","B")</x:f>
        <x:v>B</x:v>
      </x:c>
      <x:c r="S424" t="str">
        <x:f>IF(RAND()&lt;(('Team_Info'!$E$2-COUNTIF($B424:R424,"W"))/('Team_Info'!$E$4-17)),"W","B")</x:f>
        <x:v>B</x:v>
      </x:c>
      <x:c r="T424" t="str">
        <x:f>IF(RAND()&lt;(('Team_Info'!$E$2-COUNTIF($B424:S424,"W"))/('Team_Info'!$E$4-18)),"W","B")</x:f>
        <x:v>B</x:v>
      </x:c>
      <x:c r="U424" t="str">
        <x:f>IF(RAND()&lt;(('Team_Info'!$E$2-COUNTIF($B424:T424,"W"))/('Team_Info'!$E$4-19)),"W","B")</x:f>
        <x:v>W</x:v>
      </x:c>
    </x:row>
    <x:row r="425">
      <x:c r="A425" s="1">
        <x:v>424</x:v>
      </x:c>
      <x:c r="B425" t="str">
        <x:f>IF(RAND()&lt;'Team_Info'!$E$5,"W","B")</x:f>
        <x:v>W</x:v>
      </x:c>
      <x:c r="C425" t="str">
        <x:f>IF(RAND()&lt;(('Team_Info'!$E$2-COUNTIF($B425:B425,"W"))/('Team_Info'!$E$4-1)),"W","B")</x:f>
        <x:v>W</x:v>
      </x:c>
      <x:c r="D425" t="str">
        <x:f>IF(RAND()&lt;(('Team_Info'!$E$2-COUNTIF($B425:C425,"W"))/('Team_Info'!$E$4-2)),"W","B")</x:f>
        <x:v>B</x:v>
      </x:c>
      <x:c r="E425" t="str">
        <x:f>IF(RAND()&lt;(('Team_Info'!$E$2-COUNTIF($B425:D425,"W"))/('Team_Info'!$E$4-3)),"W","B")</x:f>
        <x:v>W</x:v>
      </x:c>
      <x:c r="F425" t="str">
        <x:f>IF(RAND()&lt;(('Team_Info'!$E$2-COUNTIF($B425:E425,"W"))/('Team_Info'!$E$4-4)),"W","B")</x:f>
        <x:v>W</x:v>
      </x:c>
      <x:c r="G425" t="str">
        <x:f>IF(RAND()&lt;(('Team_Info'!$E$2-COUNTIF($B425:F425,"W"))/('Team_Info'!$E$4-5)),"W","B")</x:f>
        <x:v>B</x:v>
      </x:c>
      <x:c r="H425" t="str">
        <x:f>IF(RAND()&lt;(('Team_Info'!$E$2-COUNTIF($B425:G425,"W"))/('Team_Info'!$E$4-6)),"W","B")</x:f>
        <x:v>W</x:v>
      </x:c>
      <x:c r="I425" t="str">
        <x:f>IF(RAND()&lt;(('Team_Info'!$E$2-COUNTIF($B425:H425,"W"))/('Team_Info'!$E$4-7)),"W","B")</x:f>
        <x:v>B</x:v>
      </x:c>
      <x:c r="J425" t="str">
        <x:f>IF(RAND()&lt;(('Team_Info'!$E$2-COUNTIF($B425:I425,"W"))/('Team_Info'!$E$4-8)),"W","B")</x:f>
        <x:v>B</x:v>
      </x:c>
      <x:c r="K425" t="str">
        <x:f>IF(RAND()&lt;(('Team_Info'!$E$2-COUNTIF($B425:J425,"W"))/('Team_Info'!$E$4-9)),"W","B")</x:f>
        <x:v>B</x:v>
      </x:c>
      <x:c r="L425" t="str">
        <x:f>IF(RAND()&lt;(('Team_Info'!$E$2-COUNTIF($B425:K425,"W"))/('Team_Info'!$E$4-10)),"W","B")</x:f>
        <x:v>B</x:v>
      </x:c>
      <x:c r="M425" t="str">
        <x:f>IF(RAND()&lt;(('Team_Info'!$E$2-COUNTIF($B425:L425,"W"))/('Team_Info'!$E$4-11)),"W","B")</x:f>
        <x:v>B</x:v>
      </x:c>
      <x:c r="N425" t="str">
        <x:f>IF(RAND()&lt;(('Team_Info'!$E$2-COUNTIF($B425:M425,"W"))/('Team_Info'!$E$4-12)),"W","B")</x:f>
        <x:v>B</x:v>
      </x:c>
      <x:c r="O425" t="str">
        <x:f>IF(RAND()&lt;(('Team_Info'!$E$2-COUNTIF($B425:N425,"W"))/('Team_Info'!$E$4-13)),"W","B")</x:f>
        <x:v>B</x:v>
      </x:c>
      <x:c r="P425" t="str">
        <x:f>IF(RAND()&lt;(('Team_Info'!$E$2-COUNTIF($B425:O425,"W"))/('Team_Info'!$E$4-14)),"W","B")</x:f>
        <x:v>W</x:v>
      </x:c>
      <x:c r="Q425" t="str">
        <x:f>IF(RAND()&lt;(('Team_Info'!$E$2-COUNTIF($B425:P425,"W"))/('Team_Info'!$E$4-15)),"W","B")</x:f>
        <x:v>B</x:v>
      </x:c>
      <x:c r="R425" t="str">
        <x:f>IF(RAND()&lt;(('Team_Info'!$E$2-COUNTIF($B425:Q425,"W"))/('Team_Info'!$E$4-16)),"W","B")</x:f>
        <x:v>B</x:v>
      </x:c>
      <x:c r="S425" t="str">
        <x:f>IF(RAND()&lt;(('Team_Info'!$E$2-COUNTIF($B425:R425,"W"))/('Team_Info'!$E$4-17)),"W","B")</x:f>
        <x:v>W</x:v>
      </x:c>
      <x:c r="T425" t="str">
        <x:f>IF(RAND()&lt;(('Team_Info'!$E$2-COUNTIF($B425:S425,"W"))/('Team_Info'!$E$4-18)),"W","B")</x:f>
        <x:v>B</x:v>
      </x:c>
      <x:c r="U425" t="str">
        <x:f>IF(RAND()&lt;(('Team_Info'!$E$2-COUNTIF($B425:T425,"W"))/('Team_Info'!$E$4-19)),"W","B")</x:f>
        <x:v>B</x:v>
      </x:c>
    </x:row>
    <x:row r="426">
      <x:c r="A426" s="1">
        <x:v>425</x:v>
      </x:c>
      <x:c r="B426" t="str">
        <x:f>IF(RAND()&lt;'Team_Info'!$E$5,"W","B")</x:f>
        <x:v>B</x:v>
      </x:c>
      <x:c r="C426" t="str">
        <x:f>IF(RAND()&lt;(('Team_Info'!$E$2-COUNTIF($B426:B426,"W"))/('Team_Info'!$E$4-1)),"W","B")</x:f>
        <x:v>B</x:v>
      </x:c>
      <x:c r="D426" t="str">
        <x:f>IF(RAND()&lt;(('Team_Info'!$E$2-COUNTIF($B426:C426,"W"))/('Team_Info'!$E$4-2)),"W","B")</x:f>
        <x:v>W</x:v>
      </x:c>
      <x:c r="E426" t="str">
        <x:f>IF(RAND()&lt;(('Team_Info'!$E$2-COUNTIF($B426:D426,"W"))/('Team_Info'!$E$4-3)),"W","B")</x:f>
        <x:v>W</x:v>
      </x:c>
      <x:c r="F426" t="str">
        <x:f>IF(RAND()&lt;(('Team_Info'!$E$2-COUNTIF($B426:E426,"W"))/('Team_Info'!$E$4-4)),"W","B")</x:f>
        <x:v>B</x:v>
      </x:c>
      <x:c r="G426" t="str">
        <x:f>IF(RAND()&lt;(('Team_Info'!$E$2-COUNTIF($B426:F426,"W"))/('Team_Info'!$E$4-5)),"W","B")</x:f>
        <x:v>B</x:v>
      </x:c>
      <x:c r="H426" t="str">
        <x:f>IF(RAND()&lt;(('Team_Info'!$E$2-COUNTIF($B426:G426,"W"))/('Team_Info'!$E$4-6)),"W","B")</x:f>
        <x:v>W</x:v>
      </x:c>
      <x:c r="I426" t="str">
        <x:f>IF(RAND()&lt;(('Team_Info'!$E$2-COUNTIF($B426:H426,"W"))/('Team_Info'!$E$4-7)),"W","B")</x:f>
        <x:v>W</x:v>
      </x:c>
      <x:c r="J426" t="str">
        <x:f>IF(RAND()&lt;(('Team_Info'!$E$2-COUNTIF($B426:I426,"W"))/('Team_Info'!$E$4-8)),"W","B")</x:f>
        <x:v>W</x:v>
      </x:c>
      <x:c r="K426" t="str">
        <x:f>IF(RAND()&lt;(('Team_Info'!$E$2-COUNTIF($B426:J426,"W"))/('Team_Info'!$E$4-9)),"W","B")</x:f>
        <x:v>B</x:v>
      </x:c>
      <x:c r="L426" t="str">
        <x:f>IF(RAND()&lt;(('Team_Info'!$E$2-COUNTIF($B426:K426,"W"))/('Team_Info'!$E$4-10)),"W","B")</x:f>
        <x:v>W</x:v>
      </x:c>
      <x:c r="M426" t="str">
        <x:f>IF(RAND()&lt;(('Team_Info'!$E$2-COUNTIF($B426:L426,"W"))/('Team_Info'!$E$4-11)),"W","B")</x:f>
        <x:v>W</x:v>
      </x:c>
      <x:c r="N426" t="str">
        <x:f>IF(RAND()&lt;(('Team_Info'!$E$2-COUNTIF($B426:M426,"W"))/('Team_Info'!$E$4-12)),"W","B")</x:f>
        <x:v>B</x:v>
      </x:c>
      <x:c r="O426" t="str">
        <x:f>IF(RAND()&lt;(('Team_Info'!$E$2-COUNTIF($B426:N426,"W"))/('Team_Info'!$E$4-13)),"W","B")</x:f>
        <x:v>B</x:v>
      </x:c>
      <x:c r="P426" t="str">
        <x:f>IF(RAND()&lt;(('Team_Info'!$E$2-COUNTIF($B426:O426,"W"))/('Team_Info'!$E$4-14)),"W","B")</x:f>
        <x:v>B</x:v>
      </x:c>
      <x:c r="Q426" t="str">
        <x:f>IF(RAND()&lt;(('Team_Info'!$E$2-COUNTIF($B426:P426,"W"))/('Team_Info'!$E$4-15)),"W","B")</x:f>
        <x:v>B</x:v>
      </x:c>
      <x:c r="R426" t="str">
        <x:f>IF(RAND()&lt;(('Team_Info'!$E$2-COUNTIF($B426:Q426,"W"))/('Team_Info'!$E$4-16)),"W","B")</x:f>
        <x:v>B</x:v>
      </x:c>
      <x:c r="S426" t="str">
        <x:f>IF(RAND()&lt;(('Team_Info'!$E$2-COUNTIF($B426:R426,"W"))/('Team_Info'!$E$4-17)),"W","B")</x:f>
        <x:v>B</x:v>
      </x:c>
      <x:c r="T426" t="str">
        <x:f>IF(RAND()&lt;(('Team_Info'!$E$2-COUNTIF($B426:S426,"W"))/('Team_Info'!$E$4-18)),"W","B")</x:f>
        <x:v>B</x:v>
      </x:c>
      <x:c r="U426" t="str">
        <x:f>IF(RAND()&lt;(('Team_Info'!$E$2-COUNTIF($B426:T426,"W"))/('Team_Info'!$E$4-19)),"W","B")</x:f>
        <x:v>B</x:v>
      </x:c>
    </x:row>
    <x:row r="427">
      <x:c r="A427" s="1">
        <x:v>426</x:v>
      </x:c>
      <x:c r="B427" t="str">
        <x:f>IF(RAND()&lt;'Team_Info'!$E$5,"W","B")</x:f>
        <x:v>B</x:v>
      </x:c>
      <x:c r="C427" t="str">
        <x:f>IF(RAND()&lt;(('Team_Info'!$E$2-COUNTIF($B427:B427,"W"))/('Team_Info'!$E$4-1)),"W","B")</x:f>
        <x:v>B</x:v>
      </x:c>
      <x:c r="D427" t="str">
        <x:f>IF(RAND()&lt;(('Team_Info'!$E$2-COUNTIF($B427:C427,"W"))/('Team_Info'!$E$4-2)),"W","B")</x:f>
        <x:v>W</x:v>
      </x:c>
      <x:c r="E427" t="str">
        <x:f>IF(RAND()&lt;(('Team_Info'!$E$2-COUNTIF($B427:D427,"W"))/('Team_Info'!$E$4-3)),"W","B")</x:f>
        <x:v>B</x:v>
      </x:c>
      <x:c r="F427" t="str">
        <x:f>IF(RAND()&lt;(('Team_Info'!$E$2-COUNTIF($B427:E427,"W"))/('Team_Info'!$E$4-4)),"W","B")</x:f>
        <x:v>B</x:v>
      </x:c>
      <x:c r="G427" t="str">
        <x:f>IF(RAND()&lt;(('Team_Info'!$E$2-COUNTIF($B427:F427,"W"))/('Team_Info'!$E$4-5)),"W","B")</x:f>
        <x:v>B</x:v>
      </x:c>
      <x:c r="H427" t="str">
        <x:f>IF(RAND()&lt;(('Team_Info'!$E$2-COUNTIF($B427:G427,"W"))/('Team_Info'!$E$4-6)),"W","B")</x:f>
        <x:v>B</x:v>
      </x:c>
      <x:c r="I427" t="str">
        <x:f>IF(RAND()&lt;(('Team_Info'!$E$2-COUNTIF($B427:H427,"W"))/('Team_Info'!$E$4-7)),"W","B")</x:f>
        <x:v>B</x:v>
      </x:c>
      <x:c r="J427" t="str">
        <x:f>IF(RAND()&lt;(('Team_Info'!$E$2-COUNTIF($B427:I427,"W"))/('Team_Info'!$E$4-8)),"W","B")</x:f>
        <x:v>B</x:v>
      </x:c>
      <x:c r="K427" t="str">
        <x:f>IF(RAND()&lt;(('Team_Info'!$E$2-COUNTIF($B427:J427,"W"))/('Team_Info'!$E$4-9)),"W","B")</x:f>
        <x:v>W</x:v>
      </x:c>
      <x:c r="L427" t="str">
        <x:f>IF(RAND()&lt;(('Team_Info'!$E$2-COUNTIF($B427:K427,"W"))/('Team_Info'!$E$4-10)),"W","B")</x:f>
        <x:v>W</x:v>
      </x:c>
      <x:c r="M427" t="str">
        <x:f>IF(RAND()&lt;(('Team_Info'!$E$2-COUNTIF($B427:L427,"W"))/('Team_Info'!$E$4-11)),"W","B")</x:f>
        <x:v>W</x:v>
      </x:c>
      <x:c r="N427" t="str">
        <x:f>IF(RAND()&lt;(('Team_Info'!$E$2-COUNTIF($B427:M427,"W"))/('Team_Info'!$E$4-12)),"W","B")</x:f>
        <x:v>B</x:v>
      </x:c>
      <x:c r="O427" t="str">
        <x:f>IF(RAND()&lt;(('Team_Info'!$E$2-COUNTIF($B427:N427,"W"))/('Team_Info'!$E$4-13)),"W","B")</x:f>
        <x:v>B</x:v>
      </x:c>
      <x:c r="P427" t="str">
        <x:f>IF(RAND()&lt;(('Team_Info'!$E$2-COUNTIF($B427:O427,"W"))/('Team_Info'!$E$4-14)),"W","B")</x:f>
        <x:v>B</x:v>
      </x:c>
      <x:c r="Q427" t="str">
        <x:f>IF(RAND()&lt;(('Team_Info'!$E$2-COUNTIF($B427:P427,"W"))/('Team_Info'!$E$4-15)),"W","B")</x:f>
        <x:v>B</x:v>
      </x:c>
      <x:c r="R427" t="str">
        <x:f>IF(RAND()&lt;(('Team_Info'!$E$2-COUNTIF($B427:Q427,"W"))/('Team_Info'!$E$4-16)),"W","B")</x:f>
        <x:v>B</x:v>
      </x:c>
      <x:c r="S427" t="str">
        <x:f>IF(RAND()&lt;(('Team_Info'!$E$2-COUNTIF($B427:R427,"W"))/('Team_Info'!$E$4-17)),"W","B")</x:f>
        <x:v>B</x:v>
      </x:c>
      <x:c r="T427" t="str">
        <x:f>IF(RAND()&lt;(('Team_Info'!$E$2-COUNTIF($B427:S427,"W"))/('Team_Info'!$E$4-18)),"W","B")</x:f>
        <x:v>W</x:v>
      </x:c>
      <x:c r="U427" t="str">
        <x:f>IF(RAND()&lt;(('Team_Info'!$E$2-COUNTIF($B427:T427,"W"))/('Team_Info'!$E$4-19)),"W","B")</x:f>
        <x:v>B</x:v>
      </x:c>
    </x:row>
    <x:row r="428">
      <x:c r="A428" s="1">
        <x:v>427</x:v>
      </x:c>
      <x:c r="B428" t="str">
        <x:f>IF(RAND()&lt;'Team_Info'!$E$5,"W","B")</x:f>
        <x:v>B</x:v>
      </x:c>
      <x:c r="C428" t="str">
        <x:f>IF(RAND()&lt;(('Team_Info'!$E$2-COUNTIF($B428:B428,"W"))/('Team_Info'!$E$4-1)),"W","B")</x:f>
        <x:v>B</x:v>
      </x:c>
      <x:c r="D428" t="str">
        <x:f>IF(RAND()&lt;(('Team_Info'!$E$2-COUNTIF($B428:C428,"W"))/('Team_Info'!$E$4-2)),"W","B")</x:f>
        <x:v>B</x:v>
      </x:c>
      <x:c r="E428" t="str">
        <x:f>IF(RAND()&lt;(('Team_Info'!$E$2-COUNTIF($B428:D428,"W"))/('Team_Info'!$E$4-3)),"W","B")</x:f>
        <x:v>W</x:v>
      </x:c>
      <x:c r="F428" t="str">
        <x:f>IF(RAND()&lt;(('Team_Info'!$E$2-COUNTIF($B428:E428,"W"))/('Team_Info'!$E$4-4)),"W","B")</x:f>
        <x:v>B</x:v>
      </x:c>
      <x:c r="G428" t="str">
        <x:f>IF(RAND()&lt;(('Team_Info'!$E$2-COUNTIF($B428:F428,"W"))/('Team_Info'!$E$4-5)),"W","B")</x:f>
        <x:v>W</x:v>
      </x:c>
      <x:c r="H428" t="str">
        <x:f>IF(RAND()&lt;(('Team_Info'!$E$2-COUNTIF($B428:G428,"W"))/('Team_Info'!$E$4-6)),"W","B")</x:f>
        <x:v>B</x:v>
      </x:c>
      <x:c r="I428" t="str">
        <x:f>IF(RAND()&lt;(('Team_Info'!$E$2-COUNTIF($B428:H428,"W"))/('Team_Info'!$E$4-7)),"W","B")</x:f>
        <x:v>W</x:v>
      </x:c>
      <x:c r="J428" t="str">
        <x:f>IF(RAND()&lt;(('Team_Info'!$E$2-COUNTIF($B428:I428,"W"))/('Team_Info'!$E$4-8)),"W","B")</x:f>
        <x:v>W</x:v>
      </x:c>
      <x:c r="K428" t="str">
        <x:f>IF(RAND()&lt;(('Team_Info'!$E$2-COUNTIF($B428:J428,"W"))/('Team_Info'!$E$4-9)),"W","B")</x:f>
        <x:v>B</x:v>
      </x:c>
      <x:c r="L428" t="str">
        <x:f>IF(RAND()&lt;(('Team_Info'!$E$2-COUNTIF($B428:K428,"W"))/('Team_Info'!$E$4-10)),"W","B")</x:f>
        <x:v>B</x:v>
      </x:c>
      <x:c r="M428" t="str">
        <x:f>IF(RAND()&lt;(('Team_Info'!$E$2-COUNTIF($B428:L428,"W"))/('Team_Info'!$E$4-11)),"W","B")</x:f>
        <x:v>B</x:v>
      </x:c>
      <x:c r="N428" t="str">
        <x:f>IF(RAND()&lt;(('Team_Info'!$E$2-COUNTIF($B428:M428,"W"))/('Team_Info'!$E$4-12)),"W","B")</x:f>
        <x:v>B</x:v>
      </x:c>
      <x:c r="O428" t="str">
        <x:f>IF(RAND()&lt;(('Team_Info'!$E$2-COUNTIF($B428:N428,"W"))/('Team_Info'!$E$4-13)),"W","B")</x:f>
        <x:v>W</x:v>
      </x:c>
      <x:c r="P428" t="str">
        <x:f>IF(RAND()&lt;(('Team_Info'!$E$2-COUNTIF($B428:O428,"W"))/('Team_Info'!$E$4-14)),"W","B")</x:f>
        <x:v>B</x:v>
      </x:c>
      <x:c r="Q428" t="str">
        <x:f>IF(RAND()&lt;(('Team_Info'!$E$2-COUNTIF($B428:P428,"W"))/('Team_Info'!$E$4-15)),"W","B")</x:f>
        <x:v>B</x:v>
      </x:c>
      <x:c r="R428" t="str">
        <x:f>IF(RAND()&lt;(('Team_Info'!$E$2-COUNTIF($B428:Q428,"W"))/('Team_Info'!$E$4-16)),"W","B")</x:f>
        <x:v>B</x:v>
      </x:c>
      <x:c r="S428" t="str">
        <x:f>IF(RAND()&lt;(('Team_Info'!$E$2-COUNTIF($B428:R428,"W"))/('Team_Info'!$E$4-17)),"W","B")</x:f>
        <x:v>W</x:v>
      </x:c>
      <x:c r="T428" t="str">
        <x:f>IF(RAND()&lt;(('Team_Info'!$E$2-COUNTIF($B428:S428,"W"))/('Team_Info'!$E$4-18)),"W","B")</x:f>
        <x:v>B</x:v>
      </x:c>
      <x:c r="U428" t="str">
        <x:f>IF(RAND()&lt;(('Team_Info'!$E$2-COUNTIF($B428:T428,"W"))/('Team_Info'!$E$4-19)),"W","B")</x:f>
        <x:v>B</x:v>
      </x:c>
    </x:row>
    <x:row r="429">
      <x:c r="A429" s="1">
        <x:v>428</x:v>
      </x:c>
      <x:c r="B429" t="str">
        <x:f>IF(RAND()&lt;'Team_Info'!$E$5,"W","B")</x:f>
        <x:v>B</x:v>
      </x:c>
      <x:c r="C429" t="str">
        <x:f>IF(RAND()&lt;(('Team_Info'!$E$2-COUNTIF($B429:B429,"W"))/('Team_Info'!$E$4-1)),"W","B")</x:f>
        <x:v>W</x:v>
      </x:c>
      <x:c r="D429" t="str">
        <x:f>IF(RAND()&lt;(('Team_Info'!$E$2-COUNTIF($B429:C429,"W"))/('Team_Info'!$E$4-2)),"W","B")</x:f>
        <x:v>W</x:v>
      </x:c>
      <x:c r="E429" t="str">
        <x:f>IF(RAND()&lt;(('Team_Info'!$E$2-COUNTIF($B429:D429,"W"))/('Team_Info'!$E$4-3)),"W","B")</x:f>
        <x:v>W</x:v>
      </x:c>
      <x:c r="F429" t="str">
        <x:f>IF(RAND()&lt;(('Team_Info'!$E$2-COUNTIF($B429:E429,"W"))/('Team_Info'!$E$4-4)),"W","B")</x:f>
        <x:v>B</x:v>
      </x:c>
      <x:c r="G429" t="str">
        <x:f>IF(RAND()&lt;(('Team_Info'!$E$2-COUNTIF($B429:F429,"W"))/('Team_Info'!$E$4-5)),"W","B")</x:f>
        <x:v>W</x:v>
      </x:c>
      <x:c r="H429" t="str">
        <x:f>IF(RAND()&lt;(('Team_Info'!$E$2-COUNTIF($B429:G429,"W"))/('Team_Info'!$E$4-6)),"W","B")</x:f>
        <x:v>B</x:v>
      </x:c>
      <x:c r="I429" t="str">
        <x:f>IF(RAND()&lt;(('Team_Info'!$E$2-COUNTIF($B429:H429,"W"))/('Team_Info'!$E$4-7)),"W","B")</x:f>
        <x:v>W</x:v>
      </x:c>
      <x:c r="J429" t="str">
        <x:f>IF(RAND()&lt;(('Team_Info'!$E$2-COUNTIF($B429:I429,"W"))/('Team_Info'!$E$4-8)),"W","B")</x:f>
        <x:v>W</x:v>
      </x:c>
      <x:c r="K429" t="str">
        <x:f>IF(RAND()&lt;(('Team_Info'!$E$2-COUNTIF($B429:J429,"W"))/('Team_Info'!$E$4-9)),"W","B")</x:f>
        <x:v>W</x:v>
      </x:c>
      <x:c r="L429" t="str">
        <x:f>IF(RAND()&lt;(('Team_Info'!$E$2-COUNTIF($B429:K429,"W"))/('Team_Info'!$E$4-10)),"W","B")</x:f>
        <x:v>B</x:v>
      </x:c>
      <x:c r="M429" t="str">
        <x:f>IF(RAND()&lt;(('Team_Info'!$E$2-COUNTIF($B429:L429,"W"))/('Team_Info'!$E$4-11)),"W","B")</x:f>
        <x:v>B</x:v>
      </x:c>
      <x:c r="N429" t="str">
        <x:f>IF(RAND()&lt;(('Team_Info'!$E$2-COUNTIF($B429:M429,"W"))/('Team_Info'!$E$4-12)),"W","B")</x:f>
        <x:v>B</x:v>
      </x:c>
      <x:c r="O429" t="str">
        <x:f>IF(RAND()&lt;(('Team_Info'!$E$2-COUNTIF($B429:N429,"W"))/('Team_Info'!$E$4-13)),"W","B")</x:f>
        <x:v>B</x:v>
      </x:c>
      <x:c r="P429" t="str">
        <x:f>IF(RAND()&lt;(('Team_Info'!$E$2-COUNTIF($B429:O429,"W"))/('Team_Info'!$E$4-14)),"W","B")</x:f>
        <x:v>B</x:v>
      </x:c>
      <x:c r="Q429" t="str">
        <x:f>IF(RAND()&lt;(('Team_Info'!$E$2-COUNTIF($B429:P429,"W"))/('Team_Info'!$E$4-15)),"W","B")</x:f>
        <x:v>B</x:v>
      </x:c>
      <x:c r="R429" t="str">
        <x:f>IF(RAND()&lt;(('Team_Info'!$E$2-COUNTIF($B429:Q429,"W"))/('Team_Info'!$E$4-16)),"W","B")</x:f>
        <x:v>W</x:v>
      </x:c>
      <x:c r="S429" t="str">
        <x:f>IF(RAND()&lt;(('Team_Info'!$E$2-COUNTIF($B429:R429,"W"))/('Team_Info'!$E$4-17)),"W","B")</x:f>
        <x:v>W</x:v>
      </x:c>
      <x:c r="T429" t="str">
        <x:f>IF(RAND()&lt;(('Team_Info'!$E$2-COUNTIF($B429:S429,"W"))/('Team_Info'!$E$4-18)),"W","B")</x:f>
        <x:v>W</x:v>
      </x:c>
      <x:c r="U429" t="str">
        <x:f>IF(RAND()&lt;(('Team_Info'!$E$2-COUNTIF($B429:T429,"W"))/('Team_Info'!$E$4-19)),"W","B")</x:f>
        <x:v>B</x:v>
      </x:c>
    </x:row>
    <x:row r="430">
      <x:c r="A430" s="1">
        <x:v>429</x:v>
      </x:c>
      <x:c r="B430" t="str">
        <x:f>IF(RAND()&lt;'Team_Info'!$E$5,"W","B")</x:f>
        <x:v>W</x:v>
      </x:c>
      <x:c r="C430" t="str">
        <x:f>IF(RAND()&lt;(('Team_Info'!$E$2-COUNTIF($B430:B430,"W"))/('Team_Info'!$E$4-1)),"W","B")</x:f>
        <x:v>B</x:v>
      </x:c>
      <x:c r="D430" t="str">
        <x:f>IF(RAND()&lt;(('Team_Info'!$E$2-COUNTIF($B430:C430,"W"))/('Team_Info'!$E$4-2)),"W","B")</x:f>
        <x:v>B</x:v>
      </x:c>
      <x:c r="E430" t="str">
        <x:f>IF(RAND()&lt;(('Team_Info'!$E$2-COUNTIF($B430:D430,"W"))/('Team_Info'!$E$4-3)),"W","B")</x:f>
        <x:v>W</x:v>
      </x:c>
      <x:c r="F430" t="str">
        <x:f>IF(RAND()&lt;(('Team_Info'!$E$2-COUNTIF($B430:E430,"W"))/('Team_Info'!$E$4-4)),"W","B")</x:f>
        <x:v>W</x:v>
      </x:c>
      <x:c r="G430" t="str">
        <x:f>IF(RAND()&lt;(('Team_Info'!$E$2-COUNTIF($B430:F430,"W"))/('Team_Info'!$E$4-5)),"W","B")</x:f>
        <x:v>B</x:v>
      </x:c>
      <x:c r="H430" t="str">
        <x:f>IF(RAND()&lt;(('Team_Info'!$E$2-COUNTIF($B430:G430,"W"))/('Team_Info'!$E$4-6)),"W","B")</x:f>
        <x:v>B</x:v>
      </x:c>
      <x:c r="I430" t="str">
        <x:f>IF(RAND()&lt;(('Team_Info'!$E$2-COUNTIF($B430:H430,"W"))/('Team_Info'!$E$4-7)),"W","B")</x:f>
        <x:v>W</x:v>
      </x:c>
      <x:c r="J430" t="str">
        <x:f>IF(RAND()&lt;(('Team_Info'!$E$2-COUNTIF($B430:I430,"W"))/('Team_Info'!$E$4-8)),"W","B")</x:f>
        <x:v>B</x:v>
      </x:c>
      <x:c r="K430" t="str">
        <x:f>IF(RAND()&lt;(('Team_Info'!$E$2-COUNTIF($B430:J430,"W"))/('Team_Info'!$E$4-9)),"W","B")</x:f>
        <x:v>B</x:v>
      </x:c>
      <x:c r="L430" t="str">
        <x:f>IF(RAND()&lt;(('Team_Info'!$E$2-COUNTIF($B430:K430,"W"))/('Team_Info'!$E$4-10)),"W","B")</x:f>
        <x:v>B</x:v>
      </x:c>
      <x:c r="M430" t="str">
        <x:f>IF(RAND()&lt;(('Team_Info'!$E$2-COUNTIF($B430:L430,"W"))/('Team_Info'!$E$4-11)),"W","B")</x:f>
        <x:v>W</x:v>
      </x:c>
      <x:c r="N430" t="str">
        <x:f>IF(RAND()&lt;(('Team_Info'!$E$2-COUNTIF($B430:M430,"W"))/('Team_Info'!$E$4-12)),"W","B")</x:f>
        <x:v>W</x:v>
      </x:c>
      <x:c r="O430" t="str">
        <x:f>IF(RAND()&lt;(('Team_Info'!$E$2-COUNTIF($B430:N430,"W"))/('Team_Info'!$E$4-13)),"W","B")</x:f>
        <x:v>B</x:v>
      </x:c>
      <x:c r="P430" t="str">
        <x:f>IF(RAND()&lt;(('Team_Info'!$E$2-COUNTIF($B430:O430,"W"))/('Team_Info'!$E$4-14)),"W","B")</x:f>
        <x:v>W</x:v>
      </x:c>
      <x:c r="Q430" t="str">
        <x:f>IF(RAND()&lt;(('Team_Info'!$E$2-COUNTIF($B430:P430,"W"))/('Team_Info'!$E$4-15)),"W","B")</x:f>
        <x:v>B</x:v>
      </x:c>
      <x:c r="R430" t="str">
        <x:f>IF(RAND()&lt;(('Team_Info'!$E$2-COUNTIF($B430:Q430,"W"))/('Team_Info'!$E$4-16)),"W","B")</x:f>
        <x:v>W</x:v>
      </x:c>
      <x:c r="S430" t="str">
        <x:f>IF(RAND()&lt;(('Team_Info'!$E$2-COUNTIF($B430:R430,"W"))/('Team_Info'!$E$4-17)),"W","B")</x:f>
        <x:v>B</x:v>
      </x:c>
      <x:c r="T430" t="str">
        <x:f>IF(RAND()&lt;(('Team_Info'!$E$2-COUNTIF($B430:S430,"W"))/('Team_Info'!$E$4-18)),"W","B")</x:f>
        <x:v>B</x:v>
      </x:c>
      <x:c r="U430" t="str">
        <x:f>IF(RAND()&lt;(('Team_Info'!$E$2-COUNTIF($B430:T430,"W"))/('Team_Info'!$E$4-19)),"W","B")</x:f>
        <x:v>B</x:v>
      </x:c>
    </x:row>
    <x:row r="431">
      <x:c r="A431" s="1">
        <x:v>430</x:v>
      </x:c>
      <x:c r="B431" t="str">
        <x:f>IF(RAND()&lt;'Team_Info'!$E$5,"W","B")</x:f>
        <x:v>W</x:v>
      </x:c>
      <x:c r="C431" t="str">
        <x:f>IF(RAND()&lt;(('Team_Info'!$E$2-COUNTIF($B431:B431,"W"))/('Team_Info'!$E$4-1)),"W","B")</x:f>
        <x:v>B</x:v>
      </x:c>
      <x:c r="D431" t="str">
        <x:f>IF(RAND()&lt;(('Team_Info'!$E$2-COUNTIF($B431:C431,"W"))/('Team_Info'!$E$4-2)),"W","B")</x:f>
        <x:v>W</x:v>
      </x:c>
      <x:c r="E431" t="str">
        <x:f>IF(RAND()&lt;(('Team_Info'!$E$2-COUNTIF($B431:D431,"W"))/('Team_Info'!$E$4-3)),"W","B")</x:f>
        <x:v>B</x:v>
      </x:c>
      <x:c r="F431" t="str">
        <x:f>IF(RAND()&lt;(('Team_Info'!$E$2-COUNTIF($B431:E431,"W"))/('Team_Info'!$E$4-4)),"W","B")</x:f>
        <x:v>B</x:v>
      </x:c>
      <x:c r="G431" t="str">
        <x:f>IF(RAND()&lt;(('Team_Info'!$E$2-COUNTIF($B431:F431,"W"))/('Team_Info'!$E$4-5)),"W","B")</x:f>
        <x:v>B</x:v>
      </x:c>
      <x:c r="H431" t="str">
        <x:f>IF(RAND()&lt;(('Team_Info'!$E$2-COUNTIF($B431:G431,"W"))/('Team_Info'!$E$4-6)),"W","B")</x:f>
        <x:v>B</x:v>
      </x:c>
      <x:c r="I431" t="str">
        <x:f>IF(RAND()&lt;(('Team_Info'!$E$2-COUNTIF($B431:H431,"W"))/('Team_Info'!$E$4-7)),"W","B")</x:f>
        <x:v>B</x:v>
      </x:c>
      <x:c r="J431" t="str">
        <x:f>IF(RAND()&lt;(('Team_Info'!$E$2-COUNTIF($B431:I431,"W"))/('Team_Info'!$E$4-8)),"W","B")</x:f>
        <x:v>W</x:v>
      </x:c>
      <x:c r="K431" t="str">
        <x:f>IF(RAND()&lt;(('Team_Info'!$E$2-COUNTIF($B431:J431,"W"))/('Team_Info'!$E$4-9)),"W","B")</x:f>
        <x:v>W</x:v>
      </x:c>
      <x:c r="L431" t="str">
        <x:f>IF(RAND()&lt;(('Team_Info'!$E$2-COUNTIF($B431:K431,"W"))/('Team_Info'!$E$4-10)),"W","B")</x:f>
        <x:v>B</x:v>
      </x:c>
      <x:c r="M431" t="str">
        <x:f>IF(RAND()&lt;(('Team_Info'!$E$2-COUNTIF($B431:L431,"W"))/('Team_Info'!$E$4-11)),"W","B")</x:f>
        <x:v>B</x:v>
      </x:c>
      <x:c r="N431" t="str">
        <x:f>IF(RAND()&lt;(('Team_Info'!$E$2-COUNTIF($B431:M431,"W"))/('Team_Info'!$E$4-12)),"W","B")</x:f>
        <x:v>W</x:v>
      </x:c>
      <x:c r="O431" t="str">
        <x:f>IF(RAND()&lt;(('Team_Info'!$E$2-COUNTIF($B431:N431,"W"))/('Team_Info'!$E$4-13)),"W","B")</x:f>
        <x:v>B</x:v>
      </x:c>
      <x:c r="P431" t="str">
        <x:f>IF(RAND()&lt;(('Team_Info'!$E$2-COUNTIF($B431:O431,"W"))/('Team_Info'!$E$4-14)),"W","B")</x:f>
        <x:v>B</x:v>
      </x:c>
      <x:c r="Q431" t="str">
        <x:f>IF(RAND()&lt;(('Team_Info'!$E$2-COUNTIF($B431:P431,"W"))/('Team_Info'!$E$4-15)),"W","B")</x:f>
        <x:v>W</x:v>
      </x:c>
      <x:c r="R431" t="str">
        <x:f>IF(RAND()&lt;(('Team_Info'!$E$2-COUNTIF($B431:Q431,"W"))/('Team_Info'!$E$4-16)),"W","B")</x:f>
        <x:v>W</x:v>
      </x:c>
      <x:c r="S431" t="str">
        <x:f>IF(RAND()&lt;(('Team_Info'!$E$2-COUNTIF($B431:R431,"W"))/('Team_Info'!$E$4-17)),"W","B")</x:f>
        <x:v>B</x:v>
      </x:c>
      <x:c r="T431" t="str">
        <x:f>IF(RAND()&lt;(('Team_Info'!$E$2-COUNTIF($B431:S431,"W"))/('Team_Info'!$E$4-18)),"W","B")</x:f>
        <x:v>B</x:v>
      </x:c>
      <x:c r="U431" t="str">
        <x:f>IF(RAND()&lt;(('Team_Info'!$E$2-COUNTIF($B431:T431,"W"))/('Team_Info'!$E$4-19)),"W","B")</x:f>
        <x:v>B</x:v>
      </x:c>
    </x:row>
    <x:row r="432">
      <x:c r="A432" s="1">
        <x:v>431</x:v>
      </x:c>
      <x:c r="B432" t="str">
        <x:f>IF(RAND()&lt;'Team_Info'!$E$5,"W","B")</x:f>
        <x:v>W</x:v>
      </x:c>
      <x:c r="C432" t="str">
        <x:f>IF(RAND()&lt;(('Team_Info'!$E$2-COUNTIF($B432:B432,"W"))/('Team_Info'!$E$4-1)),"W","B")</x:f>
        <x:v>B</x:v>
      </x:c>
      <x:c r="D432" t="str">
        <x:f>IF(RAND()&lt;(('Team_Info'!$E$2-COUNTIF($B432:C432,"W"))/('Team_Info'!$E$4-2)),"W","B")</x:f>
        <x:v>B</x:v>
      </x:c>
      <x:c r="E432" t="str">
        <x:f>IF(RAND()&lt;(('Team_Info'!$E$2-COUNTIF($B432:D432,"W"))/('Team_Info'!$E$4-3)),"W","B")</x:f>
        <x:v>B</x:v>
      </x:c>
      <x:c r="F432" t="str">
        <x:f>IF(RAND()&lt;(('Team_Info'!$E$2-COUNTIF($B432:E432,"W"))/('Team_Info'!$E$4-4)),"W","B")</x:f>
        <x:v>B</x:v>
      </x:c>
      <x:c r="G432" t="str">
        <x:f>IF(RAND()&lt;(('Team_Info'!$E$2-COUNTIF($B432:F432,"W"))/('Team_Info'!$E$4-5)),"W","B")</x:f>
        <x:v>W</x:v>
      </x:c>
      <x:c r="H432" t="str">
        <x:f>IF(RAND()&lt;(('Team_Info'!$E$2-COUNTIF($B432:G432,"W"))/('Team_Info'!$E$4-6)),"W","B")</x:f>
        <x:v>B</x:v>
      </x:c>
      <x:c r="I432" t="str">
        <x:f>IF(RAND()&lt;(('Team_Info'!$E$2-COUNTIF($B432:H432,"W"))/('Team_Info'!$E$4-7)),"W","B")</x:f>
        <x:v>B</x:v>
      </x:c>
      <x:c r="J432" t="str">
        <x:f>IF(RAND()&lt;(('Team_Info'!$E$2-COUNTIF($B432:I432,"W"))/('Team_Info'!$E$4-8)),"W","B")</x:f>
        <x:v>W</x:v>
      </x:c>
      <x:c r="K432" t="str">
        <x:f>IF(RAND()&lt;(('Team_Info'!$E$2-COUNTIF($B432:J432,"W"))/('Team_Info'!$E$4-9)),"W","B")</x:f>
        <x:v>B</x:v>
      </x:c>
      <x:c r="L432" t="str">
        <x:f>IF(RAND()&lt;(('Team_Info'!$E$2-COUNTIF($B432:K432,"W"))/('Team_Info'!$E$4-10)),"W","B")</x:f>
        <x:v>B</x:v>
      </x:c>
      <x:c r="M432" t="str">
        <x:f>IF(RAND()&lt;(('Team_Info'!$E$2-COUNTIF($B432:L432,"W"))/('Team_Info'!$E$4-11)),"W","B")</x:f>
        <x:v>B</x:v>
      </x:c>
      <x:c r="N432" t="str">
        <x:f>IF(RAND()&lt;(('Team_Info'!$E$2-COUNTIF($B432:M432,"W"))/('Team_Info'!$E$4-12)),"W","B")</x:f>
        <x:v>W</x:v>
      </x:c>
      <x:c r="O432" t="str">
        <x:f>IF(RAND()&lt;(('Team_Info'!$E$2-COUNTIF($B432:N432,"W"))/('Team_Info'!$E$4-13)),"W","B")</x:f>
        <x:v>B</x:v>
      </x:c>
      <x:c r="P432" t="str">
        <x:f>IF(RAND()&lt;(('Team_Info'!$E$2-COUNTIF($B432:O432,"W"))/('Team_Info'!$E$4-14)),"W","B")</x:f>
        <x:v>B</x:v>
      </x:c>
      <x:c r="Q432" t="str">
        <x:f>IF(RAND()&lt;(('Team_Info'!$E$2-COUNTIF($B432:P432,"W"))/('Team_Info'!$E$4-15)),"W","B")</x:f>
        <x:v>B</x:v>
      </x:c>
      <x:c r="R432" t="str">
        <x:f>IF(RAND()&lt;(('Team_Info'!$E$2-COUNTIF($B432:Q432,"W"))/('Team_Info'!$E$4-16)),"W","B")</x:f>
        <x:v>W</x:v>
      </x:c>
      <x:c r="S432" t="str">
        <x:f>IF(RAND()&lt;(('Team_Info'!$E$2-COUNTIF($B432:R432,"W"))/('Team_Info'!$E$4-17)),"W","B")</x:f>
        <x:v>W</x:v>
      </x:c>
      <x:c r="T432" t="str">
        <x:f>IF(RAND()&lt;(('Team_Info'!$E$2-COUNTIF($B432:S432,"W"))/('Team_Info'!$E$4-18)),"W","B")</x:f>
        <x:v>B</x:v>
      </x:c>
      <x:c r="U432" t="str">
        <x:f>IF(RAND()&lt;(('Team_Info'!$E$2-COUNTIF($B432:T432,"W"))/('Team_Info'!$E$4-19)),"W","B")</x:f>
        <x:v>B</x:v>
      </x:c>
    </x:row>
    <x:row r="433">
      <x:c r="A433" s="1">
        <x:v>432</x:v>
      </x:c>
      <x:c r="B433" t="str">
        <x:f>IF(RAND()&lt;'Team_Info'!$E$5,"W","B")</x:f>
        <x:v>B</x:v>
      </x:c>
      <x:c r="C433" t="str">
        <x:f>IF(RAND()&lt;(('Team_Info'!$E$2-COUNTIF($B433:B433,"W"))/('Team_Info'!$E$4-1)),"W","B")</x:f>
        <x:v>B</x:v>
      </x:c>
      <x:c r="D433" t="str">
        <x:f>IF(RAND()&lt;(('Team_Info'!$E$2-COUNTIF($B433:C433,"W"))/('Team_Info'!$E$4-2)),"W","B")</x:f>
        <x:v>B</x:v>
      </x:c>
      <x:c r="E433" t="str">
        <x:f>IF(RAND()&lt;(('Team_Info'!$E$2-COUNTIF($B433:D433,"W"))/('Team_Info'!$E$4-3)),"W","B")</x:f>
        <x:v>B</x:v>
      </x:c>
      <x:c r="F433" t="str">
        <x:f>IF(RAND()&lt;(('Team_Info'!$E$2-COUNTIF($B433:E433,"W"))/('Team_Info'!$E$4-4)),"W","B")</x:f>
        <x:v>W</x:v>
      </x:c>
      <x:c r="G433" t="str">
        <x:f>IF(RAND()&lt;(('Team_Info'!$E$2-COUNTIF($B433:F433,"W"))/('Team_Info'!$E$4-5)),"W","B")</x:f>
        <x:v>W</x:v>
      </x:c>
      <x:c r="H433" t="str">
        <x:f>IF(RAND()&lt;(('Team_Info'!$E$2-COUNTIF($B433:G433,"W"))/('Team_Info'!$E$4-6)),"W","B")</x:f>
        <x:v>B</x:v>
      </x:c>
      <x:c r="I433" t="str">
        <x:f>IF(RAND()&lt;(('Team_Info'!$E$2-COUNTIF($B433:H433,"W"))/('Team_Info'!$E$4-7)),"W","B")</x:f>
        <x:v>B</x:v>
      </x:c>
      <x:c r="J433" t="str">
        <x:f>IF(RAND()&lt;(('Team_Info'!$E$2-COUNTIF($B433:I433,"W"))/('Team_Info'!$E$4-8)),"W","B")</x:f>
        <x:v>B</x:v>
      </x:c>
      <x:c r="K433" t="str">
        <x:f>IF(RAND()&lt;(('Team_Info'!$E$2-COUNTIF($B433:J433,"W"))/('Team_Info'!$E$4-9)),"W","B")</x:f>
        <x:v>W</x:v>
      </x:c>
      <x:c r="L433" t="str">
        <x:f>IF(RAND()&lt;(('Team_Info'!$E$2-COUNTIF($B433:K433,"W"))/('Team_Info'!$E$4-10)),"W","B")</x:f>
        <x:v>B</x:v>
      </x:c>
      <x:c r="M433" t="str">
        <x:f>IF(RAND()&lt;(('Team_Info'!$E$2-COUNTIF($B433:L433,"W"))/('Team_Info'!$E$4-11)),"W","B")</x:f>
        <x:v>B</x:v>
      </x:c>
      <x:c r="N433" t="str">
        <x:f>IF(RAND()&lt;(('Team_Info'!$E$2-COUNTIF($B433:M433,"W"))/('Team_Info'!$E$4-12)),"W","B")</x:f>
        <x:v>W</x:v>
      </x:c>
      <x:c r="O433" t="str">
        <x:f>IF(RAND()&lt;(('Team_Info'!$E$2-COUNTIF($B433:N433,"W"))/('Team_Info'!$E$4-13)),"W","B")</x:f>
        <x:v>W</x:v>
      </x:c>
      <x:c r="P433" t="str">
        <x:f>IF(RAND()&lt;(('Team_Info'!$E$2-COUNTIF($B433:O433,"W"))/('Team_Info'!$E$4-14)),"W","B")</x:f>
        <x:v>W</x:v>
      </x:c>
      <x:c r="Q433" t="str">
        <x:f>IF(RAND()&lt;(('Team_Info'!$E$2-COUNTIF($B433:P433,"W"))/('Team_Info'!$E$4-15)),"W","B")</x:f>
        <x:v>W</x:v>
      </x:c>
      <x:c r="R433" t="str">
        <x:f>IF(RAND()&lt;(('Team_Info'!$E$2-COUNTIF($B433:Q433,"W"))/('Team_Info'!$E$4-16)),"W","B")</x:f>
        <x:v>B</x:v>
      </x:c>
      <x:c r="S433" t="str">
        <x:f>IF(RAND()&lt;(('Team_Info'!$E$2-COUNTIF($B433:R433,"W"))/('Team_Info'!$E$4-17)),"W","B")</x:f>
        <x:v>B</x:v>
      </x:c>
      <x:c r="T433" t="str">
        <x:f>IF(RAND()&lt;(('Team_Info'!$E$2-COUNTIF($B433:S433,"W"))/('Team_Info'!$E$4-18)),"W","B")</x:f>
        <x:v>B</x:v>
      </x:c>
      <x:c r="U433" t="str">
        <x:f>IF(RAND()&lt;(('Team_Info'!$E$2-COUNTIF($B433:T433,"W"))/('Team_Info'!$E$4-19)),"W","B")</x:f>
        <x:v>B</x:v>
      </x:c>
    </x:row>
    <x:row r="434">
      <x:c r="A434" s="1">
        <x:v>433</x:v>
      </x:c>
      <x:c r="B434" t="str">
        <x:f>IF(RAND()&lt;'Team_Info'!$E$5,"W","B")</x:f>
        <x:v>B</x:v>
      </x:c>
      <x:c r="C434" t="str">
        <x:f>IF(RAND()&lt;(('Team_Info'!$E$2-COUNTIF($B434:B434,"W"))/('Team_Info'!$E$4-1)),"W","B")</x:f>
        <x:v>W</x:v>
      </x:c>
      <x:c r="D434" t="str">
        <x:f>IF(RAND()&lt;(('Team_Info'!$E$2-COUNTIF($B434:C434,"W"))/('Team_Info'!$E$4-2)),"W","B")</x:f>
        <x:v>B</x:v>
      </x:c>
      <x:c r="E434" t="str">
        <x:f>IF(RAND()&lt;(('Team_Info'!$E$2-COUNTIF($B434:D434,"W"))/('Team_Info'!$E$4-3)),"W","B")</x:f>
        <x:v>B</x:v>
      </x:c>
      <x:c r="F434" t="str">
        <x:f>IF(RAND()&lt;(('Team_Info'!$E$2-COUNTIF($B434:E434,"W"))/('Team_Info'!$E$4-4)),"W","B")</x:f>
        <x:v>W</x:v>
      </x:c>
      <x:c r="G434" t="str">
        <x:f>IF(RAND()&lt;(('Team_Info'!$E$2-COUNTIF($B434:F434,"W"))/('Team_Info'!$E$4-5)),"W","B")</x:f>
        <x:v>B</x:v>
      </x:c>
      <x:c r="H434" t="str">
        <x:f>IF(RAND()&lt;(('Team_Info'!$E$2-COUNTIF($B434:G434,"W"))/('Team_Info'!$E$4-6)),"W","B")</x:f>
        <x:v>B</x:v>
      </x:c>
      <x:c r="I434" t="str">
        <x:f>IF(RAND()&lt;(('Team_Info'!$E$2-COUNTIF($B434:H434,"W"))/('Team_Info'!$E$4-7)),"W","B")</x:f>
        <x:v>W</x:v>
      </x:c>
      <x:c r="J434" t="str">
        <x:f>IF(RAND()&lt;(('Team_Info'!$E$2-COUNTIF($B434:I434,"W"))/('Team_Info'!$E$4-8)),"W","B")</x:f>
        <x:v>B</x:v>
      </x:c>
      <x:c r="K434" t="str">
        <x:f>IF(RAND()&lt;(('Team_Info'!$E$2-COUNTIF($B434:J434,"W"))/('Team_Info'!$E$4-9)),"W","B")</x:f>
        <x:v>W</x:v>
      </x:c>
      <x:c r="L434" t="str">
        <x:f>IF(RAND()&lt;(('Team_Info'!$E$2-COUNTIF($B434:K434,"W"))/('Team_Info'!$E$4-10)),"W","B")</x:f>
        <x:v>B</x:v>
      </x:c>
      <x:c r="M434" t="str">
        <x:f>IF(RAND()&lt;(('Team_Info'!$E$2-COUNTIF($B434:L434,"W"))/('Team_Info'!$E$4-11)),"W","B")</x:f>
        <x:v>B</x:v>
      </x:c>
      <x:c r="N434" t="str">
        <x:f>IF(RAND()&lt;(('Team_Info'!$E$2-COUNTIF($B434:M434,"W"))/('Team_Info'!$E$4-12)),"W","B")</x:f>
        <x:v>B</x:v>
      </x:c>
      <x:c r="O434" t="str">
        <x:f>IF(RAND()&lt;(('Team_Info'!$E$2-COUNTIF($B434:N434,"W"))/('Team_Info'!$E$4-13)),"W","B")</x:f>
        <x:v>B</x:v>
      </x:c>
      <x:c r="P434" t="str">
        <x:f>IF(RAND()&lt;(('Team_Info'!$E$2-COUNTIF($B434:O434,"W"))/('Team_Info'!$E$4-14)),"W","B")</x:f>
        <x:v>B</x:v>
      </x:c>
      <x:c r="Q434" t="str">
        <x:f>IF(RAND()&lt;(('Team_Info'!$E$2-COUNTIF($B434:P434,"W"))/('Team_Info'!$E$4-15)),"W","B")</x:f>
        <x:v>W</x:v>
      </x:c>
      <x:c r="R434" t="str">
        <x:f>IF(RAND()&lt;(('Team_Info'!$E$2-COUNTIF($B434:Q434,"W"))/('Team_Info'!$E$4-16)),"W","B")</x:f>
        <x:v>W</x:v>
      </x:c>
      <x:c r="S434" t="str">
        <x:f>IF(RAND()&lt;(('Team_Info'!$E$2-COUNTIF($B434:R434,"W"))/('Team_Info'!$E$4-17)),"W","B")</x:f>
        <x:v>B</x:v>
      </x:c>
      <x:c r="T434" t="str">
        <x:f>IF(RAND()&lt;(('Team_Info'!$E$2-COUNTIF($B434:S434,"W"))/('Team_Info'!$E$4-18)),"W","B")</x:f>
        <x:v>W</x:v>
      </x:c>
      <x:c r="U434" t="str">
        <x:f>IF(RAND()&lt;(('Team_Info'!$E$2-COUNTIF($B434:T434,"W"))/('Team_Info'!$E$4-19)),"W","B")</x:f>
        <x:v>B</x:v>
      </x:c>
    </x:row>
    <x:row r="435">
      <x:c r="A435" s="1">
        <x:v>434</x:v>
      </x:c>
      <x:c r="B435" t="str">
        <x:f>IF(RAND()&lt;'Team_Info'!$E$5,"W","B")</x:f>
        <x:v>W</x:v>
      </x:c>
      <x:c r="C435" t="str">
        <x:f>IF(RAND()&lt;(('Team_Info'!$E$2-COUNTIF($B435:B435,"W"))/('Team_Info'!$E$4-1)),"W","B")</x:f>
        <x:v>B</x:v>
      </x:c>
      <x:c r="D435" t="str">
        <x:f>IF(RAND()&lt;(('Team_Info'!$E$2-COUNTIF($B435:C435,"W"))/('Team_Info'!$E$4-2)),"W","B")</x:f>
        <x:v>B</x:v>
      </x:c>
      <x:c r="E435" t="str">
        <x:f>IF(RAND()&lt;(('Team_Info'!$E$2-COUNTIF($B435:D435,"W"))/('Team_Info'!$E$4-3)),"W","B")</x:f>
        <x:v>W</x:v>
      </x:c>
      <x:c r="F435" t="str">
        <x:f>IF(RAND()&lt;(('Team_Info'!$E$2-COUNTIF($B435:E435,"W"))/('Team_Info'!$E$4-4)),"W","B")</x:f>
        <x:v>B</x:v>
      </x:c>
      <x:c r="G435" t="str">
        <x:f>IF(RAND()&lt;(('Team_Info'!$E$2-COUNTIF($B435:F435,"W"))/('Team_Info'!$E$4-5)),"W","B")</x:f>
        <x:v>B</x:v>
      </x:c>
      <x:c r="H435" t="str">
        <x:f>IF(RAND()&lt;(('Team_Info'!$E$2-COUNTIF($B435:G435,"W"))/('Team_Info'!$E$4-6)),"W","B")</x:f>
        <x:v>B</x:v>
      </x:c>
      <x:c r="I435" t="str">
        <x:f>IF(RAND()&lt;(('Team_Info'!$E$2-COUNTIF($B435:H435,"W"))/('Team_Info'!$E$4-7)),"W","B")</x:f>
        <x:v>B</x:v>
      </x:c>
      <x:c r="J435" t="str">
        <x:f>IF(RAND()&lt;(('Team_Info'!$E$2-COUNTIF($B435:I435,"W"))/('Team_Info'!$E$4-8)),"W","B")</x:f>
        <x:v>B</x:v>
      </x:c>
      <x:c r="K435" t="str">
        <x:f>IF(RAND()&lt;(('Team_Info'!$E$2-COUNTIF($B435:J435,"W"))/('Team_Info'!$E$4-9)),"W","B")</x:f>
        <x:v>B</x:v>
      </x:c>
      <x:c r="L435" t="str">
        <x:f>IF(RAND()&lt;(('Team_Info'!$E$2-COUNTIF($B435:K435,"W"))/('Team_Info'!$E$4-10)),"W","B")</x:f>
        <x:v>B</x:v>
      </x:c>
      <x:c r="M435" t="str">
        <x:f>IF(RAND()&lt;(('Team_Info'!$E$2-COUNTIF($B435:L435,"W"))/('Team_Info'!$E$4-11)),"W","B")</x:f>
        <x:v>B</x:v>
      </x:c>
      <x:c r="N435" t="str">
        <x:f>IF(RAND()&lt;(('Team_Info'!$E$2-COUNTIF($B435:M435,"W"))/('Team_Info'!$E$4-12)),"W","B")</x:f>
        <x:v>W</x:v>
      </x:c>
      <x:c r="O435" t="str">
        <x:f>IF(RAND()&lt;(('Team_Info'!$E$2-COUNTIF($B435:N435,"W"))/('Team_Info'!$E$4-13)),"W","B")</x:f>
        <x:v>B</x:v>
      </x:c>
      <x:c r="P435" t="str">
        <x:f>IF(RAND()&lt;(('Team_Info'!$E$2-COUNTIF($B435:O435,"W"))/('Team_Info'!$E$4-14)),"W","B")</x:f>
        <x:v>B</x:v>
      </x:c>
      <x:c r="Q435" t="str">
        <x:f>IF(RAND()&lt;(('Team_Info'!$E$2-COUNTIF($B435:P435,"W"))/('Team_Info'!$E$4-15)),"W","B")</x:f>
        <x:v>W</x:v>
      </x:c>
      <x:c r="R435" t="str">
        <x:f>IF(RAND()&lt;(('Team_Info'!$E$2-COUNTIF($B435:Q435,"W"))/('Team_Info'!$E$4-16)),"W","B")</x:f>
        <x:v>B</x:v>
      </x:c>
      <x:c r="S435" t="str">
        <x:f>IF(RAND()&lt;(('Team_Info'!$E$2-COUNTIF($B435:R435,"W"))/('Team_Info'!$E$4-17)),"W","B")</x:f>
        <x:v>B</x:v>
      </x:c>
      <x:c r="T435" t="str">
        <x:f>IF(RAND()&lt;(('Team_Info'!$E$2-COUNTIF($B435:S435,"W"))/('Team_Info'!$E$4-18)),"W","B")</x:f>
        <x:v>W</x:v>
      </x:c>
      <x:c r="U435" t="str">
        <x:f>IF(RAND()&lt;(('Team_Info'!$E$2-COUNTIF($B435:T435,"W"))/('Team_Info'!$E$4-19)),"W","B")</x:f>
        <x:v>B</x:v>
      </x:c>
    </x:row>
    <x:row r="436">
      <x:c r="A436" s="1">
        <x:v>435</x:v>
      </x:c>
      <x:c r="B436" t="str">
        <x:f>IF(RAND()&lt;'Team_Info'!$E$5,"W","B")</x:f>
        <x:v>W</x:v>
      </x:c>
      <x:c r="C436" t="str">
        <x:f>IF(RAND()&lt;(('Team_Info'!$E$2-COUNTIF($B436:B436,"W"))/('Team_Info'!$E$4-1)),"W","B")</x:f>
        <x:v>W</x:v>
      </x:c>
      <x:c r="D436" t="str">
        <x:f>IF(RAND()&lt;(('Team_Info'!$E$2-COUNTIF($B436:C436,"W"))/('Team_Info'!$E$4-2)),"W","B")</x:f>
        <x:v>W</x:v>
      </x:c>
      <x:c r="E436" t="str">
        <x:f>IF(RAND()&lt;(('Team_Info'!$E$2-COUNTIF($B436:D436,"W"))/('Team_Info'!$E$4-3)),"W","B")</x:f>
        <x:v>B</x:v>
      </x:c>
      <x:c r="F436" t="str">
        <x:f>IF(RAND()&lt;(('Team_Info'!$E$2-COUNTIF($B436:E436,"W"))/('Team_Info'!$E$4-4)),"W","B")</x:f>
        <x:v>B</x:v>
      </x:c>
      <x:c r="G436" t="str">
        <x:f>IF(RAND()&lt;(('Team_Info'!$E$2-COUNTIF($B436:F436,"W"))/('Team_Info'!$E$4-5)),"W","B")</x:f>
        <x:v>B</x:v>
      </x:c>
      <x:c r="H436" t="str">
        <x:f>IF(RAND()&lt;(('Team_Info'!$E$2-COUNTIF($B436:G436,"W"))/('Team_Info'!$E$4-6)),"W","B")</x:f>
        <x:v>W</x:v>
      </x:c>
      <x:c r="I436" t="str">
        <x:f>IF(RAND()&lt;(('Team_Info'!$E$2-COUNTIF($B436:H436,"W"))/('Team_Info'!$E$4-7)),"W","B")</x:f>
        <x:v>B</x:v>
      </x:c>
      <x:c r="J436" t="str">
        <x:f>IF(RAND()&lt;(('Team_Info'!$E$2-COUNTIF($B436:I436,"W"))/('Team_Info'!$E$4-8)),"W","B")</x:f>
        <x:v>W</x:v>
      </x:c>
      <x:c r="K436" t="str">
        <x:f>IF(RAND()&lt;(('Team_Info'!$E$2-COUNTIF($B436:J436,"W"))/('Team_Info'!$E$4-9)),"W","B")</x:f>
        <x:v>W</x:v>
      </x:c>
      <x:c r="L436" t="str">
        <x:f>IF(RAND()&lt;(('Team_Info'!$E$2-COUNTIF($B436:K436,"W"))/('Team_Info'!$E$4-10)),"W","B")</x:f>
        <x:v>W</x:v>
      </x:c>
      <x:c r="M436" t="str">
        <x:f>IF(RAND()&lt;(('Team_Info'!$E$2-COUNTIF($B436:L436,"W"))/('Team_Info'!$E$4-11)),"W","B")</x:f>
        <x:v>B</x:v>
      </x:c>
      <x:c r="N436" t="str">
        <x:f>IF(RAND()&lt;(('Team_Info'!$E$2-COUNTIF($B436:M436,"W"))/('Team_Info'!$E$4-12)),"W","B")</x:f>
        <x:v>W</x:v>
      </x:c>
      <x:c r="O436" t="str">
        <x:f>IF(RAND()&lt;(('Team_Info'!$E$2-COUNTIF($B436:N436,"W"))/('Team_Info'!$E$4-13)),"W","B")</x:f>
        <x:v>W</x:v>
      </x:c>
      <x:c r="P436" t="str">
        <x:f>IF(RAND()&lt;(('Team_Info'!$E$2-COUNTIF($B436:O436,"W"))/('Team_Info'!$E$4-14)),"W","B")</x:f>
        <x:v>B</x:v>
      </x:c>
      <x:c r="Q436" t="str">
        <x:f>IF(RAND()&lt;(('Team_Info'!$E$2-COUNTIF($B436:P436,"W"))/('Team_Info'!$E$4-15)),"W","B")</x:f>
        <x:v>W</x:v>
      </x:c>
      <x:c r="R436" t="str">
        <x:f>IF(RAND()&lt;(('Team_Info'!$E$2-COUNTIF($B436:Q436,"W"))/('Team_Info'!$E$4-16)),"W","B")</x:f>
        <x:v>W</x:v>
      </x:c>
      <x:c r="S436" t="str">
        <x:f>IF(RAND()&lt;(('Team_Info'!$E$2-COUNTIF($B436:R436,"W"))/('Team_Info'!$E$4-17)),"W","B")</x:f>
        <x:v>W</x:v>
      </x:c>
      <x:c r="T436" t="str">
        <x:f>IF(RAND()&lt;(('Team_Info'!$E$2-COUNTIF($B436:S436,"W"))/('Team_Info'!$E$4-18)),"W","B")</x:f>
        <x:v>B</x:v>
      </x:c>
      <x:c r="U436" t="str">
        <x:f>IF(RAND()&lt;(('Team_Info'!$E$2-COUNTIF($B436:T436,"W"))/('Team_Info'!$E$4-19)),"W","B")</x:f>
        <x:v>W</x:v>
      </x:c>
    </x:row>
    <x:row r="437">
      <x:c r="A437" s="1">
        <x:v>436</x:v>
      </x:c>
      <x:c r="B437" t="str">
        <x:f>IF(RAND()&lt;'Team_Info'!$E$5,"W","B")</x:f>
        <x:v>B</x:v>
      </x:c>
      <x:c r="C437" t="str">
        <x:f>IF(RAND()&lt;(('Team_Info'!$E$2-COUNTIF($B437:B437,"W"))/('Team_Info'!$E$4-1)),"W","B")</x:f>
        <x:v>B</x:v>
      </x:c>
      <x:c r="D437" t="str">
        <x:f>IF(RAND()&lt;(('Team_Info'!$E$2-COUNTIF($B437:C437,"W"))/('Team_Info'!$E$4-2)),"W","B")</x:f>
        <x:v>W</x:v>
      </x:c>
      <x:c r="E437" t="str">
        <x:f>IF(RAND()&lt;(('Team_Info'!$E$2-COUNTIF($B437:D437,"W"))/('Team_Info'!$E$4-3)),"W","B")</x:f>
        <x:v>B</x:v>
      </x:c>
      <x:c r="F437" t="str">
        <x:f>IF(RAND()&lt;(('Team_Info'!$E$2-COUNTIF($B437:E437,"W"))/('Team_Info'!$E$4-4)),"W","B")</x:f>
        <x:v>B</x:v>
      </x:c>
      <x:c r="G437" t="str">
        <x:f>IF(RAND()&lt;(('Team_Info'!$E$2-COUNTIF($B437:F437,"W"))/('Team_Info'!$E$4-5)),"W","B")</x:f>
        <x:v>B</x:v>
      </x:c>
      <x:c r="H437" t="str">
        <x:f>IF(RAND()&lt;(('Team_Info'!$E$2-COUNTIF($B437:G437,"W"))/('Team_Info'!$E$4-6)),"W","B")</x:f>
        <x:v>W</x:v>
      </x:c>
      <x:c r="I437" t="str">
        <x:f>IF(RAND()&lt;(('Team_Info'!$E$2-COUNTIF($B437:H437,"W"))/('Team_Info'!$E$4-7)),"W","B")</x:f>
        <x:v>B</x:v>
      </x:c>
      <x:c r="J437" t="str">
        <x:f>IF(RAND()&lt;(('Team_Info'!$E$2-COUNTIF($B437:I437,"W"))/('Team_Info'!$E$4-8)),"W","B")</x:f>
        <x:v>B</x:v>
      </x:c>
      <x:c r="K437" t="str">
        <x:f>IF(RAND()&lt;(('Team_Info'!$E$2-COUNTIF($B437:J437,"W"))/('Team_Info'!$E$4-9)),"W","B")</x:f>
        <x:v>B</x:v>
      </x:c>
      <x:c r="L437" t="str">
        <x:f>IF(RAND()&lt;(('Team_Info'!$E$2-COUNTIF($B437:K437,"W"))/('Team_Info'!$E$4-10)),"W","B")</x:f>
        <x:v>B</x:v>
      </x:c>
      <x:c r="M437" t="str">
        <x:f>IF(RAND()&lt;(('Team_Info'!$E$2-COUNTIF($B437:L437,"W"))/('Team_Info'!$E$4-11)),"W","B")</x:f>
        <x:v>W</x:v>
      </x:c>
      <x:c r="N437" t="str">
        <x:f>IF(RAND()&lt;(('Team_Info'!$E$2-COUNTIF($B437:M437,"W"))/('Team_Info'!$E$4-12)),"W","B")</x:f>
        <x:v>W</x:v>
      </x:c>
      <x:c r="O437" t="str">
        <x:f>IF(RAND()&lt;(('Team_Info'!$E$2-COUNTIF($B437:N437,"W"))/('Team_Info'!$E$4-13)),"W","B")</x:f>
        <x:v>W</x:v>
      </x:c>
      <x:c r="P437" t="str">
        <x:f>IF(RAND()&lt;(('Team_Info'!$E$2-COUNTIF($B437:O437,"W"))/('Team_Info'!$E$4-14)),"W","B")</x:f>
        <x:v>W</x:v>
      </x:c>
      <x:c r="Q437" t="str">
        <x:f>IF(RAND()&lt;(('Team_Info'!$E$2-COUNTIF($B437:P437,"W"))/('Team_Info'!$E$4-15)),"W","B")</x:f>
        <x:v>B</x:v>
      </x:c>
      <x:c r="R437" t="str">
        <x:f>IF(RAND()&lt;(('Team_Info'!$E$2-COUNTIF($B437:Q437,"W"))/('Team_Info'!$E$4-16)),"W","B")</x:f>
        <x:v>B</x:v>
      </x:c>
      <x:c r="S437" t="str">
        <x:f>IF(RAND()&lt;(('Team_Info'!$E$2-COUNTIF($B437:R437,"W"))/('Team_Info'!$E$4-17)),"W","B")</x:f>
        <x:v>W</x:v>
      </x:c>
      <x:c r="T437" t="str">
        <x:f>IF(RAND()&lt;(('Team_Info'!$E$2-COUNTIF($B437:S437,"W"))/('Team_Info'!$E$4-18)),"W","B")</x:f>
        <x:v>B</x:v>
      </x:c>
      <x:c r="U437" t="str">
        <x:f>IF(RAND()&lt;(('Team_Info'!$E$2-COUNTIF($B437:T437,"W"))/('Team_Info'!$E$4-19)),"W","B")</x:f>
        <x:v>W</x:v>
      </x:c>
    </x:row>
    <x:row r="438">
      <x:c r="A438" s="1">
        <x:v>437</x:v>
      </x:c>
      <x:c r="B438" t="str">
        <x:f>IF(RAND()&lt;'Team_Info'!$E$5,"W","B")</x:f>
        <x:v>B</x:v>
      </x:c>
      <x:c r="C438" t="str">
        <x:f>IF(RAND()&lt;(('Team_Info'!$E$2-COUNTIF($B438:B438,"W"))/('Team_Info'!$E$4-1)),"W","B")</x:f>
        <x:v>W</x:v>
      </x:c>
      <x:c r="D438" t="str">
        <x:f>IF(RAND()&lt;(('Team_Info'!$E$2-COUNTIF($B438:C438,"W"))/('Team_Info'!$E$4-2)),"W","B")</x:f>
        <x:v>W</x:v>
      </x:c>
      <x:c r="E438" t="str">
        <x:f>IF(RAND()&lt;(('Team_Info'!$E$2-COUNTIF($B438:D438,"W"))/('Team_Info'!$E$4-3)),"W","B")</x:f>
        <x:v>W</x:v>
      </x:c>
      <x:c r="F438" t="str">
        <x:f>IF(RAND()&lt;(('Team_Info'!$E$2-COUNTIF($B438:E438,"W"))/('Team_Info'!$E$4-4)),"W","B")</x:f>
        <x:v>W</x:v>
      </x:c>
      <x:c r="G438" t="str">
        <x:f>IF(RAND()&lt;(('Team_Info'!$E$2-COUNTIF($B438:F438,"W"))/('Team_Info'!$E$4-5)),"W","B")</x:f>
        <x:v>B</x:v>
      </x:c>
      <x:c r="H438" t="str">
        <x:f>IF(RAND()&lt;(('Team_Info'!$E$2-COUNTIF($B438:G438,"W"))/('Team_Info'!$E$4-6)),"W","B")</x:f>
        <x:v>B</x:v>
      </x:c>
      <x:c r="I438" t="str">
        <x:f>IF(RAND()&lt;(('Team_Info'!$E$2-COUNTIF($B438:H438,"W"))/('Team_Info'!$E$4-7)),"W","B")</x:f>
        <x:v>B</x:v>
      </x:c>
      <x:c r="J438" t="str">
        <x:f>IF(RAND()&lt;(('Team_Info'!$E$2-COUNTIF($B438:I438,"W"))/('Team_Info'!$E$4-8)),"W","B")</x:f>
        <x:v>W</x:v>
      </x:c>
      <x:c r="K438" t="str">
        <x:f>IF(RAND()&lt;(('Team_Info'!$E$2-COUNTIF($B438:J438,"W"))/('Team_Info'!$E$4-9)),"W","B")</x:f>
        <x:v>W</x:v>
      </x:c>
      <x:c r="L438" t="str">
        <x:f>IF(RAND()&lt;(('Team_Info'!$E$2-COUNTIF($B438:K438,"W"))/('Team_Info'!$E$4-10)),"W","B")</x:f>
        <x:v>B</x:v>
      </x:c>
      <x:c r="M438" t="str">
        <x:f>IF(RAND()&lt;(('Team_Info'!$E$2-COUNTIF($B438:L438,"W"))/('Team_Info'!$E$4-11)),"W","B")</x:f>
        <x:v>B</x:v>
      </x:c>
      <x:c r="N438" t="str">
        <x:f>IF(RAND()&lt;(('Team_Info'!$E$2-COUNTIF($B438:M438,"W"))/('Team_Info'!$E$4-12)),"W","B")</x:f>
        <x:v>B</x:v>
      </x:c>
      <x:c r="O438" t="str">
        <x:f>IF(RAND()&lt;(('Team_Info'!$E$2-COUNTIF($B438:N438,"W"))/('Team_Info'!$E$4-13)),"W","B")</x:f>
        <x:v>W</x:v>
      </x:c>
      <x:c r="P438" t="str">
        <x:f>IF(RAND()&lt;(('Team_Info'!$E$2-COUNTIF($B438:O438,"W"))/('Team_Info'!$E$4-14)),"W","B")</x:f>
        <x:v>B</x:v>
      </x:c>
      <x:c r="Q438" t="str">
        <x:f>IF(RAND()&lt;(('Team_Info'!$E$2-COUNTIF($B438:P438,"W"))/('Team_Info'!$E$4-15)),"W","B")</x:f>
        <x:v>W</x:v>
      </x:c>
      <x:c r="R438" t="str">
        <x:f>IF(RAND()&lt;(('Team_Info'!$E$2-COUNTIF($B438:Q438,"W"))/('Team_Info'!$E$4-16)),"W","B")</x:f>
        <x:v>B</x:v>
      </x:c>
      <x:c r="S438" t="str">
        <x:f>IF(RAND()&lt;(('Team_Info'!$E$2-COUNTIF($B438:R438,"W"))/('Team_Info'!$E$4-17)),"W","B")</x:f>
        <x:v>B</x:v>
      </x:c>
      <x:c r="T438" t="str">
        <x:f>IF(RAND()&lt;(('Team_Info'!$E$2-COUNTIF($B438:S438,"W"))/('Team_Info'!$E$4-18)),"W","B")</x:f>
        <x:v>B</x:v>
      </x:c>
      <x:c r="U438" t="str">
        <x:f>IF(RAND()&lt;(('Team_Info'!$E$2-COUNTIF($B438:T438,"W"))/('Team_Info'!$E$4-19)),"W","B")</x:f>
        <x:v>B</x:v>
      </x:c>
    </x:row>
    <x:row r="439">
      <x:c r="A439" s="1">
        <x:v>438</x:v>
      </x:c>
      <x:c r="B439" t="str">
        <x:f>IF(RAND()&lt;'Team_Info'!$E$5,"W","B")</x:f>
        <x:v>W</x:v>
      </x:c>
      <x:c r="C439" t="str">
        <x:f>IF(RAND()&lt;(('Team_Info'!$E$2-COUNTIF($B439:B439,"W"))/('Team_Info'!$E$4-1)),"W","B")</x:f>
        <x:v>W</x:v>
      </x:c>
      <x:c r="D439" t="str">
        <x:f>IF(RAND()&lt;(('Team_Info'!$E$2-COUNTIF($B439:C439,"W"))/('Team_Info'!$E$4-2)),"W","B")</x:f>
        <x:v>B</x:v>
      </x:c>
      <x:c r="E439" t="str">
        <x:f>IF(RAND()&lt;(('Team_Info'!$E$2-COUNTIF($B439:D439,"W"))/('Team_Info'!$E$4-3)),"W","B")</x:f>
        <x:v>W</x:v>
      </x:c>
      <x:c r="F439" t="str">
        <x:f>IF(RAND()&lt;(('Team_Info'!$E$2-COUNTIF($B439:E439,"W"))/('Team_Info'!$E$4-4)),"W","B")</x:f>
        <x:v>B</x:v>
      </x:c>
      <x:c r="G439" t="str">
        <x:f>IF(RAND()&lt;(('Team_Info'!$E$2-COUNTIF($B439:F439,"W"))/('Team_Info'!$E$4-5)),"W","B")</x:f>
        <x:v>W</x:v>
      </x:c>
      <x:c r="H439" t="str">
        <x:f>IF(RAND()&lt;(('Team_Info'!$E$2-COUNTIF($B439:G439,"W"))/('Team_Info'!$E$4-6)),"W","B")</x:f>
        <x:v>B</x:v>
      </x:c>
      <x:c r="I439" t="str">
        <x:f>IF(RAND()&lt;(('Team_Info'!$E$2-COUNTIF($B439:H439,"W"))/('Team_Info'!$E$4-7)),"W","B")</x:f>
        <x:v>W</x:v>
      </x:c>
      <x:c r="J439" t="str">
        <x:f>IF(RAND()&lt;(('Team_Info'!$E$2-COUNTIF($B439:I439,"W"))/('Team_Info'!$E$4-8)),"W","B")</x:f>
        <x:v>W</x:v>
      </x:c>
      <x:c r="K439" t="str">
        <x:f>IF(RAND()&lt;(('Team_Info'!$E$2-COUNTIF($B439:J439,"W"))/('Team_Info'!$E$4-9)),"W","B")</x:f>
        <x:v>B</x:v>
      </x:c>
      <x:c r="L439" t="str">
        <x:f>IF(RAND()&lt;(('Team_Info'!$E$2-COUNTIF($B439:K439,"W"))/('Team_Info'!$E$4-10)),"W","B")</x:f>
        <x:v>B</x:v>
      </x:c>
      <x:c r="M439" t="str">
        <x:f>IF(RAND()&lt;(('Team_Info'!$E$2-COUNTIF($B439:L439,"W"))/('Team_Info'!$E$4-11)),"W","B")</x:f>
        <x:v>B</x:v>
      </x:c>
      <x:c r="N439" t="str">
        <x:f>IF(RAND()&lt;(('Team_Info'!$E$2-COUNTIF($B439:M439,"W"))/('Team_Info'!$E$4-12)),"W","B")</x:f>
        <x:v>W</x:v>
      </x:c>
      <x:c r="O439" t="str">
        <x:f>IF(RAND()&lt;(('Team_Info'!$E$2-COUNTIF($B439:N439,"W"))/('Team_Info'!$E$4-13)),"W","B")</x:f>
        <x:v>W</x:v>
      </x:c>
      <x:c r="P439" t="str">
        <x:f>IF(RAND()&lt;(('Team_Info'!$E$2-COUNTIF($B439:O439,"W"))/('Team_Info'!$E$4-14)),"W","B")</x:f>
        <x:v>B</x:v>
      </x:c>
      <x:c r="Q439" t="str">
        <x:f>IF(RAND()&lt;(('Team_Info'!$E$2-COUNTIF($B439:P439,"W"))/('Team_Info'!$E$4-15)),"W","B")</x:f>
        <x:v>B</x:v>
      </x:c>
      <x:c r="R439" t="str">
        <x:f>IF(RAND()&lt;(('Team_Info'!$E$2-COUNTIF($B439:Q439,"W"))/('Team_Info'!$E$4-16)),"W","B")</x:f>
        <x:v>B</x:v>
      </x:c>
      <x:c r="S439" t="str">
        <x:f>IF(RAND()&lt;(('Team_Info'!$E$2-COUNTIF($B439:R439,"W"))/('Team_Info'!$E$4-17)),"W","B")</x:f>
        <x:v>B</x:v>
      </x:c>
      <x:c r="T439" t="str">
        <x:f>IF(RAND()&lt;(('Team_Info'!$E$2-COUNTIF($B439:S439,"W"))/('Team_Info'!$E$4-18)),"W","B")</x:f>
        <x:v>W</x:v>
      </x:c>
      <x:c r="U439" t="str">
        <x:f>IF(RAND()&lt;(('Team_Info'!$E$2-COUNTIF($B439:T439,"W"))/('Team_Info'!$E$4-19)),"W","B")</x:f>
        <x:v>W</x:v>
      </x:c>
    </x:row>
    <x:row r="440">
      <x:c r="A440" s="1">
        <x:v>439</x:v>
      </x:c>
      <x:c r="B440" t="str">
        <x:f>IF(RAND()&lt;'Team_Info'!$E$5,"W","B")</x:f>
        <x:v>B</x:v>
      </x:c>
      <x:c r="C440" t="str">
        <x:f>IF(RAND()&lt;(('Team_Info'!$E$2-COUNTIF($B440:B440,"W"))/('Team_Info'!$E$4-1)),"W","B")</x:f>
        <x:v>W</x:v>
      </x:c>
      <x:c r="D440" t="str">
        <x:f>IF(RAND()&lt;(('Team_Info'!$E$2-COUNTIF($B440:C440,"W"))/('Team_Info'!$E$4-2)),"W","B")</x:f>
        <x:v>W</x:v>
      </x:c>
      <x:c r="E440" t="str">
        <x:f>IF(RAND()&lt;(('Team_Info'!$E$2-COUNTIF($B440:D440,"W"))/('Team_Info'!$E$4-3)),"W","B")</x:f>
        <x:v>B</x:v>
      </x:c>
      <x:c r="F440" t="str">
        <x:f>IF(RAND()&lt;(('Team_Info'!$E$2-COUNTIF($B440:E440,"W"))/('Team_Info'!$E$4-4)),"W","B")</x:f>
        <x:v>W</x:v>
      </x:c>
      <x:c r="G440" t="str">
        <x:f>IF(RAND()&lt;(('Team_Info'!$E$2-COUNTIF($B440:F440,"W"))/('Team_Info'!$E$4-5)),"W","B")</x:f>
        <x:v>B</x:v>
      </x:c>
      <x:c r="H440" t="str">
        <x:f>IF(RAND()&lt;(('Team_Info'!$E$2-COUNTIF($B440:G440,"W"))/('Team_Info'!$E$4-6)),"W","B")</x:f>
        <x:v>B</x:v>
      </x:c>
      <x:c r="I440" t="str">
        <x:f>IF(RAND()&lt;(('Team_Info'!$E$2-COUNTIF($B440:H440,"W"))/('Team_Info'!$E$4-7)),"W","B")</x:f>
        <x:v>B</x:v>
      </x:c>
      <x:c r="J440" t="str">
        <x:f>IF(RAND()&lt;(('Team_Info'!$E$2-COUNTIF($B440:I440,"W"))/('Team_Info'!$E$4-8)),"W","B")</x:f>
        <x:v>W</x:v>
      </x:c>
      <x:c r="K440" t="str">
        <x:f>IF(RAND()&lt;(('Team_Info'!$E$2-COUNTIF($B440:J440,"W"))/('Team_Info'!$E$4-9)),"W","B")</x:f>
        <x:v>B</x:v>
      </x:c>
      <x:c r="L440" t="str">
        <x:f>IF(RAND()&lt;(('Team_Info'!$E$2-COUNTIF($B440:K440,"W"))/('Team_Info'!$E$4-10)),"W","B")</x:f>
        <x:v>B</x:v>
      </x:c>
      <x:c r="M440" t="str">
        <x:f>IF(RAND()&lt;(('Team_Info'!$E$2-COUNTIF($B440:L440,"W"))/('Team_Info'!$E$4-11)),"W","B")</x:f>
        <x:v>B</x:v>
      </x:c>
      <x:c r="N440" t="str">
        <x:f>IF(RAND()&lt;(('Team_Info'!$E$2-COUNTIF($B440:M440,"W"))/('Team_Info'!$E$4-12)),"W","B")</x:f>
        <x:v>B</x:v>
      </x:c>
      <x:c r="O440" t="str">
        <x:f>IF(RAND()&lt;(('Team_Info'!$E$2-COUNTIF($B440:N440,"W"))/('Team_Info'!$E$4-13)),"W","B")</x:f>
        <x:v>B</x:v>
      </x:c>
      <x:c r="P440" t="str">
        <x:f>IF(RAND()&lt;(('Team_Info'!$E$2-COUNTIF($B440:O440,"W"))/('Team_Info'!$E$4-14)),"W","B")</x:f>
        <x:v>B</x:v>
      </x:c>
      <x:c r="Q440" t="str">
        <x:f>IF(RAND()&lt;(('Team_Info'!$E$2-COUNTIF($B440:P440,"W"))/('Team_Info'!$E$4-15)),"W","B")</x:f>
        <x:v>B</x:v>
      </x:c>
      <x:c r="R440" t="str">
        <x:f>IF(RAND()&lt;(('Team_Info'!$E$2-COUNTIF($B440:Q440,"W"))/('Team_Info'!$E$4-16)),"W","B")</x:f>
        <x:v>W</x:v>
      </x:c>
      <x:c r="S440" t="str">
        <x:f>IF(RAND()&lt;(('Team_Info'!$E$2-COUNTIF($B440:R440,"W"))/('Team_Info'!$E$4-17)),"W","B")</x:f>
        <x:v>W</x:v>
      </x:c>
      <x:c r="T440" t="str">
        <x:f>IF(RAND()&lt;(('Team_Info'!$E$2-COUNTIF($B440:S440,"W"))/('Team_Info'!$E$4-18)),"W","B")</x:f>
        <x:v>B</x:v>
      </x:c>
      <x:c r="U440" t="str">
        <x:f>IF(RAND()&lt;(('Team_Info'!$E$2-COUNTIF($B440:T440,"W"))/('Team_Info'!$E$4-19)),"W","B")</x:f>
        <x:v>B</x:v>
      </x:c>
    </x:row>
    <x:row r="441">
      <x:c r="A441" s="1">
        <x:v>440</x:v>
      </x:c>
      <x:c r="B441" t="str">
        <x:f>IF(RAND()&lt;'Team_Info'!$E$5,"W","B")</x:f>
        <x:v>W</x:v>
      </x:c>
      <x:c r="C441" t="str">
        <x:f>IF(RAND()&lt;(('Team_Info'!$E$2-COUNTIF($B441:B441,"W"))/('Team_Info'!$E$4-1)),"W","B")</x:f>
        <x:v>W</x:v>
      </x:c>
      <x:c r="D441" t="str">
        <x:f>IF(RAND()&lt;(('Team_Info'!$E$2-COUNTIF($B441:C441,"W"))/('Team_Info'!$E$4-2)),"W","B")</x:f>
        <x:v>B</x:v>
      </x:c>
      <x:c r="E441" t="str">
        <x:f>IF(RAND()&lt;(('Team_Info'!$E$2-COUNTIF($B441:D441,"W"))/('Team_Info'!$E$4-3)),"W","B")</x:f>
        <x:v>B</x:v>
      </x:c>
      <x:c r="F441" t="str">
        <x:f>IF(RAND()&lt;(('Team_Info'!$E$2-COUNTIF($B441:E441,"W"))/('Team_Info'!$E$4-4)),"W","B")</x:f>
        <x:v>W</x:v>
      </x:c>
      <x:c r="G441" t="str">
        <x:f>IF(RAND()&lt;(('Team_Info'!$E$2-COUNTIF($B441:F441,"W"))/('Team_Info'!$E$4-5)),"W","B")</x:f>
        <x:v>W</x:v>
      </x:c>
      <x:c r="H441" t="str">
        <x:f>IF(RAND()&lt;(('Team_Info'!$E$2-COUNTIF($B441:G441,"W"))/('Team_Info'!$E$4-6)),"W","B")</x:f>
        <x:v>B</x:v>
      </x:c>
      <x:c r="I441" t="str">
        <x:f>IF(RAND()&lt;(('Team_Info'!$E$2-COUNTIF($B441:H441,"W"))/('Team_Info'!$E$4-7)),"W","B")</x:f>
        <x:v>B</x:v>
      </x:c>
      <x:c r="J441" t="str">
        <x:f>IF(RAND()&lt;(('Team_Info'!$E$2-COUNTIF($B441:I441,"W"))/('Team_Info'!$E$4-8)),"W","B")</x:f>
        <x:v>B</x:v>
      </x:c>
      <x:c r="K441" t="str">
        <x:f>IF(RAND()&lt;(('Team_Info'!$E$2-COUNTIF($B441:J441,"W"))/('Team_Info'!$E$4-9)),"W","B")</x:f>
        <x:v>W</x:v>
      </x:c>
      <x:c r="L441" t="str">
        <x:f>IF(RAND()&lt;(('Team_Info'!$E$2-COUNTIF($B441:K441,"W"))/('Team_Info'!$E$4-10)),"W","B")</x:f>
        <x:v>B</x:v>
      </x:c>
      <x:c r="M441" t="str">
        <x:f>IF(RAND()&lt;(('Team_Info'!$E$2-COUNTIF($B441:L441,"W"))/('Team_Info'!$E$4-11)),"W","B")</x:f>
        <x:v>W</x:v>
      </x:c>
      <x:c r="N441" t="str">
        <x:f>IF(RAND()&lt;(('Team_Info'!$E$2-COUNTIF($B441:M441,"W"))/('Team_Info'!$E$4-12)),"W","B")</x:f>
        <x:v>B</x:v>
      </x:c>
      <x:c r="O441" t="str">
        <x:f>IF(RAND()&lt;(('Team_Info'!$E$2-COUNTIF($B441:N441,"W"))/('Team_Info'!$E$4-13)),"W","B")</x:f>
        <x:v>W</x:v>
      </x:c>
      <x:c r="P441" t="str">
        <x:f>IF(RAND()&lt;(('Team_Info'!$E$2-COUNTIF($B441:O441,"W"))/('Team_Info'!$E$4-14)),"W","B")</x:f>
        <x:v>W</x:v>
      </x:c>
      <x:c r="Q441" t="str">
        <x:f>IF(RAND()&lt;(('Team_Info'!$E$2-COUNTIF($B441:P441,"W"))/('Team_Info'!$E$4-15)),"W","B")</x:f>
        <x:v>W</x:v>
      </x:c>
      <x:c r="R441" t="str">
        <x:f>IF(RAND()&lt;(('Team_Info'!$E$2-COUNTIF($B441:Q441,"W"))/('Team_Info'!$E$4-16)),"W","B")</x:f>
        <x:v>B</x:v>
      </x:c>
      <x:c r="S441" t="str">
        <x:f>IF(RAND()&lt;(('Team_Info'!$E$2-COUNTIF($B441:R441,"W"))/('Team_Info'!$E$4-17)),"W","B")</x:f>
        <x:v>B</x:v>
      </x:c>
      <x:c r="T441" t="str">
        <x:f>IF(RAND()&lt;(('Team_Info'!$E$2-COUNTIF($B441:S441,"W"))/('Team_Info'!$E$4-18)),"W","B")</x:f>
        <x:v>B</x:v>
      </x:c>
      <x:c r="U441" t="str">
        <x:f>IF(RAND()&lt;(('Team_Info'!$E$2-COUNTIF($B441:T441,"W"))/('Team_Info'!$E$4-19)),"W","B")</x:f>
        <x:v>B</x:v>
      </x:c>
    </x:row>
    <x:row r="442">
      <x:c r="A442" s="1">
        <x:v>441</x:v>
      </x:c>
      <x:c r="B442" t="str">
        <x:f>IF(RAND()&lt;'Team_Info'!$E$5,"W","B")</x:f>
        <x:v>B</x:v>
      </x:c>
      <x:c r="C442" t="str">
        <x:f>IF(RAND()&lt;(('Team_Info'!$E$2-COUNTIF($B442:B442,"W"))/('Team_Info'!$E$4-1)),"W","B")</x:f>
        <x:v>B</x:v>
      </x:c>
      <x:c r="D442" t="str">
        <x:f>IF(RAND()&lt;(('Team_Info'!$E$2-COUNTIF($B442:C442,"W"))/('Team_Info'!$E$4-2)),"W","B")</x:f>
        <x:v>B</x:v>
      </x:c>
      <x:c r="E442" t="str">
        <x:f>IF(RAND()&lt;(('Team_Info'!$E$2-COUNTIF($B442:D442,"W"))/('Team_Info'!$E$4-3)),"W","B")</x:f>
        <x:v>B</x:v>
      </x:c>
      <x:c r="F442" t="str">
        <x:f>IF(RAND()&lt;(('Team_Info'!$E$2-COUNTIF($B442:E442,"W"))/('Team_Info'!$E$4-4)),"W","B")</x:f>
        <x:v>B</x:v>
      </x:c>
      <x:c r="G442" t="str">
        <x:f>IF(RAND()&lt;(('Team_Info'!$E$2-COUNTIF($B442:F442,"W"))/('Team_Info'!$E$4-5)),"W","B")</x:f>
        <x:v>B</x:v>
      </x:c>
      <x:c r="H442" t="str">
        <x:f>IF(RAND()&lt;(('Team_Info'!$E$2-COUNTIF($B442:G442,"W"))/('Team_Info'!$E$4-6)),"W","B")</x:f>
        <x:v>W</x:v>
      </x:c>
      <x:c r="I442" t="str">
        <x:f>IF(RAND()&lt;(('Team_Info'!$E$2-COUNTIF($B442:H442,"W"))/('Team_Info'!$E$4-7)),"W","B")</x:f>
        <x:v>W</x:v>
      </x:c>
      <x:c r="J442" t="str">
        <x:f>IF(RAND()&lt;(('Team_Info'!$E$2-COUNTIF($B442:I442,"W"))/('Team_Info'!$E$4-8)),"W","B")</x:f>
        <x:v>W</x:v>
      </x:c>
      <x:c r="K442" t="str">
        <x:f>IF(RAND()&lt;(('Team_Info'!$E$2-COUNTIF($B442:J442,"W"))/('Team_Info'!$E$4-9)),"W","B")</x:f>
        <x:v>B</x:v>
      </x:c>
      <x:c r="L442" t="str">
        <x:f>IF(RAND()&lt;(('Team_Info'!$E$2-COUNTIF($B442:K442,"W"))/('Team_Info'!$E$4-10)),"W","B")</x:f>
        <x:v>W</x:v>
      </x:c>
      <x:c r="M442" t="str">
        <x:f>IF(RAND()&lt;(('Team_Info'!$E$2-COUNTIF($B442:L442,"W"))/('Team_Info'!$E$4-11)),"W","B")</x:f>
        <x:v>B</x:v>
      </x:c>
      <x:c r="N442" t="str">
        <x:f>IF(RAND()&lt;(('Team_Info'!$E$2-COUNTIF($B442:M442,"W"))/('Team_Info'!$E$4-12)),"W","B")</x:f>
        <x:v>B</x:v>
      </x:c>
      <x:c r="O442" t="str">
        <x:f>IF(RAND()&lt;(('Team_Info'!$E$2-COUNTIF($B442:N442,"W"))/('Team_Info'!$E$4-13)),"W","B")</x:f>
        <x:v>B</x:v>
      </x:c>
      <x:c r="P442" t="str">
        <x:f>IF(RAND()&lt;(('Team_Info'!$E$2-COUNTIF($B442:O442,"W"))/('Team_Info'!$E$4-14)),"W","B")</x:f>
        <x:v>W</x:v>
      </x:c>
      <x:c r="Q442" t="str">
        <x:f>IF(RAND()&lt;(('Team_Info'!$E$2-COUNTIF($B442:P442,"W"))/('Team_Info'!$E$4-15)),"W","B")</x:f>
        <x:v>B</x:v>
      </x:c>
      <x:c r="R442" t="str">
        <x:f>IF(RAND()&lt;(('Team_Info'!$E$2-COUNTIF($B442:Q442,"W"))/('Team_Info'!$E$4-16)),"W","B")</x:f>
        <x:v>B</x:v>
      </x:c>
      <x:c r="S442" t="str">
        <x:f>IF(RAND()&lt;(('Team_Info'!$E$2-COUNTIF($B442:R442,"W"))/('Team_Info'!$E$4-17)),"W","B")</x:f>
        <x:v>B</x:v>
      </x:c>
      <x:c r="T442" t="str">
        <x:f>IF(RAND()&lt;(('Team_Info'!$E$2-COUNTIF($B442:S442,"W"))/('Team_Info'!$E$4-18)),"W","B")</x:f>
        <x:v>W</x:v>
      </x:c>
      <x:c r="U442" t="str">
        <x:f>IF(RAND()&lt;(('Team_Info'!$E$2-COUNTIF($B442:T442,"W"))/('Team_Info'!$E$4-19)),"W","B")</x:f>
        <x:v>B</x:v>
      </x:c>
    </x:row>
    <x:row r="443">
      <x:c r="A443" s="1">
        <x:v>442</x:v>
      </x:c>
      <x:c r="B443" t="str">
        <x:f>IF(RAND()&lt;'Team_Info'!$E$5,"W","B")</x:f>
        <x:v>W</x:v>
      </x:c>
      <x:c r="C443" t="str">
        <x:f>IF(RAND()&lt;(('Team_Info'!$E$2-COUNTIF($B443:B443,"W"))/('Team_Info'!$E$4-1)),"W","B")</x:f>
        <x:v>B</x:v>
      </x:c>
      <x:c r="D443" t="str">
        <x:f>IF(RAND()&lt;(('Team_Info'!$E$2-COUNTIF($B443:C443,"W"))/('Team_Info'!$E$4-2)),"W","B")</x:f>
        <x:v>W</x:v>
      </x:c>
      <x:c r="E443" t="str">
        <x:f>IF(RAND()&lt;(('Team_Info'!$E$2-COUNTIF($B443:D443,"W"))/('Team_Info'!$E$4-3)),"W","B")</x:f>
        <x:v>B</x:v>
      </x:c>
      <x:c r="F443" t="str">
        <x:f>IF(RAND()&lt;(('Team_Info'!$E$2-COUNTIF($B443:E443,"W"))/('Team_Info'!$E$4-4)),"W","B")</x:f>
        <x:v>W</x:v>
      </x:c>
      <x:c r="G443" t="str">
        <x:f>IF(RAND()&lt;(('Team_Info'!$E$2-COUNTIF($B443:F443,"W"))/('Team_Info'!$E$4-5)),"W","B")</x:f>
        <x:v>W</x:v>
      </x:c>
      <x:c r="H443" t="str">
        <x:f>IF(RAND()&lt;(('Team_Info'!$E$2-COUNTIF($B443:G443,"W"))/('Team_Info'!$E$4-6)),"W","B")</x:f>
        <x:v>W</x:v>
      </x:c>
      <x:c r="I443" t="str">
        <x:f>IF(RAND()&lt;(('Team_Info'!$E$2-COUNTIF($B443:H443,"W"))/('Team_Info'!$E$4-7)),"W","B")</x:f>
        <x:v>B</x:v>
      </x:c>
      <x:c r="J443" t="str">
        <x:f>IF(RAND()&lt;(('Team_Info'!$E$2-COUNTIF($B443:I443,"W"))/('Team_Info'!$E$4-8)),"W","B")</x:f>
        <x:v>W</x:v>
      </x:c>
      <x:c r="K443" t="str">
        <x:f>IF(RAND()&lt;(('Team_Info'!$E$2-COUNTIF($B443:J443,"W"))/('Team_Info'!$E$4-9)),"W","B")</x:f>
        <x:v>W</x:v>
      </x:c>
      <x:c r="L443" t="str">
        <x:f>IF(RAND()&lt;(('Team_Info'!$E$2-COUNTIF($B443:K443,"W"))/('Team_Info'!$E$4-10)),"W","B")</x:f>
        <x:v>W</x:v>
      </x:c>
      <x:c r="M443" t="str">
        <x:f>IF(RAND()&lt;(('Team_Info'!$E$2-COUNTIF($B443:L443,"W"))/('Team_Info'!$E$4-11)),"W","B")</x:f>
        <x:v>B</x:v>
      </x:c>
      <x:c r="N443" t="str">
        <x:f>IF(RAND()&lt;(('Team_Info'!$E$2-COUNTIF($B443:M443,"W"))/('Team_Info'!$E$4-12)),"W","B")</x:f>
        <x:v>B</x:v>
      </x:c>
      <x:c r="O443" t="str">
        <x:f>IF(RAND()&lt;(('Team_Info'!$E$2-COUNTIF($B443:N443,"W"))/('Team_Info'!$E$4-13)),"W","B")</x:f>
        <x:v>B</x:v>
      </x:c>
      <x:c r="P443" t="str">
        <x:f>IF(RAND()&lt;(('Team_Info'!$E$2-COUNTIF($B443:O443,"W"))/('Team_Info'!$E$4-14)),"W","B")</x:f>
        <x:v>B</x:v>
      </x:c>
      <x:c r="Q443" t="str">
        <x:f>IF(RAND()&lt;(('Team_Info'!$E$2-COUNTIF($B443:P443,"W"))/('Team_Info'!$E$4-15)),"W","B")</x:f>
        <x:v>B</x:v>
      </x:c>
      <x:c r="R443" t="str">
        <x:f>IF(RAND()&lt;(('Team_Info'!$E$2-COUNTIF($B443:Q443,"W"))/('Team_Info'!$E$4-16)),"W","B")</x:f>
        <x:v>B</x:v>
      </x:c>
      <x:c r="S443" t="str">
        <x:f>IF(RAND()&lt;(('Team_Info'!$E$2-COUNTIF($B443:R443,"W"))/('Team_Info'!$E$4-17)),"W","B")</x:f>
        <x:v>B</x:v>
      </x:c>
      <x:c r="T443" t="str">
        <x:f>IF(RAND()&lt;(('Team_Info'!$E$2-COUNTIF($B443:S443,"W"))/('Team_Info'!$E$4-18)),"W","B")</x:f>
        <x:v>W</x:v>
      </x:c>
      <x:c r="U443" t="str">
        <x:f>IF(RAND()&lt;(('Team_Info'!$E$2-COUNTIF($B443:T443,"W"))/('Team_Info'!$E$4-19)),"W","B")</x:f>
        <x:v>B</x:v>
      </x:c>
    </x:row>
    <x:row r="444">
      <x:c r="A444" s="1">
        <x:v>443</x:v>
      </x:c>
      <x:c r="B444" t="str">
        <x:f>IF(RAND()&lt;'Team_Info'!$E$5,"W","B")</x:f>
        <x:v>W</x:v>
      </x:c>
      <x:c r="C444" t="str">
        <x:f>IF(RAND()&lt;(('Team_Info'!$E$2-COUNTIF($B444:B444,"W"))/('Team_Info'!$E$4-1)),"W","B")</x:f>
        <x:v>B</x:v>
      </x:c>
      <x:c r="D444" t="str">
        <x:f>IF(RAND()&lt;(('Team_Info'!$E$2-COUNTIF($B444:C444,"W"))/('Team_Info'!$E$4-2)),"W","B")</x:f>
        <x:v>B</x:v>
      </x:c>
      <x:c r="E444" t="str">
        <x:f>IF(RAND()&lt;(('Team_Info'!$E$2-COUNTIF($B444:D444,"W"))/('Team_Info'!$E$4-3)),"W","B")</x:f>
        <x:v>B</x:v>
      </x:c>
      <x:c r="F444" t="str">
        <x:f>IF(RAND()&lt;(('Team_Info'!$E$2-COUNTIF($B444:E444,"W"))/('Team_Info'!$E$4-4)),"W","B")</x:f>
        <x:v>W</x:v>
      </x:c>
      <x:c r="G444" t="str">
        <x:f>IF(RAND()&lt;(('Team_Info'!$E$2-COUNTIF($B444:F444,"W"))/('Team_Info'!$E$4-5)),"W","B")</x:f>
        <x:v>W</x:v>
      </x:c>
      <x:c r="H444" t="str">
        <x:f>IF(RAND()&lt;(('Team_Info'!$E$2-COUNTIF($B444:G444,"W"))/('Team_Info'!$E$4-6)),"W","B")</x:f>
        <x:v>B</x:v>
      </x:c>
      <x:c r="I444" t="str">
        <x:f>IF(RAND()&lt;(('Team_Info'!$E$2-COUNTIF($B444:H444,"W"))/('Team_Info'!$E$4-7)),"W","B")</x:f>
        <x:v>B</x:v>
      </x:c>
      <x:c r="J444" t="str">
        <x:f>IF(RAND()&lt;(('Team_Info'!$E$2-COUNTIF($B444:I444,"W"))/('Team_Info'!$E$4-8)),"W","B")</x:f>
        <x:v>W</x:v>
      </x:c>
      <x:c r="K444" t="str">
        <x:f>IF(RAND()&lt;(('Team_Info'!$E$2-COUNTIF($B444:J444,"W"))/('Team_Info'!$E$4-9)),"W","B")</x:f>
        <x:v>W</x:v>
      </x:c>
      <x:c r="L444" t="str">
        <x:f>IF(RAND()&lt;(('Team_Info'!$E$2-COUNTIF($B444:K444,"W"))/('Team_Info'!$E$4-10)),"W","B")</x:f>
        <x:v>W</x:v>
      </x:c>
      <x:c r="M444" t="str">
        <x:f>IF(RAND()&lt;(('Team_Info'!$E$2-COUNTIF($B444:L444,"W"))/('Team_Info'!$E$4-11)),"W","B")</x:f>
        <x:v>B</x:v>
      </x:c>
      <x:c r="N444" t="str">
        <x:f>IF(RAND()&lt;(('Team_Info'!$E$2-COUNTIF($B444:M444,"W"))/('Team_Info'!$E$4-12)),"W","B")</x:f>
        <x:v>B</x:v>
      </x:c>
      <x:c r="O444" t="str">
        <x:f>IF(RAND()&lt;(('Team_Info'!$E$2-COUNTIF($B444:N444,"W"))/('Team_Info'!$E$4-13)),"W","B")</x:f>
        <x:v>B</x:v>
      </x:c>
      <x:c r="P444" t="str">
        <x:f>IF(RAND()&lt;(('Team_Info'!$E$2-COUNTIF($B444:O444,"W"))/('Team_Info'!$E$4-14)),"W","B")</x:f>
        <x:v>B</x:v>
      </x:c>
      <x:c r="Q444" t="str">
        <x:f>IF(RAND()&lt;(('Team_Info'!$E$2-COUNTIF($B444:P444,"W"))/('Team_Info'!$E$4-15)),"W","B")</x:f>
        <x:v>W</x:v>
      </x:c>
      <x:c r="R444" t="str">
        <x:f>IF(RAND()&lt;(('Team_Info'!$E$2-COUNTIF($B444:Q444,"W"))/('Team_Info'!$E$4-16)),"W","B")</x:f>
        <x:v>W</x:v>
      </x:c>
      <x:c r="S444" t="str">
        <x:f>IF(RAND()&lt;(('Team_Info'!$E$2-COUNTIF($B444:R444,"W"))/('Team_Info'!$E$4-17)),"W","B")</x:f>
        <x:v>W</x:v>
      </x:c>
      <x:c r="T444" t="str">
        <x:f>IF(RAND()&lt;(('Team_Info'!$E$2-COUNTIF($B444:S444,"W"))/('Team_Info'!$E$4-18)),"W","B")</x:f>
        <x:v>B</x:v>
      </x:c>
      <x:c r="U444" t="str">
        <x:f>IF(RAND()&lt;(('Team_Info'!$E$2-COUNTIF($B444:T444,"W"))/('Team_Info'!$E$4-19)),"W","B")</x:f>
        <x:v>B</x:v>
      </x:c>
    </x:row>
    <x:row r="445">
      <x:c r="A445" s="1">
        <x:v>444</x:v>
      </x:c>
      <x:c r="B445" t="str">
        <x:f>IF(RAND()&lt;'Team_Info'!$E$5,"W","B")</x:f>
        <x:v>B</x:v>
      </x:c>
      <x:c r="C445" t="str">
        <x:f>IF(RAND()&lt;(('Team_Info'!$E$2-COUNTIF($B445:B445,"W"))/('Team_Info'!$E$4-1)),"W","B")</x:f>
        <x:v>W</x:v>
      </x:c>
      <x:c r="D445" t="str">
        <x:f>IF(RAND()&lt;(('Team_Info'!$E$2-COUNTIF($B445:C445,"W"))/('Team_Info'!$E$4-2)),"W","B")</x:f>
        <x:v>W</x:v>
      </x:c>
      <x:c r="E445" t="str">
        <x:f>IF(RAND()&lt;(('Team_Info'!$E$2-COUNTIF($B445:D445,"W"))/('Team_Info'!$E$4-3)),"W","B")</x:f>
        <x:v>W</x:v>
      </x:c>
      <x:c r="F445" t="str">
        <x:f>IF(RAND()&lt;(('Team_Info'!$E$2-COUNTIF($B445:E445,"W"))/('Team_Info'!$E$4-4)),"W","B")</x:f>
        <x:v>B</x:v>
      </x:c>
      <x:c r="G445" t="str">
        <x:f>IF(RAND()&lt;(('Team_Info'!$E$2-COUNTIF($B445:F445,"W"))/('Team_Info'!$E$4-5)),"W","B")</x:f>
        <x:v>B</x:v>
      </x:c>
      <x:c r="H445" t="str">
        <x:f>IF(RAND()&lt;(('Team_Info'!$E$2-COUNTIF($B445:G445,"W"))/('Team_Info'!$E$4-6)),"W","B")</x:f>
        <x:v>B</x:v>
      </x:c>
      <x:c r="I445" t="str">
        <x:f>IF(RAND()&lt;(('Team_Info'!$E$2-COUNTIF($B445:H445,"W"))/('Team_Info'!$E$4-7)),"W","B")</x:f>
        <x:v>B</x:v>
      </x:c>
      <x:c r="J445" t="str">
        <x:f>IF(RAND()&lt;(('Team_Info'!$E$2-COUNTIF($B445:I445,"W"))/('Team_Info'!$E$4-8)),"W","B")</x:f>
        <x:v>B</x:v>
      </x:c>
      <x:c r="K445" t="str">
        <x:f>IF(RAND()&lt;(('Team_Info'!$E$2-COUNTIF($B445:J445,"W"))/('Team_Info'!$E$4-9)),"W","B")</x:f>
        <x:v>W</x:v>
      </x:c>
      <x:c r="L445" t="str">
        <x:f>IF(RAND()&lt;(('Team_Info'!$E$2-COUNTIF($B445:K445,"W"))/('Team_Info'!$E$4-10)),"W","B")</x:f>
        <x:v>W</x:v>
      </x:c>
      <x:c r="M445" t="str">
        <x:f>IF(RAND()&lt;(('Team_Info'!$E$2-COUNTIF($B445:L445,"W"))/('Team_Info'!$E$4-11)),"W","B")</x:f>
        <x:v>B</x:v>
      </x:c>
      <x:c r="N445" t="str">
        <x:f>IF(RAND()&lt;(('Team_Info'!$E$2-COUNTIF($B445:M445,"W"))/('Team_Info'!$E$4-12)),"W","B")</x:f>
        <x:v>B</x:v>
      </x:c>
      <x:c r="O445" t="str">
        <x:f>IF(RAND()&lt;(('Team_Info'!$E$2-COUNTIF($B445:N445,"W"))/('Team_Info'!$E$4-13)),"W","B")</x:f>
        <x:v>B</x:v>
      </x:c>
      <x:c r="P445" t="str">
        <x:f>IF(RAND()&lt;(('Team_Info'!$E$2-COUNTIF($B445:O445,"W"))/('Team_Info'!$E$4-14)),"W","B")</x:f>
        <x:v>W</x:v>
      </x:c>
      <x:c r="Q445" t="str">
        <x:f>IF(RAND()&lt;(('Team_Info'!$E$2-COUNTIF($B445:P445,"W"))/('Team_Info'!$E$4-15)),"W","B")</x:f>
        <x:v>W</x:v>
      </x:c>
      <x:c r="R445" t="str">
        <x:f>IF(RAND()&lt;(('Team_Info'!$E$2-COUNTIF($B445:Q445,"W"))/('Team_Info'!$E$4-16)),"W","B")</x:f>
        <x:v>B</x:v>
      </x:c>
      <x:c r="S445" t="str">
        <x:f>IF(RAND()&lt;(('Team_Info'!$E$2-COUNTIF($B445:R445,"W"))/('Team_Info'!$E$4-17)),"W","B")</x:f>
        <x:v>B</x:v>
      </x:c>
      <x:c r="T445" t="str">
        <x:f>IF(RAND()&lt;(('Team_Info'!$E$2-COUNTIF($B445:S445,"W"))/('Team_Info'!$E$4-18)),"W","B")</x:f>
        <x:v>W</x:v>
      </x:c>
      <x:c r="U445" t="str">
        <x:f>IF(RAND()&lt;(('Team_Info'!$E$2-COUNTIF($B445:T445,"W"))/('Team_Info'!$E$4-19)),"W","B")</x:f>
        <x:v>B</x:v>
      </x:c>
    </x:row>
    <x:row r="446">
      <x:c r="A446" s="1">
        <x:v>445</x:v>
      </x:c>
      <x:c r="B446" t="str">
        <x:f>IF(RAND()&lt;'Team_Info'!$E$5,"W","B")</x:f>
        <x:v>B</x:v>
      </x:c>
      <x:c r="C446" t="str">
        <x:f>IF(RAND()&lt;(('Team_Info'!$E$2-COUNTIF($B446:B446,"W"))/('Team_Info'!$E$4-1)),"W","B")</x:f>
        <x:v>B</x:v>
      </x:c>
      <x:c r="D446" t="str">
        <x:f>IF(RAND()&lt;(('Team_Info'!$E$2-COUNTIF($B446:C446,"W"))/('Team_Info'!$E$4-2)),"W","B")</x:f>
        <x:v>B</x:v>
      </x:c>
      <x:c r="E446" t="str">
        <x:f>IF(RAND()&lt;(('Team_Info'!$E$2-COUNTIF($B446:D446,"W"))/('Team_Info'!$E$4-3)),"W","B")</x:f>
        <x:v>W</x:v>
      </x:c>
      <x:c r="F446" t="str">
        <x:f>IF(RAND()&lt;(('Team_Info'!$E$2-COUNTIF($B446:E446,"W"))/('Team_Info'!$E$4-4)),"W","B")</x:f>
        <x:v>B</x:v>
      </x:c>
      <x:c r="G446" t="str">
        <x:f>IF(RAND()&lt;(('Team_Info'!$E$2-COUNTIF($B446:F446,"W"))/('Team_Info'!$E$4-5)),"W","B")</x:f>
        <x:v>B</x:v>
      </x:c>
      <x:c r="H446" t="str">
        <x:f>IF(RAND()&lt;(('Team_Info'!$E$2-COUNTIF($B446:G446,"W"))/('Team_Info'!$E$4-6)),"W","B")</x:f>
        <x:v>B</x:v>
      </x:c>
      <x:c r="I446" t="str">
        <x:f>IF(RAND()&lt;(('Team_Info'!$E$2-COUNTIF($B446:H446,"W"))/('Team_Info'!$E$4-7)),"W","B")</x:f>
        <x:v>B</x:v>
      </x:c>
      <x:c r="J446" t="str">
        <x:f>IF(RAND()&lt;(('Team_Info'!$E$2-COUNTIF($B446:I446,"W"))/('Team_Info'!$E$4-8)),"W","B")</x:f>
        <x:v>W</x:v>
      </x:c>
      <x:c r="K446" t="str">
        <x:f>IF(RAND()&lt;(('Team_Info'!$E$2-COUNTIF($B446:J446,"W"))/('Team_Info'!$E$4-9)),"W","B")</x:f>
        <x:v>B</x:v>
      </x:c>
      <x:c r="L446" t="str">
        <x:f>IF(RAND()&lt;(('Team_Info'!$E$2-COUNTIF($B446:K446,"W"))/('Team_Info'!$E$4-10)),"W","B")</x:f>
        <x:v>B</x:v>
      </x:c>
      <x:c r="M446" t="str">
        <x:f>IF(RAND()&lt;(('Team_Info'!$E$2-COUNTIF($B446:L446,"W"))/('Team_Info'!$E$4-11)),"W","B")</x:f>
        <x:v>W</x:v>
      </x:c>
      <x:c r="N446" t="str">
        <x:f>IF(RAND()&lt;(('Team_Info'!$E$2-COUNTIF($B446:M446,"W"))/('Team_Info'!$E$4-12)),"W","B")</x:f>
        <x:v>B</x:v>
      </x:c>
      <x:c r="O446" t="str">
        <x:f>IF(RAND()&lt;(('Team_Info'!$E$2-COUNTIF($B446:N446,"W"))/('Team_Info'!$E$4-13)),"W","B")</x:f>
        <x:v>B</x:v>
      </x:c>
      <x:c r="P446" t="str">
        <x:f>IF(RAND()&lt;(('Team_Info'!$E$2-COUNTIF($B446:O446,"W"))/('Team_Info'!$E$4-14)),"W","B")</x:f>
        <x:v>B</x:v>
      </x:c>
      <x:c r="Q446" t="str">
        <x:f>IF(RAND()&lt;(('Team_Info'!$E$2-COUNTIF($B446:P446,"W"))/('Team_Info'!$E$4-15)),"W","B")</x:f>
        <x:v>W</x:v>
      </x:c>
      <x:c r="R446" t="str">
        <x:f>IF(RAND()&lt;(('Team_Info'!$E$2-COUNTIF($B446:Q446,"W"))/('Team_Info'!$E$4-16)),"W","B")</x:f>
        <x:v>B</x:v>
      </x:c>
      <x:c r="S446" t="str">
        <x:f>IF(RAND()&lt;(('Team_Info'!$E$2-COUNTIF($B446:R446,"W"))/('Team_Info'!$E$4-17)),"W","B")</x:f>
        <x:v>W</x:v>
      </x:c>
      <x:c r="T446" t="str">
        <x:f>IF(RAND()&lt;(('Team_Info'!$E$2-COUNTIF($B446:S446,"W"))/('Team_Info'!$E$4-18)),"W","B")</x:f>
        <x:v>B</x:v>
      </x:c>
      <x:c r="U446" t="str">
        <x:f>IF(RAND()&lt;(('Team_Info'!$E$2-COUNTIF($B446:T446,"W"))/('Team_Info'!$E$4-19)),"W","B")</x:f>
        <x:v>W</x:v>
      </x:c>
    </x:row>
    <x:row r="447">
      <x:c r="A447" s="1">
        <x:v>446</x:v>
      </x:c>
      <x:c r="B447" t="str">
        <x:f>IF(RAND()&lt;'Team_Info'!$E$5,"W","B")</x:f>
        <x:v>W</x:v>
      </x:c>
      <x:c r="C447" t="str">
        <x:f>IF(RAND()&lt;(('Team_Info'!$E$2-COUNTIF($B447:B447,"W"))/('Team_Info'!$E$4-1)),"W","B")</x:f>
        <x:v>B</x:v>
      </x:c>
      <x:c r="D447" t="str">
        <x:f>IF(RAND()&lt;(('Team_Info'!$E$2-COUNTIF($B447:C447,"W"))/('Team_Info'!$E$4-2)),"W","B")</x:f>
        <x:v>B</x:v>
      </x:c>
      <x:c r="E447" t="str">
        <x:f>IF(RAND()&lt;(('Team_Info'!$E$2-COUNTIF($B447:D447,"W"))/('Team_Info'!$E$4-3)),"W","B")</x:f>
        <x:v>W</x:v>
      </x:c>
      <x:c r="F447" t="str">
        <x:f>IF(RAND()&lt;(('Team_Info'!$E$2-COUNTIF($B447:E447,"W"))/('Team_Info'!$E$4-4)),"W","B")</x:f>
        <x:v>W</x:v>
      </x:c>
      <x:c r="G447" t="str">
        <x:f>IF(RAND()&lt;(('Team_Info'!$E$2-COUNTIF($B447:F447,"W"))/('Team_Info'!$E$4-5)),"W","B")</x:f>
        <x:v>W</x:v>
      </x:c>
      <x:c r="H447" t="str">
        <x:f>IF(RAND()&lt;(('Team_Info'!$E$2-COUNTIF($B447:G447,"W"))/('Team_Info'!$E$4-6)),"W","B")</x:f>
        <x:v>W</x:v>
      </x:c>
      <x:c r="I447" t="str">
        <x:f>IF(RAND()&lt;(('Team_Info'!$E$2-COUNTIF($B447:H447,"W"))/('Team_Info'!$E$4-7)),"W","B")</x:f>
        <x:v>B</x:v>
      </x:c>
      <x:c r="J447" t="str">
        <x:f>IF(RAND()&lt;(('Team_Info'!$E$2-COUNTIF($B447:I447,"W"))/('Team_Info'!$E$4-8)),"W","B")</x:f>
        <x:v>W</x:v>
      </x:c>
      <x:c r="K447" t="str">
        <x:f>IF(RAND()&lt;(('Team_Info'!$E$2-COUNTIF($B447:J447,"W"))/('Team_Info'!$E$4-9)),"W","B")</x:f>
        <x:v>B</x:v>
      </x:c>
      <x:c r="L447" t="str">
        <x:f>IF(RAND()&lt;(('Team_Info'!$E$2-COUNTIF($B447:K447,"W"))/('Team_Info'!$E$4-10)),"W","B")</x:f>
        <x:v>B</x:v>
      </x:c>
      <x:c r="M447" t="str">
        <x:f>IF(RAND()&lt;(('Team_Info'!$E$2-COUNTIF($B447:L447,"W"))/('Team_Info'!$E$4-11)),"W","B")</x:f>
        <x:v>W</x:v>
      </x:c>
      <x:c r="N447" t="str">
        <x:f>IF(RAND()&lt;(('Team_Info'!$E$2-COUNTIF($B447:M447,"W"))/('Team_Info'!$E$4-12)),"W","B")</x:f>
        <x:v>B</x:v>
      </x:c>
      <x:c r="O447" t="str">
        <x:f>IF(RAND()&lt;(('Team_Info'!$E$2-COUNTIF($B447:N447,"W"))/('Team_Info'!$E$4-13)),"W","B")</x:f>
        <x:v>W</x:v>
      </x:c>
      <x:c r="P447" t="str">
        <x:f>IF(RAND()&lt;(('Team_Info'!$E$2-COUNTIF($B447:O447,"W"))/('Team_Info'!$E$4-14)),"W","B")</x:f>
        <x:v>W</x:v>
      </x:c>
      <x:c r="Q447" t="str">
        <x:f>IF(RAND()&lt;(('Team_Info'!$E$2-COUNTIF($B447:P447,"W"))/('Team_Info'!$E$4-15)),"W","B")</x:f>
        <x:v>B</x:v>
      </x:c>
      <x:c r="R447" t="str">
        <x:f>IF(RAND()&lt;(('Team_Info'!$E$2-COUNTIF($B447:Q447,"W"))/('Team_Info'!$E$4-16)),"W","B")</x:f>
        <x:v>B</x:v>
      </x:c>
      <x:c r="S447" t="str">
        <x:f>IF(RAND()&lt;(('Team_Info'!$E$2-COUNTIF($B447:R447,"W"))/('Team_Info'!$E$4-17)),"W","B")</x:f>
        <x:v>B</x:v>
      </x:c>
      <x:c r="T447" t="str">
        <x:f>IF(RAND()&lt;(('Team_Info'!$E$2-COUNTIF($B447:S447,"W"))/('Team_Info'!$E$4-18)),"W","B")</x:f>
        <x:v>B</x:v>
      </x:c>
      <x:c r="U447" t="str">
        <x:f>IF(RAND()&lt;(('Team_Info'!$E$2-COUNTIF($B447:T447,"W"))/('Team_Info'!$E$4-19)),"W","B")</x:f>
        <x:v>B</x:v>
      </x:c>
    </x:row>
    <x:row r="448">
      <x:c r="A448" s="1">
        <x:v>447</x:v>
      </x:c>
      <x:c r="B448" t="str">
        <x:f>IF(RAND()&lt;'Team_Info'!$E$5,"W","B")</x:f>
        <x:v>B</x:v>
      </x:c>
      <x:c r="C448" t="str">
        <x:f>IF(RAND()&lt;(('Team_Info'!$E$2-COUNTIF($B448:B448,"W"))/('Team_Info'!$E$4-1)),"W","B")</x:f>
        <x:v>B</x:v>
      </x:c>
      <x:c r="D448" t="str">
        <x:f>IF(RAND()&lt;(('Team_Info'!$E$2-COUNTIF($B448:C448,"W"))/('Team_Info'!$E$4-2)),"W","B")</x:f>
        <x:v>W</x:v>
      </x:c>
      <x:c r="E448" t="str">
        <x:f>IF(RAND()&lt;(('Team_Info'!$E$2-COUNTIF($B448:D448,"W"))/('Team_Info'!$E$4-3)),"W","B")</x:f>
        <x:v>B</x:v>
      </x:c>
      <x:c r="F448" t="str">
        <x:f>IF(RAND()&lt;(('Team_Info'!$E$2-COUNTIF($B448:E448,"W"))/('Team_Info'!$E$4-4)),"W","B")</x:f>
        <x:v>B</x:v>
      </x:c>
      <x:c r="G448" t="str">
        <x:f>IF(RAND()&lt;(('Team_Info'!$E$2-COUNTIF($B448:F448,"W"))/('Team_Info'!$E$4-5)),"W","B")</x:f>
        <x:v>B</x:v>
      </x:c>
      <x:c r="H448" t="str">
        <x:f>IF(RAND()&lt;(('Team_Info'!$E$2-COUNTIF($B448:G448,"W"))/('Team_Info'!$E$4-6)),"W","B")</x:f>
        <x:v>W</x:v>
      </x:c>
      <x:c r="I448" t="str">
        <x:f>IF(RAND()&lt;(('Team_Info'!$E$2-COUNTIF($B448:H448,"W"))/('Team_Info'!$E$4-7)),"W","B")</x:f>
        <x:v>B</x:v>
      </x:c>
      <x:c r="J448" t="str">
        <x:f>IF(RAND()&lt;(('Team_Info'!$E$2-COUNTIF($B448:I448,"W"))/('Team_Info'!$E$4-8)),"W","B")</x:f>
        <x:v>W</x:v>
      </x:c>
      <x:c r="K448" t="str">
        <x:f>IF(RAND()&lt;(('Team_Info'!$E$2-COUNTIF($B448:J448,"W"))/('Team_Info'!$E$4-9)),"W","B")</x:f>
        <x:v>B</x:v>
      </x:c>
      <x:c r="L448" t="str">
        <x:f>IF(RAND()&lt;(('Team_Info'!$E$2-COUNTIF($B448:K448,"W"))/('Team_Info'!$E$4-10)),"W","B")</x:f>
        <x:v>B</x:v>
      </x:c>
      <x:c r="M448" t="str">
        <x:f>IF(RAND()&lt;(('Team_Info'!$E$2-COUNTIF($B448:L448,"W"))/('Team_Info'!$E$4-11)),"W","B")</x:f>
        <x:v>W</x:v>
      </x:c>
      <x:c r="N448" t="str">
        <x:f>IF(RAND()&lt;(('Team_Info'!$E$2-COUNTIF($B448:M448,"W"))/('Team_Info'!$E$4-12)),"W","B")</x:f>
        <x:v>B</x:v>
      </x:c>
      <x:c r="O448" t="str">
        <x:f>IF(RAND()&lt;(('Team_Info'!$E$2-COUNTIF($B448:N448,"W"))/('Team_Info'!$E$4-13)),"W","B")</x:f>
        <x:v>B</x:v>
      </x:c>
      <x:c r="P448" t="str">
        <x:f>IF(RAND()&lt;(('Team_Info'!$E$2-COUNTIF($B448:O448,"W"))/('Team_Info'!$E$4-14)),"W","B")</x:f>
        <x:v>B</x:v>
      </x:c>
      <x:c r="Q448" t="str">
        <x:f>IF(RAND()&lt;(('Team_Info'!$E$2-COUNTIF($B448:P448,"W"))/('Team_Info'!$E$4-15)),"W","B")</x:f>
        <x:v>W</x:v>
      </x:c>
      <x:c r="R448" t="str">
        <x:f>IF(RAND()&lt;(('Team_Info'!$E$2-COUNTIF($B448:Q448,"W"))/('Team_Info'!$E$4-16)),"W","B")</x:f>
        <x:v>B</x:v>
      </x:c>
      <x:c r="S448" t="str">
        <x:f>IF(RAND()&lt;(('Team_Info'!$E$2-COUNTIF($B448:R448,"W"))/('Team_Info'!$E$4-17)),"W","B")</x:f>
        <x:v>B</x:v>
      </x:c>
      <x:c r="T448" t="str">
        <x:f>IF(RAND()&lt;(('Team_Info'!$E$2-COUNTIF($B448:S448,"W"))/('Team_Info'!$E$4-18)),"W","B")</x:f>
        <x:v>W</x:v>
      </x:c>
      <x:c r="U448" t="str">
        <x:f>IF(RAND()&lt;(('Team_Info'!$E$2-COUNTIF($B448:T448,"W"))/('Team_Info'!$E$4-19)),"W","B")</x:f>
        <x:v>B</x:v>
      </x:c>
    </x:row>
    <x:row r="449">
      <x:c r="A449" s="1">
        <x:v>448</x:v>
      </x:c>
      <x:c r="B449" t="str">
        <x:f>IF(RAND()&lt;'Team_Info'!$E$5,"W","B")</x:f>
        <x:v>B</x:v>
      </x:c>
      <x:c r="C449" t="str">
        <x:f>IF(RAND()&lt;(('Team_Info'!$E$2-COUNTIF($B449:B449,"W"))/('Team_Info'!$E$4-1)),"W","B")</x:f>
        <x:v>W</x:v>
      </x:c>
      <x:c r="D449" t="str">
        <x:f>IF(RAND()&lt;(('Team_Info'!$E$2-COUNTIF($B449:C449,"W"))/('Team_Info'!$E$4-2)),"W","B")</x:f>
        <x:v>W</x:v>
      </x:c>
      <x:c r="E449" t="str">
        <x:f>IF(RAND()&lt;(('Team_Info'!$E$2-COUNTIF($B449:D449,"W"))/('Team_Info'!$E$4-3)),"W","B")</x:f>
        <x:v>W</x:v>
      </x:c>
      <x:c r="F449" t="str">
        <x:f>IF(RAND()&lt;(('Team_Info'!$E$2-COUNTIF($B449:E449,"W"))/('Team_Info'!$E$4-4)),"W","B")</x:f>
        <x:v>B</x:v>
      </x:c>
      <x:c r="G449" t="str">
        <x:f>IF(RAND()&lt;(('Team_Info'!$E$2-COUNTIF($B449:F449,"W"))/('Team_Info'!$E$4-5)),"W","B")</x:f>
        <x:v>B</x:v>
      </x:c>
      <x:c r="H449" t="str">
        <x:f>IF(RAND()&lt;(('Team_Info'!$E$2-COUNTIF($B449:G449,"W"))/('Team_Info'!$E$4-6)),"W","B")</x:f>
        <x:v>B</x:v>
      </x:c>
      <x:c r="I449" t="str">
        <x:f>IF(RAND()&lt;(('Team_Info'!$E$2-COUNTIF($B449:H449,"W"))/('Team_Info'!$E$4-7)),"W","B")</x:f>
        <x:v>W</x:v>
      </x:c>
      <x:c r="J449" t="str">
        <x:f>IF(RAND()&lt;(('Team_Info'!$E$2-COUNTIF($B449:I449,"W"))/('Team_Info'!$E$4-8)),"W","B")</x:f>
        <x:v>B</x:v>
      </x:c>
      <x:c r="K449" t="str">
        <x:f>IF(RAND()&lt;(('Team_Info'!$E$2-COUNTIF($B449:J449,"W"))/('Team_Info'!$E$4-9)),"W","B")</x:f>
        <x:v>W</x:v>
      </x:c>
      <x:c r="L449" t="str">
        <x:f>IF(RAND()&lt;(('Team_Info'!$E$2-COUNTIF($B449:K449,"W"))/('Team_Info'!$E$4-10)),"W","B")</x:f>
        <x:v>B</x:v>
      </x:c>
      <x:c r="M449" t="str">
        <x:f>IF(RAND()&lt;(('Team_Info'!$E$2-COUNTIF($B449:L449,"W"))/('Team_Info'!$E$4-11)),"W","B")</x:f>
        <x:v>B</x:v>
      </x:c>
      <x:c r="N449" t="str">
        <x:f>IF(RAND()&lt;(('Team_Info'!$E$2-COUNTIF($B449:M449,"W"))/('Team_Info'!$E$4-12)),"W","B")</x:f>
        <x:v>B</x:v>
      </x:c>
      <x:c r="O449" t="str">
        <x:f>IF(RAND()&lt;(('Team_Info'!$E$2-COUNTIF($B449:N449,"W"))/('Team_Info'!$E$4-13)),"W","B")</x:f>
        <x:v>B</x:v>
      </x:c>
      <x:c r="P449" t="str">
        <x:f>IF(RAND()&lt;(('Team_Info'!$E$2-COUNTIF($B449:O449,"W"))/('Team_Info'!$E$4-14)),"W","B")</x:f>
        <x:v>W</x:v>
      </x:c>
      <x:c r="Q449" t="str">
        <x:f>IF(RAND()&lt;(('Team_Info'!$E$2-COUNTIF($B449:P449,"W"))/('Team_Info'!$E$4-15)),"W","B")</x:f>
        <x:v>W</x:v>
      </x:c>
      <x:c r="R449" t="str">
        <x:f>IF(RAND()&lt;(('Team_Info'!$E$2-COUNTIF($B449:Q449,"W"))/('Team_Info'!$E$4-16)),"W","B")</x:f>
        <x:v>B</x:v>
      </x:c>
      <x:c r="S449" t="str">
        <x:f>IF(RAND()&lt;(('Team_Info'!$E$2-COUNTIF($B449:R449,"W"))/('Team_Info'!$E$4-17)),"W","B")</x:f>
        <x:v>W</x:v>
      </x:c>
      <x:c r="T449" t="str">
        <x:f>IF(RAND()&lt;(('Team_Info'!$E$2-COUNTIF($B449:S449,"W"))/('Team_Info'!$E$4-18)),"W","B")</x:f>
        <x:v>W</x:v>
      </x:c>
      <x:c r="U449" t="str">
        <x:f>IF(RAND()&lt;(('Team_Info'!$E$2-COUNTIF($B449:T449,"W"))/('Team_Info'!$E$4-19)),"W","B")</x:f>
        <x:v>W</x:v>
      </x:c>
    </x:row>
    <x:row r="450">
      <x:c r="A450" s="1">
        <x:v>449</x:v>
      </x:c>
      <x:c r="B450" t="str">
        <x:f>IF(RAND()&lt;'Team_Info'!$E$5,"W","B")</x:f>
        <x:v>B</x:v>
      </x:c>
      <x:c r="C450" t="str">
        <x:f>IF(RAND()&lt;(('Team_Info'!$E$2-COUNTIF($B450:B450,"W"))/('Team_Info'!$E$4-1)),"W","B")</x:f>
        <x:v>B</x:v>
      </x:c>
      <x:c r="D450" t="str">
        <x:f>IF(RAND()&lt;(('Team_Info'!$E$2-COUNTIF($B450:C450,"W"))/('Team_Info'!$E$4-2)),"W","B")</x:f>
        <x:v>B</x:v>
      </x:c>
      <x:c r="E450" t="str">
        <x:f>IF(RAND()&lt;(('Team_Info'!$E$2-COUNTIF($B450:D450,"W"))/('Team_Info'!$E$4-3)),"W","B")</x:f>
        <x:v>B</x:v>
      </x:c>
      <x:c r="F450" t="str">
        <x:f>IF(RAND()&lt;(('Team_Info'!$E$2-COUNTIF($B450:E450,"W"))/('Team_Info'!$E$4-4)),"W","B")</x:f>
        <x:v>B</x:v>
      </x:c>
      <x:c r="G450" t="str">
        <x:f>IF(RAND()&lt;(('Team_Info'!$E$2-COUNTIF($B450:F450,"W"))/('Team_Info'!$E$4-5)),"W","B")</x:f>
        <x:v>B</x:v>
      </x:c>
      <x:c r="H450" t="str">
        <x:f>IF(RAND()&lt;(('Team_Info'!$E$2-COUNTIF($B450:G450,"W"))/('Team_Info'!$E$4-6)),"W","B")</x:f>
        <x:v>W</x:v>
      </x:c>
      <x:c r="I450" t="str">
        <x:f>IF(RAND()&lt;(('Team_Info'!$E$2-COUNTIF($B450:H450,"W"))/('Team_Info'!$E$4-7)),"W","B")</x:f>
        <x:v>B</x:v>
      </x:c>
      <x:c r="J450" t="str">
        <x:f>IF(RAND()&lt;(('Team_Info'!$E$2-COUNTIF($B450:I450,"W"))/('Team_Info'!$E$4-8)),"W","B")</x:f>
        <x:v>B</x:v>
      </x:c>
      <x:c r="K450" t="str">
        <x:f>IF(RAND()&lt;(('Team_Info'!$E$2-COUNTIF($B450:J450,"W"))/('Team_Info'!$E$4-9)),"W","B")</x:f>
        <x:v>B</x:v>
      </x:c>
      <x:c r="L450" t="str">
        <x:f>IF(RAND()&lt;(('Team_Info'!$E$2-COUNTIF($B450:K450,"W"))/('Team_Info'!$E$4-10)),"W","B")</x:f>
        <x:v>W</x:v>
      </x:c>
      <x:c r="M450" t="str">
        <x:f>IF(RAND()&lt;(('Team_Info'!$E$2-COUNTIF($B450:L450,"W"))/('Team_Info'!$E$4-11)),"W","B")</x:f>
        <x:v>B</x:v>
      </x:c>
      <x:c r="N450" t="str">
        <x:f>IF(RAND()&lt;(('Team_Info'!$E$2-COUNTIF($B450:M450,"W"))/('Team_Info'!$E$4-12)),"W","B")</x:f>
        <x:v>B</x:v>
      </x:c>
      <x:c r="O450" t="str">
        <x:f>IF(RAND()&lt;(('Team_Info'!$E$2-COUNTIF($B450:N450,"W"))/('Team_Info'!$E$4-13)),"W","B")</x:f>
        <x:v>B</x:v>
      </x:c>
      <x:c r="P450" t="str">
        <x:f>IF(RAND()&lt;(('Team_Info'!$E$2-COUNTIF($B450:O450,"W"))/('Team_Info'!$E$4-14)),"W","B")</x:f>
        <x:v>B</x:v>
      </x:c>
      <x:c r="Q450" t="str">
        <x:f>IF(RAND()&lt;(('Team_Info'!$E$2-COUNTIF($B450:P450,"W"))/('Team_Info'!$E$4-15)),"W","B")</x:f>
        <x:v>W</x:v>
      </x:c>
      <x:c r="R450" t="str">
        <x:f>IF(RAND()&lt;(('Team_Info'!$E$2-COUNTIF($B450:Q450,"W"))/('Team_Info'!$E$4-16)),"W","B")</x:f>
        <x:v>W</x:v>
      </x:c>
      <x:c r="S450" t="str">
        <x:f>IF(RAND()&lt;(('Team_Info'!$E$2-COUNTIF($B450:R450,"W"))/('Team_Info'!$E$4-17)),"W","B")</x:f>
        <x:v>W</x:v>
      </x:c>
      <x:c r="T450" t="str">
        <x:f>IF(RAND()&lt;(('Team_Info'!$E$2-COUNTIF($B450:S450,"W"))/('Team_Info'!$E$4-18)),"W","B")</x:f>
        <x:v>B</x:v>
      </x:c>
      <x:c r="U450" t="str">
        <x:f>IF(RAND()&lt;(('Team_Info'!$E$2-COUNTIF($B450:T450,"W"))/('Team_Info'!$E$4-19)),"W","B")</x:f>
        <x:v>B</x:v>
      </x:c>
    </x:row>
    <x:row r="451">
      <x:c r="A451" s="1">
        <x:v>450</x:v>
      </x:c>
      <x:c r="B451" t="str">
        <x:f>IF(RAND()&lt;'Team_Info'!$E$5,"W","B")</x:f>
        <x:v>B</x:v>
      </x:c>
      <x:c r="C451" t="str">
        <x:f>IF(RAND()&lt;(('Team_Info'!$E$2-COUNTIF($B451:B451,"W"))/('Team_Info'!$E$4-1)),"W","B")</x:f>
        <x:v>B</x:v>
      </x:c>
      <x:c r="D451" t="str">
        <x:f>IF(RAND()&lt;(('Team_Info'!$E$2-COUNTIF($B451:C451,"W"))/('Team_Info'!$E$4-2)),"W","B")</x:f>
        <x:v>B</x:v>
      </x:c>
      <x:c r="E451" t="str">
        <x:f>IF(RAND()&lt;(('Team_Info'!$E$2-COUNTIF($B451:D451,"W"))/('Team_Info'!$E$4-3)),"W","B")</x:f>
        <x:v>B</x:v>
      </x:c>
      <x:c r="F451" t="str">
        <x:f>IF(RAND()&lt;(('Team_Info'!$E$2-COUNTIF($B451:E451,"W"))/('Team_Info'!$E$4-4)),"W","B")</x:f>
        <x:v>B</x:v>
      </x:c>
      <x:c r="G451" t="str">
        <x:f>IF(RAND()&lt;(('Team_Info'!$E$2-COUNTIF($B451:F451,"W"))/('Team_Info'!$E$4-5)),"W","B")</x:f>
        <x:v>W</x:v>
      </x:c>
      <x:c r="H451" t="str">
        <x:f>IF(RAND()&lt;(('Team_Info'!$E$2-COUNTIF($B451:G451,"W"))/('Team_Info'!$E$4-6)),"W","B")</x:f>
        <x:v>B</x:v>
      </x:c>
      <x:c r="I451" t="str">
        <x:f>IF(RAND()&lt;(('Team_Info'!$E$2-COUNTIF($B451:H451,"W"))/('Team_Info'!$E$4-7)),"W","B")</x:f>
        <x:v>W</x:v>
      </x:c>
      <x:c r="J451" t="str">
        <x:f>IF(RAND()&lt;(('Team_Info'!$E$2-COUNTIF($B451:I451,"W"))/('Team_Info'!$E$4-8)),"W","B")</x:f>
        <x:v>B</x:v>
      </x:c>
      <x:c r="K451" t="str">
        <x:f>IF(RAND()&lt;(('Team_Info'!$E$2-COUNTIF($B451:J451,"W"))/('Team_Info'!$E$4-9)),"W","B")</x:f>
        <x:v>B</x:v>
      </x:c>
      <x:c r="L451" t="str">
        <x:f>IF(RAND()&lt;(('Team_Info'!$E$2-COUNTIF($B451:K451,"W"))/('Team_Info'!$E$4-10)),"W","B")</x:f>
        <x:v>W</x:v>
      </x:c>
      <x:c r="M451" t="str">
        <x:f>IF(RAND()&lt;(('Team_Info'!$E$2-COUNTIF($B451:L451,"W"))/('Team_Info'!$E$4-11)),"W","B")</x:f>
        <x:v>B</x:v>
      </x:c>
      <x:c r="N451" t="str">
        <x:f>IF(RAND()&lt;(('Team_Info'!$E$2-COUNTIF($B451:M451,"W"))/('Team_Info'!$E$4-12)),"W","B")</x:f>
        <x:v>B</x:v>
      </x:c>
      <x:c r="O451" t="str">
        <x:f>IF(RAND()&lt;(('Team_Info'!$E$2-COUNTIF($B451:N451,"W"))/('Team_Info'!$E$4-13)),"W","B")</x:f>
        <x:v>W</x:v>
      </x:c>
      <x:c r="P451" t="str">
        <x:f>IF(RAND()&lt;(('Team_Info'!$E$2-COUNTIF($B451:O451,"W"))/('Team_Info'!$E$4-14)),"W","B")</x:f>
        <x:v>B</x:v>
      </x:c>
      <x:c r="Q451" t="str">
        <x:f>IF(RAND()&lt;(('Team_Info'!$E$2-COUNTIF($B451:P451,"W"))/('Team_Info'!$E$4-15)),"W","B")</x:f>
        <x:v>B</x:v>
      </x:c>
      <x:c r="R451" t="str">
        <x:f>IF(RAND()&lt;(('Team_Info'!$E$2-COUNTIF($B451:Q451,"W"))/('Team_Info'!$E$4-16)),"W","B")</x:f>
        <x:v>B</x:v>
      </x:c>
      <x:c r="S451" t="str">
        <x:f>IF(RAND()&lt;(('Team_Info'!$E$2-COUNTIF($B451:R451,"W"))/('Team_Info'!$E$4-17)),"W","B")</x:f>
        <x:v>B</x:v>
      </x:c>
      <x:c r="T451" t="str">
        <x:f>IF(RAND()&lt;(('Team_Info'!$E$2-COUNTIF($B451:S451,"W"))/('Team_Info'!$E$4-18)),"W","B")</x:f>
        <x:v>B</x:v>
      </x:c>
      <x:c r="U451" t="str">
        <x:f>IF(RAND()&lt;(('Team_Info'!$E$2-COUNTIF($B451:T451,"W"))/('Team_Info'!$E$4-19)),"W","B")</x:f>
        <x:v>B</x:v>
      </x:c>
    </x:row>
    <x:row r="452">
      <x:c r="A452" s="1">
        <x:v>451</x:v>
      </x:c>
      <x:c r="B452" t="str">
        <x:f>IF(RAND()&lt;'Team_Info'!$E$5,"W","B")</x:f>
        <x:v>B</x:v>
      </x:c>
      <x:c r="C452" t="str">
        <x:f>IF(RAND()&lt;(('Team_Info'!$E$2-COUNTIF($B452:B452,"W"))/('Team_Info'!$E$4-1)),"W","B")</x:f>
        <x:v>W</x:v>
      </x:c>
      <x:c r="D452" t="str">
        <x:f>IF(RAND()&lt;(('Team_Info'!$E$2-COUNTIF($B452:C452,"W"))/('Team_Info'!$E$4-2)),"W","B")</x:f>
        <x:v>B</x:v>
      </x:c>
      <x:c r="E452" t="str">
        <x:f>IF(RAND()&lt;(('Team_Info'!$E$2-COUNTIF($B452:D452,"W"))/('Team_Info'!$E$4-3)),"W","B")</x:f>
        <x:v>B</x:v>
      </x:c>
      <x:c r="F452" t="str">
        <x:f>IF(RAND()&lt;(('Team_Info'!$E$2-COUNTIF($B452:E452,"W"))/('Team_Info'!$E$4-4)),"W","B")</x:f>
        <x:v>B</x:v>
      </x:c>
      <x:c r="G452" t="str">
        <x:f>IF(RAND()&lt;(('Team_Info'!$E$2-COUNTIF($B452:F452,"W"))/('Team_Info'!$E$4-5)),"W","B")</x:f>
        <x:v>B</x:v>
      </x:c>
      <x:c r="H452" t="str">
        <x:f>IF(RAND()&lt;(('Team_Info'!$E$2-COUNTIF($B452:G452,"W"))/('Team_Info'!$E$4-6)),"W","B")</x:f>
        <x:v>B</x:v>
      </x:c>
      <x:c r="I452" t="str">
        <x:f>IF(RAND()&lt;(('Team_Info'!$E$2-COUNTIF($B452:H452,"W"))/('Team_Info'!$E$4-7)),"W","B")</x:f>
        <x:v>B</x:v>
      </x:c>
      <x:c r="J452" t="str">
        <x:f>IF(RAND()&lt;(('Team_Info'!$E$2-COUNTIF($B452:I452,"W"))/('Team_Info'!$E$4-8)),"W","B")</x:f>
        <x:v>W</x:v>
      </x:c>
      <x:c r="K452" t="str">
        <x:f>IF(RAND()&lt;(('Team_Info'!$E$2-COUNTIF($B452:J452,"W"))/('Team_Info'!$E$4-9)),"W","B")</x:f>
        <x:v>B</x:v>
      </x:c>
      <x:c r="L452" t="str">
        <x:f>IF(RAND()&lt;(('Team_Info'!$E$2-COUNTIF($B452:K452,"W"))/('Team_Info'!$E$4-10)),"W","B")</x:f>
        <x:v>B</x:v>
      </x:c>
      <x:c r="M452" t="str">
        <x:f>IF(RAND()&lt;(('Team_Info'!$E$2-COUNTIF($B452:L452,"W"))/('Team_Info'!$E$4-11)),"W","B")</x:f>
        <x:v>B</x:v>
      </x:c>
      <x:c r="N452" t="str">
        <x:f>IF(RAND()&lt;(('Team_Info'!$E$2-COUNTIF($B452:M452,"W"))/('Team_Info'!$E$4-12)),"W","B")</x:f>
        <x:v>W</x:v>
      </x:c>
      <x:c r="O452" t="str">
        <x:f>IF(RAND()&lt;(('Team_Info'!$E$2-COUNTIF($B452:N452,"W"))/('Team_Info'!$E$4-13)),"W","B")</x:f>
        <x:v>B</x:v>
      </x:c>
      <x:c r="P452" t="str">
        <x:f>IF(RAND()&lt;(('Team_Info'!$E$2-COUNTIF($B452:O452,"W"))/('Team_Info'!$E$4-14)),"W","B")</x:f>
        <x:v>W</x:v>
      </x:c>
      <x:c r="Q452" t="str">
        <x:f>IF(RAND()&lt;(('Team_Info'!$E$2-COUNTIF($B452:P452,"W"))/('Team_Info'!$E$4-15)),"W","B")</x:f>
        <x:v>B</x:v>
      </x:c>
      <x:c r="R452" t="str">
        <x:f>IF(RAND()&lt;(('Team_Info'!$E$2-COUNTIF($B452:Q452,"W"))/('Team_Info'!$E$4-16)),"W","B")</x:f>
        <x:v>B</x:v>
      </x:c>
      <x:c r="S452" t="str">
        <x:f>IF(RAND()&lt;(('Team_Info'!$E$2-COUNTIF($B452:R452,"W"))/('Team_Info'!$E$4-17)),"W","B")</x:f>
        <x:v>B</x:v>
      </x:c>
      <x:c r="T452" t="str">
        <x:f>IF(RAND()&lt;(('Team_Info'!$E$2-COUNTIF($B452:S452,"W"))/('Team_Info'!$E$4-18)),"W","B")</x:f>
        <x:v>W</x:v>
      </x:c>
      <x:c r="U452" t="str">
        <x:f>IF(RAND()&lt;(('Team_Info'!$E$2-COUNTIF($B452:T452,"W"))/('Team_Info'!$E$4-19)),"W","B")</x:f>
        <x:v>B</x:v>
      </x:c>
    </x:row>
    <x:row r="453">
      <x:c r="A453" s="1">
        <x:v>452</x:v>
      </x:c>
      <x:c r="B453" t="str">
        <x:f>IF(RAND()&lt;'Team_Info'!$E$5,"W","B")</x:f>
        <x:v>W</x:v>
      </x:c>
      <x:c r="C453" t="str">
        <x:f>IF(RAND()&lt;(('Team_Info'!$E$2-COUNTIF($B453:B453,"W"))/('Team_Info'!$E$4-1)),"W","B")</x:f>
        <x:v>B</x:v>
      </x:c>
      <x:c r="D453" t="str">
        <x:f>IF(RAND()&lt;(('Team_Info'!$E$2-COUNTIF($B453:C453,"W"))/('Team_Info'!$E$4-2)),"W","B")</x:f>
        <x:v>B</x:v>
      </x:c>
      <x:c r="E453" t="str">
        <x:f>IF(RAND()&lt;(('Team_Info'!$E$2-COUNTIF($B453:D453,"W"))/('Team_Info'!$E$4-3)),"W","B")</x:f>
        <x:v>B</x:v>
      </x:c>
      <x:c r="F453" t="str">
        <x:f>IF(RAND()&lt;(('Team_Info'!$E$2-COUNTIF($B453:E453,"W"))/('Team_Info'!$E$4-4)),"W","B")</x:f>
        <x:v>B</x:v>
      </x:c>
      <x:c r="G453" t="str">
        <x:f>IF(RAND()&lt;(('Team_Info'!$E$2-COUNTIF($B453:F453,"W"))/('Team_Info'!$E$4-5)),"W","B")</x:f>
        <x:v>W</x:v>
      </x:c>
      <x:c r="H453" t="str">
        <x:f>IF(RAND()&lt;(('Team_Info'!$E$2-COUNTIF($B453:G453,"W"))/('Team_Info'!$E$4-6)),"W","B")</x:f>
        <x:v>B</x:v>
      </x:c>
      <x:c r="I453" t="str">
        <x:f>IF(RAND()&lt;(('Team_Info'!$E$2-COUNTIF($B453:H453,"W"))/('Team_Info'!$E$4-7)),"W","B")</x:f>
        <x:v>B</x:v>
      </x:c>
      <x:c r="J453" t="str">
        <x:f>IF(RAND()&lt;(('Team_Info'!$E$2-COUNTIF($B453:I453,"W"))/('Team_Info'!$E$4-8)),"W","B")</x:f>
        <x:v>B</x:v>
      </x:c>
      <x:c r="K453" t="str">
        <x:f>IF(RAND()&lt;(('Team_Info'!$E$2-COUNTIF($B453:J453,"W"))/('Team_Info'!$E$4-9)),"W","B")</x:f>
        <x:v>B</x:v>
      </x:c>
      <x:c r="L453" t="str">
        <x:f>IF(RAND()&lt;(('Team_Info'!$E$2-COUNTIF($B453:K453,"W"))/('Team_Info'!$E$4-10)),"W","B")</x:f>
        <x:v>W</x:v>
      </x:c>
      <x:c r="M453" t="str">
        <x:f>IF(RAND()&lt;(('Team_Info'!$E$2-COUNTIF($B453:L453,"W"))/('Team_Info'!$E$4-11)),"W","B")</x:f>
        <x:v>W</x:v>
      </x:c>
      <x:c r="N453" t="str">
        <x:f>IF(RAND()&lt;(('Team_Info'!$E$2-COUNTIF($B453:M453,"W"))/('Team_Info'!$E$4-12)),"W","B")</x:f>
        <x:v>B</x:v>
      </x:c>
      <x:c r="O453" t="str">
        <x:f>IF(RAND()&lt;(('Team_Info'!$E$2-COUNTIF($B453:N453,"W"))/('Team_Info'!$E$4-13)),"W","B")</x:f>
        <x:v>B</x:v>
      </x:c>
      <x:c r="P453" t="str">
        <x:f>IF(RAND()&lt;(('Team_Info'!$E$2-COUNTIF($B453:O453,"W"))/('Team_Info'!$E$4-14)),"W","B")</x:f>
        <x:v>B</x:v>
      </x:c>
      <x:c r="Q453" t="str">
        <x:f>IF(RAND()&lt;(('Team_Info'!$E$2-COUNTIF($B453:P453,"W"))/('Team_Info'!$E$4-15)),"W","B")</x:f>
        <x:v>W</x:v>
      </x:c>
      <x:c r="R453" t="str">
        <x:f>IF(RAND()&lt;(('Team_Info'!$E$2-COUNTIF($B453:Q453,"W"))/('Team_Info'!$E$4-16)),"W","B")</x:f>
        <x:v>B</x:v>
      </x:c>
      <x:c r="S453" t="str">
        <x:f>IF(RAND()&lt;(('Team_Info'!$E$2-COUNTIF($B453:R453,"W"))/('Team_Info'!$E$4-17)),"W","B")</x:f>
        <x:v>B</x:v>
      </x:c>
      <x:c r="T453" t="str">
        <x:f>IF(RAND()&lt;(('Team_Info'!$E$2-COUNTIF($B453:S453,"W"))/('Team_Info'!$E$4-18)),"W","B")</x:f>
        <x:v>B</x:v>
      </x:c>
      <x:c r="U453" t="str">
        <x:f>IF(RAND()&lt;(('Team_Info'!$E$2-COUNTIF($B453:T453,"W"))/('Team_Info'!$E$4-19)),"W","B")</x:f>
        <x:v>B</x:v>
      </x:c>
    </x:row>
    <x:row r="454">
      <x:c r="A454" s="1">
        <x:v>453</x:v>
      </x:c>
      <x:c r="B454" t="str">
        <x:f>IF(RAND()&lt;'Team_Info'!$E$5,"W","B")</x:f>
        <x:v>W</x:v>
      </x:c>
      <x:c r="C454" t="str">
        <x:f>IF(RAND()&lt;(('Team_Info'!$E$2-COUNTIF($B454:B454,"W"))/('Team_Info'!$E$4-1)),"W","B")</x:f>
        <x:v>B</x:v>
      </x:c>
      <x:c r="D454" t="str">
        <x:f>IF(RAND()&lt;(('Team_Info'!$E$2-COUNTIF($B454:C454,"W"))/('Team_Info'!$E$4-2)),"W","B")</x:f>
        <x:v>W</x:v>
      </x:c>
      <x:c r="E454" t="str">
        <x:f>IF(RAND()&lt;(('Team_Info'!$E$2-COUNTIF($B454:D454,"W"))/('Team_Info'!$E$4-3)),"W","B")</x:f>
        <x:v>B</x:v>
      </x:c>
      <x:c r="F454" t="str">
        <x:f>IF(RAND()&lt;(('Team_Info'!$E$2-COUNTIF($B454:E454,"W"))/('Team_Info'!$E$4-4)),"W","B")</x:f>
        <x:v>B</x:v>
      </x:c>
      <x:c r="G454" t="str">
        <x:f>IF(RAND()&lt;(('Team_Info'!$E$2-COUNTIF($B454:F454,"W"))/('Team_Info'!$E$4-5)),"W","B")</x:f>
        <x:v>W</x:v>
      </x:c>
      <x:c r="H454" t="str">
        <x:f>IF(RAND()&lt;(('Team_Info'!$E$2-COUNTIF($B454:G454,"W"))/('Team_Info'!$E$4-6)),"W","B")</x:f>
        <x:v>W</x:v>
      </x:c>
      <x:c r="I454" t="str">
        <x:f>IF(RAND()&lt;(('Team_Info'!$E$2-COUNTIF($B454:H454,"W"))/('Team_Info'!$E$4-7)),"W","B")</x:f>
        <x:v>B</x:v>
      </x:c>
      <x:c r="J454" t="str">
        <x:f>IF(RAND()&lt;(('Team_Info'!$E$2-COUNTIF($B454:I454,"W"))/('Team_Info'!$E$4-8)),"W","B")</x:f>
        <x:v>B</x:v>
      </x:c>
      <x:c r="K454" t="str">
        <x:f>IF(RAND()&lt;(('Team_Info'!$E$2-COUNTIF($B454:J454,"W"))/('Team_Info'!$E$4-9)),"W","B")</x:f>
        <x:v>B</x:v>
      </x:c>
      <x:c r="L454" t="str">
        <x:f>IF(RAND()&lt;(('Team_Info'!$E$2-COUNTIF($B454:K454,"W"))/('Team_Info'!$E$4-10)),"W","B")</x:f>
        <x:v>W</x:v>
      </x:c>
      <x:c r="M454" t="str">
        <x:f>IF(RAND()&lt;(('Team_Info'!$E$2-COUNTIF($B454:L454,"W"))/('Team_Info'!$E$4-11)),"W","B")</x:f>
        <x:v>B</x:v>
      </x:c>
      <x:c r="N454" t="str">
        <x:f>IF(RAND()&lt;(('Team_Info'!$E$2-COUNTIF($B454:M454,"W"))/('Team_Info'!$E$4-12)),"W","B")</x:f>
        <x:v>W</x:v>
      </x:c>
      <x:c r="O454" t="str">
        <x:f>IF(RAND()&lt;(('Team_Info'!$E$2-COUNTIF($B454:N454,"W"))/('Team_Info'!$E$4-13)),"W","B")</x:f>
        <x:v>B</x:v>
      </x:c>
      <x:c r="P454" t="str">
        <x:f>IF(RAND()&lt;(('Team_Info'!$E$2-COUNTIF($B454:O454,"W"))/('Team_Info'!$E$4-14)),"W","B")</x:f>
        <x:v>B</x:v>
      </x:c>
      <x:c r="Q454" t="str">
        <x:f>IF(RAND()&lt;(('Team_Info'!$E$2-COUNTIF($B454:P454,"W"))/('Team_Info'!$E$4-15)),"W","B")</x:f>
        <x:v>W</x:v>
      </x:c>
      <x:c r="R454" t="str">
        <x:f>IF(RAND()&lt;(('Team_Info'!$E$2-COUNTIF($B454:Q454,"W"))/('Team_Info'!$E$4-16)),"W","B")</x:f>
        <x:v>W</x:v>
      </x:c>
      <x:c r="S454" t="str">
        <x:f>IF(RAND()&lt;(('Team_Info'!$E$2-COUNTIF($B454:R454,"W"))/('Team_Info'!$E$4-17)),"W","B")</x:f>
        <x:v>B</x:v>
      </x:c>
      <x:c r="T454" t="str">
        <x:f>IF(RAND()&lt;(('Team_Info'!$E$2-COUNTIF($B454:S454,"W"))/('Team_Info'!$E$4-18)),"W","B")</x:f>
        <x:v>W</x:v>
      </x:c>
      <x:c r="U454" t="str">
        <x:f>IF(RAND()&lt;(('Team_Info'!$E$2-COUNTIF($B454:T454,"W"))/('Team_Info'!$E$4-19)),"W","B")</x:f>
        <x:v>B</x:v>
      </x:c>
    </x:row>
    <x:row r="455">
      <x:c r="A455" s="1">
        <x:v>454</x:v>
      </x:c>
      <x:c r="B455" t="str">
        <x:f>IF(RAND()&lt;'Team_Info'!$E$5,"W","B")</x:f>
        <x:v>W</x:v>
      </x:c>
      <x:c r="C455" t="str">
        <x:f>IF(RAND()&lt;(('Team_Info'!$E$2-COUNTIF($B455:B455,"W"))/('Team_Info'!$E$4-1)),"W","B")</x:f>
        <x:v>W</x:v>
      </x:c>
      <x:c r="D455" t="str">
        <x:f>IF(RAND()&lt;(('Team_Info'!$E$2-COUNTIF($B455:C455,"W"))/('Team_Info'!$E$4-2)),"W","B")</x:f>
        <x:v>W</x:v>
      </x:c>
      <x:c r="E455" t="str">
        <x:f>IF(RAND()&lt;(('Team_Info'!$E$2-COUNTIF($B455:D455,"W"))/('Team_Info'!$E$4-3)),"W","B")</x:f>
        <x:v>B</x:v>
      </x:c>
      <x:c r="F455" t="str">
        <x:f>IF(RAND()&lt;(('Team_Info'!$E$2-COUNTIF($B455:E455,"W"))/('Team_Info'!$E$4-4)),"W","B")</x:f>
        <x:v>B</x:v>
      </x:c>
      <x:c r="G455" t="str">
        <x:f>IF(RAND()&lt;(('Team_Info'!$E$2-COUNTIF($B455:F455,"W"))/('Team_Info'!$E$4-5)),"W","B")</x:f>
        <x:v>B</x:v>
      </x:c>
      <x:c r="H455" t="str">
        <x:f>IF(RAND()&lt;(('Team_Info'!$E$2-COUNTIF($B455:G455,"W"))/('Team_Info'!$E$4-6)),"W","B")</x:f>
        <x:v>W</x:v>
      </x:c>
      <x:c r="I455" t="str">
        <x:f>IF(RAND()&lt;(('Team_Info'!$E$2-COUNTIF($B455:H455,"W"))/('Team_Info'!$E$4-7)),"W","B")</x:f>
        <x:v>B</x:v>
      </x:c>
      <x:c r="J455" t="str">
        <x:f>IF(RAND()&lt;(('Team_Info'!$E$2-COUNTIF($B455:I455,"W"))/('Team_Info'!$E$4-8)),"W","B")</x:f>
        <x:v>B</x:v>
      </x:c>
      <x:c r="K455" t="str">
        <x:f>IF(RAND()&lt;(('Team_Info'!$E$2-COUNTIF($B455:J455,"W"))/('Team_Info'!$E$4-9)),"W","B")</x:f>
        <x:v>B</x:v>
      </x:c>
      <x:c r="L455" t="str">
        <x:f>IF(RAND()&lt;(('Team_Info'!$E$2-COUNTIF($B455:K455,"W"))/('Team_Info'!$E$4-10)),"W","B")</x:f>
        <x:v>B</x:v>
      </x:c>
      <x:c r="M455" t="str">
        <x:f>IF(RAND()&lt;(('Team_Info'!$E$2-COUNTIF($B455:L455,"W"))/('Team_Info'!$E$4-11)),"W","B")</x:f>
        <x:v>B</x:v>
      </x:c>
      <x:c r="N455" t="str">
        <x:f>IF(RAND()&lt;(('Team_Info'!$E$2-COUNTIF($B455:M455,"W"))/('Team_Info'!$E$4-12)),"W","B")</x:f>
        <x:v>W</x:v>
      </x:c>
      <x:c r="O455" t="str">
        <x:f>IF(RAND()&lt;(('Team_Info'!$E$2-COUNTIF($B455:N455,"W"))/('Team_Info'!$E$4-13)),"W","B")</x:f>
        <x:v>W</x:v>
      </x:c>
      <x:c r="P455" t="str">
        <x:f>IF(RAND()&lt;(('Team_Info'!$E$2-COUNTIF($B455:O455,"W"))/('Team_Info'!$E$4-14)),"W","B")</x:f>
        <x:v>B</x:v>
      </x:c>
      <x:c r="Q455" t="str">
        <x:f>IF(RAND()&lt;(('Team_Info'!$E$2-COUNTIF($B455:P455,"W"))/('Team_Info'!$E$4-15)),"W","B")</x:f>
        <x:v>B</x:v>
      </x:c>
      <x:c r="R455" t="str">
        <x:f>IF(RAND()&lt;(('Team_Info'!$E$2-COUNTIF($B455:Q455,"W"))/('Team_Info'!$E$4-16)),"W","B")</x:f>
        <x:v>W</x:v>
      </x:c>
      <x:c r="S455" t="str">
        <x:f>IF(RAND()&lt;(('Team_Info'!$E$2-COUNTIF($B455:R455,"W"))/('Team_Info'!$E$4-17)),"W","B")</x:f>
        <x:v>W</x:v>
      </x:c>
      <x:c r="T455" t="str">
        <x:f>IF(RAND()&lt;(('Team_Info'!$E$2-COUNTIF($B455:S455,"W"))/('Team_Info'!$E$4-18)),"W","B")</x:f>
        <x:v>B</x:v>
      </x:c>
      <x:c r="U455" t="str">
        <x:f>IF(RAND()&lt;(('Team_Info'!$E$2-COUNTIF($B455:T455,"W"))/('Team_Info'!$E$4-19)),"W","B")</x:f>
        <x:v>B</x:v>
      </x:c>
    </x:row>
    <x:row r="456">
      <x:c r="A456" s="1">
        <x:v>455</x:v>
      </x:c>
      <x:c r="B456" t="str">
        <x:f>IF(RAND()&lt;'Team_Info'!$E$5,"W","B")</x:f>
        <x:v>B</x:v>
      </x:c>
      <x:c r="C456" t="str">
        <x:f>IF(RAND()&lt;(('Team_Info'!$E$2-COUNTIF($B456:B456,"W"))/('Team_Info'!$E$4-1)),"W","B")</x:f>
        <x:v>B</x:v>
      </x:c>
      <x:c r="D456" t="str">
        <x:f>IF(RAND()&lt;(('Team_Info'!$E$2-COUNTIF($B456:C456,"W"))/('Team_Info'!$E$4-2)),"W","B")</x:f>
        <x:v>W</x:v>
      </x:c>
      <x:c r="E456" t="str">
        <x:f>IF(RAND()&lt;(('Team_Info'!$E$2-COUNTIF($B456:D456,"W"))/('Team_Info'!$E$4-3)),"W","B")</x:f>
        <x:v>B</x:v>
      </x:c>
      <x:c r="F456" t="str">
        <x:f>IF(RAND()&lt;(('Team_Info'!$E$2-COUNTIF($B456:E456,"W"))/('Team_Info'!$E$4-4)),"W","B")</x:f>
        <x:v>B</x:v>
      </x:c>
      <x:c r="G456" t="str">
        <x:f>IF(RAND()&lt;(('Team_Info'!$E$2-COUNTIF($B456:F456,"W"))/('Team_Info'!$E$4-5)),"W","B")</x:f>
        <x:v>W</x:v>
      </x:c>
      <x:c r="H456" t="str">
        <x:f>IF(RAND()&lt;(('Team_Info'!$E$2-COUNTIF($B456:G456,"W"))/('Team_Info'!$E$4-6)),"W","B")</x:f>
        <x:v>W</x:v>
      </x:c>
      <x:c r="I456" t="str">
        <x:f>IF(RAND()&lt;(('Team_Info'!$E$2-COUNTIF($B456:H456,"W"))/('Team_Info'!$E$4-7)),"W","B")</x:f>
        <x:v>B</x:v>
      </x:c>
      <x:c r="J456" t="str">
        <x:f>IF(RAND()&lt;(('Team_Info'!$E$2-COUNTIF($B456:I456,"W"))/('Team_Info'!$E$4-8)),"W","B")</x:f>
        <x:v>W</x:v>
      </x:c>
      <x:c r="K456" t="str">
        <x:f>IF(RAND()&lt;(('Team_Info'!$E$2-COUNTIF($B456:J456,"W"))/('Team_Info'!$E$4-9)),"W","B")</x:f>
        <x:v>W</x:v>
      </x:c>
      <x:c r="L456" t="str">
        <x:f>IF(RAND()&lt;(('Team_Info'!$E$2-COUNTIF($B456:K456,"W"))/('Team_Info'!$E$4-10)),"W","B")</x:f>
        <x:v>W</x:v>
      </x:c>
      <x:c r="M456" t="str">
        <x:f>IF(RAND()&lt;(('Team_Info'!$E$2-COUNTIF($B456:L456,"W"))/('Team_Info'!$E$4-11)),"W","B")</x:f>
        <x:v>B</x:v>
      </x:c>
      <x:c r="N456" t="str">
        <x:f>IF(RAND()&lt;(('Team_Info'!$E$2-COUNTIF($B456:M456,"W"))/('Team_Info'!$E$4-12)),"W","B")</x:f>
        <x:v>B</x:v>
      </x:c>
      <x:c r="O456" t="str">
        <x:f>IF(RAND()&lt;(('Team_Info'!$E$2-COUNTIF($B456:N456,"W"))/('Team_Info'!$E$4-13)),"W","B")</x:f>
        <x:v>B</x:v>
      </x:c>
      <x:c r="P456" t="str">
        <x:f>IF(RAND()&lt;(('Team_Info'!$E$2-COUNTIF($B456:O456,"W"))/('Team_Info'!$E$4-14)),"W","B")</x:f>
        <x:v>W</x:v>
      </x:c>
      <x:c r="Q456" t="str">
        <x:f>IF(RAND()&lt;(('Team_Info'!$E$2-COUNTIF($B456:P456,"W"))/('Team_Info'!$E$4-15)),"W","B")</x:f>
        <x:v>B</x:v>
      </x:c>
      <x:c r="R456" t="str">
        <x:f>IF(RAND()&lt;(('Team_Info'!$E$2-COUNTIF($B456:Q456,"W"))/('Team_Info'!$E$4-16)),"W","B")</x:f>
        <x:v>B</x:v>
      </x:c>
      <x:c r="S456" t="str">
        <x:f>IF(RAND()&lt;(('Team_Info'!$E$2-COUNTIF($B456:R456,"W"))/('Team_Info'!$E$4-17)),"W","B")</x:f>
        <x:v>W</x:v>
      </x:c>
      <x:c r="T456" t="str">
        <x:f>IF(RAND()&lt;(('Team_Info'!$E$2-COUNTIF($B456:S456,"W"))/('Team_Info'!$E$4-18)),"W","B")</x:f>
        <x:v>W</x:v>
      </x:c>
      <x:c r="U456" t="str">
        <x:f>IF(RAND()&lt;(('Team_Info'!$E$2-COUNTIF($B456:T456,"W"))/('Team_Info'!$E$4-19)),"W","B")</x:f>
        <x:v>W</x:v>
      </x:c>
    </x:row>
    <x:row r="457">
      <x:c r="A457" s="1">
        <x:v>456</x:v>
      </x:c>
      <x:c r="B457" t="str">
        <x:f>IF(RAND()&lt;'Team_Info'!$E$5,"W","B")</x:f>
        <x:v>B</x:v>
      </x:c>
      <x:c r="C457" t="str">
        <x:f>IF(RAND()&lt;(('Team_Info'!$E$2-COUNTIF($B457:B457,"W"))/('Team_Info'!$E$4-1)),"W","B")</x:f>
        <x:v>B</x:v>
      </x:c>
      <x:c r="D457" t="str">
        <x:f>IF(RAND()&lt;(('Team_Info'!$E$2-COUNTIF($B457:C457,"W"))/('Team_Info'!$E$4-2)),"W","B")</x:f>
        <x:v>W</x:v>
      </x:c>
      <x:c r="E457" t="str">
        <x:f>IF(RAND()&lt;(('Team_Info'!$E$2-COUNTIF($B457:D457,"W"))/('Team_Info'!$E$4-3)),"W","B")</x:f>
        <x:v>B</x:v>
      </x:c>
      <x:c r="F457" t="str">
        <x:f>IF(RAND()&lt;(('Team_Info'!$E$2-COUNTIF($B457:E457,"W"))/('Team_Info'!$E$4-4)),"W","B")</x:f>
        <x:v>W</x:v>
      </x:c>
      <x:c r="G457" t="str">
        <x:f>IF(RAND()&lt;(('Team_Info'!$E$2-COUNTIF($B457:F457,"W"))/('Team_Info'!$E$4-5)),"W","B")</x:f>
        <x:v>B</x:v>
      </x:c>
      <x:c r="H457" t="str">
        <x:f>IF(RAND()&lt;(('Team_Info'!$E$2-COUNTIF($B457:G457,"W"))/('Team_Info'!$E$4-6)),"W","B")</x:f>
        <x:v>B</x:v>
      </x:c>
      <x:c r="I457" t="str">
        <x:f>IF(RAND()&lt;(('Team_Info'!$E$2-COUNTIF($B457:H457,"W"))/('Team_Info'!$E$4-7)),"W","B")</x:f>
        <x:v>B</x:v>
      </x:c>
      <x:c r="J457" t="str">
        <x:f>IF(RAND()&lt;(('Team_Info'!$E$2-COUNTIF($B457:I457,"W"))/('Team_Info'!$E$4-8)),"W","B")</x:f>
        <x:v>B</x:v>
      </x:c>
      <x:c r="K457" t="str">
        <x:f>IF(RAND()&lt;(('Team_Info'!$E$2-COUNTIF($B457:J457,"W"))/('Team_Info'!$E$4-9)),"W","B")</x:f>
        <x:v>W</x:v>
      </x:c>
      <x:c r="L457" t="str">
        <x:f>IF(RAND()&lt;(('Team_Info'!$E$2-COUNTIF($B457:K457,"W"))/('Team_Info'!$E$4-10)),"W","B")</x:f>
        <x:v>W</x:v>
      </x:c>
      <x:c r="M457" t="str">
        <x:f>IF(RAND()&lt;(('Team_Info'!$E$2-COUNTIF($B457:L457,"W"))/('Team_Info'!$E$4-11)),"W","B")</x:f>
        <x:v>B</x:v>
      </x:c>
      <x:c r="N457" t="str">
        <x:f>IF(RAND()&lt;(('Team_Info'!$E$2-COUNTIF($B457:M457,"W"))/('Team_Info'!$E$4-12)),"W","B")</x:f>
        <x:v>B</x:v>
      </x:c>
      <x:c r="O457" t="str">
        <x:f>IF(RAND()&lt;(('Team_Info'!$E$2-COUNTIF($B457:N457,"W"))/('Team_Info'!$E$4-13)),"W","B")</x:f>
        <x:v>B</x:v>
      </x:c>
      <x:c r="P457" t="str">
        <x:f>IF(RAND()&lt;(('Team_Info'!$E$2-COUNTIF($B457:O457,"W"))/('Team_Info'!$E$4-14)),"W","B")</x:f>
        <x:v>B</x:v>
      </x:c>
      <x:c r="Q457" t="str">
        <x:f>IF(RAND()&lt;(('Team_Info'!$E$2-COUNTIF($B457:P457,"W"))/('Team_Info'!$E$4-15)),"W","B")</x:f>
        <x:v>B</x:v>
      </x:c>
      <x:c r="R457" t="str">
        <x:f>IF(RAND()&lt;(('Team_Info'!$E$2-COUNTIF($B457:Q457,"W"))/('Team_Info'!$E$4-16)),"W","B")</x:f>
        <x:v>W</x:v>
      </x:c>
      <x:c r="S457" t="str">
        <x:f>IF(RAND()&lt;(('Team_Info'!$E$2-COUNTIF($B457:R457,"W"))/('Team_Info'!$E$4-17)),"W","B")</x:f>
        <x:v>W</x:v>
      </x:c>
      <x:c r="T457" t="str">
        <x:f>IF(RAND()&lt;(('Team_Info'!$E$2-COUNTIF($B457:S457,"W"))/('Team_Info'!$E$4-18)),"W","B")</x:f>
        <x:v>B</x:v>
      </x:c>
      <x:c r="U457" t="str">
        <x:f>IF(RAND()&lt;(('Team_Info'!$E$2-COUNTIF($B457:T457,"W"))/('Team_Info'!$E$4-19)),"W","B")</x:f>
        <x:v>W</x:v>
      </x:c>
    </x:row>
    <x:row r="458">
      <x:c r="A458" s="1">
        <x:v>457</x:v>
      </x:c>
      <x:c r="B458" t="str">
        <x:f>IF(RAND()&lt;'Team_Info'!$E$5,"W","B")</x:f>
        <x:v>B</x:v>
      </x:c>
      <x:c r="C458" t="str">
        <x:f>IF(RAND()&lt;(('Team_Info'!$E$2-COUNTIF($B458:B458,"W"))/('Team_Info'!$E$4-1)),"W","B")</x:f>
        <x:v>B</x:v>
      </x:c>
      <x:c r="D458" t="str">
        <x:f>IF(RAND()&lt;(('Team_Info'!$E$2-COUNTIF($B458:C458,"W"))/('Team_Info'!$E$4-2)),"W","B")</x:f>
        <x:v>W</x:v>
      </x:c>
      <x:c r="E458" t="str">
        <x:f>IF(RAND()&lt;(('Team_Info'!$E$2-COUNTIF($B458:D458,"W"))/('Team_Info'!$E$4-3)),"W","B")</x:f>
        <x:v>B</x:v>
      </x:c>
      <x:c r="F458" t="str">
        <x:f>IF(RAND()&lt;(('Team_Info'!$E$2-COUNTIF($B458:E458,"W"))/('Team_Info'!$E$4-4)),"W","B")</x:f>
        <x:v>W</x:v>
      </x:c>
      <x:c r="G458" t="str">
        <x:f>IF(RAND()&lt;(('Team_Info'!$E$2-COUNTIF($B458:F458,"W"))/('Team_Info'!$E$4-5)),"W","B")</x:f>
        <x:v>B</x:v>
      </x:c>
      <x:c r="H458" t="str">
        <x:f>IF(RAND()&lt;(('Team_Info'!$E$2-COUNTIF($B458:G458,"W"))/('Team_Info'!$E$4-6)),"W","B")</x:f>
        <x:v>B</x:v>
      </x:c>
      <x:c r="I458" t="str">
        <x:f>IF(RAND()&lt;(('Team_Info'!$E$2-COUNTIF($B458:H458,"W"))/('Team_Info'!$E$4-7)),"W","B")</x:f>
        <x:v>B</x:v>
      </x:c>
      <x:c r="J458" t="str">
        <x:f>IF(RAND()&lt;(('Team_Info'!$E$2-COUNTIF($B458:I458,"W"))/('Team_Info'!$E$4-8)),"W","B")</x:f>
        <x:v>B</x:v>
      </x:c>
      <x:c r="K458" t="str">
        <x:f>IF(RAND()&lt;(('Team_Info'!$E$2-COUNTIF($B458:J458,"W"))/('Team_Info'!$E$4-9)),"W","B")</x:f>
        <x:v>B</x:v>
      </x:c>
      <x:c r="L458" t="str">
        <x:f>IF(RAND()&lt;(('Team_Info'!$E$2-COUNTIF($B458:K458,"W"))/('Team_Info'!$E$4-10)),"W","B")</x:f>
        <x:v>W</x:v>
      </x:c>
      <x:c r="M458" t="str">
        <x:f>IF(RAND()&lt;(('Team_Info'!$E$2-COUNTIF($B458:L458,"W"))/('Team_Info'!$E$4-11)),"W","B")</x:f>
        <x:v>W</x:v>
      </x:c>
      <x:c r="N458" t="str">
        <x:f>IF(RAND()&lt;(('Team_Info'!$E$2-COUNTIF($B458:M458,"W"))/('Team_Info'!$E$4-12)),"W","B")</x:f>
        <x:v>W</x:v>
      </x:c>
      <x:c r="O458" t="str">
        <x:f>IF(RAND()&lt;(('Team_Info'!$E$2-COUNTIF($B458:N458,"W"))/('Team_Info'!$E$4-13)),"W","B")</x:f>
        <x:v>W</x:v>
      </x:c>
      <x:c r="P458" t="str">
        <x:f>IF(RAND()&lt;(('Team_Info'!$E$2-COUNTIF($B458:O458,"W"))/('Team_Info'!$E$4-14)),"W","B")</x:f>
        <x:v>B</x:v>
      </x:c>
      <x:c r="Q458" t="str">
        <x:f>IF(RAND()&lt;(('Team_Info'!$E$2-COUNTIF($B458:P458,"W"))/('Team_Info'!$E$4-15)),"W","B")</x:f>
        <x:v>B</x:v>
      </x:c>
      <x:c r="R458" t="str">
        <x:f>IF(RAND()&lt;(('Team_Info'!$E$2-COUNTIF($B458:Q458,"W"))/('Team_Info'!$E$4-16)),"W","B")</x:f>
        <x:v>B</x:v>
      </x:c>
      <x:c r="S458" t="str">
        <x:f>IF(RAND()&lt;(('Team_Info'!$E$2-COUNTIF($B458:R458,"W"))/('Team_Info'!$E$4-17)),"W","B")</x:f>
        <x:v>W</x:v>
      </x:c>
      <x:c r="T458" t="str">
        <x:f>IF(RAND()&lt;(('Team_Info'!$E$2-COUNTIF($B458:S458,"W"))/('Team_Info'!$E$4-18)),"W","B")</x:f>
        <x:v>W</x:v>
      </x:c>
      <x:c r="U458" t="str">
        <x:f>IF(RAND()&lt;(('Team_Info'!$E$2-COUNTIF($B458:T458,"W"))/('Team_Info'!$E$4-19)),"W","B")</x:f>
        <x:v>W</x:v>
      </x:c>
    </x:row>
    <x:row r="459">
      <x:c r="A459" s="1">
        <x:v>458</x:v>
      </x:c>
      <x:c r="B459" t="str">
        <x:f>IF(RAND()&lt;'Team_Info'!$E$5,"W","B")</x:f>
        <x:v>B</x:v>
      </x:c>
      <x:c r="C459" t="str">
        <x:f>IF(RAND()&lt;(('Team_Info'!$E$2-COUNTIF($B459:B459,"W"))/('Team_Info'!$E$4-1)),"W","B")</x:f>
        <x:v>W</x:v>
      </x:c>
      <x:c r="D459" t="str">
        <x:f>IF(RAND()&lt;(('Team_Info'!$E$2-COUNTIF($B459:C459,"W"))/('Team_Info'!$E$4-2)),"W","B")</x:f>
        <x:v>B</x:v>
      </x:c>
      <x:c r="E459" t="str">
        <x:f>IF(RAND()&lt;(('Team_Info'!$E$2-COUNTIF($B459:D459,"W"))/('Team_Info'!$E$4-3)),"W","B")</x:f>
        <x:v>W</x:v>
      </x:c>
      <x:c r="F459" t="str">
        <x:f>IF(RAND()&lt;(('Team_Info'!$E$2-COUNTIF($B459:E459,"W"))/('Team_Info'!$E$4-4)),"W","B")</x:f>
        <x:v>B</x:v>
      </x:c>
      <x:c r="G459" t="str">
        <x:f>IF(RAND()&lt;(('Team_Info'!$E$2-COUNTIF($B459:F459,"W"))/('Team_Info'!$E$4-5)),"W","B")</x:f>
        <x:v>B</x:v>
      </x:c>
      <x:c r="H459" t="str">
        <x:f>IF(RAND()&lt;(('Team_Info'!$E$2-COUNTIF($B459:G459,"W"))/('Team_Info'!$E$4-6)),"W","B")</x:f>
        <x:v>B</x:v>
      </x:c>
      <x:c r="I459" t="str">
        <x:f>IF(RAND()&lt;(('Team_Info'!$E$2-COUNTIF($B459:H459,"W"))/('Team_Info'!$E$4-7)),"W","B")</x:f>
        <x:v>B</x:v>
      </x:c>
      <x:c r="J459" t="str">
        <x:f>IF(RAND()&lt;(('Team_Info'!$E$2-COUNTIF($B459:I459,"W"))/('Team_Info'!$E$4-8)),"W","B")</x:f>
        <x:v>B</x:v>
      </x:c>
      <x:c r="K459" t="str">
        <x:f>IF(RAND()&lt;(('Team_Info'!$E$2-COUNTIF($B459:J459,"W"))/('Team_Info'!$E$4-9)),"W","B")</x:f>
        <x:v>B</x:v>
      </x:c>
      <x:c r="L459" t="str">
        <x:f>IF(RAND()&lt;(('Team_Info'!$E$2-COUNTIF($B459:K459,"W"))/('Team_Info'!$E$4-10)),"W","B")</x:f>
        <x:v>B</x:v>
      </x:c>
      <x:c r="M459" t="str">
        <x:f>IF(RAND()&lt;(('Team_Info'!$E$2-COUNTIF($B459:L459,"W"))/('Team_Info'!$E$4-11)),"W","B")</x:f>
        <x:v>W</x:v>
      </x:c>
      <x:c r="N459" t="str">
        <x:f>IF(RAND()&lt;(('Team_Info'!$E$2-COUNTIF($B459:M459,"W"))/('Team_Info'!$E$4-12)),"W","B")</x:f>
        <x:v>B</x:v>
      </x:c>
      <x:c r="O459" t="str">
        <x:f>IF(RAND()&lt;(('Team_Info'!$E$2-COUNTIF($B459:N459,"W"))/('Team_Info'!$E$4-13)),"W","B")</x:f>
        <x:v>W</x:v>
      </x:c>
      <x:c r="P459" t="str">
        <x:f>IF(RAND()&lt;(('Team_Info'!$E$2-COUNTIF($B459:O459,"W"))/('Team_Info'!$E$4-14)),"W","B")</x:f>
        <x:v>W</x:v>
      </x:c>
      <x:c r="Q459" t="str">
        <x:f>IF(RAND()&lt;(('Team_Info'!$E$2-COUNTIF($B459:P459,"W"))/('Team_Info'!$E$4-15)),"W","B")</x:f>
        <x:v>W</x:v>
      </x:c>
      <x:c r="R459" t="str">
        <x:f>IF(RAND()&lt;(('Team_Info'!$E$2-COUNTIF($B459:Q459,"W"))/('Team_Info'!$E$4-16)),"W","B")</x:f>
        <x:v>B</x:v>
      </x:c>
      <x:c r="S459" t="str">
        <x:f>IF(RAND()&lt;(('Team_Info'!$E$2-COUNTIF($B459:R459,"W"))/('Team_Info'!$E$4-17)),"W","B")</x:f>
        <x:v>B</x:v>
      </x:c>
      <x:c r="T459" t="str">
        <x:f>IF(RAND()&lt;(('Team_Info'!$E$2-COUNTIF($B459:S459,"W"))/('Team_Info'!$E$4-18)),"W","B")</x:f>
        <x:v>B</x:v>
      </x:c>
      <x:c r="U459" t="str">
        <x:f>IF(RAND()&lt;(('Team_Info'!$E$2-COUNTIF($B459:T459,"W"))/('Team_Info'!$E$4-19)),"W","B")</x:f>
        <x:v>B</x:v>
      </x:c>
    </x:row>
    <x:row r="460">
      <x:c r="A460" s="1">
        <x:v>459</x:v>
      </x:c>
      <x:c r="B460" t="str">
        <x:f>IF(RAND()&lt;'Team_Info'!$E$5,"W","B")</x:f>
        <x:v>W</x:v>
      </x:c>
      <x:c r="C460" t="str">
        <x:f>IF(RAND()&lt;(('Team_Info'!$E$2-COUNTIF($B460:B460,"W"))/('Team_Info'!$E$4-1)),"W","B")</x:f>
        <x:v>B</x:v>
      </x:c>
      <x:c r="D460" t="str">
        <x:f>IF(RAND()&lt;(('Team_Info'!$E$2-COUNTIF($B460:C460,"W"))/('Team_Info'!$E$4-2)),"W","B")</x:f>
        <x:v>W</x:v>
      </x:c>
      <x:c r="E460" t="str">
        <x:f>IF(RAND()&lt;(('Team_Info'!$E$2-COUNTIF($B460:D460,"W"))/('Team_Info'!$E$4-3)),"W","B")</x:f>
        <x:v>W</x:v>
      </x:c>
      <x:c r="F460" t="str">
        <x:f>IF(RAND()&lt;(('Team_Info'!$E$2-COUNTIF($B460:E460,"W"))/('Team_Info'!$E$4-4)),"W","B")</x:f>
        <x:v>B</x:v>
      </x:c>
      <x:c r="G460" t="str">
        <x:f>IF(RAND()&lt;(('Team_Info'!$E$2-COUNTIF($B460:F460,"W"))/('Team_Info'!$E$4-5)),"W","B")</x:f>
        <x:v>B</x:v>
      </x:c>
      <x:c r="H460" t="str">
        <x:f>IF(RAND()&lt;(('Team_Info'!$E$2-COUNTIF($B460:G460,"W"))/('Team_Info'!$E$4-6)),"W","B")</x:f>
        <x:v>W</x:v>
      </x:c>
      <x:c r="I460" t="str">
        <x:f>IF(RAND()&lt;(('Team_Info'!$E$2-COUNTIF($B460:H460,"W"))/('Team_Info'!$E$4-7)),"W","B")</x:f>
        <x:v>B</x:v>
      </x:c>
      <x:c r="J460" t="str">
        <x:f>IF(RAND()&lt;(('Team_Info'!$E$2-COUNTIF($B460:I460,"W"))/('Team_Info'!$E$4-8)),"W","B")</x:f>
        <x:v>B</x:v>
      </x:c>
      <x:c r="K460" t="str">
        <x:f>IF(RAND()&lt;(('Team_Info'!$E$2-COUNTIF($B460:J460,"W"))/('Team_Info'!$E$4-9)),"W","B")</x:f>
        <x:v>B</x:v>
      </x:c>
      <x:c r="L460" t="str">
        <x:f>IF(RAND()&lt;(('Team_Info'!$E$2-COUNTIF($B460:K460,"W"))/('Team_Info'!$E$4-10)),"W","B")</x:f>
        <x:v>B</x:v>
      </x:c>
      <x:c r="M460" t="str">
        <x:f>IF(RAND()&lt;(('Team_Info'!$E$2-COUNTIF($B460:L460,"W"))/('Team_Info'!$E$4-11)),"W","B")</x:f>
        <x:v>B</x:v>
      </x:c>
      <x:c r="N460" t="str">
        <x:f>IF(RAND()&lt;(('Team_Info'!$E$2-COUNTIF($B460:M460,"W"))/('Team_Info'!$E$4-12)),"W","B")</x:f>
        <x:v>W</x:v>
      </x:c>
      <x:c r="O460" t="str">
        <x:f>IF(RAND()&lt;(('Team_Info'!$E$2-COUNTIF($B460:N460,"W"))/('Team_Info'!$E$4-13)),"W","B")</x:f>
        <x:v>B</x:v>
      </x:c>
      <x:c r="P460" t="str">
        <x:f>IF(RAND()&lt;(('Team_Info'!$E$2-COUNTIF($B460:O460,"W"))/('Team_Info'!$E$4-14)),"W","B")</x:f>
        <x:v>W</x:v>
      </x:c>
      <x:c r="Q460" t="str">
        <x:f>IF(RAND()&lt;(('Team_Info'!$E$2-COUNTIF($B460:P460,"W"))/('Team_Info'!$E$4-15)),"W","B")</x:f>
        <x:v>B</x:v>
      </x:c>
      <x:c r="R460" t="str">
        <x:f>IF(RAND()&lt;(('Team_Info'!$E$2-COUNTIF($B460:Q460,"W"))/('Team_Info'!$E$4-16)),"W","B")</x:f>
        <x:v>B</x:v>
      </x:c>
      <x:c r="S460" t="str">
        <x:f>IF(RAND()&lt;(('Team_Info'!$E$2-COUNTIF($B460:R460,"W"))/('Team_Info'!$E$4-17)),"W","B")</x:f>
        <x:v>B</x:v>
      </x:c>
      <x:c r="T460" t="str">
        <x:f>IF(RAND()&lt;(('Team_Info'!$E$2-COUNTIF($B460:S460,"W"))/('Team_Info'!$E$4-18)),"W","B")</x:f>
        <x:v>W</x:v>
      </x:c>
      <x:c r="U460" t="str">
        <x:f>IF(RAND()&lt;(('Team_Info'!$E$2-COUNTIF($B460:T460,"W"))/('Team_Info'!$E$4-19)),"W","B")</x:f>
        <x:v>B</x:v>
      </x:c>
    </x:row>
    <x:row r="461">
      <x:c r="A461" s="1">
        <x:v>460</x:v>
      </x:c>
      <x:c r="B461" t="str">
        <x:f>IF(RAND()&lt;'Team_Info'!$E$5,"W","B")</x:f>
        <x:v>W</x:v>
      </x:c>
      <x:c r="C461" t="str">
        <x:f>IF(RAND()&lt;(('Team_Info'!$E$2-COUNTIF($B461:B461,"W"))/('Team_Info'!$E$4-1)),"W","B")</x:f>
        <x:v>B</x:v>
      </x:c>
      <x:c r="D461" t="str">
        <x:f>IF(RAND()&lt;(('Team_Info'!$E$2-COUNTIF($B461:C461,"W"))/('Team_Info'!$E$4-2)),"W","B")</x:f>
        <x:v>B</x:v>
      </x:c>
      <x:c r="E461" t="str">
        <x:f>IF(RAND()&lt;(('Team_Info'!$E$2-COUNTIF($B461:D461,"W"))/('Team_Info'!$E$4-3)),"W","B")</x:f>
        <x:v>B</x:v>
      </x:c>
      <x:c r="F461" t="str">
        <x:f>IF(RAND()&lt;(('Team_Info'!$E$2-COUNTIF($B461:E461,"W"))/('Team_Info'!$E$4-4)),"W","B")</x:f>
        <x:v>W</x:v>
      </x:c>
      <x:c r="G461" t="str">
        <x:f>IF(RAND()&lt;(('Team_Info'!$E$2-COUNTIF($B461:F461,"W"))/('Team_Info'!$E$4-5)),"W","B")</x:f>
        <x:v>B</x:v>
      </x:c>
      <x:c r="H461" t="str">
        <x:f>IF(RAND()&lt;(('Team_Info'!$E$2-COUNTIF($B461:G461,"W"))/('Team_Info'!$E$4-6)),"W","B")</x:f>
        <x:v>B</x:v>
      </x:c>
      <x:c r="I461" t="str">
        <x:f>IF(RAND()&lt;(('Team_Info'!$E$2-COUNTIF($B461:H461,"W"))/('Team_Info'!$E$4-7)),"W","B")</x:f>
        <x:v>B</x:v>
      </x:c>
      <x:c r="J461" t="str">
        <x:f>IF(RAND()&lt;(('Team_Info'!$E$2-COUNTIF($B461:I461,"W"))/('Team_Info'!$E$4-8)),"W","B")</x:f>
        <x:v>B</x:v>
      </x:c>
      <x:c r="K461" t="str">
        <x:f>IF(RAND()&lt;(('Team_Info'!$E$2-COUNTIF($B461:J461,"W"))/('Team_Info'!$E$4-9)),"W","B")</x:f>
        <x:v>W</x:v>
      </x:c>
      <x:c r="L461" t="str">
        <x:f>IF(RAND()&lt;(('Team_Info'!$E$2-COUNTIF($B461:K461,"W"))/('Team_Info'!$E$4-10)),"W","B")</x:f>
        <x:v>W</x:v>
      </x:c>
      <x:c r="M461" t="str">
        <x:f>IF(RAND()&lt;(('Team_Info'!$E$2-COUNTIF($B461:L461,"W"))/('Team_Info'!$E$4-11)),"W","B")</x:f>
        <x:v>B</x:v>
      </x:c>
      <x:c r="N461" t="str">
        <x:f>IF(RAND()&lt;(('Team_Info'!$E$2-COUNTIF($B461:M461,"W"))/('Team_Info'!$E$4-12)),"W","B")</x:f>
        <x:v>B</x:v>
      </x:c>
      <x:c r="O461" t="str">
        <x:f>IF(RAND()&lt;(('Team_Info'!$E$2-COUNTIF($B461:N461,"W"))/('Team_Info'!$E$4-13)),"W","B")</x:f>
        <x:v>B</x:v>
      </x:c>
      <x:c r="P461" t="str">
        <x:f>IF(RAND()&lt;(('Team_Info'!$E$2-COUNTIF($B461:O461,"W"))/('Team_Info'!$E$4-14)),"W","B")</x:f>
        <x:v>B</x:v>
      </x:c>
      <x:c r="Q461" t="str">
        <x:f>IF(RAND()&lt;(('Team_Info'!$E$2-COUNTIF($B461:P461,"W"))/('Team_Info'!$E$4-15)),"W","B")</x:f>
        <x:v>W</x:v>
      </x:c>
      <x:c r="R461" t="str">
        <x:f>IF(RAND()&lt;(('Team_Info'!$E$2-COUNTIF($B461:Q461,"W"))/('Team_Info'!$E$4-16)),"W","B")</x:f>
        <x:v>B</x:v>
      </x:c>
      <x:c r="S461" t="str">
        <x:f>IF(RAND()&lt;(('Team_Info'!$E$2-COUNTIF($B461:R461,"W"))/('Team_Info'!$E$4-17)),"W","B")</x:f>
        <x:v>B</x:v>
      </x:c>
      <x:c r="T461" t="str">
        <x:f>IF(RAND()&lt;(('Team_Info'!$E$2-COUNTIF($B461:S461,"W"))/('Team_Info'!$E$4-18)),"W","B")</x:f>
        <x:v>W</x:v>
      </x:c>
      <x:c r="U461" t="str">
        <x:f>IF(RAND()&lt;(('Team_Info'!$E$2-COUNTIF($B461:T461,"W"))/('Team_Info'!$E$4-19)),"W","B")</x:f>
        <x:v>B</x:v>
      </x:c>
    </x:row>
    <x:row r="462">
      <x:c r="A462" s="1">
        <x:v>461</x:v>
      </x:c>
      <x:c r="B462" t="str">
        <x:f>IF(RAND()&lt;'Team_Info'!$E$5,"W","B")</x:f>
        <x:v>B</x:v>
      </x:c>
      <x:c r="C462" t="str">
        <x:f>IF(RAND()&lt;(('Team_Info'!$E$2-COUNTIF($B462:B462,"W"))/('Team_Info'!$E$4-1)),"W","B")</x:f>
        <x:v>B</x:v>
      </x:c>
      <x:c r="D462" t="str">
        <x:f>IF(RAND()&lt;(('Team_Info'!$E$2-COUNTIF($B462:C462,"W"))/('Team_Info'!$E$4-2)),"W","B")</x:f>
        <x:v>W</x:v>
      </x:c>
      <x:c r="E462" t="str">
        <x:f>IF(RAND()&lt;(('Team_Info'!$E$2-COUNTIF($B462:D462,"W"))/('Team_Info'!$E$4-3)),"W","B")</x:f>
        <x:v>B</x:v>
      </x:c>
      <x:c r="F462" t="str">
        <x:f>IF(RAND()&lt;(('Team_Info'!$E$2-COUNTIF($B462:E462,"W"))/('Team_Info'!$E$4-4)),"W","B")</x:f>
        <x:v>W</x:v>
      </x:c>
      <x:c r="G462" t="str">
        <x:f>IF(RAND()&lt;(('Team_Info'!$E$2-COUNTIF($B462:F462,"W"))/('Team_Info'!$E$4-5)),"W","B")</x:f>
        <x:v>B</x:v>
      </x:c>
      <x:c r="H462" t="str">
        <x:f>IF(RAND()&lt;(('Team_Info'!$E$2-COUNTIF($B462:G462,"W"))/('Team_Info'!$E$4-6)),"W","B")</x:f>
        <x:v>W</x:v>
      </x:c>
      <x:c r="I462" t="str">
        <x:f>IF(RAND()&lt;(('Team_Info'!$E$2-COUNTIF($B462:H462,"W"))/('Team_Info'!$E$4-7)),"W","B")</x:f>
        <x:v>W</x:v>
      </x:c>
      <x:c r="J462" t="str">
        <x:f>IF(RAND()&lt;(('Team_Info'!$E$2-COUNTIF($B462:I462,"W"))/('Team_Info'!$E$4-8)),"W","B")</x:f>
        <x:v>W</x:v>
      </x:c>
      <x:c r="K462" t="str">
        <x:f>IF(RAND()&lt;(('Team_Info'!$E$2-COUNTIF($B462:J462,"W"))/('Team_Info'!$E$4-9)),"W","B")</x:f>
        <x:v>B</x:v>
      </x:c>
      <x:c r="L462" t="str">
        <x:f>IF(RAND()&lt;(('Team_Info'!$E$2-COUNTIF($B462:K462,"W"))/('Team_Info'!$E$4-10)),"W","B")</x:f>
        <x:v>W</x:v>
      </x:c>
      <x:c r="M462" t="str">
        <x:f>IF(RAND()&lt;(('Team_Info'!$E$2-COUNTIF($B462:L462,"W"))/('Team_Info'!$E$4-11)),"W","B")</x:f>
        <x:v>B</x:v>
      </x:c>
      <x:c r="N462" t="str">
        <x:f>IF(RAND()&lt;(('Team_Info'!$E$2-COUNTIF($B462:M462,"W"))/('Team_Info'!$E$4-12)),"W","B")</x:f>
        <x:v>B</x:v>
      </x:c>
      <x:c r="O462" t="str">
        <x:f>IF(RAND()&lt;(('Team_Info'!$E$2-COUNTIF($B462:N462,"W"))/('Team_Info'!$E$4-13)),"W","B")</x:f>
        <x:v>B</x:v>
      </x:c>
      <x:c r="P462" t="str">
        <x:f>IF(RAND()&lt;(('Team_Info'!$E$2-COUNTIF($B462:O462,"W"))/('Team_Info'!$E$4-14)),"W","B")</x:f>
        <x:v>W</x:v>
      </x:c>
      <x:c r="Q462" t="str">
        <x:f>IF(RAND()&lt;(('Team_Info'!$E$2-COUNTIF($B462:P462,"W"))/('Team_Info'!$E$4-15)),"W","B")</x:f>
        <x:v>B</x:v>
      </x:c>
      <x:c r="R462" t="str">
        <x:f>IF(RAND()&lt;(('Team_Info'!$E$2-COUNTIF($B462:Q462,"W"))/('Team_Info'!$E$4-16)),"W","B")</x:f>
        <x:v>B</x:v>
      </x:c>
      <x:c r="S462" t="str">
        <x:f>IF(RAND()&lt;(('Team_Info'!$E$2-COUNTIF($B462:R462,"W"))/('Team_Info'!$E$4-17)),"W","B")</x:f>
        <x:v>B</x:v>
      </x:c>
      <x:c r="T462" t="str">
        <x:f>IF(RAND()&lt;(('Team_Info'!$E$2-COUNTIF($B462:S462,"W"))/('Team_Info'!$E$4-18)),"W","B")</x:f>
        <x:v>B</x:v>
      </x:c>
      <x:c r="U462" t="str">
        <x:f>IF(RAND()&lt;(('Team_Info'!$E$2-COUNTIF($B462:T462,"W"))/('Team_Info'!$E$4-19)),"W","B")</x:f>
        <x:v>W</x:v>
      </x:c>
    </x:row>
    <x:row r="463">
      <x:c r="A463" s="1">
        <x:v>462</x:v>
      </x:c>
      <x:c r="B463" t="str">
        <x:f>IF(RAND()&lt;'Team_Info'!$E$5,"W","B")</x:f>
        <x:v>B</x:v>
      </x:c>
      <x:c r="C463" t="str">
        <x:f>IF(RAND()&lt;(('Team_Info'!$E$2-COUNTIF($B463:B463,"W"))/('Team_Info'!$E$4-1)),"W","B")</x:f>
        <x:v>B</x:v>
      </x:c>
      <x:c r="D463" t="str">
        <x:f>IF(RAND()&lt;(('Team_Info'!$E$2-COUNTIF($B463:C463,"W"))/('Team_Info'!$E$4-2)),"W","B")</x:f>
        <x:v>B</x:v>
      </x:c>
      <x:c r="E463" t="str">
        <x:f>IF(RAND()&lt;(('Team_Info'!$E$2-COUNTIF($B463:D463,"W"))/('Team_Info'!$E$4-3)),"W","B")</x:f>
        <x:v>B</x:v>
      </x:c>
      <x:c r="F463" t="str">
        <x:f>IF(RAND()&lt;(('Team_Info'!$E$2-COUNTIF($B463:E463,"W"))/('Team_Info'!$E$4-4)),"W","B")</x:f>
        <x:v>B</x:v>
      </x:c>
      <x:c r="G463" t="str">
        <x:f>IF(RAND()&lt;(('Team_Info'!$E$2-COUNTIF($B463:F463,"W"))/('Team_Info'!$E$4-5)),"W","B")</x:f>
        <x:v>W</x:v>
      </x:c>
      <x:c r="H463" t="str">
        <x:f>IF(RAND()&lt;(('Team_Info'!$E$2-COUNTIF($B463:G463,"W"))/('Team_Info'!$E$4-6)),"W","B")</x:f>
        <x:v>W</x:v>
      </x:c>
      <x:c r="I463" t="str">
        <x:f>IF(RAND()&lt;(('Team_Info'!$E$2-COUNTIF($B463:H463,"W"))/('Team_Info'!$E$4-7)),"W","B")</x:f>
        <x:v>B</x:v>
      </x:c>
      <x:c r="J463" t="str">
        <x:f>IF(RAND()&lt;(('Team_Info'!$E$2-COUNTIF($B463:I463,"W"))/('Team_Info'!$E$4-8)),"W","B")</x:f>
        <x:v>W</x:v>
      </x:c>
      <x:c r="K463" t="str">
        <x:f>IF(RAND()&lt;(('Team_Info'!$E$2-COUNTIF($B463:J463,"W"))/('Team_Info'!$E$4-9)),"W","B")</x:f>
        <x:v>B</x:v>
      </x:c>
      <x:c r="L463" t="str">
        <x:f>IF(RAND()&lt;(('Team_Info'!$E$2-COUNTIF($B463:K463,"W"))/('Team_Info'!$E$4-10)),"W","B")</x:f>
        <x:v>W</x:v>
      </x:c>
      <x:c r="M463" t="str">
        <x:f>IF(RAND()&lt;(('Team_Info'!$E$2-COUNTIF($B463:L463,"W"))/('Team_Info'!$E$4-11)),"W","B")</x:f>
        <x:v>B</x:v>
      </x:c>
      <x:c r="N463" t="str">
        <x:f>IF(RAND()&lt;(('Team_Info'!$E$2-COUNTIF($B463:M463,"W"))/('Team_Info'!$E$4-12)),"W","B")</x:f>
        <x:v>B</x:v>
      </x:c>
      <x:c r="O463" t="str">
        <x:f>IF(RAND()&lt;(('Team_Info'!$E$2-COUNTIF($B463:N463,"W"))/('Team_Info'!$E$4-13)),"W","B")</x:f>
        <x:v>B</x:v>
      </x:c>
      <x:c r="P463" t="str">
        <x:f>IF(RAND()&lt;(('Team_Info'!$E$2-COUNTIF($B463:O463,"W"))/('Team_Info'!$E$4-14)),"W","B")</x:f>
        <x:v>B</x:v>
      </x:c>
      <x:c r="Q463" t="str">
        <x:f>IF(RAND()&lt;(('Team_Info'!$E$2-COUNTIF($B463:P463,"W"))/('Team_Info'!$E$4-15)),"W","B")</x:f>
        <x:v>W</x:v>
      </x:c>
      <x:c r="R463" t="str">
        <x:f>IF(RAND()&lt;(('Team_Info'!$E$2-COUNTIF($B463:Q463,"W"))/('Team_Info'!$E$4-16)),"W","B")</x:f>
        <x:v>B</x:v>
      </x:c>
      <x:c r="S463" t="str">
        <x:f>IF(RAND()&lt;(('Team_Info'!$E$2-COUNTIF($B463:R463,"W"))/('Team_Info'!$E$4-17)),"W","B")</x:f>
        <x:v>W</x:v>
      </x:c>
      <x:c r="T463" t="str">
        <x:f>IF(RAND()&lt;(('Team_Info'!$E$2-COUNTIF($B463:S463,"W"))/('Team_Info'!$E$4-18)),"W","B")</x:f>
        <x:v>B</x:v>
      </x:c>
      <x:c r="U463" t="str">
        <x:f>IF(RAND()&lt;(('Team_Info'!$E$2-COUNTIF($B463:T463,"W"))/('Team_Info'!$E$4-19)),"W","B")</x:f>
        <x:v>B</x:v>
      </x:c>
    </x:row>
    <x:row r="464">
      <x:c r="A464" s="1">
        <x:v>463</x:v>
      </x:c>
      <x:c r="B464" t="str">
        <x:f>IF(RAND()&lt;'Team_Info'!$E$5,"W","B")</x:f>
        <x:v>W</x:v>
      </x:c>
      <x:c r="C464" t="str">
        <x:f>IF(RAND()&lt;(('Team_Info'!$E$2-COUNTIF($B464:B464,"W"))/('Team_Info'!$E$4-1)),"W","B")</x:f>
        <x:v>B</x:v>
      </x:c>
      <x:c r="D464" t="str">
        <x:f>IF(RAND()&lt;(('Team_Info'!$E$2-COUNTIF($B464:C464,"W"))/('Team_Info'!$E$4-2)),"W","B")</x:f>
        <x:v>B</x:v>
      </x:c>
      <x:c r="E464" t="str">
        <x:f>IF(RAND()&lt;(('Team_Info'!$E$2-COUNTIF($B464:D464,"W"))/('Team_Info'!$E$4-3)),"W","B")</x:f>
        <x:v>B</x:v>
      </x:c>
      <x:c r="F464" t="str">
        <x:f>IF(RAND()&lt;(('Team_Info'!$E$2-COUNTIF($B464:E464,"W"))/('Team_Info'!$E$4-4)),"W","B")</x:f>
        <x:v>W</x:v>
      </x:c>
      <x:c r="G464" t="str">
        <x:f>IF(RAND()&lt;(('Team_Info'!$E$2-COUNTIF($B464:F464,"W"))/('Team_Info'!$E$4-5)),"W","B")</x:f>
        <x:v>W</x:v>
      </x:c>
      <x:c r="H464" t="str">
        <x:f>IF(RAND()&lt;(('Team_Info'!$E$2-COUNTIF($B464:G464,"W"))/('Team_Info'!$E$4-6)),"W","B")</x:f>
        <x:v>B</x:v>
      </x:c>
      <x:c r="I464" t="str">
        <x:f>IF(RAND()&lt;(('Team_Info'!$E$2-COUNTIF($B464:H464,"W"))/('Team_Info'!$E$4-7)),"W","B")</x:f>
        <x:v>W</x:v>
      </x:c>
      <x:c r="J464" t="str">
        <x:f>IF(RAND()&lt;(('Team_Info'!$E$2-COUNTIF($B464:I464,"W"))/('Team_Info'!$E$4-8)),"W","B")</x:f>
        <x:v>B</x:v>
      </x:c>
      <x:c r="K464" t="str">
        <x:f>IF(RAND()&lt;(('Team_Info'!$E$2-COUNTIF($B464:J464,"W"))/('Team_Info'!$E$4-9)),"W","B")</x:f>
        <x:v>B</x:v>
      </x:c>
      <x:c r="L464" t="str">
        <x:f>IF(RAND()&lt;(('Team_Info'!$E$2-COUNTIF($B464:K464,"W"))/('Team_Info'!$E$4-10)),"W","B")</x:f>
        <x:v>B</x:v>
      </x:c>
      <x:c r="M464" t="str">
        <x:f>IF(RAND()&lt;(('Team_Info'!$E$2-COUNTIF($B464:L464,"W"))/('Team_Info'!$E$4-11)),"W","B")</x:f>
        <x:v>W</x:v>
      </x:c>
      <x:c r="N464" t="str">
        <x:f>IF(RAND()&lt;(('Team_Info'!$E$2-COUNTIF($B464:M464,"W"))/('Team_Info'!$E$4-12)),"W","B")</x:f>
        <x:v>B</x:v>
      </x:c>
      <x:c r="O464" t="str">
        <x:f>IF(RAND()&lt;(('Team_Info'!$E$2-COUNTIF($B464:N464,"W"))/('Team_Info'!$E$4-13)),"W","B")</x:f>
        <x:v>W</x:v>
      </x:c>
      <x:c r="P464" t="str">
        <x:f>IF(RAND()&lt;(('Team_Info'!$E$2-COUNTIF($B464:O464,"W"))/('Team_Info'!$E$4-14)),"W","B")</x:f>
        <x:v>W</x:v>
      </x:c>
      <x:c r="Q464" t="str">
        <x:f>IF(RAND()&lt;(('Team_Info'!$E$2-COUNTIF($B464:P464,"W"))/('Team_Info'!$E$4-15)),"W","B")</x:f>
        <x:v>B</x:v>
      </x:c>
      <x:c r="R464" t="str">
        <x:f>IF(RAND()&lt;(('Team_Info'!$E$2-COUNTIF($B464:Q464,"W"))/('Team_Info'!$E$4-16)),"W","B")</x:f>
        <x:v>B</x:v>
      </x:c>
      <x:c r="S464" t="str">
        <x:f>IF(RAND()&lt;(('Team_Info'!$E$2-COUNTIF($B464:R464,"W"))/('Team_Info'!$E$4-17)),"W","B")</x:f>
        <x:v>W</x:v>
      </x:c>
      <x:c r="T464" t="str">
        <x:f>IF(RAND()&lt;(('Team_Info'!$E$2-COUNTIF($B464:S464,"W"))/('Team_Info'!$E$4-18)),"W","B")</x:f>
        <x:v>W</x:v>
      </x:c>
      <x:c r="U464" t="str">
        <x:f>IF(RAND()&lt;(('Team_Info'!$E$2-COUNTIF($B464:T464,"W"))/('Team_Info'!$E$4-19)),"W","B")</x:f>
        <x:v>W</x:v>
      </x:c>
    </x:row>
    <x:row r="465">
      <x:c r="A465" s="1">
        <x:v>464</x:v>
      </x:c>
      <x:c r="B465" t="str">
        <x:f>IF(RAND()&lt;'Team_Info'!$E$5,"W","B")</x:f>
        <x:v>B</x:v>
      </x:c>
      <x:c r="C465" t="str">
        <x:f>IF(RAND()&lt;(('Team_Info'!$E$2-COUNTIF($B465:B465,"W"))/('Team_Info'!$E$4-1)),"W","B")</x:f>
        <x:v>W</x:v>
      </x:c>
      <x:c r="D465" t="str">
        <x:f>IF(RAND()&lt;(('Team_Info'!$E$2-COUNTIF($B465:C465,"W"))/('Team_Info'!$E$4-2)),"W","B")</x:f>
        <x:v>W</x:v>
      </x:c>
      <x:c r="E465" t="str">
        <x:f>IF(RAND()&lt;(('Team_Info'!$E$2-COUNTIF($B465:D465,"W"))/('Team_Info'!$E$4-3)),"W","B")</x:f>
        <x:v>W</x:v>
      </x:c>
      <x:c r="F465" t="str">
        <x:f>IF(RAND()&lt;(('Team_Info'!$E$2-COUNTIF($B465:E465,"W"))/('Team_Info'!$E$4-4)),"W","B")</x:f>
        <x:v>W</x:v>
      </x:c>
      <x:c r="G465" t="str">
        <x:f>IF(RAND()&lt;(('Team_Info'!$E$2-COUNTIF($B465:F465,"W"))/('Team_Info'!$E$4-5)),"W","B")</x:f>
        <x:v>B</x:v>
      </x:c>
      <x:c r="H465" t="str">
        <x:f>IF(RAND()&lt;(('Team_Info'!$E$2-COUNTIF($B465:G465,"W"))/('Team_Info'!$E$4-6)),"W","B")</x:f>
        <x:v>W</x:v>
      </x:c>
      <x:c r="I465" t="str">
        <x:f>IF(RAND()&lt;(('Team_Info'!$E$2-COUNTIF($B465:H465,"W"))/('Team_Info'!$E$4-7)),"W","B")</x:f>
        <x:v>B</x:v>
      </x:c>
      <x:c r="J465" t="str">
        <x:f>IF(RAND()&lt;(('Team_Info'!$E$2-COUNTIF($B465:I465,"W"))/('Team_Info'!$E$4-8)),"W","B")</x:f>
        <x:v>B</x:v>
      </x:c>
      <x:c r="K465" t="str">
        <x:f>IF(RAND()&lt;(('Team_Info'!$E$2-COUNTIF($B465:J465,"W"))/('Team_Info'!$E$4-9)),"W","B")</x:f>
        <x:v>W</x:v>
      </x:c>
      <x:c r="L465" t="str">
        <x:f>IF(RAND()&lt;(('Team_Info'!$E$2-COUNTIF($B465:K465,"W"))/('Team_Info'!$E$4-10)),"W","B")</x:f>
        <x:v>B</x:v>
      </x:c>
      <x:c r="M465" t="str">
        <x:f>IF(RAND()&lt;(('Team_Info'!$E$2-COUNTIF($B465:L465,"W"))/('Team_Info'!$E$4-11)),"W","B")</x:f>
        <x:v>B</x:v>
      </x:c>
      <x:c r="N465" t="str">
        <x:f>IF(RAND()&lt;(('Team_Info'!$E$2-COUNTIF($B465:M465,"W"))/('Team_Info'!$E$4-12)),"W","B")</x:f>
        <x:v>B</x:v>
      </x:c>
      <x:c r="O465" t="str">
        <x:f>IF(RAND()&lt;(('Team_Info'!$E$2-COUNTIF($B465:N465,"W"))/('Team_Info'!$E$4-13)),"W","B")</x:f>
        <x:v>W</x:v>
      </x:c>
      <x:c r="P465" t="str">
        <x:f>IF(RAND()&lt;(('Team_Info'!$E$2-COUNTIF($B465:O465,"W"))/('Team_Info'!$E$4-14)),"W","B")</x:f>
        <x:v>B</x:v>
      </x:c>
      <x:c r="Q465" t="str">
        <x:f>IF(RAND()&lt;(('Team_Info'!$E$2-COUNTIF($B465:P465,"W"))/('Team_Info'!$E$4-15)),"W","B")</x:f>
        <x:v>B</x:v>
      </x:c>
      <x:c r="R465" t="str">
        <x:f>IF(RAND()&lt;(('Team_Info'!$E$2-COUNTIF($B465:Q465,"W"))/('Team_Info'!$E$4-16)),"W","B")</x:f>
        <x:v>B</x:v>
      </x:c>
      <x:c r="S465" t="str">
        <x:f>IF(RAND()&lt;(('Team_Info'!$E$2-COUNTIF($B465:R465,"W"))/('Team_Info'!$E$4-17)),"W","B")</x:f>
        <x:v>W</x:v>
      </x:c>
      <x:c r="T465" t="str">
        <x:f>IF(RAND()&lt;(('Team_Info'!$E$2-COUNTIF($B465:S465,"W"))/('Team_Info'!$E$4-18)),"W","B")</x:f>
        <x:v>B</x:v>
      </x:c>
      <x:c r="U465" t="str">
        <x:f>IF(RAND()&lt;(('Team_Info'!$E$2-COUNTIF($B465:T465,"W"))/('Team_Info'!$E$4-19)),"W","B")</x:f>
        <x:v>B</x:v>
      </x:c>
    </x:row>
    <x:row r="466">
      <x:c r="A466" s="1">
        <x:v>465</x:v>
      </x:c>
      <x:c r="B466" t="str">
        <x:f>IF(RAND()&lt;'Team_Info'!$E$5,"W","B")</x:f>
        <x:v>W</x:v>
      </x:c>
      <x:c r="C466" t="str">
        <x:f>IF(RAND()&lt;(('Team_Info'!$E$2-COUNTIF($B466:B466,"W"))/('Team_Info'!$E$4-1)),"W","B")</x:f>
        <x:v>B</x:v>
      </x:c>
      <x:c r="D466" t="str">
        <x:f>IF(RAND()&lt;(('Team_Info'!$E$2-COUNTIF($B466:C466,"W"))/('Team_Info'!$E$4-2)),"W","B")</x:f>
        <x:v>B</x:v>
      </x:c>
      <x:c r="E466" t="str">
        <x:f>IF(RAND()&lt;(('Team_Info'!$E$2-COUNTIF($B466:D466,"W"))/('Team_Info'!$E$4-3)),"W","B")</x:f>
        <x:v>B</x:v>
      </x:c>
      <x:c r="F466" t="str">
        <x:f>IF(RAND()&lt;(('Team_Info'!$E$2-COUNTIF($B466:E466,"W"))/('Team_Info'!$E$4-4)),"W","B")</x:f>
        <x:v>W</x:v>
      </x:c>
      <x:c r="G466" t="str">
        <x:f>IF(RAND()&lt;(('Team_Info'!$E$2-COUNTIF($B466:F466,"W"))/('Team_Info'!$E$4-5)),"W","B")</x:f>
        <x:v>B</x:v>
      </x:c>
      <x:c r="H466" t="str">
        <x:f>IF(RAND()&lt;(('Team_Info'!$E$2-COUNTIF($B466:G466,"W"))/('Team_Info'!$E$4-6)),"W","B")</x:f>
        <x:v>B</x:v>
      </x:c>
      <x:c r="I466" t="str">
        <x:f>IF(RAND()&lt;(('Team_Info'!$E$2-COUNTIF($B466:H466,"W"))/('Team_Info'!$E$4-7)),"W","B")</x:f>
        <x:v>B</x:v>
      </x:c>
      <x:c r="J466" t="str">
        <x:f>IF(RAND()&lt;(('Team_Info'!$E$2-COUNTIF($B466:I466,"W"))/('Team_Info'!$E$4-8)),"W","B")</x:f>
        <x:v>B</x:v>
      </x:c>
      <x:c r="K466" t="str">
        <x:f>IF(RAND()&lt;(('Team_Info'!$E$2-COUNTIF($B466:J466,"W"))/('Team_Info'!$E$4-9)),"W","B")</x:f>
        <x:v>B</x:v>
      </x:c>
      <x:c r="L466" t="str">
        <x:f>IF(RAND()&lt;(('Team_Info'!$E$2-COUNTIF($B466:K466,"W"))/('Team_Info'!$E$4-10)),"W","B")</x:f>
        <x:v>W</x:v>
      </x:c>
      <x:c r="M466" t="str">
        <x:f>IF(RAND()&lt;(('Team_Info'!$E$2-COUNTIF($B466:L466,"W"))/('Team_Info'!$E$4-11)),"W","B")</x:f>
        <x:v>B</x:v>
      </x:c>
      <x:c r="N466" t="str">
        <x:f>IF(RAND()&lt;(('Team_Info'!$E$2-COUNTIF($B466:M466,"W"))/('Team_Info'!$E$4-12)),"W","B")</x:f>
        <x:v>B</x:v>
      </x:c>
      <x:c r="O466" t="str">
        <x:f>IF(RAND()&lt;(('Team_Info'!$E$2-COUNTIF($B466:N466,"W"))/('Team_Info'!$E$4-13)),"W","B")</x:f>
        <x:v>B</x:v>
      </x:c>
      <x:c r="P466" t="str">
        <x:f>IF(RAND()&lt;(('Team_Info'!$E$2-COUNTIF($B466:O466,"W"))/('Team_Info'!$E$4-14)),"W","B")</x:f>
        <x:v>W</x:v>
      </x:c>
      <x:c r="Q466" t="str">
        <x:f>IF(RAND()&lt;(('Team_Info'!$E$2-COUNTIF($B466:P466,"W"))/('Team_Info'!$E$4-15)),"W","B")</x:f>
        <x:v>W</x:v>
      </x:c>
      <x:c r="R466" t="str">
        <x:f>IF(RAND()&lt;(('Team_Info'!$E$2-COUNTIF($B466:Q466,"W"))/('Team_Info'!$E$4-16)),"W","B")</x:f>
        <x:v>B</x:v>
      </x:c>
      <x:c r="S466" t="str">
        <x:f>IF(RAND()&lt;(('Team_Info'!$E$2-COUNTIF($B466:R466,"W"))/('Team_Info'!$E$4-17)),"W","B")</x:f>
        <x:v>W</x:v>
      </x:c>
      <x:c r="T466" t="str">
        <x:f>IF(RAND()&lt;(('Team_Info'!$E$2-COUNTIF($B466:S466,"W"))/('Team_Info'!$E$4-18)),"W","B")</x:f>
        <x:v>B</x:v>
      </x:c>
      <x:c r="U466" t="str">
        <x:f>IF(RAND()&lt;(('Team_Info'!$E$2-COUNTIF($B466:T466,"W"))/('Team_Info'!$E$4-19)),"W","B")</x:f>
        <x:v>W</x:v>
      </x:c>
    </x:row>
    <x:row r="467">
      <x:c r="A467" s="1">
        <x:v>466</x:v>
      </x:c>
      <x:c r="B467" t="str">
        <x:f>IF(RAND()&lt;'Team_Info'!$E$5,"W","B")</x:f>
        <x:v>W</x:v>
      </x:c>
      <x:c r="C467" t="str">
        <x:f>IF(RAND()&lt;(('Team_Info'!$E$2-COUNTIF($B467:B467,"W"))/('Team_Info'!$E$4-1)),"W","B")</x:f>
        <x:v>B</x:v>
      </x:c>
      <x:c r="D467" t="str">
        <x:f>IF(RAND()&lt;(('Team_Info'!$E$2-COUNTIF($B467:C467,"W"))/('Team_Info'!$E$4-2)),"W","B")</x:f>
        <x:v>W</x:v>
      </x:c>
      <x:c r="E467" t="str">
        <x:f>IF(RAND()&lt;(('Team_Info'!$E$2-COUNTIF($B467:D467,"W"))/('Team_Info'!$E$4-3)),"W","B")</x:f>
        <x:v>W</x:v>
      </x:c>
      <x:c r="F467" t="str">
        <x:f>IF(RAND()&lt;(('Team_Info'!$E$2-COUNTIF($B467:E467,"W"))/('Team_Info'!$E$4-4)),"W","B")</x:f>
        <x:v>B</x:v>
      </x:c>
      <x:c r="G467" t="str">
        <x:f>IF(RAND()&lt;(('Team_Info'!$E$2-COUNTIF($B467:F467,"W"))/('Team_Info'!$E$4-5)),"W","B")</x:f>
        <x:v>B</x:v>
      </x:c>
      <x:c r="H467" t="str">
        <x:f>IF(RAND()&lt;(('Team_Info'!$E$2-COUNTIF($B467:G467,"W"))/('Team_Info'!$E$4-6)),"W","B")</x:f>
        <x:v>W</x:v>
      </x:c>
      <x:c r="I467" t="str">
        <x:f>IF(RAND()&lt;(('Team_Info'!$E$2-COUNTIF($B467:H467,"W"))/('Team_Info'!$E$4-7)),"W","B")</x:f>
        <x:v>B</x:v>
      </x:c>
      <x:c r="J467" t="str">
        <x:f>IF(RAND()&lt;(('Team_Info'!$E$2-COUNTIF($B467:I467,"W"))/('Team_Info'!$E$4-8)),"W","B")</x:f>
        <x:v>W</x:v>
      </x:c>
      <x:c r="K467" t="str">
        <x:f>IF(RAND()&lt;(('Team_Info'!$E$2-COUNTIF($B467:J467,"W"))/('Team_Info'!$E$4-9)),"W","B")</x:f>
        <x:v>W</x:v>
      </x:c>
      <x:c r="L467" t="str">
        <x:f>IF(RAND()&lt;(('Team_Info'!$E$2-COUNTIF($B467:K467,"W"))/('Team_Info'!$E$4-10)),"W","B")</x:f>
        <x:v>B</x:v>
      </x:c>
      <x:c r="M467" t="str">
        <x:f>IF(RAND()&lt;(('Team_Info'!$E$2-COUNTIF($B467:L467,"W"))/('Team_Info'!$E$4-11)),"W","B")</x:f>
        <x:v>B</x:v>
      </x:c>
      <x:c r="N467" t="str">
        <x:f>IF(RAND()&lt;(('Team_Info'!$E$2-COUNTIF($B467:M467,"W"))/('Team_Info'!$E$4-12)),"W","B")</x:f>
        <x:v>W</x:v>
      </x:c>
      <x:c r="O467" t="str">
        <x:f>IF(RAND()&lt;(('Team_Info'!$E$2-COUNTIF($B467:N467,"W"))/('Team_Info'!$E$4-13)),"W","B")</x:f>
        <x:v>W</x:v>
      </x:c>
      <x:c r="P467" t="str">
        <x:f>IF(RAND()&lt;(('Team_Info'!$E$2-COUNTIF($B467:O467,"W"))/('Team_Info'!$E$4-14)),"W","B")</x:f>
        <x:v>B</x:v>
      </x:c>
      <x:c r="Q467" t="str">
        <x:f>IF(RAND()&lt;(('Team_Info'!$E$2-COUNTIF($B467:P467,"W"))/('Team_Info'!$E$4-15)),"W","B")</x:f>
        <x:v>B</x:v>
      </x:c>
      <x:c r="R467" t="str">
        <x:f>IF(RAND()&lt;(('Team_Info'!$E$2-COUNTIF($B467:Q467,"W"))/('Team_Info'!$E$4-16)),"W","B")</x:f>
        <x:v>W</x:v>
      </x:c>
      <x:c r="S467" t="str">
        <x:f>IF(RAND()&lt;(('Team_Info'!$E$2-COUNTIF($B467:R467,"W"))/('Team_Info'!$E$4-17)),"W","B")</x:f>
        <x:v>B</x:v>
      </x:c>
      <x:c r="T467" t="str">
        <x:f>IF(RAND()&lt;(('Team_Info'!$E$2-COUNTIF($B467:S467,"W"))/('Team_Info'!$E$4-18)),"W","B")</x:f>
        <x:v>W</x:v>
      </x:c>
      <x:c r="U467" t="str">
        <x:f>IF(RAND()&lt;(('Team_Info'!$E$2-COUNTIF($B467:T467,"W"))/('Team_Info'!$E$4-19)),"W","B")</x:f>
        <x:v>B</x:v>
      </x:c>
    </x:row>
    <x:row r="468">
      <x:c r="A468" s="1">
        <x:v>467</x:v>
      </x:c>
      <x:c r="B468" t="str">
        <x:f>IF(RAND()&lt;'Team_Info'!$E$5,"W","B")</x:f>
        <x:v>W</x:v>
      </x:c>
      <x:c r="C468" t="str">
        <x:f>IF(RAND()&lt;(('Team_Info'!$E$2-COUNTIF($B468:B468,"W"))/('Team_Info'!$E$4-1)),"W","B")</x:f>
        <x:v>B</x:v>
      </x:c>
      <x:c r="D468" t="str">
        <x:f>IF(RAND()&lt;(('Team_Info'!$E$2-COUNTIF($B468:C468,"W"))/('Team_Info'!$E$4-2)),"W","B")</x:f>
        <x:v>W</x:v>
      </x:c>
      <x:c r="E468" t="str">
        <x:f>IF(RAND()&lt;(('Team_Info'!$E$2-COUNTIF($B468:D468,"W"))/('Team_Info'!$E$4-3)),"W","B")</x:f>
        <x:v>B</x:v>
      </x:c>
      <x:c r="F468" t="str">
        <x:f>IF(RAND()&lt;(('Team_Info'!$E$2-COUNTIF($B468:E468,"W"))/('Team_Info'!$E$4-4)),"W","B")</x:f>
        <x:v>W</x:v>
      </x:c>
      <x:c r="G468" t="str">
        <x:f>IF(RAND()&lt;(('Team_Info'!$E$2-COUNTIF($B468:F468,"W"))/('Team_Info'!$E$4-5)),"W","B")</x:f>
        <x:v>B</x:v>
      </x:c>
      <x:c r="H468" t="str">
        <x:f>IF(RAND()&lt;(('Team_Info'!$E$2-COUNTIF($B468:G468,"W"))/('Team_Info'!$E$4-6)),"W","B")</x:f>
        <x:v>B</x:v>
      </x:c>
      <x:c r="I468" t="str">
        <x:f>IF(RAND()&lt;(('Team_Info'!$E$2-COUNTIF($B468:H468,"W"))/('Team_Info'!$E$4-7)),"W","B")</x:f>
        <x:v>B</x:v>
      </x:c>
      <x:c r="J468" t="str">
        <x:f>IF(RAND()&lt;(('Team_Info'!$E$2-COUNTIF($B468:I468,"W"))/('Team_Info'!$E$4-8)),"W","B")</x:f>
        <x:v>B</x:v>
      </x:c>
      <x:c r="K468" t="str">
        <x:f>IF(RAND()&lt;(('Team_Info'!$E$2-COUNTIF($B468:J468,"W"))/('Team_Info'!$E$4-9)),"W","B")</x:f>
        <x:v>B</x:v>
      </x:c>
      <x:c r="L468" t="str">
        <x:f>IF(RAND()&lt;(('Team_Info'!$E$2-COUNTIF($B468:K468,"W"))/('Team_Info'!$E$4-10)),"W","B")</x:f>
        <x:v>B</x:v>
      </x:c>
      <x:c r="M468" t="str">
        <x:f>IF(RAND()&lt;(('Team_Info'!$E$2-COUNTIF($B468:L468,"W"))/('Team_Info'!$E$4-11)),"W","B")</x:f>
        <x:v>B</x:v>
      </x:c>
      <x:c r="N468" t="str">
        <x:f>IF(RAND()&lt;(('Team_Info'!$E$2-COUNTIF($B468:M468,"W"))/('Team_Info'!$E$4-12)),"W","B")</x:f>
        <x:v>W</x:v>
      </x:c>
      <x:c r="O468" t="str">
        <x:f>IF(RAND()&lt;(('Team_Info'!$E$2-COUNTIF($B468:N468,"W"))/('Team_Info'!$E$4-13)),"W","B")</x:f>
        <x:v>B</x:v>
      </x:c>
      <x:c r="P468" t="str">
        <x:f>IF(RAND()&lt;(('Team_Info'!$E$2-COUNTIF($B468:O468,"W"))/('Team_Info'!$E$4-14)),"W","B")</x:f>
        <x:v>B</x:v>
      </x:c>
      <x:c r="Q468" t="str">
        <x:f>IF(RAND()&lt;(('Team_Info'!$E$2-COUNTIF($B468:P468,"W"))/('Team_Info'!$E$4-15)),"W","B")</x:f>
        <x:v>B</x:v>
      </x:c>
      <x:c r="R468" t="str">
        <x:f>IF(RAND()&lt;(('Team_Info'!$E$2-COUNTIF($B468:Q468,"W"))/('Team_Info'!$E$4-16)),"W","B")</x:f>
        <x:v>W</x:v>
      </x:c>
      <x:c r="S468" t="str">
        <x:f>IF(RAND()&lt;(('Team_Info'!$E$2-COUNTIF($B468:R468,"W"))/('Team_Info'!$E$4-17)),"W","B")</x:f>
        <x:v>B</x:v>
      </x:c>
      <x:c r="T468" t="str">
        <x:f>IF(RAND()&lt;(('Team_Info'!$E$2-COUNTIF($B468:S468,"W"))/('Team_Info'!$E$4-18)),"W","B")</x:f>
        <x:v>B</x:v>
      </x:c>
      <x:c r="U468" t="str">
        <x:f>IF(RAND()&lt;(('Team_Info'!$E$2-COUNTIF($B468:T468,"W"))/('Team_Info'!$E$4-19)),"W","B")</x:f>
        <x:v>B</x:v>
      </x:c>
    </x:row>
    <x:row r="469">
      <x:c r="A469" s="1">
        <x:v>468</x:v>
      </x:c>
      <x:c r="B469" t="str">
        <x:f>IF(RAND()&lt;'Team_Info'!$E$5,"W","B")</x:f>
        <x:v>W</x:v>
      </x:c>
      <x:c r="C469" t="str">
        <x:f>IF(RAND()&lt;(('Team_Info'!$E$2-COUNTIF($B469:B469,"W"))/('Team_Info'!$E$4-1)),"W","B")</x:f>
        <x:v>B</x:v>
      </x:c>
      <x:c r="D469" t="str">
        <x:f>IF(RAND()&lt;(('Team_Info'!$E$2-COUNTIF($B469:C469,"W"))/('Team_Info'!$E$4-2)),"W","B")</x:f>
        <x:v>W</x:v>
      </x:c>
      <x:c r="E469" t="str">
        <x:f>IF(RAND()&lt;(('Team_Info'!$E$2-COUNTIF($B469:D469,"W"))/('Team_Info'!$E$4-3)),"W","B")</x:f>
        <x:v>B</x:v>
      </x:c>
      <x:c r="F469" t="str">
        <x:f>IF(RAND()&lt;(('Team_Info'!$E$2-COUNTIF($B469:E469,"W"))/('Team_Info'!$E$4-4)),"W","B")</x:f>
        <x:v>W</x:v>
      </x:c>
      <x:c r="G469" t="str">
        <x:f>IF(RAND()&lt;(('Team_Info'!$E$2-COUNTIF($B469:F469,"W"))/('Team_Info'!$E$4-5)),"W","B")</x:f>
        <x:v>W</x:v>
      </x:c>
      <x:c r="H469" t="str">
        <x:f>IF(RAND()&lt;(('Team_Info'!$E$2-COUNTIF($B469:G469,"W"))/('Team_Info'!$E$4-6)),"W","B")</x:f>
        <x:v>B</x:v>
      </x:c>
      <x:c r="I469" t="str">
        <x:f>IF(RAND()&lt;(('Team_Info'!$E$2-COUNTIF($B469:H469,"W"))/('Team_Info'!$E$4-7)),"W","B")</x:f>
        <x:v>B</x:v>
      </x:c>
      <x:c r="J469" t="str">
        <x:f>IF(RAND()&lt;(('Team_Info'!$E$2-COUNTIF($B469:I469,"W"))/('Team_Info'!$E$4-8)),"W","B")</x:f>
        <x:v>W</x:v>
      </x:c>
      <x:c r="K469" t="str">
        <x:f>IF(RAND()&lt;(('Team_Info'!$E$2-COUNTIF($B469:J469,"W"))/('Team_Info'!$E$4-9)),"W","B")</x:f>
        <x:v>B</x:v>
      </x:c>
      <x:c r="L469" t="str">
        <x:f>IF(RAND()&lt;(('Team_Info'!$E$2-COUNTIF($B469:K469,"W"))/('Team_Info'!$E$4-10)),"W","B")</x:f>
        <x:v>B</x:v>
      </x:c>
      <x:c r="M469" t="str">
        <x:f>IF(RAND()&lt;(('Team_Info'!$E$2-COUNTIF($B469:L469,"W"))/('Team_Info'!$E$4-11)),"W","B")</x:f>
        <x:v>W</x:v>
      </x:c>
      <x:c r="N469" t="str">
        <x:f>IF(RAND()&lt;(('Team_Info'!$E$2-COUNTIF($B469:M469,"W"))/('Team_Info'!$E$4-12)),"W","B")</x:f>
        <x:v>W</x:v>
      </x:c>
      <x:c r="O469" t="str">
        <x:f>IF(RAND()&lt;(('Team_Info'!$E$2-COUNTIF($B469:N469,"W"))/('Team_Info'!$E$4-13)),"W","B")</x:f>
        <x:v>W</x:v>
      </x:c>
      <x:c r="P469" t="str">
        <x:f>IF(RAND()&lt;(('Team_Info'!$E$2-COUNTIF($B469:O469,"W"))/('Team_Info'!$E$4-14)),"W","B")</x:f>
        <x:v>B</x:v>
      </x:c>
      <x:c r="Q469" t="str">
        <x:f>IF(RAND()&lt;(('Team_Info'!$E$2-COUNTIF($B469:P469,"W"))/('Team_Info'!$E$4-15)),"W","B")</x:f>
        <x:v>B</x:v>
      </x:c>
      <x:c r="R469" t="str">
        <x:f>IF(RAND()&lt;(('Team_Info'!$E$2-COUNTIF($B469:Q469,"W"))/('Team_Info'!$E$4-16)),"W","B")</x:f>
        <x:v>W</x:v>
      </x:c>
      <x:c r="S469" t="str">
        <x:f>IF(RAND()&lt;(('Team_Info'!$E$2-COUNTIF($B469:R469,"W"))/('Team_Info'!$E$4-17)),"W","B")</x:f>
        <x:v>B</x:v>
      </x:c>
      <x:c r="T469" t="str">
        <x:f>IF(RAND()&lt;(('Team_Info'!$E$2-COUNTIF($B469:S469,"W"))/('Team_Info'!$E$4-18)),"W","B")</x:f>
        <x:v>W</x:v>
      </x:c>
      <x:c r="U469" t="str">
        <x:f>IF(RAND()&lt;(('Team_Info'!$E$2-COUNTIF($B469:T469,"W"))/('Team_Info'!$E$4-19)),"W","B")</x:f>
        <x:v>B</x:v>
      </x:c>
    </x:row>
    <x:row r="470">
      <x:c r="A470" s="1">
        <x:v>469</x:v>
      </x:c>
      <x:c r="B470" t="str">
        <x:f>IF(RAND()&lt;'Team_Info'!$E$5,"W","B")</x:f>
        <x:v>W</x:v>
      </x:c>
      <x:c r="C470" t="str">
        <x:f>IF(RAND()&lt;(('Team_Info'!$E$2-COUNTIF($B470:B470,"W"))/('Team_Info'!$E$4-1)),"W","B")</x:f>
        <x:v>B</x:v>
      </x:c>
      <x:c r="D470" t="str">
        <x:f>IF(RAND()&lt;(('Team_Info'!$E$2-COUNTIF($B470:C470,"W"))/('Team_Info'!$E$4-2)),"W","B")</x:f>
        <x:v>B</x:v>
      </x:c>
      <x:c r="E470" t="str">
        <x:f>IF(RAND()&lt;(('Team_Info'!$E$2-COUNTIF($B470:D470,"W"))/('Team_Info'!$E$4-3)),"W","B")</x:f>
        <x:v>W</x:v>
      </x:c>
      <x:c r="F470" t="str">
        <x:f>IF(RAND()&lt;(('Team_Info'!$E$2-COUNTIF($B470:E470,"W"))/('Team_Info'!$E$4-4)),"W","B")</x:f>
        <x:v>W</x:v>
      </x:c>
      <x:c r="G470" t="str">
        <x:f>IF(RAND()&lt;(('Team_Info'!$E$2-COUNTIF($B470:F470,"W"))/('Team_Info'!$E$4-5)),"W","B")</x:f>
        <x:v>B</x:v>
      </x:c>
      <x:c r="H470" t="str">
        <x:f>IF(RAND()&lt;(('Team_Info'!$E$2-COUNTIF($B470:G470,"W"))/('Team_Info'!$E$4-6)),"W","B")</x:f>
        <x:v>B</x:v>
      </x:c>
      <x:c r="I470" t="str">
        <x:f>IF(RAND()&lt;(('Team_Info'!$E$2-COUNTIF($B470:H470,"W"))/('Team_Info'!$E$4-7)),"W","B")</x:f>
        <x:v>W</x:v>
      </x:c>
      <x:c r="J470" t="str">
        <x:f>IF(RAND()&lt;(('Team_Info'!$E$2-COUNTIF($B470:I470,"W"))/('Team_Info'!$E$4-8)),"W","B")</x:f>
        <x:v>B</x:v>
      </x:c>
      <x:c r="K470" t="str">
        <x:f>IF(RAND()&lt;(('Team_Info'!$E$2-COUNTIF($B470:J470,"W"))/('Team_Info'!$E$4-9)),"W","B")</x:f>
        <x:v>W</x:v>
      </x:c>
      <x:c r="L470" t="str">
        <x:f>IF(RAND()&lt;(('Team_Info'!$E$2-COUNTIF($B470:K470,"W"))/('Team_Info'!$E$4-10)),"W","B")</x:f>
        <x:v>W</x:v>
      </x:c>
      <x:c r="M470" t="str">
        <x:f>IF(RAND()&lt;(('Team_Info'!$E$2-COUNTIF($B470:L470,"W"))/('Team_Info'!$E$4-11)),"W","B")</x:f>
        <x:v>B</x:v>
      </x:c>
      <x:c r="N470" t="str">
        <x:f>IF(RAND()&lt;(('Team_Info'!$E$2-COUNTIF($B470:M470,"W"))/('Team_Info'!$E$4-12)),"W","B")</x:f>
        <x:v>B</x:v>
      </x:c>
      <x:c r="O470" t="str">
        <x:f>IF(RAND()&lt;(('Team_Info'!$E$2-COUNTIF($B470:N470,"W"))/('Team_Info'!$E$4-13)),"W","B")</x:f>
        <x:v>W</x:v>
      </x:c>
      <x:c r="P470" t="str">
        <x:f>IF(RAND()&lt;(('Team_Info'!$E$2-COUNTIF($B470:O470,"W"))/('Team_Info'!$E$4-14)),"W","B")</x:f>
        <x:v>B</x:v>
      </x:c>
      <x:c r="Q470" t="str">
        <x:f>IF(RAND()&lt;(('Team_Info'!$E$2-COUNTIF($B470:P470,"W"))/('Team_Info'!$E$4-15)),"W","B")</x:f>
        <x:v>B</x:v>
      </x:c>
      <x:c r="R470" t="str">
        <x:f>IF(RAND()&lt;(('Team_Info'!$E$2-COUNTIF($B470:Q470,"W"))/('Team_Info'!$E$4-16)),"W","B")</x:f>
        <x:v>B</x:v>
      </x:c>
      <x:c r="S470" t="str">
        <x:f>IF(RAND()&lt;(('Team_Info'!$E$2-COUNTIF($B470:R470,"W"))/('Team_Info'!$E$4-17)),"W","B")</x:f>
        <x:v>W</x:v>
      </x:c>
      <x:c r="T470" t="str">
        <x:f>IF(RAND()&lt;(('Team_Info'!$E$2-COUNTIF($B470:S470,"W"))/('Team_Info'!$E$4-18)),"W","B")</x:f>
        <x:v>W</x:v>
      </x:c>
      <x:c r="U470" t="str">
        <x:f>IF(RAND()&lt;(('Team_Info'!$E$2-COUNTIF($B470:T470,"W"))/('Team_Info'!$E$4-19)),"W","B")</x:f>
        <x:v>W</x:v>
      </x:c>
    </x:row>
    <x:row r="471">
      <x:c r="A471" s="1">
        <x:v>470</x:v>
      </x:c>
      <x:c r="B471" t="str">
        <x:f>IF(RAND()&lt;'Team_Info'!$E$5,"W","B")</x:f>
        <x:v>B</x:v>
      </x:c>
      <x:c r="C471" t="str">
        <x:f>IF(RAND()&lt;(('Team_Info'!$E$2-COUNTIF($B471:B471,"W"))/('Team_Info'!$E$4-1)),"W","B")</x:f>
        <x:v>W</x:v>
      </x:c>
      <x:c r="D471" t="str">
        <x:f>IF(RAND()&lt;(('Team_Info'!$E$2-COUNTIF($B471:C471,"W"))/('Team_Info'!$E$4-2)),"W","B")</x:f>
        <x:v>B</x:v>
      </x:c>
      <x:c r="E471" t="str">
        <x:f>IF(RAND()&lt;(('Team_Info'!$E$2-COUNTIF($B471:D471,"W"))/('Team_Info'!$E$4-3)),"W","B")</x:f>
        <x:v>W</x:v>
      </x:c>
      <x:c r="F471" t="str">
        <x:f>IF(RAND()&lt;(('Team_Info'!$E$2-COUNTIF($B471:E471,"W"))/('Team_Info'!$E$4-4)),"W","B")</x:f>
        <x:v>B</x:v>
      </x:c>
      <x:c r="G471" t="str">
        <x:f>IF(RAND()&lt;(('Team_Info'!$E$2-COUNTIF($B471:F471,"W"))/('Team_Info'!$E$4-5)),"W","B")</x:f>
        <x:v>W</x:v>
      </x:c>
      <x:c r="H471" t="str">
        <x:f>IF(RAND()&lt;(('Team_Info'!$E$2-COUNTIF($B471:G471,"W"))/('Team_Info'!$E$4-6)),"W","B")</x:f>
        <x:v>B</x:v>
      </x:c>
      <x:c r="I471" t="str">
        <x:f>IF(RAND()&lt;(('Team_Info'!$E$2-COUNTIF($B471:H471,"W"))/('Team_Info'!$E$4-7)),"W","B")</x:f>
        <x:v>B</x:v>
      </x:c>
      <x:c r="J471" t="str">
        <x:f>IF(RAND()&lt;(('Team_Info'!$E$2-COUNTIF($B471:I471,"W"))/('Team_Info'!$E$4-8)),"W","B")</x:f>
        <x:v>B</x:v>
      </x:c>
      <x:c r="K471" t="str">
        <x:f>IF(RAND()&lt;(('Team_Info'!$E$2-COUNTIF($B471:J471,"W"))/('Team_Info'!$E$4-9)),"W","B")</x:f>
        <x:v>W</x:v>
      </x:c>
      <x:c r="L471" t="str">
        <x:f>IF(RAND()&lt;(('Team_Info'!$E$2-COUNTIF($B471:K471,"W"))/('Team_Info'!$E$4-10)),"W","B")</x:f>
        <x:v>B</x:v>
      </x:c>
      <x:c r="M471" t="str">
        <x:f>IF(RAND()&lt;(('Team_Info'!$E$2-COUNTIF($B471:L471,"W"))/('Team_Info'!$E$4-11)),"W","B")</x:f>
        <x:v>W</x:v>
      </x:c>
      <x:c r="N471" t="str">
        <x:f>IF(RAND()&lt;(('Team_Info'!$E$2-COUNTIF($B471:M471,"W"))/('Team_Info'!$E$4-12)),"W","B")</x:f>
        <x:v>B</x:v>
      </x:c>
      <x:c r="O471" t="str">
        <x:f>IF(RAND()&lt;(('Team_Info'!$E$2-COUNTIF($B471:N471,"W"))/('Team_Info'!$E$4-13)),"W","B")</x:f>
        <x:v>B</x:v>
      </x:c>
      <x:c r="P471" t="str">
        <x:f>IF(RAND()&lt;(('Team_Info'!$E$2-COUNTIF($B471:O471,"W"))/('Team_Info'!$E$4-14)),"W","B")</x:f>
        <x:v>B</x:v>
      </x:c>
      <x:c r="Q471" t="str">
        <x:f>IF(RAND()&lt;(('Team_Info'!$E$2-COUNTIF($B471:P471,"W"))/('Team_Info'!$E$4-15)),"W","B")</x:f>
        <x:v>B</x:v>
      </x:c>
      <x:c r="R471" t="str">
        <x:f>IF(RAND()&lt;(('Team_Info'!$E$2-COUNTIF($B471:Q471,"W"))/('Team_Info'!$E$4-16)),"W","B")</x:f>
        <x:v>B</x:v>
      </x:c>
      <x:c r="S471" t="str">
        <x:f>IF(RAND()&lt;(('Team_Info'!$E$2-COUNTIF($B471:R471,"W"))/('Team_Info'!$E$4-17)),"W","B")</x:f>
        <x:v>W</x:v>
      </x:c>
      <x:c r="T471" t="str">
        <x:f>IF(RAND()&lt;(('Team_Info'!$E$2-COUNTIF($B471:S471,"W"))/('Team_Info'!$E$4-18)),"W","B")</x:f>
        <x:v>B</x:v>
      </x:c>
      <x:c r="U471" t="str">
        <x:f>IF(RAND()&lt;(('Team_Info'!$E$2-COUNTIF($B471:T471,"W"))/('Team_Info'!$E$4-19)),"W","B")</x:f>
        <x:v>B</x:v>
      </x:c>
    </x:row>
    <x:row r="472">
      <x:c r="A472" s="1">
        <x:v>471</x:v>
      </x:c>
      <x:c r="B472" t="str">
        <x:f>IF(RAND()&lt;'Team_Info'!$E$5,"W","B")</x:f>
        <x:v>B</x:v>
      </x:c>
      <x:c r="C472" t="str">
        <x:f>IF(RAND()&lt;(('Team_Info'!$E$2-COUNTIF($B472:B472,"W"))/('Team_Info'!$E$4-1)),"W","B")</x:f>
        <x:v>B</x:v>
      </x:c>
      <x:c r="D472" t="str">
        <x:f>IF(RAND()&lt;(('Team_Info'!$E$2-COUNTIF($B472:C472,"W"))/('Team_Info'!$E$4-2)),"W","B")</x:f>
        <x:v>B</x:v>
      </x:c>
      <x:c r="E472" t="str">
        <x:f>IF(RAND()&lt;(('Team_Info'!$E$2-COUNTIF($B472:D472,"W"))/('Team_Info'!$E$4-3)),"W","B")</x:f>
        <x:v>W</x:v>
      </x:c>
      <x:c r="F472" t="str">
        <x:f>IF(RAND()&lt;(('Team_Info'!$E$2-COUNTIF($B472:E472,"W"))/('Team_Info'!$E$4-4)),"W","B")</x:f>
        <x:v>B</x:v>
      </x:c>
      <x:c r="G472" t="str">
        <x:f>IF(RAND()&lt;(('Team_Info'!$E$2-COUNTIF($B472:F472,"W"))/('Team_Info'!$E$4-5)),"W","B")</x:f>
        <x:v>B</x:v>
      </x:c>
      <x:c r="H472" t="str">
        <x:f>IF(RAND()&lt;(('Team_Info'!$E$2-COUNTIF($B472:G472,"W"))/('Team_Info'!$E$4-6)),"W","B")</x:f>
        <x:v>W</x:v>
      </x:c>
      <x:c r="I472" t="str">
        <x:f>IF(RAND()&lt;(('Team_Info'!$E$2-COUNTIF($B472:H472,"W"))/('Team_Info'!$E$4-7)),"W","B")</x:f>
        <x:v>W</x:v>
      </x:c>
      <x:c r="J472" t="str">
        <x:f>IF(RAND()&lt;(('Team_Info'!$E$2-COUNTIF($B472:I472,"W"))/('Team_Info'!$E$4-8)),"W","B")</x:f>
        <x:v>B</x:v>
      </x:c>
      <x:c r="K472" t="str">
        <x:f>IF(RAND()&lt;(('Team_Info'!$E$2-COUNTIF($B472:J472,"W"))/('Team_Info'!$E$4-9)),"W","B")</x:f>
        <x:v>B</x:v>
      </x:c>
      <x:c r="L472" t="str">
        <x:f>IF(RAND()&lt;(('Team_Info'!$E$2-COUNTIF($B472:K472,"W"))/('Team_Info'!$E$4-10)),"W","B")</x:f>
        <x:v>W</x:v>
      </x:c>
      <x:c r="M472" t="str">
        <x:f>IF(RAND()&lt;(('Team_Info'!$E$2-COUNTIF($B472:L472,"W"))/('Team_Info'!$E$4-11)),"W","B")</x:f>
        <x:v>W</x:v>
      </x:c>
      <x:c r="N472" t="str">
        <x:f>IF(RAND()&lt;(('Team_Info'!$E$2-COUNTIF($B472:M472,"W"))/('Team_Info'!$E$4-12)),"W","B")</x:f>
        <x:v>B</x:v>
      </x:c>
      <x:c r="O472" t="str">
        <x:f>IF(RAND()&lt;(('Team_Info'!$E$2-COUNTIF($B472:N472,"W"))/('Team_Info'!$E$4-13)),"W","B")</x:f>
        <x:v>W</x:v>
      </x:c>
      <x:c r="P472" t="str">
        <x:f>IF(RAND()&lt;(('Team_Info'!$E$2-COUNTIF($B472:O472,"W"))/('Team_Info'!$E$4-14)),"W","B")</x:f>
        <x:v>W</x:v>
      </x:c>
      <x:c r="Q472" t="str">
        <x:f>IF(RAND()&lt;(('Team_Info'!$E$2-COUNTIF($B472:P472,"W"))/('Team_Info'!$E$4-15)),"W","B")</x:f>
        <x:v>B</x:v>
      </x:c>
      <x:c r="R472" t="str">
        <x:f>IF(RAND()&lt;(('Team_Info'!$E$2-COUNTIF($B472:Q472,"W"))/('Team_Info'!$E$4-16)),"W","B")</x:f>
        <x:v>W</x:v>
      </x:c>
      <x:c r="S472" t="str">
        <x:f>IF(RAND()&lt;(('Team_Info'!$E$2-COUNTIF($B472:R472,"W"))/('Team_Info'!$E$4-17)),"W","B")</x:f>
        <x:v>B</x:v>
      </x:c>
      <x:c r="T472" t="str">
        <x:f>IF(RAND()&lt;(('Team_Info'!$E$2-COUNTIF($B472:S472,"W"))/('Team_Info'!$E$4-18)),"W","B")</x:f>
        <x:v>B</x:v>
      </x:c>
      <x:c r="U472" t="str">
        <x:f>IF(RAND()&lt;(('Team_Info'!$E$2-COUNTIF($B472:T472,"W"))/('Team_Info'!$E$4-19)),"W","B")</x:f>
        <x:v>B</x:v>
      </x:c>
    </x:row>
    <x:row r="473">
      <x:c r="A473" s="1">
        <x:v>472</x:v>
      </x:c>
      <x:c r="B473" t="str">
        <x:f>IF(RAND()&lt;'Team_Info'!$E$5,"W","B")</x:f>
        <x:v>B</x:v>
      </x:c>
      <x:c r="C473" t="str">
        <x:f>IF(RAND()&lt;(('Team_Info'!$E$2-COUNTIF($B473:B473,"W"))/('Team_Info'!$E$4-1)),"W","B")</x:f>
        <x:v>B</x:v>
      </x:c>
      <x:c r="D473" t="str">
        <x:f>IF(RAND()&lt;(('Team_Info'!$E$2-COUNTIF($B473:C473,"W"))/('Team_Info'!$E$4-2)),"W","B")</x:f>
        <x:v>W</x:v>
      </x:c>
      <x:c r="E473" t="str">
        <x:f>IF(RAND()&lt;(('Team_Info'!$E$2-COUNTIF($B473:D473,"W"))/('Team_Info'!$E$4-3)),"W","B")</x:f>
        <x:v>B</x:v>
      </x:c>
      <x:c r="F473" t="str">
        <x:f>IF(RAND()&lt;(('Team_Info'!$E$2-COUNTIF($B473:E473,"W"))/('Team_Info'!$E$4-4)),"W","B")</x:f>
        <x:v>B</x:v>
      </x:c>
      <x:c r="G473" t="str">
        <x:f>IF(RAND()&lt;(('Team_Info'!$E$2-COUNTIF($B473:F473,"W"))/('Team_Info'!$E$4-5)),"W","B")</x:f>
        <x:v>B</x:v>
      </x:c>
      <x:c r="H473" t="str">
        <x:f>IF(RAND()&lt;(('Team_Info'!$E$2-COUNTIF($B473:G473,"W"))/('Team_Info'!$E$4-6)),"W","B")</x:f>
        <x:v>W</x:v>
      </x:c>
      <x:c r="I473" t="str">
        <x:f>IF(RAND()&lt;(('Team_Info'!$E$2-COUNTIF($B473:H473,"W"))/('Team_Info'!$E$4-7)),"W","B")</x:f>
        <x:v>B</x:v>
      </x:c>
      <x:c r="J473" t="str">
        <x:f>IF(RAND()&lt;(('Team_Info'!$E$2-COUNTIF($B473:I473,"W"))/('Team_Info'!$E$4-8)),"W","B")</x:f>
        <x:v>W</x:v>
      </x:c>
      <x:c r="K473" t="str">
        <x:f>IF(RAND()&lt;(('Team_Info'!$E$2-COUNTIF($B473:J473,"W"))/('Team_Info'!$E$4-9)),"W","B")</x:f>
        <x:v>B</x:v>
      </x:c>
      <x:c r="L473" t="str">
        <x:f>IF(RAND()&lt;(('Team_Info'!$E$2-COUNTIF($B473:K473,"W"))/('Team_Info'!$E$4-10)),"W","B")</x:f>
        <x:v>W</x:v>
      </x:c>
      <x:c r="M473" t="str">
        <x:f>IF(RAND()&lt;(('Team_Info'!$E$2-COUNTIF($B473:L473,"W"))/('Team_Info'!$E$4-11)),"W","B")</x:f>
        <x:v>W</x:v>
      </x:c>
      <x:c r="N473" t="str">
        <x:f>IF(RAND()&lt;(('Team_Info'!$E$2-COUNTIF($B473:M473,"W"))/('Team_Info'!$E$4-12)),"W","B")</x:f>
        <x:v>B</x:v>
      </x:c>
      <x:c r="O473" t="str">
        <x:f>IF(RAND()&lt;(('Team_Info'!$E$2-COUNTIF($B473:N473,"W"))/('Team_Info'!$E$4-13)),"W","B")</x:f>
        <x:v>B</x:v>
      </x:c>
      <x:c r="P473" t="str">
        <x:f>IF(RAND()&lt;(('Team_Info'!$E$2-COUNTIF($B473:O473,"W"))/('Team_Info'!$E$4-14)),"W","B")</x:f>
        <x:v>B</x:v>
      </x:c>
      <x:c r="Q473" t="str">
        <x:f>IF(RAND()&lt;(('Team_Info'!$E$2-COUNTIF($B473:P473,"W"))/('Team_Info'!$E$4-15)),"W","B")</x:f>
        <x:v>W</x:v>
      </x:c>
      <x:c r="R473" t="str">
        <x:f>IF(RAND()&lt;(('Team_Info'!$E$2-COUNTIF($B473:Q473,"W"))/('Team_Info'!$E$4-16)),"W","B")</x:f>
        <x:v>B</x:v>
      </x:c>
      <x:c r="S473" t="str">
        <x:f>IF(RAND()&lt;(('Team_Info'!$E$2-COUNTIF($B473:R473,"W"))/('Team_Info'!$E$4-17)),"W","B")</x:f>
        <x:v>B</x:v>
      </x:c>
      <x:c r="T473" t="str">
        <x:f>IF(RAND()&lt;(('Team_Info'!$E$2-COUNTIF($B473:S473,"W"))/('Team_Info'!$E$4-18)),"W","B")</x:f>
        <x:v>B</x:v>
      </x:c>
      <x:c r="U473" t="str">
        <x:f>IF(RAND()&lt;(('Team_Info'!$E$2-COUNTIF($B473:T473,"W"))/('Team_Info'!$E$4-19)),"W","B")</x:f>
        <x:v>B</x:v>
      </x:c>
    </x:row>
    <x:row r="474">
      <x:c r="A474" s="1">
        <x:v>473</x:v>
      </x:c>
      <x:c r="B474" t="str">
        <x:f>IF(RAND()&lt;'Team_Info'!$E$5,"W","B")</x:f>
        <x:v>B</x:v>
      </x:c>
      <x:c r="C474" t="str">
        <x:f>IF(RAND()&lt;(('Team_Info'!$E$2-COUNTIF($B474:B474,"W"))/('Team_Info'!$E$4-1)),"W","B")</x:f>
        <x:v>W</x:v>
      </x:c>
      <x:c r="D474" t="str">
        <x:f>IF(RAND()&lt;(('Team_Info'!$E$2-COUNTIF($B474:C474,"W"))/('Team_Info'!$E$4-2)),"W","B")</x:f>
        <x:v>B</x:v>
      </x:c>
      <x:c r="E474" t="str">
        <x:f>IF(RAND()&lt;(('Team_Info'!$E$2-COUNTIF($B474:D474,"W"))/('Team_Info'!$E$4-3)),"W","B")</x:f>
        <x:v>B</x:v>
      </x:c>
      <x:c r="F474" t="str">
        <x:f>IF(RAND()&lt;(('Team_Info'!$E$2-COUNTIF($B474:E474,"W"))/('Team_Info'!$E$4-4)),"W","B")</x:f>
        <x:v>W</x:v>
      </x:c>
      <x:c r="G474" t="str">
        <x:f>IF(RAND()&lt;(('Team_Info'!$E$2-COUNTIF($B474:F474,"W"))/('Team_Info'!$E$4-5)),"W","B")</x:f>
        <x:v>B</x:v>
      </x:c>
      <x:c r="H474" t="str">
        <x:f>IF(RAND()&lt;(('Team_Info'!$E$2-COUNTIF($B474:G474,"W"))/('Team_Info'!$E$4-6)),"W","B")</x:f>
        <x:v>B</x:v>
      </x:c>
      <x:c r="I474" t="str">
        <x:f>IF(RAND()&lt;(('Team_Info'!$E$2-COUNTIF($B474:H474,"W"))/('Team_Info'!$E$4-7)),"W","B")</x:f>
        <x:v>B</x:v>
      </x:c>
      <x:c r="J474" t="str">
        <x:f>IF(RAND()&lt;(('Team_Info'!$E$2-COUNTIF($B474:I474,"W"))/('Team_Info'!$E$4-8)),"W","B")</x:f>
        <x:v>B</x:v>
      </x:c>
      <x:c r="K474" t="str">
        <x:f>IF(RAND()&lt;(('Team_Info'!$E$2-COUNTIF($B474:J474,"W"))/('Team_Info'!$E$4-9)),"W","B")</x:f>
        <x:v>W</x:v>
      </x:c>
      <x:c r="L474" t="str">
        <x:f>IF(RAND()&lt;(('Team_Info'!$E$2-COUNTIF($B474:K474,"W"))/('Team_Info'!$E$4-10)),"W","B")</x:f>
        <x:v>B</x:v>
      </x:c>
      <x:c r="M474" t="str">
        <x:f>IF(RAND()&lt;(('Team_Info'!$E$2-COUNTIF($B474:L474,"W"))/('Team_Info'!$E$4-11)),"W","B")</x:f>
        <x:v>W</x:v>
      </x:c>
      <x:c r="N474" t="str">
        <x:f>IF(RAND()&lt;(('Team_Info'!$E$2-COUNTIF($B474:M474,"W"))/('Team_Info'!$E$4-12)),"W","B")</x:f>
        <x:v>W</x:v>
      </x:c>
      <x:c r="O474" t="str">
        <x:f>IF(RAND()&lt;(('Team_Info'!$E$2-COUNTIF($B474:N474,"W"))/('Team_Info'!$E$4-13)),"W","B")</x:f>
        <x:v>B</x:v>
      </x:c>
      <x:c r="P474" t="str">
        <x:f>IF(RAND()&lt;(('Team_Info'!$E$2-COUNTIF($B474:O474,"W"))/('Team_Info'!$E$4-14)),"W","B")</x:f>
        <x:v>W</x:v>
      </x:c>
      <x:c r="Q474" t="str">
        <x:f>IF(RAND()&lt;(('Team_Info'!$E$2-COUNTIF($B474:P474,"W"))/('Team_Info'!$E$4-15)),"W","B")</x:f>
        <x:v>W</x:v>
      </x:c>
      <x:c r="R474" t="str">
        <x:f>IF(RAND()&lt;(('Team_Info'!$E$2-COUNTIF($B474:Q474,"W"))/('Team_Info'!$E$4-16)),"W","B")</x:f>
        <x:v>W</x:v>
      </x:c>
      <x:c r="S474" t="str">
        <x:f>IF(RAND()&lt;(('Team_Info'!$E$2-COUNTIF($B474:R474,"W"))/('Team_Info'!$E$4-17)),"W","B")</x:f>
        <x:v>W</x:v>
      </x:c>
      <x:c r="T474" t="str">
        <x:f>IF(RAND()&lt;(('Team_Info'!$E$2-COUNTIF($B474:S474,"W"))/('Team_Info'!$E$4-18)),"W","B")</x:f>
        <x:v>B</x:v>
      </x:c>
      <x:c r="U474" t="str">
        <x:f>IF(RAND()&lt;(('Team_Info'!$E$2-COUNTIF($B474:T474,"W"))/('Team_Info'!$E$4-19)),"W","B")</x:f>
        <x:v>B</x:v>
      </x:c>
    </x:row>
    <x:row r="475">
      <x:c r="A475" s="1">
        <x:v>474</x:v>
      </x:c>
      <x:c r="B475" t="str">
        <x:f>IF(RAND()&lt;'Team_Info'!$E$5,"W","B")</x:f>
        <x:v>W</x:v>
      </x:c>
      <x:c r="C475" t="str">
        <x:f>IF(RAND()&lt;(('Team_Info'!$E$2-COUNTIF($B475:B475,"W"))/('Team_Info'!$E$4-1)),"W","B")</x:f>
        <x:v>B</x:v>
      </x:c>
      <x:c r="D475" t="str">
        <x:f>IF(RAND()&lt;(('Team_Info'!$E$2-COUNTIF($B475:C475,"W"))/('Team_Info'!$E$4-2)),"W","B")</x:f>
        <x:v>B</x:v>
      </x:c>
      <x:c r="E475" t="str">
        <x:f>IF(RAND()&lt;(('Team_Info'!$E$2-COUNTIF($B475:D475,"W"))/('Team_Info'!$E$4-3)),"W","B")</x:f>
        <x:v>B</x:v>
      </x:c>
      <x:c r="F475" t="str">
        <x:f>IF(RAND()&lt;(('Team_Info'!$E$2-COUNTIF($B475:E475,"W"))/('Team_Info'!$E$4-4)),"W","B")</x:f>
        <x:v>W</x:v>
      </x:c>
      <x:c r="G475" t="str">
        <x:f>IF(RAND()&lt;(('Team_Info'!$E$2-COUNTIF($B475:F475,"W"))/('Team_Info'!$E$4-5)),"W","B")</x:f>
        <x:v>B</x:v>
      </x:c>
      <x:c r="H475" t="str">
        <x:f>IF(RAND()&lt;(('Team_Info'!$E$2-COUNTIF($B475:G475,"W"))/('Team_Info'!$E$4-6)),"W","B")</x:f>
        <x:v>B</x:v>
      </x:c>
      <x:c r="I475" t="str">
        <x:f>IF(RAND()&lt;(('Team_Info'!$E$2-COUNTIF($B475:H475,"W"))/('Team_Info'!$E$4-7)),"W","B")</x:f>
        <x:v>W</x:v>
      </x:c>
      <x:c r="J475" t="str">
        <x:f>IF(RAND()&lt;(('Team_Info'!$E$2-COUNTIF($B475:I475,"W"))/('Team_Info'!$E$4-8)),"W","B")</x:f>
        <x:v>B</x:v>
      </x:c>
      <x:c r="K475" t="str">
        <x:f>IF(RAND()&lt;(('Team_Info'!$E$2-COUNTIF($B475:J475,"W"))/('Team_Info'!$E$4-9)),"W","B")</x:f>
        <x:v>B</x:v>
      </x:c>
      <x:c r="L475" t="str">
        <x:f>IF(RAND()&lt;(('Team_Info'!$E$2-COUNTIF($B475:K475,"W"))/('Team_Info'!$E$4-10)),"W","B")</x:f>
        <x:v>B</x:v>
      </x:c>
      <x:c r="M475" t="str">
        <x:f>IF(RAND()&lt;(('Team_Info'!$E$2-COUNTIF($B475:L475,"W"))/('Team_Info'!$E$4-11)),"W","B")</x:f>
        <x:v>W</x:v>
      </x:c>
      <x:c r="N475" t="str">
        <x:f>IF(RAND()&lt;(('Team_Info'!$E$2-COUNTIF($B475:M475,"W"))/('Team_Info'!$E$4-12)),"W","B")</x:f>
        <x:v>W</x:v>
      </x:c>
      <x:c r="O475" t="str">
        <x:f>IF(RAND()&lt;(('Team_Info'!$E$2-COUNTIF($B475:N475,"W"))/('Team_Info'!$E$4-13)),"W","B")</x:f>
        <x:v>B</x:v>
      </x:c>
      <x:c r="P475" t="str">
        <x:f>IF(RAND()&lt;(('Team_Info'!$E$2-COUNTIF($B475:O475,"W"))/('Team_Info'!$E$4-14)),"W","B")</x:f>
        <x:v>W</x:v>
      </x:c>
      <x:c r="Q475" t="str">
        <x:f>IF(RAND()&lt;(('Team_Info'!$E$2-COUNTIF($B475:P475,"W"))/('Team_Info'!$E$4-15)),"W","B")</x:f>
        <x:v>B</x:v>
      </x:c>
      <x:c r="R475" t="str">
        <x:f>IF(RAND()&lt;(('Team_Info'!$E$2-COUNTIF($B475:Q475,"W"))/('Team_Info'!$E$4-16)),"W","B")</x:f>
        <x:v>B</x:v>
      </x:c>
      <x:c r="S475" t="str">
        <x:f>IF(RAND()&lt;(('Team_Info'!$E$2-COUNTIF($B475:R475,"W"))/('Team_Info'!$E$4-17)),"W","B")</x:f>
        <x:v>B</x:v>
      </x:c>
      <x:c r="T475" t="str">
        <x:f>IF(RAND()&lt;(('Team_Info'!$E$2-COUNTIF($B475:S475,"W"))/('Team_Info'!$E$4-18)),"W","B")</x:f>
        <x:v>W</x:v>
      </x:c>
      <x:c r="U475" t="str">
        <x:f>IF(RAND()&lt;(('Team_Info'!$E$2-COUNTIF($B475:T475,"W"))/('Team_Info'!$E$4-19)),"W","B")</x:f>
        <x:v>W</x:v>
      </x:c>
    </x:row>
    <x:row r="476">
      <x:c r="A476" s="1">
        <x:v>475</x:v>
      </x:c>
      <x:c r="B476" t="str">
        <x:f>IF(RAND()&lt;'Team_Info'!$E$5,"W","B")</x:f>
        <x:v>W</x:v>
      </x:c>
      <x:c r="C476" t="str">
        <x:f>IF(RAND()&lt;(('Team_Info'!$E$2-COUNTIF($B476:B476,"W"))/('Team_Info'!$E$4-1)),"W","B")</x:f>
        <x:v>B</x:v>
      </x:c>
      <x:c r="D476" t="str">
        <x:f>IF(RAND()&lt;(('Team_Info'!$E$2-COUNTIF($B476:C476,"W"))/('Team_Info'!$E$4-2)),"W","B")</x:f>
        <x:v>B</x:v>
      </x:c>
      <x:c r="E476" t="str">
        <x:f>IF(RAND()&lt;(('Team_Info'!$E$2-COUNTIF($B476:D476,"W"))/('Team_Info'!$E$4-3)),"W","B")</x:f>
        <x:v>W</x:v>
      </x:c>
      <x:c r="F476" t="str">
        <x:f>IF(RAND()&lt;(('Team_Info'!$E$2-COUNTIF($B476:E476,"W"))/('Team_Info'!$E$4-4)),"W","B")</x:f>
        <x:v>W</x:v>
      </x:c>
      <x:c r="G476" t="str">
        <x:f>IF(RAND()&lt;(('Team_Info'!$E$2-COUNTIF($B476:F476,"W"))/('Team_Info'!$E$4-5)),"W","B")</x:f>
        <x:v>W</x:v>
      </x:c>
      <x:c r="H476" t="str">
        <x:f>IF(RAND()&lt;(('Team_Info'!$E$2-COUNTIF($B476:G476,"W"))/('Team_Info'!$E$4-6)),"W","B")</x:f>
        <x:v>B</x:v>
      </x:c>
      <x:c r="I476" t="str">
        <x:f>IF(RAND()&lt;(('Team_Info'!$E$2-COUNTIF($B476:H476,"W"))/('Team_Info'!$E$4-7)),"W","B")</x:f>
        <x:v>B</x:v>
      </x:c>
      <x:c r="J476" t="str">
        <x:f>IF(RAND()&lt;(('Team_Info'!$E$2-COUNTIF($B476:I476,"W"))/('Team_Info'!$E$4-8)),"W","B")</x:f>
        <x:v>B</x:v>
      </x:c>
      <x:c r="K476" t="str">
        <x:f>IF(RAND()&lt;(('Team_Info'!$E$2-COUNTIF($B476:J476,"W"))/('Team_Info'!$E$4-9)),"W","B")</x:f>
        <x:v>W</x:v>
      </x:c>
      <x:c r="L476" t="str">
        <x:f>IF(RAND()&lt;(('Team_Info'!$E$2-COUNTIF($B476:K476,"W"))/('Team_Info'!$E$4-10)),"W","B")</x:f>
        <x:v>W</x:v>
      </x:c>
      <x:c r="M476" t="str">
        <x:f>IF(RAND()&lt;(('Team_Info'!$E$2-COUNTIF($B476:L476,"W"))/('Team_Info'!$E$4-11)),"W","B")</x:f>
        <x:v>B</x:v>
      </x:c>
      <x:c r="N476" t="str">
        <x:f>IF(RAND()&lt;(('Team_Info'!$E$2-COUNTIF($B476:M476,"W"))/('Team_Info'!$E$4-12)),"W","B")</x:f>
        <x:v>B</x:v>
      </x:c>
      <x:c r="O476" t="str">
        <x:f>IF(RAND()&lt;(('Team_Info'!$E$2-COUNTIF($B476:N476,"W"))/('Team_Info'!$E$4-13)),"W","B")</x:f>
        <x:v>B</x:v>
      </x:c>
      <x:c r="P476" t="str">
        <x:f>IF(RAND()&lt;(('Team_Info'!$E$2-COUNTIF($B476:O476,"W"))/('Team_Info'!$E$4-14)),"W","B")</x:f>
        <x:v>B</x:v>
      </x:c>
      <x:c r="Q476" t="str">
        <x:f>IF(RAND()&lt;(('Team_Info'!$E$2-COUNTIF($B476:P476,"W"))/('Team_Info'!$E$4-15)),"W","B")</x:f>
        <x:v>B</x:v>
      </x:c>
      <x:c r="R476" t="str">
        <x:f>IF(RAND()&lt;(('Team_Info'!$E$2-COUNTIF($B476:Q476,"W"))/('Team_Info'!$E$4-16)),"W","B")</x:f>
        <x:v>W</x:v>
      </x:c>
      <x:c r="S476" t="str">
        <x:f>IF(RAND()&lt;(('Team_Info'!$E$2-COUNTIF($B476:R476,"W"))/('Team_Info'!$E$4-17)),"W","B")</x:f>
        <x:v>W</x:v>
      </x:c>
      <x:c r="T476" t="str">
        <x:f>IF(RAND()&lt;(('Team_Info'!$E$2-COUNTIF($B476:S476,"W"))/('Team_Info'!$E$4-18)),"W","B")</x:f>
        <x:v>B</x:v>
      </x:c>
      <x:c r="U476" t="str">
        <x:f>IF(RAND()&lt;(('Team_Info'!$E$2-COUNTIF($B476:T476,"W"))/('Team_Info'!$E$4-19)),"W","B")</x:f>
        <x:v>B</x:v>
      </x:c>
    </x:row>
    <x:row r="477">
      <x:c r="A477" s="1">
        <x:v>476</x:v>
      </x:c>
      <x:c r="B477" t="str">
        <x:f>IF(RAND()&lt;'Team_Info'!$E$5,"W","B")</x:f>
        <x:v>B</x:v>
      </x:c>
      <x:c r="C477" t="str">
        <x:f>IF(RAND()&lt;(('Team_Info'!$E$2-COUNTIF($B477:B477,"W"))/('Team_Info'!$E$4-1)),"W","B")</x:f>
        <x:v>B</x:v>
      </x:c>
      <x:c r="D477" t="str">
        <x:f>IF(RAND()&lt;(('Team_Info'!$E$2-COUNTIF($B477:C477,"W"))/('Team_Info'!$E$4-2)),"W","B")</x:f>
        <x:v>B</x:v>
      </x:c>
      <x:c r="E477" t="str">
        <x:f>IF(RAND()&lt;(('Team_Info'!$E$2-COUNTIF($B477:D477,"W"))/('Team_Info'!$E$4-3)),"W","B")</x:f>
        <x:v>W</x:v>
      </x:c>
      <x:c r="F477" t="str">
        <x:f>IF(RAND()&lt;(('Team_Info'!$E$2-COUNTIF($B477:E477,"W"))/('Team_Info'!$E$4-4)),"W","B")</x:f>
        <x:v>B</x:v>
      </x:c>
      <x:c r="G477" t="str">
        <x:f>IF(RAND()&lt;(('Team_Info'!$E$2-COUNTIF($B477:F477,"W"))/('Team_Info'!$E$4-5)),"W","B")</x:f>
        <x:v>B</x:v>
      </x:c>
      <x:c r="H477" t="str">
        <x:f>IF(RAND()&lt;(('Team_Info'!$E$2-COUNTIF($B477:G477,"W"))/('Team_Info'!$E$4-6)),"W","B")</x:f>
        <x:v>B</x:v>
      </x:c>
      <x:c r="I477" t="str">
        <x:f>IF(RAND()&lt;(('Team_Info'!$E$2-COUNTIF($B477:H477,"W"))/('Team_Info'!$E$4-7)),"W","B")</x:f>
        <x:v>W</x:v>
      </x:c>
      <x:c r="J477" t="str">
        <x:f>IF(RAND()&lt;(('Team_Info'!$E$2-COUNTIF($B477:I477,"W"))/('Team_Info'!$E$4-8)),"W","B")</x:f>
        <x:v>B</x:v>
      </x:c>
      <x:c r="K477" t="str">
        <x:f>IF(RAND()&lt;(('Team_Info'!$E$2-COUNTIF($B477:J477,"W"))/('Team_Info'!$E$4-9)),"W","B")</x:f>
        <x:v>B</x:v>
      </x:c>
      <x:c r="L477" t="str">
        <x:f>IF(RAND()&lt;(('Team_Info'!$E$2-COUNTIF($B477:K477,"W"))/('Team_Info'!$E$4-10)),"W","B")</x:f>
        <x:v>B</x:v>
      </x:c>
      <x:c r="M477" t="str">
        <x:f>IF(RAND()&lt;(('Team_Info'!$E$2-COUNTIF($B477:L477,"W"))/('Team_Info'!$E$4-11)),"W","B")</x:f>
        <x:v>B</x:v>
      </x:c>
      <x:c r="N477" t="str">
        <x:f>IF(RAND()&lt;(('Team_Info'!$E$2-COUNTIF($B477:M477,"W"))/('Team_Info'!$E$4-12)),"W","B")</x:f>
        <x:v>B</x:v>
      </x:c>
      <x:c r="O477" t="str">
        <x:f>IF(RAND()&lt;(('Team_Info'!$E$2-COUNTIF($B477:N477,"W"))/('Team_Info'!$E$4-13)),"W","B")</x:f>
        <x:v>B</x:v>
      </x:c>
      <x:c r="P477" t="str">
        <x:f>IF(RAND()&lt;(('Team_Info'!$E$2-COUNTIF($B477:O477,"W"))/('Team_Info'!$E$4-14)),"W","B")</x:f>
        <x:v>W</x:v>
      </x:c>
      <x:c r="Q477" t="str">
        <x:f>IF(RAND()&lt;(('Team_Info'!$E$2-COUNTIF($B477:P477,"W"))/('Team_Info'!$E$4-15)),"W","B")</x:f>
        <x:v>B</x:v>
      </x:c>
      <x:c r="R477" t="str">
        <x:f>IF(RAND()&lt;(('Team_Info'!$E$2-COUNTIF($B477:Q477,"W"))/('Team_Info'!$E$4-16)),"W","B")</x:f>
        <x:v>W</x:v>
      </x:c>
      <x:c r="S477" t="str">
        <x:f>IF(RAND()&lt;(('Team_Info'!$E$2-COUNTIF($B477:R477,"W"))/('Team_Info'!$E$4-17)),"W","B")</x:f>
        <x:v>B</x:v>
      </x:c>
      <x:c r="T477" t="str">
        <x:f>IF(RAND()&lt;(('Team_Info'!$E$2-COUNTIF($B477:S477,"W"))/('Team_Info'!$E$4-18)),"W","B")</x:f>
        <x:v>W</x:v>
      </x:c>
      <x:c r="U477" t="str">
        <x:f>IF(RAND()&lt;(('Team_Info'!$E$2-COUNTIF($B477:T477,"W"))/('Team_Info'!$E$4-19)),"W","B")</x:f>
        <x:v>B</x:v>
      </x:c>
    </x:row>
    <x:row r="478">
      <x:c r="A478" s="1">
        <x:v>477</x:v>
      </x:c>
      <x:c r="B478" t="str">
        <x:f>IF(RAND()&lt;'Team_Info'!$E$5,"W","B")</x:f>
        <x:v>B</x:v>
      </x:c>
      <x:c r="C478" t="str">
        <x:f>IF(RAND()&lt;(('Team_Info'!$E$2-COUNTIF($B478:B478,"W"))/('Team_Info'!$E$4-1)),"W","B")</x:f>
        <x:v>W</x:v>
      </x:c>
      <x:c r="D478" t="str">
        <x:f>IF(RAND()&lt;(('Team_Info'!$E$2-COUNTIF($B478:C478,"W"))/('Team_Info'!$E$4-2)),"W","B")</x:f>
        <x:v>B</x:v>
      </x:c>
      <x:c r="E478" t="str">
        <x:f>IF(RAND()&lt;(('Team_Info'!$E$2-COUNTIF($B478:D478,"W"))/('Team_Info'!$E$4-3)),"W","B")</x:f>
        <x:v>B</x:v>
      </x:c>
      <x:c r="F478" t="str">
        <x:f>IF(RAND()&lt;(('Team_Info'!$E$2-COUNTIF($B478:E478,"W"))/('Team_Info'!$E$4-4)),"W","B")</x:f>
        <x:v>W</x:v>
      </x:c>
      <x:c r="G478" t="str">
        <x:f>IF(RAND()&lt;(('Team_Info'!$E$2-COUNTIF($B478:F478,"W"))/('Team_Info'!$E$4-5)),"W","B")</x:f>
        <x:v>B</x:v>
      </x:c>
      <x:c r="H478" t="str">
        <x:f>IF(RAND()&lt;(('Team_Info'!$E$2-COUNTIF($B478:G478,"W"))/('Team_Info'!$E$4-6)),"W","B")</x:f>
        <x:v>B</x:v>
      </x:c>
      <x:c r="I478" t="str">
        <x:f>IF(RAND()&lt;(('Team_Info'!$E$2-COUNTIF($B478:H478,"W"))/('Team_Info'!$E$4-7)),"W","B")</x:f>
        <x:v>W</x:v>
      </x:c>
      <x:c r="J478" t="str">
        <x:f>IF(RAND()&lt;(('Team_Info'!$E$2-COUNTIF($B478:I478,"W"))/('Team_Info'!$E$4-8)),"W","B")</x:f>
        <x:v>B</x:v>
      </x:c>
      <x:c r="K478" t="str">
        <x:f>IF(RAND()&lt;(('Team_Info'!$E$2-COUNTIF($B478:J478,"W"))/('Team_Info'!$E$4-9)),"W","B")</x:f>
        <x:v>W</x:v>
      </x:c>
      <x:c r="L478" t="str">
        <x:f>IF(RAND()&lt;(('Team_Info'!$E$2-COUNTIF($B478:K478,"W"))/('Team_Info'!$E$4-10)),"W","B")</x:f>
        <x:v>W</x:v>
      </x:c>
      <x:c r="M478" t="str">
        <x:f>IF(RAND()&lt;(('Team_Info'!$E$2-COUNTIF($B478:L478,"W"))/('Team_Info'!$E$4-11)),"W","B")</x:f>
        <x:v>W</x:v>
      </x:c>
      <x:c r="N478" t="str">
        <x:f>IF(RAND()&lt;(('Team_Info'!$E$2-COUNTIF($B478:M478,"W"))/('Team_Info'!$E$4-12)),"W","B")</x:f>
        <x:v>W</x:v>
      </x:c>
      <x:c r="O478" t="str">
        <x:f>IF(RAND()&lt;(('Team_Info'!$E$2-COUNTIF($B478:N478,"W"))/('Team_Info'!$E$4-13)),"W","B")</x:f>
        <x:v>B</x:v>
      </x:c>
      <x:c r="P478" t="str">
        <x:f>IF(RAND()&lt;(('Team_Info'!$E$2-COUNTIF($B478:O478,"W"))/('Team_Info'!$E$4-14)),"W","B")</x:f>
        <x:v>B</x:v>
      </x:c>
      <x:c r="Q478" t="str">
        <x:f>IF(RAND()&lt;(('Team_Info'!$E$2-COUNTIF($B478:P478,"W"))/('Team_Info'!$E$4-15)),"W","B")</x:f>
        <x:v>B</x:v>
      </x:c>
      <x:c r="R478" t="str">
        <x:f>IF(RAND()&lt;(('Team_Info'!$E$2-COUNTIF($B478:Q478,"W"))/('Team_Info'!$E$4-16)),"W","B")</x:f>
        <x:v>B</x:v>
      </x:c>
      <x:c r="S478" t="str">
        <x:f>IF(RAND()&lt;(('Team_Info'!$E$2-COUNTIF($B478:R478,"W"))/('Team_Info'!$E$4-17)),"W","B")</x:f>
        <x:v>B</x:v>
      </x:c>
      <x:c r="T478" t="str">
        <x:f>IF(RAND()&lt;(('Team_Info'!$E$2-COUNTIF($B478:S478,"W"))/('Team_Info'!$E$4-18)),"W","B")</x:f>
        <x:v>B</x:v>
      </x:c>
      <x:c r="U478" t="str">
        <x:f>IF(RAND()&lt;(('Team_Info'!$E$2-COUNTIF($B478:T478,"W"))/('Team_Info'!$E$4-19)),"W","B")</x:f>
        <x:v>B</x:v>
      </x:c>
    </x:row>
    <x:row r="479">
      <x:c r="A479" s="1">
        <x:v>478</x:v>
      </x:c>
      <x:c r="B479" t="str">
        <x:f>IF(RAND()&lt;'Team_Info'!$E$5,"W","B")</x:f>
        <x:v>W</x:v>
      </x:c>
      <x:c r="C479" t="str">
        <x:f>IF(RAND()&lt;(('Team_Info'!$E$2-COUNTIF($B479:B479,"W"))/('Team_Info'!$E$4-1)),"W","B")</x:f>
        <x:v>B</x:v>
      </x:c>
      <x:c r="D479" t="str">
        <x:f>IF(RAND()&lt;(('Team_Info'!$E$2-COUNTIF($B479:C479,"W"))/('Team_Info'!$E$4-2)),"W","B")</x:f>
        <x:v>B</x:v>
      </x:c>
      <x:c r="E479" t="str">
        <x:f>IF(RAND()&lt;(('Team_Info'!$E$2-COUNTIF($B479:D479,"W"))/('Team_Info'!$E$4-3)),"W","B")</x:f>
        <x:v>W</x:v>
      </x:c>
      <x:c r="F479" t="str">
        <x:f>IF(RAND()&lt;(('Team_Info'!$E$2-COUNTIF($B479:E479,"W"))/('Team_Info'!$E$4-4)),"W","B")</x:f>
        <x:v>W</x:v>
      </x:c>
      <x:c r="G479" t="str">
        <x:f>IF(RAND()&lt;(('Team_Info'!$E$2-COUNTIF($B479:F479,"W"))/('Team_Info'!$E$4-5)),"W","B")</x:f>
        <x:v>B</x:v>
      </x:c>
      <x:c r="H479" t="str">
        <x:f>IF(RAND()&lt;(('Team_Info'!$E$2-COUNTIF($B479:G479,"W"))/('Team_Info'!$E$4-6)),"W","B")</x:f>
        <x:v>B</x:v>
      </x:c>
      <x:c r="I479" t="str">
        <x:f>IF(RAND()&lt;(('Team_Info'!$E$2-COUNTIF($B479:H479,"W"))/('Team_Info'!$E$4-7)),"W","B")</x:f>
        <x:v>W</x:v>
      </x:c>
      <x:c r="J479" t="str">
        <x:f>IF(RAND()&lt;(('Team_Info'!$E$2-COUNTIF($B479:I479,"W"))/('Team_Info'!$E$4-8)),"W","B")</x:f>
        <x:v>B</x:v>
      </x:c>
      <x:c r="K479" t="str">
        <x:f>IF(RAND()&lt;(('Team_Info'!$E$2-COUNTIF($B479:J479,"W"))/('Team_Info'!$E$4-9)),"W","B")</x:f>
        <x:v>B</x:v>
      </x:c>
      <x:c r="L479" t="str">
        <x:f>IF(RAND()&lt;(('Team_Info'!$E$2-COUNTIF($B479:K479,"W"))/('Team_Info'!$E$4-10)),"W","B")</x:f>
        <x:v>B</x:v>
      </x:c>
      <x:c r="M479" t="str">
        <x:f>IF(RAND()&lt;(('Team_Info'!$E$2-COUNTIF($B479:L479,"W"))/('Team_Info'!$E$4-11)),"W","B")</x:f>
        <x:v>W</x:v>
      </x:c>
      <x:c r="N479" t="str">
        <x:f>IF(RAND()&lt;(('Team_Info'!$E$2-COUNTIF($B479:M479,"W"))/('Team_Info'!$E$4-12)),"W","B")</x:f>
        <x:v>B</x:v>
      </x:c>
      <x:c r="O479" t="str">
        <x:f>IF(RAND()&lt;(('Team_Info'!$E$2-COUNTIF($B479:N479,"W"))/('Team_Info'!$E$4-13)),"W","B")</x:f>
        <x:v>W</x:v>
      </x:c>
      <x:c r="P479" t="str">
        <x:f>IF(RAND()&lt;(('Team_Info'!$E$2-COUNTIF($B479:O479,"W"))/('Team_Info'!$E$4-14)),"W","B")</x:f>
        <x:v>B</x:v>
      </x:c>
      <x:c r="Q479" t="str">
        <x:f>IF(RAND()&lt;(('Team_Info'!$E$2-COUNTIF($B479:P479,"W"))/('Team_Info'!$E$4-15)),"W","B")</x:f>
        <x:v>B</x:v>
      </x:c>
      <x:c r="R479" t="str">
        <x:f>IF(RAND()&lt;(('Team_Info'!$E$2-COUNTIF($B479:Q479,"W"))/('Team_Info'!$E$4-16)),"W","B")</x:f>
        <x:v>B</x:v>
      </x:c>
      <x:c r="S479" t="str">
        <x:f>IF(RAND()&lt;(('Team_Info'!$E$2-COUNTIF($B479:R479,"W"))/('Team_Info'!$E$4-17)),"W","B")</x:f>
        <x:v>W</x:v>
      </x:c>
      <x:c r="T479" t="str">
        <x:f>IF(RAND()&lt;(('Team_Info'!$E$2-COUNTIF($B479:S479,"W"))/('Team_Info'!$E$4-18)),"W","B")</x:f>
        <x:v>B</x:v>
      </x:c>
      <x:c r="U479" t="str">
        <x:f>IF(RAND()&lt;(('Team_Info'!$E$2-COUNTIF($B479:T479,"W"))/('Team_Info'!$E$4-19)),"W","B")</x:f>
        <x:v>B</x:v>
      </x:c>
    </x:row>
    <x:row r="480">
      <x:c r="A480" s="1">
        <x:v>479</x:v>
      </x:c>
      <x:c r="B480" t="str">
        <x:f>IF(RAND()&lt;'Team_Info'!$E$5,"W","B")</x:f>
        <x:v>W</x:v>
      </x:c>
      <x:c r="C480" t="str">
        <x:f>IF(RAND()&lt;(('Team_Info'!$E$2-COUNTIF($B480:B480,"W"))/('Team_Info'!$E$4-1)),"W","B")</x:f>
        <x:v>W</x:v>
      </x:c>
      <x:c r="D480" t="str">
        <x:f>IF(RAND()&lt;(('Team_Info'!$E$2-COUNTIF($B480:C480,"W"))/('Team_Info'!$E$4-2)),"W","B")</x:f>
        <x:v>B</x:v>
      </x:c>
      <x:c r="E480" t="str">
        <x:f>IF(RAND()&lt;(('Team_Info'!$E$2-COUNTIF($B480:D480,"W"))/('Team_Info'!$E$4-3)),"W","B")</x:f>
        <x:v>W</x:v>
      </x:c>
      <x:c r="F480" t="str">
        <x:f>IF(RAND()&lt;(('Team_Info'!$E$2-COUNTIF($B480:E480,"W"))/('Team_Info'!$E$4-4)),"W","B")</x:f>
        <x:v>B</x:v>
      </x:c>
      <x:c r="G480" t="str">
        <x:f>IF(RAND()&lt;(('Team_Info'!$E$2-COUNTIF($B480:F480,"W"))/('Team_Info'!$E$4-5)),"W","B")</x:f>
        <x:v>W</x:v>
      </x:c>
      <x:c r="H480" t="str">
        <x:f>IF(RAND()&lt;(('Team_Info'!$E$2-COUNTIF($B480:G480,"W"))/('Team_Info'!$E$4-6)),"W","B")</x:f>
        <x:v>W</x:v>
      </x:c>
      <x:c r="I480" t="str">
        <x:f>IF(RAND()&lt;(('Team_Info'!$E$2-COUNTIF($B480:H480,"W"))/('Team_Info'!$E$4-7)),"W","B")</x:f>
        <x:v>W</x:v>
      </x:c>
      <x:c r="J480" t="str">
        <x:f>IF(RAND()&lt;(('Team_Info'!$E$2-COUNTIF($B480:I480,"W"))/('Team_Info'!$E$4-8)),"W","B")</x:f>
        <x:v>W</x:v>
      </x:c>
      <x:c r="K480" t="str">
        <x:f>IF(RAND()&lt;(('Team_Info'!$E$2-COUNTIF($B480:J480,"W"))/('Team_Info'!$E$4-9)),"W","B")</x:f>
        <x:v>B</x:v>
      </x:c>
      <x:c r="L480" t="str">
        <x:f>IF(RAND()&lt;(('Team_Info'!$E$2-COUNTIF($B480:K480,"W"))/('Team_Info'!$E$4-10)),"W","B")</x:f>
        <x:v>W</x:v>
      </x:c>
      <x:c r="M480" t="str">
        <x:f>IF(RAND()&lt;(('Team_Info'!$E$2-COUNTIF($B480:L480,"W"))/('Team_Info'!$E$4-11)),"W","B")</x:f>
        <x:v>W</x:v>
      </x:c>
      <x:c r="N480" t="str">
        <x:f>IF(RAND()&lt;(('Team_Info'!$E$2-COUNTIF($B480:M480,"W"))/('Team_Info'!$E$4-12)),"W","B")</x:f>
        <x:v>B</x:v>
      </x:c>
      <x:c r="O480" t="str">
        <x:f>IF(RAND()&lt;(('Team_Info'!$E$2-COUNTIF($B480:N480,"W"))/('Team_Info'!$E$4-13)),"W","B")</x:f>
        <x:v>B</x:v>
      </x:c>
      <x:c r="P480" t="str">
        <x:f>IF(RAND()&lt;(('Team_Info'!$E$2-COUNTIF($B480:O480,"W"))/('Team_Info'!$E$4-14)),"W","B")</x:f>
        <x:v>B</x:v>
      </x:c>
      <x:c r="Q480" t="str">
        <x:f>IF(RAND()&lt;(('Team_Info'!$E$2-COUNTIF($B480:P480,"W"))/('Team_Info'!$E$4-15)),"W","B")</x:f>
        <x:v>B</x:v>
      </x:c>
      <x:c r="R480" t="str">
        <x:f>IF(RAND()&lt;(('Team_Info'!$E$2-COUNTIF($B480:Q480,"W"))/('Team_Info'!$E$4-16)),"W","B")</x:f>
        <x:v>B</x:v>
      </x:c>
      <x:c r="S480" t="str">
        <x:f>IF(RAND()&lt;(('Team_Info'!$E$2-COUNTIF($B480:R480,"W"))/('Team_Info'!$E$4-17)),"W","B")</x:f>
        <x:v>W</x:v>
      </x:c>
      <x:c r="T480" t="str">
        <x:f>IF(RAND()&lt;(('Team_Info'!$E$2-COUNTIF($B480:S480,"W"))/('Team_Info'!$E$4-18)),"W","B")</x:f>
        <x:v>B</x:v>
      </x:c>
      <x:c r="U480" t="str">
        <x:f>IF(RAND()&lt;(('Team_Info'!$E$2-COUNTIF($B480:T480,"W"))/('Team_Info'!$E$4-19)),"W","B")</x:f>
        <x:v>B</x:v>
      </x:c>
    </x:row>
    <x:row r="481">
      <x:c r="A481" s="1">
        <x:v>480</x:v>
      </x:c>
      <x:c r="B481" t="str">
        <x:f>IF(RAND()&lt;'Team_Info'!$E$5,"W","B")</x:f>
        <x:v>W</x:v>
      </x:c>
      <x:c r="C481" t="str">
        <x:f>IF(RAND()&lt;(('Team_Info'!$E$2-COUNTIF($B481:B481,"W"))/('Team_Info'!$E$4-1)),"W","B")</x:f>
        <x:v>W</x:v>
      </x:c>
      <x:c r="D481" t="str">
        <x:f>IF(RAND()&lt;(('Team_Info'!$E$2-COUNTIF($B481:C481,"W"))/('Team_Info'!$E$4-2)),"W","B")</x:f>
        <x:v>W</x:v>
      </x:c>
      <x:c r="E481" t="str">
        <x:f>IF(RAND()&lt;(('Team_Info'!$E$2-COUNTIF($B481:D481,"W"))/('Team_Info'!$E$4-3)),"W","B")</x:f>
        <x:v>B</x:v>
      </x:c>
      <x:c r="F481" t="str">
        <x:f>IF(RAND()&lt;(('Team_Info'!$E$2-COUNTIF($B481:E481,"W"))/('Team_Info'!$E$4-4)),"W","B")</x:f>
        <x:v>B</x:v>
      </x:c>
      <x:c r="G481" t="str">
        <x:f>IF(RAND()&lt;(('Team_Info'!$E$2-COUNTIF($B481:F481,"W"))/('Team_Info'!$E$4-5)),"W","B")</x:f>
        <x:v>W</x:v>
      </x:c>
      <x:c r="H481" t="str">
        <x:f>IF(RAND()&lt;(('Team_Info'!$E$2-COUNTIF($B481:G481,"W"))/('Team_Info'!$E$4-6)),"W","B")</x:f>
        <x:v>B</x:v>
      </x:c>
      <x:c r="I481" t="str">
        <x:f>IF(RAND()&lt;(('Team_Info'!$E$2-COUNTIF($B481:H481,"W"))/('Team_Info'!$E$4-7)),"W","B")</x:f>
        <x:v>B</x:v>
      </x:c>
      <x:c r="J481" t="str">
        <x:f>IF(RAND()&lt;(('Team_Info'!$E$2-COUNTIF($B481:I481,"W"))/('Team_Info'!$E$4-8)),"W","B")</x:f>
        <x:v>B</x:v>
      </x:c>
      <x:c r="K481" t="str">
        <x:f>IF(RAND()&lt;(('Team_Info'!$E$2-COUNTIF($B481:J481,"W"))/('Team_Info'!$E$4-9)),"W","B")</x:f>
        <x:v>B</x:v>
      </x:c>
      <x:c r="L481" t="str">
        <x:f>IF(RAND()&lt;(('Team_Info'!$E$2-COUNTIF($B481:K481,"W"))/('Team_Info'!$E$4-10)),"W","B")</x:f>
        <x:v>B</x:v>
      </x:c>
      <x:c r="M481" t="str">
        <x:f>IF(RAND()&lt;(('Team_Info'!$E$2-COUNTIF($B481:L481,"W"))/('Team_Info'!$E$4-11)),"W","B")</x:f>
        <x:v>W</x:v>
      </x:c>
      <x:c r="N481" t="str">
        <x:f>IF(RAND()&lt;(('Team_Info'!$E$2-COUNTIF($B481:M481,"W"))/('Team_Info'!$E$4-12)),"W","B")</x:f>
        <x:v>B</x:v>
      </x:c>
      <x:c r="O481" t="str">
        <x:f>IF(RAND()&lt;(('Team_Info'!$E$2-COUNTIF($B481:N481,"W"))/('Team_Info'!$E$4-13)),"W","B")</x:f>
        <x:v>W</x:v>
      </x:c>
      <x:c r="P481" t="str">
        <x:f>IF(RAND()&lt;(('Team_Info'!$E$2-COUNTIF($B481:O481,"W"))/('Team_Info'!$E$4-14)),"W","B")</x:f>
        <x:v>B</x:v>
      </x:c>
      <x:c r="Q481" t="str">
        <x:f>IF(RAND()&lt;(('Team_Info'!$E$2-COUNTIF($B481:P481,"W"))/('Team_Info'!$E$4-15)),"W","B")</x:f>
        <x:v>B</x:v>
      </x:c>
      <x:c r="R481" t="str">
        <x:f>IF(RAND()&lt;(('Team_Info'!$E$2-COUNTIF($B481:Q481,"W"))/('Team_Info'!$E$4-16)),"W","B")</x:f>
        <x:v>B</x:v>
      </x:c>
      <x:c r="S481" t="str">
        <x:f>IF(RAND()&lt;(('Team_Info'!$E$2-COUNTIF($B481:R481,"W"))/('Team_Info'!$E$4-17)),"W","B")</x:f>
        <x:v>B</x:v>
      </x:c>
      <x:c r="T481" t="str">
        <x:f>IF(RAND()&lt;(('Team_Info'!$E$2-COUNTIF($B481:S481,"W"))/('Team_Info'!$E$4-18)),"W","B")</x:f>
        <x:v>W</x:v>
      </x:c>
      <x:c r="U481" t="str">
        <x:f>IF(RAND()&lt;(('Team_Info'!$E$2-COUNTIF($B481:T481,"W"))/('Team_Info'!$E$4-19)),"W","B")</x:f>
        <x:v>B</x:v>
      </x:c>
    </x:row>
    <x:row r="482">
      <x:c r="A482" s="1">
        <x:v>481</x:v>
      </x:c>
      <x:c r="B482" t="str">
        <x:f>IF(RAND()&lt;'Team_Info'!$E$5,"W","B")</x:f>
        <x:v>B</x:v>
      </x:c>
      <x:c r="C482" t="str">
        <x:f>IF(RAND()&lt;(('Team_Info'!$E$2-COUNTIF($B482:B482,"W"))/('Team_Info'!$E$4-1)),"W","B")</x:f>
        <x:v>B</x:v>
      </x:c>
      <x:c r="D482" t="str">
        <x:f>IF(RAND()&lt;(('Team_Info'!$E$2-COUNTIF($B482:C482,"W"))/('Team_Info'!$E$4-2)),"W","B")</x:f>
        <x:v>B</x:v>
      </x:c>
      <x:c r="E482" t="str">
        <x:f>IF(RAND()&lt;(('Team_Info'!$E$2-COUNTIF($B482:D482,"W"))/('Team_Info'!$E$4-3)),"W","B")</x:f>
        <x:v>W</x:v>
      </x:c>
      <x:c r="F482" t="str">
        <x:f>IF(RAND()&lt;(('Team_Info'!$E$2-COUNTIF($B482:E482,"W"))/('Team_Info'!$E$4-4)),"W","B")</x:f>
        <x:v>B</x:v>
      </x:c>
      <x:c r="G482" t="str">
        <x:f>IF(RAND()&lt;(('Team_Info'!$E$2-COUNTIF($B482:F482,"W"))/('Team_Info'!$E$4-5)),"W","B")</x:f>
        <x:v>B</x:v>
      </x:c>
      <x:c r="H482" t="str">
        <x:f>IF(RAND()&lt;(('Team_Info'!$E$2-COUNTIF($B482:G482,"W"))/('Team_Info'!$E$4-6)),"W","B")</x:f>
        <x:v>B</x:v>
      </x:c>
      <x:c r="I482" t="str">
        <x:f>IF(RAND()&lt;(('Team_Info'!$E$2-COUNTIF($B482:H482,"W"))/('Team_Info'!$E$4-7)),"W","B")</x:f>
        <x:v>B</x:v>
      </x:c>
      <x:c r="J482" t="str">
        <x:f>IF(RAND()&lt;(('Team_Info'!$E$2-COUNTIF($B482:I482,"W"))/('Team_Info'!$E$4-8)),"W","B")</x:f>
        <x:v>B</x:v>
      </x:c>
      <x:c r="K482" t="str">
        <x:f>IF(RAND()&lt;(('Team_Info'!$E$2-COUNTIF($B482:J482,"W"))/('Team_Info'!$E$4-9)),"W","B")</x:f>
        <x:v>W</x:v>
      </x:c>
      <x:c r="L482" t="str">
        <x:f>IF(RAND()&lt;(('Team_Info'!$E$2-COUNTIF($B482:K482,"W"))/('Team_Info'!$E$4-10)),"W","B")</x:f>
        <x:v>W</x:v>
      </x:c>
      <x:c r="M482" t="str">
        <x:f>IF(RAND()&lt;(('Team_Info'!$E$2-COUNTIF($B482:L482,"W"))/('Team_Info'!$E$4-11)),"W","B")</x:f>
        <x:v>W</x:v>
      </x:c>
      <x:c r="N482" t="str">
        <x:f>IF(RAND()&lt;(('Team_Info'!$E$2-COUNTIF($B482:M482,"W"))/('Team_Info'!$E$4-12)),"W","B")</x:f>
        <x:v>W</x:v>
      </x:c>
      <x:c r="O482" t="str">
        <x:f>IF(RAND()&lt;(('Team_Info'!$E$2-COUNTIF($B482:N482,"W"))/('Team_Info'!$E$4-13)),"W","B")</x:f>
        <x:v>W</x:v>
      </x:c>
      <x:c r="P482" t="str">
        <x:f>IF(RAND()&lt;(('Team_Info'!$E$2-COUNTIF($B482:O482,"W"))/('Team_Info'!$E$4-14)),"W","B")</x:f>
        <x:v>W</x:v>
      </x:c>
      <x:c r="Q482" t="str">
        <x:f>IF(RAND()&lt;(('Team_Info'!$E$2-COUNTIF($B482:P482,"W"))/('Team_Info'!$E$4-15)),"W","B")</x:f>
        <x:v>W</x:v>
      </x:c>
      <x:c r="R482" t="str">
        <x:f>IF(RAND()&lt;(('Team_Info'!$E$2-COUNTIF($B482:Q482,"W"))/('Team_Info'!$E$4-16)),"W","B")</x:f>
        <x:v>W</x:v>
      </x:c>
      <x:c r="S482" t="str">
        <x:f>IF(RAND()&lt;(('Team_Info'!$E$2-COUNTIF($B482:R482,"W"))/('Team_Info'!$E$4-17)),"W","B")</x:f>
        <x:v>B</x:v>
      </x:c>
      <x:c r="T482" t="str">
        <x:f>IF(RAND()&lt;(('Team_Info'!$E$2-COUNTIF($B482:S482,"W"))/('Team_Info'!$E$4-18)),"W","B")</x:f>
        <x:v>W</x:v>
      </x:c>
      <x:c r="U482" t="str">
        <x:f>IF(RAND()&lt;(('Team_Info'!$E$2-COUNTIF($B482:T482,"W"))/('Team_Info'!$E$4-19)),"W","B")</x:f>
        <x:v>B</x:v>
      </x:c>
    </x:row>
    <x:row r="483">
      <x:c r="A483" s="1">
        <x:v>482</x:v>
      </x:c>
      <x:c r="B483" t="str">
        <x:f>IF(RAND()&lt;'Team_Info'!$E$5,"W","B")</x:f>
        <x:v>W</x:v>
      </x:c>
      <x:c r="C483" t="str">
        <x:f>IF(RAND()&lt;(('Team_Info'!$E$2-COUNTIF($B483:B483,"W"))/('Team_Info'!$E$4-1)),"W","B")</x:f>
        <x:v>B</x:v>
      </x:c>
      <x:c r="D483" t="str">
        <x:f>IF(RAND()&lt;(('Team_Info'!$E$2-COUNTIF($B483:C483,"W"))/('Team_Info'!$E$4-2)),"W","B")</x:f>
        <x:v>B</x:v>
      </x:c>
      <x:c r="E483" t="str">
        <x:f>IF(RAND()&lt;(('Team_Info'!$E$2-COUNTIF($B483:D483,"W"))/('Team_Info'!$E$4-3)),"W","B")</x:f>
        <x:v>B</x:v>
      </x:c>
      <x:c r="F483" t="str">
        <x:f>IF(RAND()&lt;(('Team_Info'!$E$2-COUNTIF($B483:E483,"W"))/('Team_Info'!$E$4-4)),"W","B")</x:f>
        <x:v>B</x:v>
      </x:c>
      <x:c r="G483" t="str">
        <x:f>IF(RAND()&lt;(('Team_Info'!$E$2-COUNTIF($B483:F483,"W"))/('Team_Info'!$E$4-5)),"W","B")</x:f>
        <x:v>B</x:v>
      </x:c>
      <x:c r="H483" t="str">
        <x:f>IF(RAND()&lt;(('Team_Info'!$E$2-COUNTIF($B483:G483,"W"))/('Team_Info'!$E$4-6)),"W","B")</x:f>
        <x:v>W</x:v>
      </x:c>
      <x:c r="I483" t="str">
        <x:f>IF(RAND()&lt;(('Team_Info'!$E$2-COUNTIF($B483:H483,"W"))/('Team_Info'!$E$4-7)),"W","B")</x:f>
        <x:v>B</x:v>
      </x:c>
      <x:c r="J483" t="str">
        <x:f>IF(RAND()&lt;(('Team_Info'!$E$2-COUNTIF($B483:I483,"W"))/('Team_Info'!$E$4-8)),"W","B")</x:f>
        <x:v>B</x:v>
      </x:c>
      <x:c r="K483" t="str">
        <x:f>IF(RAND()&lt;(('Team_Info'!$E$2-COUNTIF($B483:J483,"W"))/('Team_Info'!$E$4-9)),"W","B")</x:f>
        <x:v>B</x:v>
      </x:c>
      <x:c r="L483" t="str">
        <x:f>IF(RAND()&lt;(('Team_Info'!$E$2-COUNTIF($B483:K483,"W"))/('Team_Info'!$E$4-10)),"W","B")</x:f>
        <x:v>B</x:v>
      </x:c>
      <x:c r="M483" t="str">
        <x:f>IF(RAND()&lt;(('Team_Info'!$E$2-COUNTIF($B483:L483,"W"))/('Team_Info'!$E$4-11)),"W","B")</x:f>
        <x:v>W</x:v>
      </x:c>
      <x:c r="N483" t="str">
        <x:f>IF(RAND()&lt;(('Team_Info'!$E$2-COUNTIF($B483:M483,"W"))/('Team_Info'!$E$4-12)),"W","B")</x:f>
        <x:v>B</x:v>
      </x:c>
      <x:c r="O483" t="str">
        <x:f>IF(RAND()&lt;(('Team_Info'!$E$2-COUNTIF($B483:N483,"W"))/('Team_Info'!$E$4-13)),"W","B")</x:f>
        <x:v>W</x:v>
      </x:c>
      <x:c r="P483" t="str">
        <x:f>IF(RAND()&lt;(('Team_Info'!$E$2-COUNTIF($B483:O483,"W"))/('Team_Info'!$E$4-14)),"W","B")</x:f>
        <x:v>W</x:v>
      </x:c>
      <x:c r="Q483" t="str">
        <x:f>IF(RAND()&lt;(('Team_Info'!$E$2-COUNTIF($B483:P483,"W"))/('Team_Info'!$E$4-15)),"W","B")</x:f>
        <x:v>B</x:v>
      </x:c>
      <x:c r="R483" t="str">
        <x:f>IF(RAND()&lt;(('Team_Info'!$E$2-COUNTIF($B483:Q483,"W"))/('Team_Info'!$E$4-16)),"W","B")</x:f>
        <x:v>W</x:v>
      </x:c>
      <x:c r="S483" t="str">
        <x:f>IF(RAND()&lt;(('Team_Info'!$E$2-COUNTIF($B483:R483,"W"))/('Team_Info'!$E$4-17)),"W","B")</x:f>
        <x:v>W</x:v>
      </x:c>
      <x:c r="T483" t="str">
        <x:f>IF(RAND()&lt;(('Team_Info'!$E$2-COUNTIF($B483:S483,"W"))/('Team_Info'!$E$4-18)),"W","B")</x:f>
        <x:v>B</x:v>
      </x:c>
      <x:c r="U483" t="str">
        <x:f>IF(RAND()&lt;(('Team_Info'!$E$2-COUNTIF($B483:T483,"W"))/('Team_Info'!$E$4-19)),"W","B")</x:f>
        <x:v>W</x:v>
      </x:c>
    </x:row>
    <x:row r="484">
      <x:c r="A484" s="1">
        <x:v>483</x:v>
      </x:c>
      <x:c r="B484" t="str">
        <x:f>IF(RAND()&lt;'Team_Info'!$E$5,"W","B")</x:f>
        <x:v>B</x:v>
      </x:c>
      <x:c r="C484" t="str">
        <x:f>IF(RAND()&lt;(('Team_Info'!$E$2-COUNTIF($B484:B484,"W"))/('Team_Info'!$E$4-1)),"W","B")</x:f>
        <x:v>B</x:v>
      </x:c>
      <x:c r="D484" t="str">
        <x:f>IF(RAND()&lt;(('Team_Info'!$E$2-COUNTIF($B484:C484,"W"))/('Team_Info'!$E$4-2)),"W","B")</x:f>
        <x:v>B</x:v>
      </x:c>
      <x:c r="E484" t="str">
        <x:f>IF(RAND()&lt;(('Team_Info'!$E$2-COUNTIF($B484:D484,"W"))/('Team_Info'!$E$4-3)),"W","B")</x:f>
        <x:v>B</x:v>
      </x:c>
      <x:c r="F484" t="str">
        <x:f>IF(RAND()&lt;(('Team_Info'!$E$2-COUNTIF($B484:E484,"W"))/('Team_Info'!$E$4-4)),"W","B")</x:f>
        <x:v>W</x:v>
      </x:c>
      <x:c r="G484" t="str">
        <x:f>IF(RAND()&lt;(('Team_Info'!$E$2-COUNTIF($B484:F484,"W"))/('Team_Info'!$E$4-5)),"W","B")</x:f>
        <x:v>B</x:v>
      </x:c>
      <x:c r="H484" t="str">
        <x:f>IF(RAND()&lt;(('Team_Info'!$E$2-COUNTIF($B484:G484,"W"))/('Team_Info'!$E$4-6)),"W","B")</x:f>
        <x:v>B</x:v>
      </x:c>
      <x:c r="I484" t="str">
        <x:f>IF(RAND()&lt;(('Team_Info'!$E$2-COUNTIF($B484:H484,"W"))/('Team_Info'!$E$4-7)),"W","B")</x:f>
        <x:v>B</x:v>
      </x:c>
      <x:c r="J484" t="str">
        <x:f>IF(RAND()&lt;(('Team_Info'!$E$2-COUNTIF($B484:I484,"W"))/('Team_Info'!$E$4-8)),"W","B")</x:f>
        <x:v>B</x:v>
      </x:c>
      <x:c r="K484" t="str">
        <x:f>IF(RAND()&lt;(('Team_Info'!$E$2-COUNTIF($B484:J484,"W"))/('Team_Info'!$E$4-9)),"W","B")</x:f>
        <x:v>B</x:v>
      </x:c>
      <x:c r="L484" t="str">
        <x:f>IF(RAND()&lt;(('Team_Info'!$E$2-COUNTIF($B484:K484,"W"))/('Team_Info'!$E$4-10)),"W","B")</x:f>
        <x:v>W</x:v>
      </x:c>
      <x:c r="M484" t="str">
        <x:f>IF(RAND()&lt;(('Team_Info'!$E$2-COUNTIF($B484:L484,"W"))/('Team_Info'!$E$4-11)),"W","B")</x:f>
        <x:v>W</x:v>
      </x:c>
      <x:c r="N484" t="str">
        <x:f>IF(RAND()&lt;(('Team_Info'!$E$2-COUNTIF($B484:M484,"W"))/('Team_Info'!$E$4-12)),"W","B")</x:f>
        <x:v>W</x:v>
      </x:c>
      <x:c r="O484" t="str">
        <x:f>IF(RAND()&lt;(('Team_Info'!$E$2-COUNTIF($B484:N484,"W"))/('Team_Info'!$E$4-13)),"W","B")</x:f>
        <x:v>B</x:v>
      </x:c>
      <x:c r="P484" t="str">
        <x:f>IF(RAND()&lt;(('Team_Info'!$E$2-COUNTIF($B484:O484,"W"))/('Team_Info'!$E$4-14)),"W","B")</x:f>
        <x:v>B</x:v>
      </x:c>
      <x:c r="Q484" t="str">
        <x:f>IF(RAND()&lt;(('Team_Info'!$E$2-COUNTIF($B484:P484,"W"))/('Team_Info'!$E$4-15)),"W","B")</x:f>
        <x:v>B</x:v>
      </x:c>
      <x:c r="R484" t="str">
        <x:f>IF(RAND()&lt;(('Team_Info'!$E$2-COUNTIF($B484:Q484,"W"))/('Team_Info'!$E$4-16)),"W","B")</x:f>
        <x:v>W</x:v>
      </x:c>
      <x:c r="S484" t="str">
        <x:f>IF(RAND()&lt;(('Team_Info'!$E$2-COUNTIF($B484:R484,"W"))/('Team_Info'!$E$4-17)),"W","B")</x:f>
        <x:v>B</x:v>
      </x:c>
      <x:c r="T484" t="str">
        <x:f>IF(RAND()&lt;(('Team_Info'!$E$2-COUNTIF($B484:S484,"W"))/('Team_Info'!$E$4-18)),"W","B")</x:f>
        <x:v>B</x:v>
      </x:c>
      <x:c r="U484" t="str">
        <x:f>IF(RAND()&lt;(('Team_Info'!$E$2-COUNTIF($B484:T484,"W"))/('Team_Info'!$E$4-19)),"W","B")</x:f>
        <x:v>B</x:v>
      </x:c>
    </x:row>
    <x:row r="485">
      <x:c r="A485" s="1">
        <x:v>484</x:v>
      </x:c>
      <x:c r="B485" t="str">
        <x:f>IF(RAND()&lt;'Team_Info'!$E$5,"W","B")</x:f>
        <x:v>B</x:v>
      </x:c>
      <x:c r="C485" t="str">
        <x:f>IF(RAND()&lt;(('Team_Info'!$E$2-COUNTIF($B485:B485,"W"))/('Team_Info'!$E$4-1)),"W","B")</x:f>
        <x:v>W</x:v>
      </x:c>
      <x:c r="D485" t="str">
        <x:f>IF(RAND()&lt;(('Team_Info'!$E$2-COUNTIF($B485:C485,"W"))/('Team_Info'!$E$4-2)),"W","B")</x:f>
        <x:v>W</x:v>
      </x:c>
      <x:c r="E485" t="str">
        <x:f>IF(RAND()&lt;(('Team_Info'!$E$2-COUNTIF($B485:D485,"W"))/('Team_Info'!$E$4-3)),"W","B")</x:f>
        <x:v>B</x:v>
      </x:c>
      <x:c r="F485" t="str">
        <x:f>IF(RAND()&lt;(('Team_Info'!$E$2-COUNTIF($B485:E485,"W"))/('Team_Info'!$E$4-4)),"W","B")</x:f>
        <x:v>B</x:v>
      </x:c>
      <x:c r="G485" t="str">
        <x:f>IF(RAND()&lt;(('Team_Info'!$E$2-COUNTIF($B485:F485,"W"))/('Team_Info'!$E$4-5)),"W","B")</x:f>
        <x:v>B</x:v>
      </x:c>
      <x:c r="H485" t="str">
        <x:f>IF(RAND()&lt;(('Team_Info'!$E$2-COUNTIF($B485:G485,"W"))/('Team_Info'!$E$4-6)),"W","B")</x:f>
        <x:v>W</x:v>
      </x:c>
      <x:c r="I485" t="str">
        <x:f>IF(RAND()&lt;(('Team_Info'!$E$2-COUNTIF($B485:H485,"W"))/('Team_Info'!$E$4-7)),"W","B")</x:f>
        <x:v>B</x:v>
      </x:c>
      <x:c r="J485" t="str">
        <x:f>IF(RAND()&lt;(('Team_Info'!$E$2-COUNTIF($B485:I485,"W"))/('Team_Info'!$E$4-8)),"W","B")</x:f>
        <x:v>B</x:v>
      </x:c>
      <x:c r="K485" t="str">
        <x:f>IF(RAND()&lt;(('Team_Info'!$E$2-COUNTIF($B485:J485,"W"))/('Team_Info'!$E$4-9)),"W","B")</x:f>
        <x:v>B</x:v>
      </x:c>
      <x:c r="L485" t="str">
        <x:f>IF(RAND()&lt;(('Team_Info'!$E$2-COUNTIF($B485:K485,"W"))/('Team_Info'!$E$4-10)),"W","B")</x:f>
        <x:v>B</x:v>
      </x:c>
      <x:c r="M485" t="str">
        <x:f>IF(RAND()&lt;(('Team_Info'!$E$2-COUNTIF($B485:L485,"W"))/('Team_Info'!$E$4-11)),"W","B")</x:f>
        <x:v>B</x:v>
      </x:c>
      <x:c r="N485" t="str">
        <x:f>IF(RAND()&lt;(('Team_Info'!$E$2-COUNTIF($B485:M485,"W"))/('Team_Info'!$E$4-12)),"W","B")</x:f>
        <x:v>W</x:v>
      </x:c>
      <x:c r="O485" t="str">
        <x:f>IF(RAND()&lt;(('Team_Info'!$E$2-COUNTIF($B485:N485,"W"))/('Team_Info'!$E$4-13)),"W","B")</x:f>
        <x:v>B</x:v>
      </x:c>
      <x:c r="P485" t="str">
        <x:f>IF(RAND()&lt;(('Team_Info'!$E$2-COUNTIF($B485:O485,"W"))/('Team_Info'!$E$4-14)),"W","B")</x:f>
        <x:v>B</x:v>
      </x:c>
      <x:c r="Q485" t="str">
        <x:f>IF(RAND()&lt;(('Team_Info'!$E$2-COUNTIF($B485:P485,"W"))/('Team_Info'!$E$4-15)),"W","B")</x:f>
        <x:v>W</x:v>
      </x:c>
      <x:c r="R485" t="str">
        <x:f>IF(RAND()&lt;(('Team_Info'!$E$2-COUNTIF($B485:Q485,"W"))/('Team_Info'!$E$4-16)),"W","B")</x:f>
        <x:v>W</x:v>
      </x:c>
      <x:c r="S485" t="str">
        <x:f>IF(RAND()&lt;(('Team_Info'!$E$2-COUNTIF($B485:R485,"W"))/('Team_Info'!$E$4-17)),"W","B")</x:f>
        <x:v>W</x:v>
      </x:c>
      <x:c r="T485" t="str">
        <x:f>IF(RAND()&lt;(('Team_Info'!$E$2-COUNTIF($B485:S485,"W"))/('Team_Info'!$E$4-18)),"W","B")</x:f>
        <x:v>B</x:v>
      </x:c>
      <x:c r="U485" t="str">
        <x:f>IF(RAND()&lt;(('Team_Info'!$E$2-COUNTIF($B485:T485,"W"))/('Team_Info'!$E$4-19)),"W","B")</x:f>
        <x:v>B</x:v>
      </x:c>
    </x:row>
    <x:row r="486">
      <x:c r="A486" s="1">
        <x:v>485</x:v>
      </x:c>
      <x:c r="B486" t="str">
        <x:f>IF(RAND()&lt;'Team_Info'!$E$5,"W","B")</x:f>
        <x:v>B</x:v>
      </x:c>
      <x:c r="C486" t="str">
        <x:f>IF(RAND()&lt;(('Team_Info'!$E$2-COUNTIF($B486:B486,"W"))/('Team_Info'!$E$4-1)),"W","B")</x:f>
        <x:v>W</x:v>
      </x:c>
      <x:c r="D486" t="str">
        <x:f>IF(RAND()&lt;(('Team_Info'!$E$2-COUNTIF($B486:C486,"W"))/('Team_Info'!$E$4-2)),"W","B")</x:f>
        <x:v>B</x:v>
      </x:c>
      <x:c r="E486" t="str">
        <x:f>IF(RAND()&lt;(('Team_Info'!$E$2-COUNTIF($B486:D486,"W"))/('Team_Info'!$E$4-3)),"W","B")</x:f>
        <x:v>B</x:v>
      </x:c>
      <x:c r="F486" t="str">
        <x:f>IF(RAND()&lt;(('Team_Info'!$E$2-COUNTIF($B486:E486,"W"))/('Team_Info'!$E$4-4)),"W","B")</x:f>
        <x:v>B</x:v>
      </x:c>
      <x:c r="G486" t="str">
        <x:f>IF(RAND()&lt;(('Team_Info'!$E$2-COUNTIF($B486:F486,"W"))/('Team_Info'!$E$4-5)),"W","B")</x:f>
        <x:v>B</x:v>
      </x:c>
      <x:c r="H486" t="str">
        <x:f>IF(RAND()&lt;(('Team_Info'!$E$2-COUNTIF($B486:G486,"W"))/('Team_Info'!$E$4-6)),"W","B")</x:f>
        <x:v>B</x:v>
      </x:c>
      <x:c r="I486" t="str">
        <x:f>IF(RAND()&lt;(('Team_Info'!$E$2-COUNTIF($B486:H486,"W"))/('Team_Info'!$E$4-7)),"W","B")</x:f>
        <x:v>B</x:v>
      </x:c>
      <x:c r="J486" t="str">
        <x:f>IF(RAND()&lt;(('Team_Info'!$E$2-COUNTIF($B486:I486,"W"))/('Team_Info'!$E$4-8)),"W","B")</x:f>
        <x:v>W</x:v>
      </x:c>
      <x:c r="K486" t="str">
        <x:f>IF(RAND()&lt;(('Team_Info'!$E$2-COUNTIF($B486:J486,"W"))/('Team_Info'!$E$4-9)),"W","B")</x:f>
        <x:v>W</x:v>
      </x:c>
      <x:c r="L486" t="str">
        <x:f>IF(RAND()&lt;(('Team_Info'!$E$2-COUNTIF($B486:K486,"W"))/('Team_Info'!$E$4-10)),"W","B")</x:f>
        <x:v>B</x:v>
      </x:c>
      <x:c r="M486" t="str">
        <x:f>IF(RAND()&lt;(('Team_Info'!$E$2-COUNTIF($B486:L486,"W"))/('Team_Info'!$E$4-11)),"W","B")</x:f>
        <x:v>B</x:v>
      </x:c>
      <x:c r="N486" t="str">
        <x:f>IF(RAND()&lt;(('Team_Info'!$E$2-COUNTIF($B486:M486,"W"))/('Team_Info'!$E$4-12)),"W","B")</x:f>
        <x:v>W</x:v>
      </x:c>
      <x:c r="O486" t="str">
        <x:f>IF(RAND()&lt;(('Team_Info'!$E$2-COUNTIF($B486:N486,"W"))/('Team_Info'!$E$4-13)),"W","B")</x:f>
        <x:v>B</x:v>
      </x:c>
      <x:c r="P486" t="str">
        <x:f>IF(RAND()&lt;(('Team_Info'!$E$2-COUNTIF($B486:O486,"W"))/('Team_Info'!$E$4-14)),"W","B")</x:f>
        <x:v>W</x:v>
      </x:c>
      <x:c r="Q486" t="str">
        <x:f>IF(RAND()&lt;(('Team_Info'!$E$2-COUNTIF($B486:P486,"W"))/('Team_Info'!$E$4-15)),"W","B")</x:f>
        <x:v>B</x:v>
      </x:c>
      <x:c r="R486" t="str">
        <x:f>IF(RAND()&lt;(('Team_Info'!$E$2-COUNTIF($B486:Q486,"W"))/('Team_Info'!$E$4-16)),"W","B")</x:f>
        <x:v>W</x:v>
      </x:c>
      <x:c r="S486" t="str">
        <x:f>IF(RAND()&lt;(('Team_Info'!$E$2-COUNTIF($B486:R486,"W"))/('Team_Info'!$E$4-17)),"W","B")</x:f>
        <x:v>B</x:v>
      </x:c>
      <x:c r="T486" t="str">
        <x:f>IF(RAND()&lt;(('Team_Info'!$E$2-COUNTIF($B486:S486,"W"))/('Team_Info'!$E$4-18)),"W","B")</x:f>
        <x:v>B</x:v>
      </x:c>
      <x:c r="U486" t="str">
        <x:f>IF(RAND()&lt;(('Team_Info'!$E$2-COUNTIF($B486:T486,"W"))/('Team_Info'!$E$4-19)),"W","B")</x:f>
        <x:v>B</x:v>
      </x:c>
    </x:row>
    <x:row r="487">
      <x:c r="A487" s="1">
        <x:v>486</x:v>
      </x:c>
      <x:c r="B487" t="str">
        <x:f>IF(RAND()&lt;'Team_Info'!$E$5,"W","B")</x:f>
        <x:v>B</x:v>
      </x:c>
      <x:c r="C487" t="str">
        <x:f>IF(RAND()&lt;(('Team_Info'!$E$2-COUNTIF($B487:B487,"W"))/('Team_Info'!$E$4-1)),"W","B")</x:f>
        <x:v>W</x:v>
      </x:c>
      <x:c r="D487" t="str">
        <x:f>IF(RAND()&lt;(('Team_Info'!$E$2-COUNTIF($B487:C487,"W"))/('Team_Info'!$E$4-2)),"W","B")</x:f>
        <x:v>B</x:v>
      </x:c>
      <x:c r="E487" t="str">
        <x:f>IF(RAND()&lt;(('Team_Info'!$E$2-COUNTIF($B487:D487,"W"))/('Team_Info'!$E$4-3)),"W","B")</x:f>
        <x:v>B</x:v>
      </x:c>
      <x:c r="F487" t="str">
        <x:f>IF(RAND()&lt;(('Team_Info'!$E$2-COUNTIF($B487:E487,"W"))/('Team_Info'!$E$4-4)),"W","B")</x:f>
        <x:v>B</x:v>
      </x:c>
      <x:c r="G487" t="str">
        <x:f>IF(RAND()&lt;(('Team_Info'!$E$2-COUNTIF($B487:F487,"W"))/('Team_Info'!$E$4-5)),"W","B")</x:f>
        <x:v>W</x:v>
      </x:c>
      <x:c r="H487" t="str">
        <x:f>IF(RAND()&lt;(('Team_Info'!$E$2-COUNTIF($B487:G487,"W"))/('Team_Info'!$E$4-6)),"W","B")</x:f>
        <x:v>W</x:v>
      </x:c>
      <x:c r="I487" t="str">
        <x:f>IF(RAND()&lt;(('Team_Info'!$E$2-COUNTIF($B487:H487,"W"))/('Team_Info'!$E$4-7)),"W","B")</x:f>
        <x:v>W</x:v>
      </x:c>
      <x:c r="J487" t="str">
        <x:f>IF(RAND()&lt;(('Team_Info'!$E$2-COUNTIF($B487:I487,"W"))/('Team_Info'!$E$4-8)),"W","B")</x:f>
        <x:v>W</x:v>
      </x:c>
      <x:c r="K487" t="str">
        <x:f>IF(RAND()&lt;(('Team_Info'!$E$2-COUNTIF($B487:J487,"W"))/('Team_Info'!$E$4-9)),"W","B")</x:f>
        <x:v>B</x:v>
      </x:c>
      <x:c r="L487" t="str">
        <x:f>IF(RAND()&lt;(('Team_Info'!$E$2-COUNTIF($B487:K487,"W"))/('Team_Info'!$E$4-10)),"W","B")</x:f>
        <x:v>W</x:v>
      </x:c>
      <x:c r="M487" t="str">
        <x:f>IF(RAND()&lt;(('Team_Info'!$E$2-COUNTIF($B487:L487,"W"))/('Team_Info'!$E$4-11)),"W","B")</x:f>
        <x:v>B</x:v>
      </x:c>
      <x:c r="N487" t="str">
        <x:f>IF(RAND()&lt;(('Team_Info'!$E$2-COUNTIF($B487:M487,"W"))/('Team_Info'!$E$4-12)),"W","B")</x:f>
        <x:v>B</x:v>
      </x:c>
      <x:c r="O487" t="str">
        <x:f>IF(RAND()&lt;(('Team_Info'!$E$2-COUNTIF($B487:N487,"W"))/('Team_Info'!$E$4-13)),"W","B")</x:f>
        <x:v>B</x:v>
      </x:c>
      <x:c r="P487" t="str">
        <x:f>IF(RAND()&lt;(('Team_Info'!$E$2-COUNTIF($B487:O487,"W"))/('Team_Info'!$E$4-14)),"W","B")</x:f>
        <x:v>B</x:v>
      </x:c>
      <x:c r="Q487" t="str">
        <x:f>IF(RAND()&lt;(('Team_Info'!$E$2-COUNTIF($B487:P487,"W"))/('Team_Info'!$E$4-15)),"W","B")</x:f>
        <x:v>B</x:v>
      </x:c>
      <x:c r="R487" t="str">
        <x:f>IF(RAND()&lt;(('Team_Info'!$E$2-COUNTIF($B487:Q487,"W"))/('Team_Info'!$E$4-16)),"W","B")</x:f>
        <x:v>W</x:v>
      </x:c>
      <x:c r="S487" t="str">
        <x:f>IF(RAND()&lt;(('Team_Info'!$E$2-COUNTIF($B487:R487,"W"))/('Team_Info'!$E$4-17)),"W","B")</x:f>
        <x:v>B</x:v>
      </x:c>
      <x:c r="T487" t="str">
        <x:f>IF(RAND()&lt;(('Team_Info'!$E$2-COUNTIF($B487:S487,"W"))/('Team_Info'!$E$4-18)),"W","B")</x:f>
        <x:v>W</x:v>
      </x:c>
      <x:c r="U487" t="str">
        <x:f>IF(RAND()&lt;(('Team_Info'!$E$2-COUNTIF($B487:T487,"W"))/('Team_Info'!$E$4-19)),"W","B")</x:f>
        <x:v>B</x:v>
      </x:c>
    </x:row>
    <x:row r="488">
      <x:c r="A488" s="1">
        <x:v>487</x:v>
      </x:c>
      <x:c r="B488" t="str">
        <x:f>IF(RAND()&lt;'Team_Info'!$E$5,"W","B")</x:f>
        <x:v>B</x:v>
      </x:c>
      <x:c r="C488" t="str">
        <x:f>IF(RAND()&lt;(('Team_Info'!$E$2-COUNTIF($B488:B488,"W"))/('Team_Info'!$E$4-1)),"W","B")</x:f>
        <x:v>W</x:v>
      </x:c>
      <x:c r="D488" t="str">
        <x:f>IF(RAND()&lt;(('Team_Info'!$E$2-COUNTIF($B488:C488,"W"))/('Team_Info'!$E$4-2)),"W","B")</x:f>
        <x:v>B</x:v>
      </x:c>
      <x:c r="E488" t="str">
        <x:f>IF(RAND()&lt;(('Team_Info'!$E$2-COUNTIF($B488:D488,"W"))/('Team_Info'!$E$4-3)),"W","B")</x:f>
        <x:v>W</x:v>
      </x:c>
      <x:c r="F488" t="str">
        <x:f>IF(RAND()&lt;(('Team_Info'!$E$2-COUNTIF($B488:E488,"W"))/('Team_Info'!$E$4-4)),"W","B")</x:f>
        <x:v>W</x:v>
      </x:c>
      <x:c r="G488" t="str">
        <x:f>IF(RAND()&lt;(('Team_Info'!$E$2-COUNTIF($B488:F488,"W"))/('Team_Info'!$E$4-5)),"W","B")</x:f>
        <x:v>W</x:v>
      </x:c>
      <x:c r="H488" t="str">
        <x:f>IF(RAND()&lt;(('Team_Info'!$E$2-COUNTIF($B488:G488,"W"))/('Team_Info'!$E$4-6)),"W","B")</x:f>
        <x:v>W</x:v>
      </x:c>
      <x:c r="I488" t="str">
        <x:f>IF(RAND()&lt;(('Team_Info'!$E$2-COUNTIF($B488:H488,"W"))/('Team_Info'!$E$4-7)),"W","B")</x:f>
        <x:v>W</x:v>
      </x:c>
      <x:c r="J488" t="str">
        <x:f>IF(RAND()&lt;(('Team_Info'!$E$2-COUNTIF($B488:I488,"W"))/('Team_Info'!$E$4-8)),"W","B")</x:f>
        <x:v>B</x:v>
      </x:c>
      <x:c r="K488" t="str">
        <x:f>IF(RAND()&lt;(('Team_Info'!$E$2-COUNTIF($B488:J488,"W"))/('Team_Info'!$E$4-9)),"W","B")</x:f>
        <x:v>B</x:v>
      </x:c>
      <x:c r="L488" t="str">
        <x:f>IF(RAND()&lt;(('Team_Info'!$E$2-COUNTIF($B488:K488,"W"))/('Team_Info'!$E$4-10)),"W","B")</x:f>
        <x:v>B</x:v>
      </x:c>
      <x:c r="M488" t="str">
        <x:f>IF(RAND()&lt;(('Team_Info'!$E$2-COUNTIF($B488:L488,"W"))/('Team_Info'!$E$4-11)),"W","B")</x:f>
        <x:v>B</x:v>
      </x:c>
      <x:c r="N488" t="str">
        <x:f>IF(RAND()&lt;(('Team_Info'!$E$2-COUNTIF($B488:M488,"W"))/('Team_Info'!$E$4-12)),"W","B")</x:f>
        <x:v>W</x:v>
      </x:c>
      <x:c r="O488" t="str">
        <x:f>IF(RAND()&lt;(('Team_Info'!$E$2-COUNTIF($B488:N488,"W"))/('Team_Info'!$E$4-13)),"W","B")</x:f>
        <x:v>W</x:v>
      </x:c>
      <x:c r="P488" t="str">
        <x:f>IF(RAND()&lt;(('Team_Info'!$E$2-COUNTIF($B488:O488,"W"))/('Team_Info'!$E$4-14)),"W","B")</x:f>
        <x:v>B</x:v>
      </x:c>
      <x:c r="Q488" t="str">
        <x:f>IF(RAND()&lt;(('Team_Info'!$E$2-COUNTIF($B488:P488,"W"))/('Team_Info'!$E$4-15)),"W","B")</x:f>
        <x:v>B</x:v>
      </x:c>
      <x:c r="R488" t="str">
        <x:f>IF(RAND()&lt;(('Team_Info'!$E$2-COUNTIF($B488:Q488,"W"))/('Team_Info'!$E$4-16)),"W","B")</x:f>
        <x:v>B</x:v>
      </x:c>
      <x:c r="S488" t="str">
        <x:f>IF(RAND()&lt;(('Team_Info'!$E$2-COUNTIF($B488:R488,"W"))/('Team_Info'!$E$4-17)),"W","B")</x:f>
        <x:v>B</x:v>
      </x:c>
      <x:c r="T488" t="str">
        <x:f>IF(RAND()&lt;(('Team_Info'!$E$2-COUNTIF($B488:S488,"W"))/('Team_Info'!$E$4-18)),"W","B")</x:f>
        <x:v>W</x:v>
      </x:c>
      <x:c r="U488" t="str">
        <x:f>IF(RAND()&lt;(('Team_Info'!$E$2-COUNTIF($B488:T488,"W"))/('Team_Info'!$E$4-19)),"W","B")</x:f>
        <x:v>B</x:v>
      </x:c>
    </x:row>
    <x:row r="489">
      <x:c r="A489" s="1">
        <x:v>488</x:v>
      </x:c>
      <x:c r="B489" t="str">
        <x:f>IF(RAND()&lt;'Team_Info'!$E$5,"W","B")</x:f>
        <x:v>B</x:v>
      </x:c>
      <x:c r="C489" t="str">
        <x:f>IF(RAND()&lt;(('Team_Info'!$E$2-COUNTIF($B489:B489,"W"))/('Team_Info'!$E$4-1)),"W","B")</x:f>
        <x:v>B</x:v>
      </x:c>
      <x:c r="D489" t="str">
        <x:f>IF(RAND()&lt;(('Team_Info'!$E$2-COUNTIF($B489:C489,"W"))/('Team_Info'!$E$4-2)),"W","B")</x:f>
        <x:v>B</x:v>
      </x:c>
      <x:c r="E489" t="str">
        <x:f>IF(RAND()&lt;(('Team_Info'!$E$2-COUNTIF($B489:D489,"W"))/('Team_Info'!$E$4-3)),"W","B")</x:f>
        <x:v>W</x:v>
      </x:c>
      <x:c r="F489" t="str">
        <x:f>IF(RAND()&lt;(('Team_Info'!$E$2-COUNTIF($B489:E489,"W"))/('Team_Info'!$E$4-4)),"W","B")</x:f>
        <x:v>B</x:v>
      </x:c>
      <x:c r="G489" t="str">
        <x:f>IF(RAND()&lt;(('Team_Info'!$E$2-COUNTIF($B489:F489,"W"))/('Team_Info'!$E$4-5)),"W","B")</x:f>
        <x:v>B</x:v>
      </x:c>
      <x:c r="H489" t="str">
        <x:f>IF(RAND()&lt;(('Team_Info'!$E$2-COUNTIF($B489:G489,"W"))/('Team_Info'!$E$4-6)),"W","B")</x:f>
        <x:v>B</x:v>
      </x:c>
      <x:c r="I489" t="str">
        <x:f>IF(RAND()&lt;(('Team_Info'!$E$2-COUNTIF($B489:H489,"W"))/('Team_Info'!$E$4-7)),"W","B")</x:f>
        <x:v>B</x:v>
      </x:c>
      <x:c r="J489" t="str">
        <x:f>IF(RAND()&lt;(('Team_Info'!$E$2-COUNTIF($B489:I489,"W"))/('Team_Info'!$E$4-8)),"W","B")</x:f>
        <x:v>B</x:v>
      </x:c>
      <x:c r="K489" t="str">
        <x:f>IF(RAND()&lt;(('Team_Info'!$E$2-COUNTIF($B489:J489,"W"))/('Team_Info'!$E$4-9)),"W","B")</x:f>
        <x:v>B</x:v>
      </x:c>
      <x:c r="L489" t="str">
        <x:f>IF(RAND()&lt;(('Team_Info'!$E$2-COUNTIF($B489:K489,"W"))/('Team_Info'!$E$4-10)),"W","B")</x:f>
        <x:v>B</x:v>
      </x:c>
      <x:c r="M489" t="str">
        <x:f>IF(RAND()&lt;(('Team_Info'!$E$2-COUNTIF($B489:L489,"W"))/('Team_Info'!$E$4-11)),"W","B")</x:f>
        <x:v>W</x:v>
      </x:c>
      <x:c r="N489" t="str">
        <x:f>IF(RAND()&lt;(('Team_Info'!$E$2-COUNTIF($B489:M489,"W"))/('Team_Info'!$E$4-12)),"W","B")</x:f>
        <x:v>B</x:v>
      </x:c>
      <x:c r="O489" t="str">
        <x:f>IF(RAND()&lt;(('Team_Info'!$E$2-COUNTIF($B489:N489,"W"))/('Team_Info'!$E$4-13)),"W","B")</x:f>
        <x:v>B</x:v>
      </x:c>
      <x:c r="P489" t="str">
        <x:f>IF(RAND()&lt;(('Team_Info'!$E$2-COUNTIF($B489:O489,"W"))/('Team_Info'!$E$4-14)),"W","B")</x:f>
        <x:v>B</x:v>
      </x:c>
      <x:c r="Q489" t="str">
        <x:f>IF(RAND()&lt;(('Team_Info'!$E$2-COUNTIF($B489:P489,"W"))/('Team_Info'!$E$4-15)),"W","B")</x:f>
        <x:v>B</x:v>
      </x:c>
      <x:c r="R489" t="str">
        <x:f>IF(RAND()&lt;(('Team_Info'!$E$2-COUNTIF($B489:Q489,"W"))/('Team_Info'!$E$4-16)),"W","B")</x:f>
        <x:v>W</x:v>
      </x:c>
      <x:c r="S489" t="str">
        <x:f>IF(RAND()&lt;(('Team_Info'!$E$2-COUNTIF($B489:R489,"W"))/('Team_Info'!$E$4-17)),"W","B")</x:f>
        <x:v>W</x:v>
      </x:c>
      <x:c r="T489" t="str">
        <x:f>IF(RAND()&lt;(('Team_Info'!$E$2-COUNTIF($B489:S489,"W"))/('Team_Info'!$E$4-18)),"W","B")</x:f>
        <x:v>W</x:v>
      </x:c>
      <x:c r="U489" t="str">
        <x:f>IF(RAND()&lt;(('Team_Info'!$E$2-COUNTIF($B489:T489,"W"))/('Team_Info'!$E$4-19)),"W","B")</x:f>
        <x:v>B</x:v>
      </x:c>
    </x:row>
    <x:row r="490">
      <x:c r="A490" s="1">
        <x:v>489</x:v>
      </x:c>
      <x:c r="B490" t="str">
        <x:f>IF(RAND()&lt;'Team_Info'!$E$5,"W","B")</x:f>
        <x:v>B</x:v>
      </x:c>
      <x:c r="C490" t="str">
        <x:f>IF(RAND()&lt;(('Team_Info'!$E$2-COUNTIF($B490:B490,"W"))/('Team_Info'!$E$4-1)),"W","B")</x:f>
        <x:v>W</x:v>
      </x:c>
      <x:c r="D490" t="str">
        <x:f>IF(RAND()&lt;(('Team_Info'!$E$2-COUNTIF($B490:C490,"W"))/('Team_Info'!$E$4-2)),"W","B")</x:f>
        <x:v>B</x:v>
      </x:c>
      <x:c r="E490" t="str">
        <x:f>IF(RAND()&lt;(('Team_Info'!$E$2-COUNTIF($B490:D490,"W"))/('Team_Info'!$E$4-3)),"W","B")</x:f>
        <x:v>B</x:v>
      </x:c>
      <x:c r="F490" t="str">
        <x:f>IF(RAND()&lt;(('Team_Info'!$E$2-COUNTIF($B490:E490,"W"))/('Team_Info'!$E$4-4)),"W","B")</x:f>
        <x:v>B</x:v>
      </x:c>
      <x:c r="G490" t="str">
        <x:f>IF(RAND()&lt;(('Team_Info'!$E$2-COUNTIF($B490:F490,"W"))/('Team_Info'!$E$4-5)),"W","B")</x:f>
        <x:v>W</x:v>
      </x:c>
      <x:c r="H490" t="str">
        <x:f>IF(RAND()&lt;(('Team_Info'!$E$2-COUNTIF($B490:G490,"W"))/('Team_Info'!$E$4-6)),"W","B")</x:f>
        <x:v>B</x:v>
      </x:c>
      <x:c r="I490" t="str">
        <x:f>IF(RAND()&lt;(('Team_Info'!$E$2-COUNTIF($B490:H490,"W"))/('Team_Info'!$E$4-7)),"W","B")</x:f>
        <x:v>W</x:v>
      </x:c>
      <x:c r="J490" t="str">
        <x:f>IF(RAND()&lt;(('Team_Info'!$E$2-COUNTIF($B490:I490,"W"))/('Team_Info'!$E$4-8)),"W","B")</x:f>
        <x:v>W</x:v>
      </x:c>
      <x:c r="K490" t="str">
        <x:f>IF(RAND()&lt;(('Team_Info'!$E$2-COUNTIF($B490:J490,"W"))/('Team_Info'!$E$4-9)),"W","B")</x:f>
        <x:v>B</x:v>
      </x:c>
      <x:c r="L490" t="str">
        <x:f>IF(RAND()&lt;(('Team_Info'!$E$2-COUNTIF($B490:K490,"W"))/('Team_Info'!$E$4-10)),"W","B")</x:f>
        <x:v>B</x:v>
      </x:c>
      <x:c r="M490" t="str">
        <x:f>IF(RAND()&lt;(('Team_Info'!$E$2-COUNTIF($B490:L490,"W"))/('Team_Info'!$E$4-11)),"W","B")</x:f>
        <x:v>W</x:v>
      </x:c>
      <x:c r="N490" t="str">
        <x:f>IF(RAND()&lt;(('Team_Info'!$E$2-COUNTIF($B490:M490,"W"))/('Team_Info'!$E$4-12)),"W","B")</x:f>
        <x:v>W</x:v>
      </x:c>
      <x:c r="O490" t="str">
        <x:f>IF(RAND()&lt;(('Team_Info'!$E$2-COUNTIF($B490:N490,"W"))/('Team_Info'!$E$4-13)),"W","B")</x:f>
        <x:v>W</x:v>
      </x:c>
      <x:c r="P490" t="str">
        <x:f>IF(RAND()&lt;(('Team_Info'!$E$2-COUNTIF($B490:O490,"W"))/('Team_Info'!$E$4-14)),"W","B")</x:f>
        <x:v>W</x:v>
      </x:c>
      <x:c r="Q490" t="str">
        <x:f>IF(RAND()&lt;(('Team_Info'!$E$2-COUNTIF($B490:P490,"W"))/('Team_Info'!$E$4-15)),"W","B")</x:f>
        <x:v>B</x:v>
      </x:c>
      <x:c r="R490" t="str">
        <x:f>IF(RAND()&lt;(('Team_Info'!$E$2-COUNTIF($B490:Q490,"W"))/('Team_Info'!$E$4-16)),"W","B")</x:f>
        <x:v>B</x:v>
      </x:c>
      <x:c r="S490" t="str">
        <x:f>IF(RAND()&lt;(('Team_Info'!$E$2-COUNTIF($B490:R490,"W"))/('Team_Info'!$E$4-17)),"W","B")</x:f>
        <x:v>B</x:v>
      </x:c>
      <x:c r="T490" t="str">
        <x:f>IF(RAND()&lt;(('Team_Info'!$E$2-COUNTIF($B490:S490,"W"))/('Team_Info'!$E$4-18)),"W","B")</x:f>
        <x:v>W</x:v>
      </x:c>
      <x:c r="U490" t="str">
        <x:f>IF(RAND()&lt;(('Team_Info'!$E$2-COUNTIF($B490:T490,"W"))/('Team_Info'!$E$4-19)),"W","B")</x:f>
        <x:v>W</x:v>
      </x:c>
    </x:row>
    <x:row r="491">
      <x:c r="A491" s="1">
        <x:v>490</x:v>
      </x:c>
      <x:c r="B491" t="str">
        <x:f>IF(RAND()&lt;'Team_Info'!$E$5,"W","B")</x:f>
        <x:v>W</x:v>
      </x:c>
      <x:c r="C491" t="str">
        <x:f>IF(RAND()&lt;(('Team_Info'!$E$2-COUNTIF($B491:B491,"W"))/('Team_Info'!$E$4-1)),"W","B")</x:f>
        <x:v>B</x:v>
      </x:c>
      <x:c r="D491" t="str">
        <x:f>IF(RAND()&lt;(('Team_Info'!$E$2-COUNTIF($B491:C491,"W"))/('Team_Info'!$E$4-2)),"W","B")</x:f>
        <x:v>W</x:v>
      </x:c>
      <x:c r="E491" t="str">
        <x:f>IF(RAND()&lt;(('Team_Info'!$E$2-COUNTIF($B491:D491,"W"))/('Team_Info'!$E$4-3)),"W","B")</x:f>
        <x:v>B</x:v>
      </x:c>
      <x:c r="F491" t="str">
        <x:f>IF(RAND()&lt;(('Team_Info'!$E$2-COUNTIF($B491:E491,"W"))/('Team_Info'!$E$4-4)),"W","B")</x:f>
        <x:v>B</x:v>
      </x:c>
      <x:c r="G491" t="str">
        <x:f>IF(RAND()&lt;(('Team_Info'!$E$2-COUNTIF($B491:F491,"W"))/('Team_Info'!$E$4-5)),"W","B")</x:f>
        <x:v>W</x:v>
      </x:c>
      <x:c r="H491" t="str">
        <x:f>IF(RAND()&lt;(('Team_Info'!$E$2-COUNTIF($B491:G491,"W"))/('Team_Info'!$E$4-6)),"W","B")</x:f>
        <x:v>B</x:v>
      </x:c>
      <x:c r="I491" t="str">
        <x:f>IF(RAND()&lt;(('Team_Info'!$E$2-COUNTIF($B491:H491,"W"))/('Team_Info'!$E$4-7)),"W","B")</x:f>
        <x:v>B</x:v>
      </x:c>
      <x:c r="J491" t="str">
        <x:f>IF(RAND()&lt;(('Team_Info'!$E$2-COUNTIF($B491:I491,"W"))/('Team_Info'!$E$4-8)),"W","B")</x:f>
        <x:v>B</x:v>
      </x:c>
      <x:c r="K491" t="str">
        <x:f>IF(RAND()&lt;(('Team_Info'!$E$2-COUNTIF($B491:J491,"W"))/('Team_Info'!$E$4-9)),"W","B")</x:f>
        <x:v>W</x:v>
      </x:c>
      <x:c r="L491" t="str">
        <x:f>IF(RAND()&lt;(('Team_Info'!$E$2-COUNTIF($B491:K491,"W"))/('Team_Info'!$E$4-10)),"W","B")</x:f>
        <x:v>B</x:v>
      </x:c>
      <x:c r="M491" t="str">
        <x:f>IF(RAND()&lt;(('Team_Info'!$E$2-COUNTIF($B491:L491,"W"))/('Team_Info'!$E$4-11)),"W","B")</x:f>
        <x:v>W</x:v>
      </x:c>
      <x:c r="N491" t="str">
        <x:f>IF(RAND()&lt;(('Team_Info'!$E$2-COUNTIF($B491:M491,"W"))/('Team_Info'!$E$4-12)),"W","B")</x:f>
        <x:v>B</x:v>
      </x:c>
      <x:c r="O491" t="str">
        <x:f>IF(RAND()&lt;(('Team_Info'!$E$2-COUNTIF($B491:N491,"W"))/('Team_Info'!$E$4-13)),"W","B")</x:f>
        <x:v>B</x:v>
      </x:c>
      <x:c r="P491" t="str">
        <x:f>IF(RAND()&lt;(('Team_Info'!$E$2-COUNTIF($B491:O491,"W"))/('Team_Info'!$E$4-14)),"W","B")</x:f>
        <x:v>B</x:v>
      </x:c>
      <x:c r="Q491" t="str">
        <x:f>IF(RAND()&lt;(('Team_Info'!$E$2-COUNTIF($B491:P491,"W"))/('Team_Info'!$E$4-15)),"W","B")</x:f>
        <x:v>W</x:v>
      </x:c>
      <x:c r="R491" t="str">
        <x:f>IF(RAND()&lt;(('Team_Info'!$E$2-COUNTIF($B491:Q491,"W"))/('Team_Info'!$E$4-16)),"W","B")</x:f>
        <x:v>B</x:v>
      </x:c>
      <x:c r="S491" t="str">
        <x:f>IF(RAND()&lt;(('Team_Info'!$E$2-COUNTIF($B491:R491,"W"))/('Team_Info'!$E$4-17)),"W","B")</x:f>
        <x:v>B</x:v>
      </x:c>
      <x:c r="T491" t="str">
        <x:f>IF(RAND()&lt;(('Team_Info'!$E$2-COUNTIF($B491:S491,"W"))/('Team_Info'!$E$4-18)),"W","B")</x:f>
        <x:v>W</x:v>
      </x:c>
      <x:c r="U491" t="str">
        <x:f>IF(RAND()&lt;(('Team_Info'!$E$2-COUNTIF($B491:T491,"W"))/('Team_Info'!$E$4-19)),"W","B")</x:f>
        <x:v>B</x:v>
      </x:c>
    </x:row>
    <x:row r="492">
      <x:c r="A492" s="1">
        <x:v>491</x:v>
      </x:c>
      <x:c r="B492" t="str">
        <x:f>IF(RAND()&lt;'Team_Info'!$E$5,"W","B")</x:f>
        <x:v>W</x:v>
      </x:c>
      <x:c r="C492" t="str">
        <x:f>IF(RAND()&lt;(('Team_Info'!$E$2-COUNTIF($B492:B492,"W"))/('Team_Info'!$E$4-1)),"W","B")</x:f>
        <x:v>W</x:v>
      </x:c>
      <x:c r="D492" t="str">
        <x:f>IF(RAND()&lt;(('Team_Info'!$E$2-COUNTIF($B492:C492,"W"))/('Team_Info'!$E$4-2)),"W","B")</x:f>
        <x:v>W</x:v>
      </x:c>
      <x:c r="E492" t="str">
        <x:f>IF(RAND()&lt;(('Team_Info'!$E$2-COUNTIF($B492:D492,"W"))/('Team_Info'!$E$4-3)),"W","B")</x:f>
        <x:v>B</x:v>
      </x:c>
      <x:c r="F492" t="str">
        <x:f>IF(RAND()&lt;(('Team_Info'!$E$2-COUNTIF($B492:E492,"W"))/('Team_Info'!$E$4-4)),"W","B")</x:f>
        <x:v>W</x:v>
      </x:c>
      <x:c r="G492" t="str">
        <x:f>IF(RAND()&lt;(('Team_Info'!$E$2-COUNTIF($B492:F492,"W"))/('Team_Info'!$E$4-5)),"W","B")</x:f>
        <x:v>W</x:v>
      </x:c>
      <x:c r="H492" t="str">
        <x:f>IF(RAND()&lt;(('Team_Info'!$E$2-COUNTIF($B492:G492,"W"))/('Team_Info'!$E$4-6)),"W","B")</x:f>
        <x:v>B</x:v>
      </x:c>
      <x:c r="I492" t="str">
        <x:f>IF(RAND()&lt;(('Team_Info'!$E$2-COUNTIF($B492:H492,"W"))/('Team_Info'!$E$4-7)),"W","B")</x:f>
        <x:v>B</x:v>
      </x:c>
      <x:c r="J492" t="str">
        <x:f>IF(RAND()&lt;(('Team_Info'!$E$2-COUNTIF($B492:I492,"W"))/('Team_Info'!$E$4-8)),"W","B")</x:f>
        <x:v>B</x:v>
      </x:c>
      <x:c r="K492" t="str">
        <x:f>IF(RAND()&lt;(('Team_Info'!$E$2-COUNTIF($B492:J492,"W"))/('Team_Info'!$E$4-9)),"W","B")</x:f>
        <x:v>B</x:v>
      </x:c>
      <x:c r="L492" t="str">
        <x:f>IF(RAND()&lt;(('Team_Info'!$E$2-COUNTIF($B492:K492,"W"))/('Team_Info'!$E$4-10)),"W","B")</x:f>
        <x:v>W</x:v>
      </x:c>
      <x:c r="M492" t="str">
        <x:f>IF(RAND()&lt;(('Team_Info'!$E$2-COUNTIF($B492:L492,"W"))/('Team_Info'!$E$4-11)),"W","B")</x:f>
        <x:v>B</x:v>
      </x:c>
      <x:c r="N492" t="str">
        <x:f>IF(RAND()&lt;(('Team_Info'!$E$2-COUNTIF($B492:M492,"W"))/('Team_Info'!$E$4-12)),"W","B")</x:f>
        <x:v>B</x:v>
      </x:c>
      <x:c r="O492" t="str">
        <x:f>IF(RAND()&lt;(('Team_Info'!$E$2-COUNTIF($B492:N492,"W"))/('Team_Info'!$E$4-13)),"W","B")</x:f>
        <x:v>W</x:v>
      </x:c>
      <x:c r="P492" t="str">
        <x:f>IF(RAND()&lt;(('Team_Info'!$E$2-COUNTIF($B492:O492,"W"))/('Team_Info'!$E$4-14)),"W","B")</x:f>
        <x:v>B</x:v>
      </x:c>
      <x:c r="Q492" t="str">
        <x:f>IF(RAND()&lt;(('Team_Info'!$E$2-COUNTIF($B492:P492,"W"))/('Team_Info'!$E$4-15)),"W","B")</x:f>
        <x:v>W</x:v>
      </x:c>
      <x:c r="R492" t="str">
        <x:f>IF(RAND()&lt;(('Team_Info'!$E$2-COUNTIF($B492:Q492,"W"))/('Team_Info'!$E$4-16)),"W","B")</x:f>
        <x:v>B</x:v>
      </x:c>
      <x:c r="S492" t="str">
        <x:f>IF(RAND()&lt;(('Team_Info'!$E$2-COUNTIF($B492:R492,"W"))/('Team_Info'!$E$4-17)),"W","B")</x:f>
        <x:v>W</x:v>
      </x:c>
      <x:c r="T492" t="str">
        <x:f>IF(RAND()&lt;(('Team_Info'!$E$2-COUNTIF($B492:S492,"W"))/('Team_Info'!$E$4-18)),"W","B")</x:f>
        <x:v>B</x:v>
      </x:c>
      <x:c r="U492" t="str">
        <x:f>IF(RAND()&lt;(('Team_Info'!$E$2-COUNTIF($B492:T492,"W"))/('Team_Info'!$E$4-19)),"W","B")</x:f>
        <x:v>B</x:v>
      </x:c>
    </x:row>
    <x:row r="493">
      <x:c r="A493" s="1">
        <x:v>492</x:v>
      </x:c>
      <x:c r="B493" t="str">
        <x:f>IF(RAND()&lt;'Team_Info'!$E$5,"W","B")</x:f>
        <x:v>B</x:v>
      </x:c>
      <x:c r="C493" t="str">
        <x:f>IF(RAND()&lt;(('Team_Info'!$E$2-COUNTIF($B493:B493,"W"))/('Team_Info'!$E$4-1)),"W","B")</x:f>
        <x:v>B</x:v>
      </x:c>
      <x:c r="D493" t="str">
        <x:f>IF(RAND()&lt;(('Team_Info'!$E$2-COUNTIF($B493:C493,"W"))/('Team_Info'!$E$4-2)),"W","B")</x:f>
        <x:v>B</x:v>
      </x:c>
      <x:c r="E493" t="str">
        <x:f>IF(RAND()&lt;(('Team_Info'!$E$2-COUNTIF($B493:D493,"W"))/('Team_Info'!$E$4-3)),"W","B")</x:f>
        <x:v>B</x:v>
      </x:c>
      <x:c r="F493" t="str">
        <x:f>IF(RAND()&lt;(('Team_Info'!$E$2-COUNTIF($B493:E493,"W"))/('Team_Info'!$E$4-4)),"W","B")</x:f>
        <x:v>W</x:v>
      </x:c>
      <x:c r="G493" t="str">
        <x:f>IF(RAND()&lt;(('Team_Info'!$E$2-COUNTIF($B493:F493,"W"))/('Team_Info'!$E$4-5)),"W","B")</x:f>
        <x:v>B</x:v>
      </x:c>
      <x:c r="H493" t="str">
        <x:f>IF(RAND()&lt;(('Team_Info'!$E$2-COUNTIF($B493:G493,"W"))/('Team_Info'!$E$4-6)),"W","B")</x:f>
        <x:v>W</x:v>
      </x:c>
      <x:c r="I493" t="str">
        <x:f>IF(RAND()&lt;(('Team_Info'!$E$2-COUNTIF($B493:H493,"W"))/('Team_Info'!$E$4-7)),"W","B")</x:f>
        <x:v>B</x:v>
      </x:c>
      <x:c r="J493" t="str">
        <x:f>IF(RAND()&lt;(('Team_Info'!$E$2-COUNTIF($B493:I493,"W"))/('Team_Info'!$E$4-8)),"W","B")</x:f>
        <x:v>W</x:v>
      </x:c>
      <x:c r="K493" t="str">
        <x:f>IF(RAND()&lt;(('Team_Info'!$E$2-COUNTIF($B493:J493,"W"))/('Team_Info'!$E$4-9)),"W","B")</x:f>
        <x:v>B</x:v>
      </x:c>
      <x:c r="L493" t="str">
        <x:f>IF(RAND()&lt;(('Team_Info'!$E$2-COUNTIF($B493:K493,"W"))/('Team_Info'!$E$4-10)),"W","B")</x:f>
        <x:v>B</x:v>
      </x:c>
      <x:c r="M493" t="str">
        <x:f>IF(RAND()&lt;(('Team_Info'!$E$2-COUNTIF($B493:L493,"W"))/('Team_Info'!$E$4-11)),"W","B")</x:f>
        <x:v>B</x:v>
      </x:c>
      <x:c r="N493" t="str">
        <x:f>IF(RAND()&lt;(('Team_Info'!$E$2-COUNTIF($B493:M493,"W"))/('Team_Info'!$E$4-12)),"W","B")</x:f>
        <x:v>W</x:v>
      </x:c>
      <x:c r="O493" t="str">
        <x:f>IF(RAND()&lt;(('Team_Info'!$E$2-COUNTIF($B493:N493,"W"))/('Team_Info'!$E$4-13)),"W","B")</x:f>
        <x:v>B</x:v>
      </x:c>
      <x:c r="P493" t="str">
        <x:f>IF(RAND()&lt;(('Team_Info'!$E$2-COUNTIF($B493:O493,"W"))/('Team_Info'!$E$4-14)),"W","B")</x:f>
        <x:v>B</x:v>
      </x:c>
      <x:c r="Q493" t="str">
        <x:f>IF(RAND()&lt;(('Team_Info'!$E$2-COUNTIF($B493:P493,"W"))/('Team_Info'!$E$4-15)),"W","B")</x:f>
        <x:v>W</x:v>
      </x:c>
      <x:c r="R493" t="str">
        <x:f>IF(RAND()&lt;(('Team_Info'!$E$2-COUNTIF($B493:Q493,"W"))/('Team_Info'!$E$4-16)),"W","B")</x:f>
        <x:v>B</x:v>
      </x:c>
      <x:c r="S493" t="str">
        <x:f>IF(RAND()&lt;(('Team_Info'!$E$2-COUNTIF($B493:R493,"W"))/('Team_Info'!$E$4-17)),"W","B")</x:f>
        <x:v>W</x:v>
      </x:c>
      <x:c r="T493" t="str">
        <x:f>IF(RAND()&lt;(('Team_Info'!$E$2-COUNTIF($B493:S493,"W"))/('Team_Info'!$E$4-18)),"W","B")</x:f>
        <x:v>B</x:v>
      </x:c>
      <x:c r="U493" t="str">
        <x:f>IF(RAND()&lt;(('Team_Info'!$E$2-COUNTIF($B493:T493,"W"))/('Team_Info'!$E$4-19)),"W","B")</x:f>
        <x:v>B</x:v>
      </x:c>
    </x:row>
    <x:row r="494">
      <x:c r="A494" s="1">
        <x:v>493</x:v>
      </x:c>
      <x:c r="B494" t="str">
        <x:f>IF(RAND()&lt;'Team_Info'!$E$5,"W","B")</x:f>
        <x:v>B</x:v>
      </x:c>
      <x:c r="C494" t="str">
        <x:f>IF(RAND()&lt;(('Team_Info'!$E$2-COUNTIF($B494:B494,"W"))/('Team_Info'!$E$4-1)),"W","B")</x:f>
        <x:v>W</x:v>
      </x:c>
      <x:c r="D494" t="str">
        <x:f>IF(RAND()&lt;(('Team_Info'!$E$2-COUNTIF($B494:C494,"W"))/('Team_Info'!$E$4-2)),"W","B")</x:f>
        <x:v>B</x:v>
      </x:c>
      <x:c r="E494" t="str">
        <x:f>IF(RAND()&lt;(('Team_Info'!$E$2-COUNTIF($B494:D494,"W"))/('Team_Info'!$E$4-3)),"W","B")</x:f>
        <x:v>B</x:v>
      </x:c>
      <x:c r="F494" t="str">
        <x:f>IF(RAND()&lt;(('Team_Info'!$E$2-COUNTIF($B494:E494,"W"))/('Team_Info'!$E$4-4)),"W","B")</x:f>
        <x:v>B</x:v>
      </x:c>
      <x:c r="G494" t="str">
        <x:f>IF(RAND()&lt;(('Team_Info'!$E$2-COUNTIF($B494:F494,"W"))/('Team_Info'!$E$4-5)),"W","B")</x:f>
        <x:v>B</x:v>
      </x:c>
      <x:c r="H494" t="str">
        <x:f>IF(RAND()&lt;(('Team_Info'!$E$2-COUNTIF($B494:G494,"W"))/('Team_Info'!$E$4-6)),"W","B")</x:f>
        <x:v>W</x:v>
      </x:c>
      <x:c r="I494" t="str">
        <x:f>IF(RAND()&lt;(('Team_Info'!$E$2-COUNTIF($B494:H494,"W"))/('Team_Info'!$E$4-7)),"W","B")</x:f>
        <x:v>B</x:v>
      </x:c>
      <x:c r="J494" t="str">
        <x:f>IF(RAND()&lt;(('Team_Info'!$E$2-COUNTIF($B494:I494,"W"))/('Team_Info'!$E$4-8)),"W","B")</x:f>
        <x:v>B</x:v>
      </x:c>
      <x:c r="K494" t="str">
        <x:f>IF(RAND()&lt;(('Team_Info'!$E$2-COUNTIF($B494:J494,"W"))/('Team_Info'!$E$4-9)),"W","B")</x:f>
        <x:v>B</x:v>
      </x:c>
      <x:c r="L494" t="str">
        <x:f>IF(RAND()&lt;(('Team_Info'!$E$2-COUNTIF($B494:K494,"W"))/('Team_Info'!$E$4-10)),"W","B")</x:f>
        <x:v>W</x:v>
      </x:c>
      <x:c r="M494" t="str">
        <x:f>IF(RAND()&lt;(('Team_Info'!$E$2-COUNTIF($B494:L494,"W"))/('Team_Info'!$E$4-11)),"W","B")</x:f>
        <x:v>B</x:v>
      </x:c>
      <x:c r="N494" t="str">
        <x:f>IF(RAND()&lt;(('Team_Info'!$E$2-COUNTIF($B494:M494,"W"))/('Team_Info'!$E$4-12)),"W","B")</x:f>
        <x:v>B</x:v>
      </x:c>
      <x:c r="O494" t="str">
        <x:f>IF(RAND()&lt;(('Team_Info'!$E$2-COUNTIF($B494:N494,"W"))/('Team_Info'!$E$4-13)),"W","B")</x:f>
        <x:v>W</x:v>
      </x:c>
      <x:c r="P494" t="str">
        <x:f>IF(RAND()&lt;(('Team_Info'!$E$2-COUNTIF($B494:O494,"W"))/('Team_Info'!$E$4-14)),"W","B")</x:f>
        <x:v>B</x:v>
      </x:c>
      <x:c r="Q494" t="str">
        <x:f>IF(RAND()&lt;(('Team_Info'!$E$2-COUNTIF($B494:P494,"W"))/('Team_Info'!$E$4-15)),"W","B")</x:f>
        <x:v>B</x:v>
      </x:c>
      <x:c r="R494" t="str">
        <x:f>IF(RAND()&lt;(('Team_Info'!$E$2-COUNTIF($B494:Q494,"W"))/('Team_Info'!$E$4-16)),"W","B")</x:f>
        <x:v>W</x:v>
      </x:c>
      <x:c r="S494" t="str">
        <x:f>IF(RAND()&lt;(('Team_Info'!$E$2-COUNTIF($B494:R494,"W"))/('Team_Info'!$E$4-17)),"W","B")</x:f>
        <x:v>W</x:v>
      </x:c>
      <x:c r="T494" t="str">
        <x:f>IF(RAND()&lt;(('Team_Info'!$E$2-COUNTIF($B494:S494,"W"))/('Team_Info'!$E$4-18)),"W","B")</x:f>
        <x:v>B</x:v>
      </x:c>
      <x:c r="U494" t="str">
        <x:f>IF(RAND()&lt;(('Team_Info'!$E$2-COUNTIF($B494:T494,"W"))/('Team_Info'!$E$4-19)),"W","B")</x:f>
        <x:v>B</x:v>
      </x:c>
    </x:row>
    <x:row r="495">
      <x:c r="A495" s="1">
        <x:v>494</x:v>
      </x:c>
      <x:c r="B495" t="str">
        <x:f>IF(RAND()&lt;'Team_Info'!$E$5,"W","B")</x:f>
        <x:v>W</x:v>
      </x:c>
      <x:c r="C495" t="str">
        <x:f>IF(RAND()&lt;(('Team_Info'!$E$2-COUNTIF($B495:B495,"W"))/('Team_Info'!$E$4-1)),"W","B")</x:f>
        <x:v>B</x:v>
      </x:c>
      <x:c r="D495" t="str">
        <x:f>IF(RAND()&lt;(('Team_Info'!$E$2-COUNTIF($B495:C495,"W"))/('Team_Info'!$E$4-2)),"W","B")</x:f>
        <x:v>B</x:v>
      </x:c>
      <x:c r="E495" t="str">
        <x:f>IF(RAND()&lt;(('Team_Info'!$E$2-COUNTIF($B495:D495,"W"))/('Team_Info'!$E$4-3)),"W","B")</x:f>
        <x:v>B</x:v>
      </x:c>
      <x:c r="F495" t="str">
        <x:f>IF(RAND()&lt;(('Team_Info'!$E$2-COUNTIF($B495:E495,"W"))/('Team_Info'!$E$4-4)),"W","B")</x:f>
        <x:v>W</x:v>
      </x:c>
      <x:c r="G495" t="str">
        <x:f>IF(RAND()&lt;(('Team_Info'!$E$2-COUNTIF($B495:F495,"W"))/('Team_Info'!$E$4-5)),"W","B")</x:f>
        <x:v>B</x:v>
      </x:c>
      <x:c r="H495" t="str">
        <x:f>IF(RAND()&lt;(('Team_Info'!$E$2-COUNTIF($B495:G495,"W"))/('Team_Info'!$E$4-6)),"W","B")</x:f>
        <x:v>B</x:v>
      </x:c>
      <x:c r="I495" t="str">
        <x:f>IF(RAND()&lt;(('Team_Info'!$E$2-COUNTIF($B495:H495,"W"))/('Team_Info'!$E$4-7)),"W","B")</x:f>
        <x:v>B</x:v>
      </x:c>
      <x:c r="J495" t="str">
        <x:f>IF(RAND()&lt;(('Team_Info'!$E$2-COUNTIF($B495:I495,"W"))/('Team_Info'!$E$4-8)),"W","B")</x:f>
        <x:v>B</x:v>
      </x:c>
      <x:c r="K495" t="str">
        <x:f>IF(RAND()&lt;(('Team_Info'!$E$2-COUNTIF($B495:J495,"W"))/('Team_Info'!$E$4-9)),"W","B")</x:f>
        <x:v>W</x:v>
      </x:c>
      <x:c r="L495" t="str">
        <x:f>IF(RAND()&lt;(('Team_Info'!$E$2-COUNTIF($B495:K495,"W"))/('Team_Info'!$E$4-10)),"W","B")</x:f>
        <x:v>W</x:v>
      </x:c>
      <x:c r="M495" t="str">
        <x:f>IF(RAND()&lt;(('Team_Info'!$E$2-COUNTIF($B495:L495,"W"))/('Team_Info'!$E$4-11)),"W","B")</x:f>
        <x:v>B</x:v>
      </x:c>
      <x:c r="N495" t="str">
        <x:f>IF(RAND()&lt;(('Team_Info'!$E$2-COUNTIF($B495:M495,"W"))/('Team_Info'!$E$4-12)),"W","B")</x:f>
        <x:v>W</x:v>
      </x:c>
      <x:c r="O495" t="str">
        <x:f>IF(RAND()&lt;(('Team_Info'!$E$2-COUNTIF($B495:N495,"W"))/('Team_Info'!$E$4-13)),"W","B")</x:f>
        <x:v>B</x:v>
      </x:c>
      <x:c r="P495" t="str">
        <x:f>IF(RAND()&lt;(('Team_Info'!$E$2-COUNTIF($B495:O495,"W"))/('Team_Info'!$E$4-14)),"W","B")</x:f>
        <x:v>B</x:v>
      </x:c>
      <x:c r="Q495" t="str">
        <x:f>IF(RAND()&lt;(('Team_Info'!$E$2-COUNTIF($B495:P495,"W"))/('Team_Info'!$E$4-15)),"W","B")</x:f>
        <x:v>B</x:v>
      </x:c>
      <x:c r="R495" t="str">
        <x:f>IF(RAND()&lt;(('Team_Info'!$E$2-COUNTIF($B495:Q495,"W"))/('Team_Info'!$E$4-16)),"W","B")</x:f>
        <x:v>W</x:v>
      </x:c>
      <x:c r="S495" t="str">
        <x:f>IF(RAND()&lt;(('Team_Info'!$E$2-COUNTIF($B495:R495,"W"))/('Team_Info'!$E$4-17)),"W","B")</x:f>
        <x:v>B</x:v>
      </x:c>
      <x:c r="T495" t="str">
        <x:f>IF(RAND()&lt;(('Team_Info'!$E$2-COUNTIF($B495:S495,"W"))/('Team_Info'!$E$4-18)),"W","B")</x:f>
        <x:v>B</x:v>
      </x:c>
      <x:c r="U495" t="str">
        <x:f>IF(RAND()&lt;(('Team_Info'!$E$2-COUNTIF($B495:T495,"W"))/('Team_Info'!$E$4-19)),"W","B")</x:f>
        <x:v>W</x:v>
      </x:c>
    </x:row>
    <x:row r="496">
      <x:c r="A496" s="1">
        <x:v>495</x:v>
      </x:c>
      <x:c r="B496" t="str">
        <x:f>IF(RAND()&lt;'Team_Info'!$E$5,"W","B")</x:f>
        <x:v>B</x:v>
      </x:c>
      <x:c r="C496" t="str">
        <x:f>IF(RAND()&lt;(('Team_Info'!$E$2-COUNTIF($B496:B496,"W"))/('Team_Info'!$E$4-1)),"W","B")</x:f>
        <x:v>B</x:v>
      </x:c>
      <x:c r="D496" t="str">
        <x:f>IF(RAND()&lt;(('Team_Info'!$E$2-COUNTIF($B496:C496,"W"))/('Team_Info'!$E$4-2)),"W","B")</x:f>
        <x:v>B</x:v>
      </x:c>
      <x:c r="E496" t="str">
        <x:f>IF(RAND()&lt;(('Team_Info'!$E$2-COUNTIF($B496:D496,"W"))/('Team_Info'!$E$4-3)),"W","B")</x:f>
        <x:v>W</x:v>
      </x:c>
      <x:c r="F496" t="str">
        <x:f>IF(RAND()&lt;(('Team_Info'!$E$2-COUNTIF($B496:E496,"W"))/('Team_Info'!$E$4-4)),"W","B")</x:f>
        <x:v>B</x:v>
      </x:c>
      <x:c r="G496" t="str">
        <x:f>IF(RAND()&lt;(('Team_Info'!$E$2-COUNTIF($B496:F496,"W"))/('Team_Info'!$E$4-5)),"W","B")</x:f>
        <x:v>B</x:v>
      </x:c>
      <x:c r="H496" t="str">
        <x:f>IF(RAND()&lt;(('Team_Info'!$E$2-COUNTIF($B496:G496,"W"))/('Team_Info'!$E$4-6)),"W","B")</x:f>
        <x:v>B</x:v>
      </x:c>
      <x:c r="I496" t="str">
        <x:f>IF(RAND()&lt;(('Team_Info'!$E$2-COUNTIF($B496:H496,"W"))/('Team_Info'!$E$4-7)),"W","B")</x:f>
        <x:v>B</x:v>
      </x:c>
      <x:c r="J496" t="str">
        <x:f>IF(RAND()&lt;(('Team_Info'!$E$2-COUNTIF($B496:I496,"W"))/('Team_Info'!$E$4-8)),"W","B")</x:f>
        <x:v>W</x:v>
      </x:c>
      <x:c r="K496" t="str">
        <x:f>IF(RAND()&lt;(('Team_Info'!$E$2-COUNTIF($B496:J496,"W"))/('Team_Info'!$E$4-9)),"W","B")</x:f>
        <x:v>B</x:v>
      </x:c>
      <x:c r="L496" t="str">
        <x:f>IF(RAND()&lt;(('Team_Info'!$E$2-COUNTIF($B496:K496,"W"))/('Team_Info'!$E$4-10)),"W","B")</x:f>
        <x:v>B</x:v>
      </x:c>
      <x:c r="M496" t="str">
        <x:f>IF(RAND()&lt;(('Team_Info'!$E$2-COUNTIF($B496:L496,"W"))/('Team_Info'!$E$4-11)),"W","B")</x:f>
        <x:v>B</x:v>
      </x:c>
      <x:c r="N496" t="str">
        <x:f>IF(RAND()&lt;(('Team_Info'!$E$2-COUNTIF($B496:M496,"W"))/('Team_Info'!$E$4-12)),"W","B")</x:f>
        <x:v>W</x:v>
      </x:c>
      <x:c r="O496" t="str">
        <x:f>IF(RAND()&lt;(('Team_Info'!$E$2-COUNTIF($B496:N496,"W"))/('Team_Info'!$E$4-13)),"W","B")</x:f>
        <x:v>B</x:v>
      </x:c>
      <x:c r="P496" t="str">
        <x:f>IF(RAND()&lt;(('Team_Info'!$E$2-COUNTIF($B496:O496,"W"))/('Team_Info'!$E$4-14)),"W","B")</x:f>
        <x:v>W</x:v>
      </x:c>
      <x:c r="Q496" t="str">
        <x:f>IF(RAND()&lt;(('Team_Info'!$E$2-COUNTIF($B496:P496,"W"))/('Team_Info'!$E$4-15)),"W","B")</x:f>
        <x:v>B</x:v>
      </x:c>
      <x:c r="R496" t="str">
        <x:f>IF(RAND()&lt;(('Team_Info'!$E$2-COUNTIF($B496:Q496,"W"))/('Team_Info'!$E$4-16)),"W","B")</x:f>
        <x:v>B</x:v>
      </x:c>
      <x:c r="S496" t="str">
        <x:f>IF(RAND()&lt;(('Team_Info'!$E$2-COUNTIF($B496:R496,"W"))/('Team_Info'!$E$4-17)),"W","B")</x:f>
        <x:v>B</x:v>
      </x:c>
      <x:c r="T496" t="str">
        <x:f>IF(RAND()&lt;(('Team_Info'!$E$2-COUNTIF($B496:S496,"W"))/('Team_Info'!$E$4-18)),"W","B")</x:f>
        <x:v>W</x:v>
      </x:c>
      <x:c r="U496" t="str">
        <x:f>IF(RAND()&lt;(('Team_Info'!$E$2-COUNTIF($B496:T496,"W"))/('Team_Info'!$E$4-19)),"W","B")</x:f>
        <x:v>B</x:v>
      </x:c>
    </x:row>
    <x:row r="497">
      <x:c r="A497" s="1">
        <x:v>496</x:v>
      </x:c>
      <x:c r="B497" t="str">
        <x:f>IF(RAND()&lt;'Team_Info'!$E$5,"W","B")</x:f>
        <x:v>B</x:v>
      </x:c>
      <x:c r="C497" t="str">
        <x:f>IF(RAND()&lt;(('Team_Info'!$E$2-COUNTIF($B497:B497,"W"))/('Team_Info'!$E$4-1)),"W","B")</x:f>
        <x:v>B</x:v>
      </x:c>
      <x:c r="D497" t="str">
        <x:f>IF(RAND()&lt;(('Team_Info'!$E$2-COUNTIF($B497:C497,"W"))/('Team_Info'!$E$4-2)),"W","B")</x:f>
        <x:v>B</x:v>
      </x:c>
      <x:c r="E497" t="str">
        <x:f>IF(RAND()&lt;(('Team_Info'!$E$2-COUNTIF($B497:D497,"W"))/('Team_Info'!$E$4-3)),"W","B")</x:f>
        <x:v>W</x:v>
      </x:c>
      <x:c r="F497" t="str">
        <x:f>IF(RAND()&lt;(('Team_Info'!$E$2-COUNTIF($B497:E497,"W"))/('Team_Info'!$E$4-4)),"W","B")</x:f>
        <x:v>W</x:v>
      </x:c>
      <x:c r="G497" t="str">
        <x:f>IF(RAND()&lt;(('Team_Info'!$E$2-COUNTIF($B497:F497,"W"))/('Team_Info'!$E$4-5)),"W","B")</x:f>
        <x:v>B</x:v>
      </x:c>
      <x:c r="H497" t="str">
        <x:f>IF(RAND()&lt;(('Team_Info'!$E$2-COUNTIF($B497:G497,"W"))/('Team_Info'!$E$4-6)),"W","B")</x:f>
        <x:v>W</x:v>
      </x:c>
      <x:c r="I497" t="str">
        <x:f>IF(RAND()&lt;(('Team_Info'!$E$2-COUNTIF($B497:H497,"W"))/('Team_Info'!$E$4-7)),"W","B")</x:f>
        <x:v>B</x:v>
      </x:c>
      <x:c r="J497" t="str">
        <x:f>IF(RAND()&lt;(('Team_Info'!$E$2-COUNTIF($B497:I497,"W"))/('Team_Info'!$E$4-8)),"W","B")</x:f>
        <x:v>W</x:v>
      </x:c>
      <x:c r="K497" t="str">
        <x:f>IF(RAND()&lt;(('Team_Info'!$E$2-COUNTIF($B497:J497,"W"))/('Team_Info'!$E$4-9)),"W","B")</x:f>
        <x:v>B</x:v>
      </x:c>
      <x:c r="L497" t="str">
        <x:f>IF(RAND()&lt;(('Team_Info'!$E$2-COUNTIF($B497:K497,"W"))/('Team_Info'!$E$4-10)),"W","B")</x:f>
        <x:v>W</x:v>
      </x:c>
      <x:c r="M497" t="str">
        <x:f>IF(RAND()&lt;(('Team_Info'!$E$2-COUNTIF($B497:L497,"W"))/('Team_Info'!$E$4-11)),"W","B")</x:f>
        <x:v>B</x:v>
      </x:c>
      <x:c r="N497" t="str">
        <x:f>IF(RAND()&lt;(('Team_Info'!$E$2-COUNTIF($B497:M497,"W"))/('Team_Info'!$E$4-12)),"W","B")</x:f>
        <x:v>B</x:v>
      </x:c>
      <x:c r="O497" t="str">
        <x:f>IF(RAND()&lt;(('Team_Info'!$E$2-COUNTIF($B497:N497,"W"))/('Team_Info'!$E$4-13)),"W","B")</x:f>
        <x:v>B</x:v>
      </x:c>
      <x:c r="P497" t="str">
        <x:f>IF(RAND()&lt;(('Team_Info'!$E$2-COUNTIF($B497:O497,"W"))/('Team_Info'!$E$4-14)),"W","B")</x:f>
        <x:v>W</x:v>
      </x:c>
      <x:c r="Q497" t="str">
        <x:f>IF(RAND()&lt;(('Team_Info'!$E$2-COUNTIF($B497:P497,"W"))/('Team_Info'!$E$4-15)),"W","B")</x:f>
        <x:v>B</x:v>
      </x:c>
      <x:c r="R497" t="str">
        <x:f>IF(RAND()&lt;(('Team_Info'!$E$2-COUNTIF($B497:Q497,"W"))/('Team_Info'!$E$4-16)),"W","B")</x:f>
        <x:v>W</x:v>
      </x:c>
      <x:c r="S497" t="str">
        <x:f>IF(RAND()&lt;(('Team_Info'!$E$2-COUNTIF($B497:R497,"W"))/('Team_Info'!$E$4-17)),"W","B")</x:f>
        <x:v>B</x:v>
      </x:c>
      <x:c r="T497" t="str">
        <x:f>IF(RAND()&lt;(('Team_Info'!$E$2-COUNTIF($B497:S497,"W"))/('Team_Info'!$E$4-18)),"W","B")</x:f>
        <x:v>W</x:v>
      </x:c>
      <x:c r="U497" t="str">
        <x:f>IF(RAND()&lt;(('Team_Info'!$E$2-COUNTIF($B497:T497,"W"))/('Team_Info'!$E$4-19)),"W","B")</x:f>
        <x:v>B</x:v>
      </x:c>
    </x:row>
    <x:row r="498">
      <x:c r="A498" s="1">
        <x:v>497</x:v>
      </x:c>
      <x:c r="B498" t="str">
        <x:f>IF(RAND()&lt;'Team_Info'!$E$5,"W","B")</x:f>
        <x:v>B</x:v>
      </x:c>
      <x:c r="C498" t="str">
        <x:f>IF(RAND()&lt;(('Team_Info'!$E$2-COUNTIF($B498:B498,"W"))/('Team_Info'!$E$4-1)),"W","B")</x:f>
        <x:v>W</x:v>
      </x:c>
      <x:c r="D498" t="str">
        <x:f>IF(RAND()&lt;(('Team_Info'!$E$2-COUNTIF($B498:C498,"W"))/('Team_Info'!$E$4-2)),"W","B")</x:f>
        <x:v>B</x:v>
      </x:c>
      <x:c r="E498" t="str">
        <x:f>IF(RAND()&lt;(('Team_Info'!$E$2-COUNTIF($B498:D498,"W"))/('Team_Info'!$E$4-3)),"W","B")</x:f>
        <x:v>B</x:v>
      </x:c>
      <x:c r="F498" t="str">
        <x:f>IF(RAND()&lt;(('Team_Info'!$E$2-COUNTIF($B498:E498,"W"))/('Team_Info'!$E$4-4)),"W","B")</x:f>
        <x:v>B</x:v>
      </x:c>
      <x:c r="G498" t="str">
        <x:f>IF(RAND()&lt;(('Team_Info'!$E$2-COUNTIF($B498:F498,"W"))/('Team_Info'!$E$4-5)),"W","B")</x:f>
        <x:v>W</x:v>
      </x:c>
      <x:c r="H498" t="str">
        <x:f>IF(RAND()&lt;(('Team_Info'!$E$2-COUNTIF($B498:G498,"W"))/('Team_Info'!$E$4-6)),"W","B")</x:f>
        <x:v>W</x:v>
      </x:c>
      <x:c r="I498" t="str">
        <x:f>IF(RAND()&lt;(('Team_Info'!$E$2-COUNTIF($B498:H498,"W"))/('Team_Info'!$E$4-7)),"W","B")</x:f>
        <x:v>B</x:v>
      </x:c>
      <x:c r="J498" t="str">
        <x:f>IF(RAND()&lt;(('Team_Info'!$E$2-COUNTIF($B498:I498,"W"))/('Team_Info'!$E$4-8)),"W","B")</x:f>
        <x:v>W</x:v>
      </x:c>
      <x:c r="K498" t="str">
        <x:f>IF(RAND()&lt;(('Team_Info'!$E$2-COUNTIF($B498:J498,"W"))/('Team_Info'!$E$4-9)),"W","B")</x:f>
        <x:v>W</x:v>
      </x:c>
      <x:c r="L498" t="str">
        <x:f>IF(RAND()&lt;(('Team_Info'!$E$2-COUNTIF($B498:K498,"W"))/('Team_Info'!$E$4-10)),"W","B")</x:f>
        <x:v>B</x:v>
      </x:c>
      <x:c r="M498" t="str">
        <x:f>IF(RAND()&lt;(('Team_Info'!$E$2-COUNTIF($B498:L498,"W"))/('Team_Info'!$E$4-11)),"W","B")</x:f>
        <x:v>B</x:v>
      </x:c>
      <x:c r="N498" t="str">
        <x:f>IF(RAND()&lt;(('Team_Info'!$E$2-COUNTIF($B498:M498,"W"))/('Team_Info'!$E$4-12)),"W","B")</x:f>
        <x:v>W</x:v>
      </x:c>
      <x:c r="O498" t="str">
        <x:f>IF(RAND()&lt;(('Team_Info'!$E$2-COUNTIF($B498:N498,"W"))/('Team_Info'!$E$4-13)),"W","B")</x:f>
        <x:v>B</x:v>
      </x:c>
      <x:c r="P498" t="str">
        <x:f>IF(RAND()&lt;(('Team_Info'!$E$2-COUNTIF($B498:O498,"W"))/('Team_Info'!$E$4-14)),"W","B")</x:f>
        <x:v>B</x:v>
      </x:c>
      <x:c r="Q498" t="str">
        <x:f>IF(RAND()&lt;(('Team_Info'!$E$2-COUNTIF($B498:P498,"W"))/('Team_Info'!$E$4-15)),"W","B")</x:f>
        <x:v>B</x:v>
      </x:c>
      <x:c r="R498" t="str">
        <x:f>IF(RAND()&lt;(('Team_Info'!$E$2-COUNTIF($B498:Q498,"W"))/('Team_Info'!$E$4-16)),"W","B")</x:f>
        <x:v>B</x:v>
      </x:c>
      <x:c r="S498" t="str">
        <x:f>IF(RAND()&lt;(('Team_Info'!$E$2-COUNTIF($B498:R498,"W"))/('Team_Info'!$E$4-17)),"W","B")</x:f>
        <x:v>W</x:v>
      </x:c>
      <x:c r="T498" t="str">
        <x:f>IF(RAND()&lt;(('Team_Info'!$E$2-COUNTIF($B498:S498,"W"))/('Team_Info'!$E$4-18)),"W","B")</x:f>
        <x:v>B</x:v>
      </x:c>
      <x:c r="U498" t="str">
        <x:f>IF(RAND()&lt;(('Team_Info'!$E$2-COUNTIF($B498:T498,"W"))/('Team_Info'!$E$4-19)),"W","B")</x:f>
        <x:v>B</x:v>
      </x:c>
    </x:row>
    <x:row r="499">
      <x:c r="A499" s="1">
        <x:v>498</x:v>
      </x:c>
      <x:c r="B499" t="str">
        <x:f>IF(RAND()&lt;'Team_Info'!$E$5,"W","B")</x:f>
        <x:v>B</x:v>
      </x:c>
      <x:c r="C499" t="str">
        <x:f>IF(RAND()&lt;(('Team_Info'!$E$2-COUNTIF($B499:B499,"W"))/('Team_Info'!$E$4-1)),"W","B")</x:f>
        <x:v>W</x:v>
      </x:c>
      <x:c r="D499" t="str">
        <x:f>IF(RAND()&lt;(('Team_Info'!$E$2-COUNTIF($B499:C499,"W"))/('Team_Info'!$E$4-2)),"W","B")</x:f>
        <x:v>W</x:v>
      </x:c>
      <x:c r="E499" t="str">
        <x:f>IF(RAND()&lt;(('Team_Info'!$E$2-COUNTIF($B499:D499,"W"))/('Team_Info'!$E$4-3)),"W","B")</x:f>
        <x:v>B</x:v>
      </x:c>
      <x:c r="F499" t="str">
        <x:f>IF(RAND()&lt;(('Team_Info'!$E$2-COUNTIF($B499:E499,"W"))/('Team_Info'!$E$4-4)),"W","B")</x:f>
        <x:v>W</x:v>
      </x:c>
      <x:c r="G499" t="str">
        <x:f>IF(RAND()&lt;(('Team_Info'!$E$2-COUNTIF($B499:F499,"W"))/('Team_Info'!$E$4-5)),"W","B")</x:f>
        <x:v>B</x:v>
      </x:c>
      <x:c r="H499" t="str">
        <x:f>IF(RAND()&lt;(('Team_Info'!$E$2-COUNTIF($B499:G499,"W"))/('Team_Info'!$E$4-6)),"W","B")</x:f>
        <x:v>B</x:v>
      </x:c>
      <x:c r="I499" t="str">
        <x:f>IF(RAND()&lt;(('Team_Info'!$E$2-COUNTIF($B499:H499,"W"))/('Team_Info'!$E$4-7)),"W","B")</x:f>
        <x:v>W</x:v>
      </x:c>
      <x:c r="J499" t="str">
        <x:f>IF(RAND()&lt;(('Team_Info'!$E$2-COUNTIF($B499:I499,"W"))/('Team_Info'!$E$4-8)),"W","B")</x:f>
        <x:v>W</x:v>
      </x:c>
      <x:c r="K499" t="str">
        <x:f>IF(RAND()&lt;(('Team_Info'!$E$2-COUNTIF($B499:J499,"W"))/('Team_Info'!$E$4-9)),"W","B")</x:f>
        <x:v>W</x:v>
      </x:c>
      <x:c r="L499" t="str">
        <x:f>IF(RAND()&lt;(('Team_Info'!$E$2-COUNTIF($B499:K499,"W"))/('Team_Info'!$E$4-10)),"W","B")</x:f>
        <x:v>W</x:v>
      </x:c>
      <x:c r="M499" t="str">
        <x:f>IF(RAND()&lt;(('Team_Info'!$E$2-COUNTIF($B499:L499,"W"))/('Team_Info'!$E$4-11)),"W","B")</x:f>
        <x:v>B</x:v>
      </x:c>
      <x:c r="N499" t="str">
        <x:f>IF(RAND()&lt;(('Team_Info'!$E$2-COUNTIF($B499:M499,"W"))/('Team_Info'!$E$4-12)),"W","B")</x:f>
        <x:v>B</x:v>
      </x:c>
      <x:c r="O499" t="str">
        <x:f>IF(RAND()&lt;(('Team_Info'!$E$2-COUNTIF($B499:N499,"W"))/('Team_Info'!$E$4-13)),"W","B")</x:f>
        <x:v>B</x:v>
      </x:c>
      <x:c r="P499" t="str">
        <x:f>IF(RAND()&lt;(('Team_Info'!$E$2-COUNTIF($B499:O499,"W"))/('Team_Info'!$E$4-14)),"W","B")</x:f>
        <x:v>B</x:v>
      </x:c>
      <x:c r="Q499" t="str">
        <x:f>IF(RAND()&lt;(('Team_Info'!$E$2-COUNTIF($B499:P499,"W"))/('Team_Info'!$E$4-15)),"W","B")</x:f>
        <x:v>B</x:v>
      </x:c>
      <x:c r="R499" t="str">
        <x:f>IF(RAND()&lt;(('Team_Info'!$E$2-COUNTIF($B499:Q499,"W"))/('Team_Info'!$E$4-16)),"W","B")</x:f>
        <x:v>B</x:v>
      </x:c>
      <x:c r="S499" t="str">
        <x:f>IF(RAND()&lt;(('Team_Info'!$E$2-COUNTIF($B499:R499,"W"))/('Team_Info'!$E$4-17)),"W","B")</x:f>
        <x:v>B</x:v>
      </x:c>
      <x:c r="T499" t="str">
        <x:f>IF(RAND()&lt;(('Team_Info'!$E$2-COUNTIF($B499:S499,"W"))/('Team_Info'!$E$4-18)),"W","B")</x:f>
        <x:v>B</x:v>
      </x:c>
      <x:c r="U499" t="str">
        <x:f>IF(RAND()&lt;(('Team_Info'!$E$2-COUNTIF($B499:T499,"W"))/('Team_Info'!$E$4-19)),"W","B")</x:f>
        <x:v>B</x:v>
      </x:c>
    </x:row>
    <x:row r="500">
      <x:c r="A500" s="1">
        <x:v>499</x:v>
      </x:c>
      <x:c r="B500" t="str">
        <x:f>IF(RAND()&lt;'Team_Info'!$E$5,"W","B")</x:f>
        <x:v>W</x:v>
      </x:c>
      <x:c r="C500" t="str">
        <x:f>IF(RAND()&lt;(('Team_Info'!$E$2-COUNTIF($B500:B500,"W"))/('Team_Info'!$E$4-1)),"W","B")</x:f>
        <x:v>B</x:v>
      </x:c>
      <x:c r="D500" t="str">
        <x:f>IF(RAND()&lt;(('Team_Info'!$E$2-COUNTIF($B500:C500,"W"))/('Team_Info'!$E$4-2)),"W","B")</x:f>
        <x:v>B</x:v>
      </x:c>
      <x:c r="E500" t="str">
        <x:f>IF(RAND()&lt;(('Team_Info'!$E$2-COUNTIF($B500:D500,"W"))/('Team_Info'!$E$4-3)),"W","B")</x:f>
        <x:v>W</x:v>
      </x:c>
      <x:c r="F500" t="str">
        <x:f>IF(RAND()&lt;(('Team_Info'!$E$2-COUNTIF($B500:E500,"W"))/('Team_Info'!$E$4-4)),"W","B")</x:f>
        <x:v>B</x:v>
      </x:c>
      <x:c r="G500" t="str">
        <x:f>IF(RAND()&lt;(('Team_Info'!$E$2-COUNTIF($B500:F500,"W"))/('Team_Info'!$E$4-5)),"W","B")</x:f>
        <x:v>B</x:v>
      </x:c>
      <x:c r="H500" t="str">
        <x:f>IF(RAND()&lt;(('Team_Info'!$E$2-COUNTIF($B500:G500,"W"))/('Team_Info'!$E$4-6)),"W","B")</x:f>
        <x:v>B</x:v>
      </x:c>
      <x:c r="I500" t="str">
        <x:f>IF(RAND()&lt;(('Team_Info'!$E$2-COUNTIF($B500:H500,"W"))/('Team_Info'!$E$4-7)),"W","B")</x:f>
        <x:v>B</x:v>
      </x:c>
      <x:c r="J500" t="str">
        <x:f>IF(RAND()&lt;(('Team_Info'!$E$2-COUNTIF($B500:I500,"W"))/('Team_Info'!$E$4-8)),"W","B")</x:f>
        <x:v>B</x:v>
      </x:c>
      <x:c r="K500" t="str">
        <x:f>IF(RAND()&lt;(('Team_Info'!$E$2-COUNTIF($B500:J500,"W"))/('Team_Info'!$E$4-9)),"W","B")</x:f>
        <x:v>B</x:v>
      </x:c>
      <x:c r="L500" t="str">
        <x:f>IF(RAND()&lt;(('Team_Info'!$E$2-COUNTIF($B500:K500,"W"))/('Team_Info'!$E$4-10)),"W","B")</x:f>
        <x:v>W</x:v>
      </x:c>
      <x:c r="M500" t="str">
        <x:f>IF(RAND()&lt;(('Team_Info'!$E$2-COUNTIF($B500:L500,"W"))/('Team_Info'!$E$4-11)),"W","B")</x:f>
        <x:v>B</x:v>
      </x:c>
      <x:c r="N500" t="str">
        <x:f>IF(RAND()&lt;(('Team_Info'!$E$2-COUNTIF($B500:M500,"W"))/('Team_Info'!$E$4-12)),"W","B")</x:f>
        <x:v>B</x:v>
      </x:c>
      <x:c r="O500" t="str">
        <x:f>IF(RAND()&lt;(('Team_Info'!$E$2-COUNTIF($B500:N500,"W"))/('Team_Info'!$E$4-13)),"W","B")</x:f>
        <x:v>B</x:v>
      </x:c>
      <x:c r="P500" t="str">
        <x:f>IF(RAND()&lt;(('Team_Info'!$E$2-COUNTIF($B500:O500,"W"))/('Team_Info'!$E$4-14)),"W","B")</x:f>
        <x:v>W</x:v>
      </x:c>
      <x:c r="Q500" t="str">
        <x:f>IF(RAND()&lt;(('Team_Info'!$E$2-COUNTIF($B500:P500,"W"))/('Team_Info'!$E$4-15)),"W","B")</x:f>
        <x:v>B</x:v>
      </x:c>
      <x:c r="R500" t="str">
        <x:f>IF(RAND()&lt;(('Team_Info'!$E$2-COUNTIF($B500:Q500,"W"))/('Team_Info'!$E$4-16)),"W","B")</x:f>
        <x:v>W</x:v>
      </x:c>
      <x:c r="S500" t="str">
        <x:f>IF(RAND()&lt;(('Team_Info'!$E$2-COUNTIF($B500:R500,"W"))/('Team_Info'!$E$4-17)),"W","B")</x:f>
        <x:v>W</x:v>
      </x:c>
      <x:c r="T500" t="str">
        <x:f>IF(RAND()&lt;(('Team_Info'!$E$2-COUNTIF($B500:S500,"W"))/('Team_Info'!$E$4-18)),"W","B")</x:f>
        <x:v>W</x:v>
      </x:c>
      <x:c r="U500" t="str">
        <x:f>IF(RAND()&lt;(('Team_Info'!$E$2-COUNTIF($B500:T500,"W"))/('Team_Info'!$E$4-19)),"W","B")</x:f>
        <x:v>B</x:v>
      </x:c>
    </x:row>
    <x:row r="501">
      <x:c r="A501" s="1">
        <x:v>500</x:v>
      </x:c>
      <x:c r="B501" t="str">
        <x:f>IF(RAND()&lt;'Team_Info'!$E$5,"W","B")</x:f>
        <x:v>W</x:v>
      </x:c>
      <x:c r="C501" t="str">
        <x:f>IF(RAND()&lt;(('Team_Info'!$E$2-COUNTIF($B501:B501,"W"))/('Team_Info'!$E$4-1)),"W","B")</x:f>
        <x:v>W</x:v>
      </x:c>
      <x:c r="D501" t="str">
        <x:f>IF(RAND()&lt;(('Team_Info'!$E$2-COUNTIF($B501:C501,"W"))/('Team_Info'!$E$4-2)),"W","B")</x:f>
        <x:v>W</x:v>
      </x:c>
      <x:c r="E501" t="str">
        <x:f>IF(RAND()&lt;(('Team_Info'!$E$2-COUNTIF($B501:D501,"W"))/('Team_Info'!$E$4-3)),"W","B")</x:f>
        <x:v>B</x:v>
      </x:c>
      <x:c r="F501" t="str">
        <x:f>IF(RAND()&lt;(('Team_Info'!$E$2-COUNTIF($B501:E501,"W"))/('Team_Info'!$E$4-4)),"W","B")</x:f>
        <x:v>B</x:v>
      </x:c>
      <x:c r="G501" t="str">
        <x:f>IF(RAND()&lt;(('Team_Info'!$E$2-COUNTIF($B501:F501,"W"))/('Team_Info'!$E$4-5)),"W","B")</x:f>
        <x:v>B</x:v>
      </x:c>
      <x:c r="H501" t="str">
        <x:f>IF(RAND()&lt;(('Team_Info'!$E$2-COUNTIF($B501:G501,"W"))/('Team_Info'!$E$4-6)),"W","B")</x:f>
        <x:v>W</x:v>
      </x:c>
      <x:c r="I501" t="str">
        <x:f>IF(RAND()&lt;(('Team_Info'!$E$2-COUNTIF($B501:H501,"W"))/('Team_Info'!$E$4-7)),"W","B")</x:f>
        <x:v>W</x:v>
      </x:c>
      <x:c r="J501" t="str">
        <x:f>IF(RAND()&lt;(('Team_Info'!$E$2-COUNTIF($B501:I501,"W"))/('Team_Info'!$E$4-8)),"W","B")</x:f>
        <x:v>W</x:v>
      </x:c>
      <x:c r="K501" t="str">
        <x:f>IF(RAND()&lt;(('Team_Info'!$E$2-COUNTIF($B501:J501,"W"))/('Team_Info'!$E$4-9)),"W","B")</x:f>
        <x:v>B</x:v>
      </x:c>
      <x:c r="L501" t="str">
        <x:f>IF(RAND()&lt;(('Team_Info'!$E$2-COUNTIF($B501:K501,"W"))/('Team_Info'!$E$4-10)),"W","B")</x:f>
        <x:v>B</x:v>
      </x:c>
      <x:c r="M501" t="str">
        <x:f>IF(RAND()&lt;(('Team_Info'!$E$2-COUNTIF($B501:L501,"W"))/('Team_Info'!$E$4-11)),"W","B")</x:f>
        <x:v>B</x:v>
      </x:c>
      <x:c r="N501" t="str">
        <x:f>IF(RAND()&lt;(('Team_Info'!$E$2-COUNTIF($B501:M501,"W"))/('Team_Info'!$E$4-12)),"W","B")</x:f>
        <x:v>B</x:v>
      </x:c>
      <x:c r="O501" t="str">
        <x:f>IF(RAND()&lt;(('Team_Info'!$E$2-COUNTIF($B501:N501,"W"))/('Team_Info'!$E$4-13)),"W","B")</x:f>
        <x:v>B</x:v>
      </x:c>
      <x:c r="P501" t="str">
        <x:f>IF(RAND()&lt;(('Team_Info'!$E$2-COUNTIF($B501:O501,"W"))/('Team_Info'!$E$4-14)),"W","B")</x:f>
        <x:v>W</x:v>
      </x:c>
      <x:c r="Q501" t="str">
        <x:f>IF(RAND()&lt;(('Team_Info'!$E$2-COUNTIF($B501:P501,"W"))/('Team_Info'!$E$4-15)),"W","B")</x:f>
        <x:v>W</x:v>
      </x:c>
      <x:c r="R501" t="str">
        <x:f>IF(RAND()&lt;(('Team_Info'!$E$2-COUNTIF($B501:Q501,"W"))/('Team_Info'!$E$4-16)),"W","B")</x:f>
        <x:v>W</x:v>
      </x:c>
      <x:c r="S501" t="str">
        <x:f>IF(RAND()&lt;(('Team_Info'!$E$2-COUNTIF($B501:R501,"W"))/('Team_Info'!$E$4-17)),"W","B")</x:f>
        <x:v>B</x:v>
      </x:c>
      <x:c r="T501" t="str">
        <x:f>IF(RAND()&lt;(('Team_Info'!$E$2-COUNTIF($B501:S501,"W"))/('Team_Info'!$E$4-18)),"W","B")</x:f>
        <x:v>B</x:v>
      </x:c>
      <x:c r="U501" t="str">
        <x:f>IF(RAND()&lt;(('Team_Info'!$E$2-COUNTIF($B501:T501,"W"))/('Team_Info'!$E$4-19)),"W","B")</x:f>
        <x:v>B</x:v>
      </x:c>
    </x:row>
  </x:sheetData>
  <x:mergeCells>
    <x:mergeCell ref="W1:Y1"/>
    <x:mergeCell ref="W2:Y2"/>
    <x:mergeCell ref="W3:Y3"/>
  </x:mergeCells>
  <x:pageMargins left="0.7" right="0.7" top="0.75" bottom="0.75" header="0.3" footer="0.3"/>
  <x:tableParts count="1">
    <x:tablePart xmlns:r="http://schemas.openxmlformats.org/officeDocument/2006/relationships" r:id="R6252879c3b9845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2.44140625" style="1" customWidth="1"/>
    <x:col min="2" max="16" width="8.77734375" style="1" customWidth="1"/>
    <x:col min="17" max="21" width="8.88671875" style="1" customWidth="0"/>
    <x:col min="22" max="22" width="14.6640625" style="1" customWidth="1"/>
    <x:col min="23" max="23" width="14.44140625" style="1" customWidth="1"/>
    <x:col min="24" max="24" width="31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30" hidden="0" customWidth="1"/>
  </x:cols>
  <x:sheetData>
    <x:row r="1" ht="43.20000076293945">
      <x:c r="A1" s="6" t="s">
        <x:v>1</x:v>
      </x:c>
      <x:c r="B1" s="7" t="s">
        <x:v>2</x:v>
      </x:c>
      <x:c r="C1" s="7" t="s">
        <x:v>3</x:v>
      </x:c>
      <x:c r="D1" s="7" t="s">
        <x:v>4</x:v>
      </x:c>
      <x:c r="E1" s="7" t="s">
        <x:v>5</x:v>
      </x:c>
      <x:c r="F1" s="7" t="s">
        <x:v>6</x:v>
      </x:c>
      <x:c r="G1" s="7" t="s">
        <x:v>7</x:v>
      </x:c>
      <x:c r="H1" s="7" t="s">
        <x:v>8</x:v>
      </x:c>
      <x:c r="I1" s="7" t="s">
        <x:v>9</x:v>
      </x:c>
      <x:c r="J1" s="7" t="s">
        <x:v>10</x:v>
      </x:c>
      <x:c r="K1" s="7" t="s">
        <x:v>11</x:v>
      </x:c>
      <x:c r="L1" s="7" t="s">
        <x:v>12</x:v>
      </x:c>
      <x:c r="M1" s="7" t="s">
        <x:v>13</x:v>
      </x:c>
      <x:c r="N1" s="7" t="s">
        <x:v>14</x:v>
      </x:c>
      <x:c r="O1" s="7" t="s">
        <x:v>15</x:v>
      </x:c>
      <x:c r="P1" s="7" t="s">
        <x:v>16</x:v>
      </x:c>
      <x:c r="Q1" s="7" t="s">
        <x:v>17</x:v>
      </x:c>
      <x:c r="R1" s="7" t="s">
        <x:v>18</x:v>
      </x:c>
      <x:c r="S1" s="7" t="s">
        <x:v>19</x:v>
      </x:c>
      <x:c r="T1" s="7" t="s">
        <x:v>20</x:v>
      </x:c>
      <x:c r="U1" s="7" t="s">
        <x:v>21</x:v>
      </x:c>
      <x:c r="V1" s="7" t="s">
        <x:v>22</x:v>
      </x:c>
      <x:c r="W1" s="6" t="s">
        <x:v>23</x:v>
      </x:c>
      <x:c r="X1" s="19" t="str">
        <x:v>Problem 2 - Hypergeometric Summary and Comparison</x:v>
      </x:c>
      <x:c r="Y1" s="19"/>
      <x:c r="Z1" s="19"/>
      <x:c r="AA1" s="19"/>
      <x:c r="AB1" s="19"/>
      <x:c r="AC1" s="19"/>
      <x:c r="AD1" s="19"/>
    </x:row>
    <x:row r="2">
      <x:c r="A2" s="1">
        <x:v>1</x:v>
      </x:c>
      <x:c r="B2" t="str">
        <x:v>B</x:v>
      </x:c>
      <x:c r="C2" t="str">
        <x:v>B</x:v>
      </x:c>
      <x:c r="D2" t="str">
        <x:v>W</x:v>
      </x:c>
      <x:c r="E2" t="str">
        <x:v>B</x:v>
      </x:c>
      <x:c r="F2" t="str">
        <x:v>B</x:v>
      </x:c>
      <x:c r="G2" t="str">
        <x:v>W</x:v>
      </x:c>
      <x:c r="H2" t="str">
        <x:v>B</x:v>
      </x:c>
      <x:c r="I2" t="str">
        <x:v>B</x:v>
      </x:c>
      <x:c r="J2" t="str">
        <x:v>W</x:v>
      </x:c>
      <x:c r="K2" t="str">
        <x:v>W</x:v>
      </x:c>
      <x:c r="L2" t="str">
        <x:v>B</x:v>
      </x:c>
      <x:c r="M2" t="str">
        <x:v>W</x:v>
      </x:c>
      <x:c r="N2" t="str">
        <x:v>B</x:v>
      </x:c>
      <x:c r="O2" t="str">
        <x:v>W</x:v>
      </x:c>
      <x:c r="P2" t="str">
        <x:v>W</x:v>
      </x:c>
      <x:c r="Q2" t="str">
        <x:v>B</x:v>
      </x:c>
      <x:c r="R2" t="str">
        <x:v>B</x:v>
      </x:c>
      <x:c r="S2" t="str">
        <x:v>B</x:v>
      </x:c>
      <x:c r="T2" t="str">
        <x:v>B</x:v>
      </x:c>
      <x:c r="U2" t="str">
        <x:v>B</x:v>
      </x:c>
      <x:c r="V2" t="n">
        <x:f>COUNTIF(B2:U2,"W")</x:f>
        <x:v>7</x:v>
      </x:c>
      <x:c r="W2" s="5" t="str">
        <x:f>IF(COUNTIF(B2:D2,"W")&gt;0,"Y","N")</x:f>
        <x:v>Y</x:v>
      </x:c>
      <x:c r="X2" s="34" t="str">
        <x:v>Metric</x:v>
      </x:c>
      <x:c r="Y2" s="34" t="str">
        <x:v>Without replacement</x:v>
      </x:c>
      <x:c r="Z2" s="34" t="str">
        <x:v>Empirical</x:v>
      </x:c>
      <x:c r="AA2" s="34" t="str">
        <x:v>With replacement</x:v>
      </x:c>
      <x:c r="AB2" s="34" t="str">
        <x:v>Absolute deviation</x:v>
      </x:c>
      <x:c r="AC2" s="34" t="str">
        <x:v>Relative error</x:v>
      </x:c>
      <x:c r="AD2" s="34" t="str">
        <x:v>Notes</x:v>
      </x:c>
    </x:row>
    <x:row r="3">
      <x:c r="A3" s="1">
        <x:v>2</x:v>
      </x:c>
      <x:c r="B3" t="str">
        <x:v>B</x:v>
      </x:c>
      <x:c r="C3" t="str">
        <x:v>W</x:v>
      </x:c>
      <x:c r="D3" t="str">
        <x:v>B</x:v>
      </x:c>
      <x:c r="E3" t="str">
        <x:v>B</x:v>
      </x:c>
      <x:c r="F3" t="str">
        <x:v>B</x:v>
      </x:c>
      <x:c r="G3" t="str">
        <x:v>B</x:v>
      </x:c>
      <x:c r="H3" t="str">
        <x:v>W</x:v>
      </x:c>
      <x:c r="I3" t="str">
        <x:v>B</x:v>
      </x:c>
      <x:c r="J3" t="str">
        <x:v>W</x:v>
      </x:c>
      <x:c r="K3" t="str">
        <x:v>W</x:v>
      </x:c>
      <x:c r="L3" t="str">
        <x:v>W</x:v>
      </x:c>
      <x:c r="M3" t="str">
        <x:v>B</x:v>
      </x:c>
      <x:c r="N3" t="str">
        <x:v>W</x:v>
      </x:c>
      <x:c r="O3" t="str">
        <x:v>B</x:v>
      </x:c>
      <x:c r="P3" t="str">
        <x:v>B</x:v>
      </x:c>
      <x:c r="Q3" t="str">
        <x:v>B</x:v>
      </x:c>
      <x:c r="R3" t="str">
        <x:v>B</x:v>
      </x:c>
      <x:c r="S3" t="str">
        <x:v>B</x:v>
      </x:c>
      <x:c r="T3" t="str">
        <x:v>B</x:v>
      </x:c>
      <x:c r="U3" t="str">
        <x:v>B</x:v>
      </x:c>
      <x:c r="V3" t="n">
        <x:f>COUNTIF(B3:U3,"W")</x:f>
        <x:v>6</x:v>
      </x:c>
      <x:c r="W3" s="5" t="str">
        <x:f>IF(COUNTIF(B3:D3,"W")&gt;0,"Y","N")</x:f>
        <x:v>Y</x:v>
      </x:c>
      <x:c r="X3" s="36" t="str">
        <x:v>Mean number of white balls</x:v>
      </x:c>
      <x:c r="Y3" s="37" t="n">
        <x:f>20*'Team_Info'!E5</x:f>
        <x:v>7.597402597402597</x:v>
      </x:c>
      <x:c r="Z3" s="37" t="n">
        <x:f>AVERAGE(V2:V501)</x:f>
        <x:v>7.606</x:v>
      </x:c>
      <x:c r="AA3" s="37" t="n">
        <x:f>'Problem1_Computations'!AA4</x:f>
        <x:v>7.568</x:v>
      </x:c>
      <x:c r="AB3" s="37" t="n">
        <x:f>ABS(Z3-Y3)</x:f>
        <x:v>0.008597402597402493</x:v>
      </x:c>
      <x:c r="AC3" s="38" t="n">
        <x:f>AB3/Y3</x:f>
        <x:v>0.0011316239316239178</x:v>
      </x:c>
      <x:c r="AD3" s="35" t="str">
        <x:v>Both models have mean 20p</x:v>
      </x:c>
    </x:row>
    <x:row r="4">
      <x:c r="A4" s="1">
        <x:v>3</x:v>
      </x:c>
      <x:c r="B4" t="str">
        <x:v>W</x:v>
      </x:c>
      <x:c r="C4" t="str">
        <x:v>B</x:v>
      </x:c>
      <x:c r="D4" t="str">
        <x:v>B</x:v>
      </x:c>
      <x:c r="E4" t="str">
        <x:v>B</x:v>
      </x:c>
      <x:c r="F4" t="str">
        <x:v>W</x:v>
      </x:c>
      <x:c r="G4" t="str">
        <x:v>B</x:v>
      </x:c>
      <x:c r="H4" t="str">
        <x:v>W</x:v>
      </x:c>
      <x:c r="I4" t="str">
        <x:v>W</x:v>
      </x:c>
      <x:c r="J4" t="str">
        <x:v>B</x:v>
      </x:c>
      <x:c r="K4" t="str">
        <x:v>W</x:v>
      </x:c>
      <x:c r="L4" t="str">
        <x:v>B</x:v>
      </x:c>
      <x:c r="M4" t="str">
        <x:v>B</x:v>
      </x:c>
      <x:c r="N4" t="str">
        <x:v>B</x:v>
      </x:c>
      <x:c r="O4" t="str">
        <x:v>B</x:v>
      </x:c>
      <x:c r="P4" t="str">
        <x:v>B</x:v>
      </x:c>
      <x:c r="Q4" t="str">
        <x:v>B</x:v>
      </x:c>
      <x:c r="R4" t="str">
        <x:v>W</x:v>
      </x:c>
      <x:c r="S4" t="str">
        <x:v>B</x:v>
      </x:c>
      <x:c r="T4" t="str">
        <x:v>W</x:v>
      </x:c>
      <x:c r="U4" t="str">
        <x:v>B</x:v>
      </x:c>
      <x:c r="V4" t="n">
        <x:f>COUNTIF(B4:U4,"W")</x:f>
        <x:v>7</x:v>
      </x:c>
      <x:c r="W4" s="5" t="str">
        <x:f>IF(COUNTIF(B4:D4,"W")&gt;0,"Y","N")</x:f>
        <x:v>Y</x:v>
      </x:c>
      <x:c r="X4" s="36" t="str">
        <x:v>No white among first 3</x:v>
      </x:c>
      <x:c r="Y4" s="37" t="n">
        <x:f>('Team_Info'!E3/'Team_Info'!E4)*(('Team_Info'!E3-1)/('Team_Info'!E4-1))*(('Team_Info'!E3-2)/('Team_Info'!E4-2))</x:f>
        <x:v>0.2370490689613127</x:v>
      </x:c>
      <x:c r="Z4" s="37" t="n">
        <x:f>COUNTIF(W2:W501,"N")/500</x:f>
        <x:v>0.246</x:v>
      </x:c>
      <x:c r="AA4" s="37" t="n">
        <x:f>'Problem1_Computations'!Z5</x:f>
        <x:v>0.2384777976071828</x:v>
      </x:c>
      <x:c r="AB4" s="37" t="n">
        <x:f>ABS(Z4-Y4)</x:f>
        <x:v>0.008950931038687299</x:v>
      </x:c>
      <x:c r="AC4" s="38" t="n">
        <x:f>AB4/Y4</x:f>
        <x:v>0.03775982364287676</x:v>
      </x:c>
      <x:c r="AD4" s="35" t="str">
        <x:v>Without replacement probability</x:v>
      </x:c>
    </x:row>
    <x:row r="5">
      <x:c r="A5" s="1">
        <x:v>4</x:v>
      </x:c>
      <x:c r="B5" t="str">
        <x:v>W</x:v>
      </x:c>
      <x:c r="C5" t="str">
        <x:v>W</x:v>
      </x:c>
      <x:c r="D5" t="str">
        <x:v>B</x:v>
      </x:c>
      <x:c r="E5" t="str">
        <x:v>B</x:v>
      </x:c>
      <x:c r="F5" t="str">
        <x:v>W</x:v>
      </x:c>
      <x:c r="G5" t="str">
        <x:v>W</x:v>
      </x:c>
      <x:c r="H5" t="str">
        <x:v>B</x:v>
      </x:c>
      <x:c r="I5" t="str">
        <x:v>W</x:v>
      </x:c>
      <x:c r="J5" t="str">
        <x:v>W</x:v>
      </x:c>
      <x:c r="K5" t="str">
        <x:v>B</x:v>
      </x:c>
      <x:c r="L5" t="str">
        <x:v>B</x:v>
      </x:c>
      <x:c r="M5" t="str">
        <x:v>B</x:v>
      </x:c>
      <x:c r="N5" t="str">
        <x:v>W</x:v>
      </x:c>
      <x:c r="O5" t="str">
        <x:v>B</x:v>
      </x:c>
      <x:c r="P5" t="str">
        <x:v>W</x:v>
      </x:c>
      <x:c r="Q5" t="str">
        <x:v>B</x:v>
      </x:c>
      <x:c r="R5" t="str">
        <x:v>B</x:v>
      </x:c>
      <x:c r="S5" t="str">
        <x:v>W</x:v>
      </x:c>
      <x:c r="T5" t="str">
        <x:v>B</x:v>
      </x:c>
      <x:c r="U5" t="str">
        <x:v>W</x:v>
      </x:c>
      <x:c r="V5" t="n">
        <x:f>COUNTIF(B5:U5,"W")</x:f>
        <x:v>10</x:v>
      </x:c>
      <x:c r="W5" s="5" t="str">
        <x:f>IF(COUNTIF(B5:D5,"W")&gt;0,"Y","N")</x:f>
        <x:v>Y</x:v>
      </x:c>
      <x:c r="X5" s="42"/>
      <x:c r="Y5" s="42"/>
      <x:c r="Z5" s="42"/>
      <x:c r="AA5" s="42"/>
      <x:c r="AB5" s="42"/>
      <x:c r="AC5" s="42"/>
      <x:c r="AD5" s="42"/>
    </x:row>
    <x:row r="6">
      <x:c r="A6" s="1">
        <x:v>5</x:v>
      </x:c>
      <x:c r="B6" t="str">
        <x:v>B</x:v>
      </x:c>
      <x:c r="C6" t="str">
        <x:v>B</x:v>
      </x:c>
      <x:c r="D6" t="str">
        <x:v>B</x:v>
      </x:c>
      <x:c r="E6" t="str">
        <x:v>W</x:v>
      </x:c>
      <x:c r="F6" t="str">
        <x:v>B</x:v>
      </x:c>
      <x:c r="G6" t="str">
        <x:v>B</x:v>
      </x:c>
      <x:c r="H6" t="str">
        <x:v>B</x:v>
      </x:c>
      <x:c r="I6" t="str">
        <x:v>B</x:v>
      </x:c>
      <x:c r="J6" t="str">
        <x:v>B</x:v>
      </x:c>
      <x:c r="K6" t="str">
        <x:v>B</x:v>
      </x:c>
      <x:c r="L6" t="str">
        <x:v>B</x:v>
      </x:c>
      <x:c r="M6" t="str">
        <x:v>B</x:v>
      </x:c>
      <x:c r="N6" t="str">
        <x:v>W</x:v>
      </x:c>
      <x:c r="O6" t="str">
        <x:v>B</x:v>
      </x:c>
      <x:c r="P6" t="str">
        <x:v>B</x:v>
      </x:c>
      <x:c r="Q6" t="str">
        <x:v>B</x:v>
      </x:c>
      <x:c r="R6" t="str">
        <x:v>B</x:v>
      </x:c>
      <x:c r="S6" t="str">
        <x:v>W</x:v>
      </x:c>
      <x:c r="T6" t="str">
        <x:v>B</x:v>
      </x:c>
      <x:c r="U6" t="str">
        <x:v>W</x:v>
      </x:c>
      <x:c r="V6" t="n">
        <x:f>COUNTIF(B6:U6,"W")</x:f>
        <x:v>4</x:v>
      </x:c>
      <x:c r="W6" s="5" t="str">
        <x:f>IF(COUNTIF(B6:D6,"W")&gt;0,"Y","N")</x:f>
        <x:v>N</x:v>
      </x:c>
      <x:c r="X6" s="42"/>
      <x:c r="Y6" s="42"/>
      <x:c r="Z6" s="42"/>
      <x:c r="AA6" s="42"/>
      <x:c r="AB6" s="42"/>
      <x:c r="AC6" s="42"/>
      <x:c r="AD6" s="42"/>
    </x:row>
    <x:row r="7">
      <x:c r="A7" s="1">
        <x:v>6</x:v>
      </x:c>
      <x:c r="B7" t="str">
        <x:v>W</x:v>
      </x:c>
      <x:c r="C7" t="str">
        <x:v>B</x:v>
      </x:c>
      <x:c r="D7" t="str">
        <x:v>B</x:v>
      </x:c>
      <x:c r="E7" t="str">
        <x:v>B</x:v>
      </x:c>
      <x:c r="F7" t="str">
        <x:v>B</x:v>
      </x:c>
      <x:c r="G7" t="str">
        <x:v>W</x:v>
      </x:c>
      <x:c r="H7" t="str">
        <x:v>B</x:v>
      </x:c>
      <x:c r="I7" t="str">
        <x:v>B</x:v>
      </x:c>
      <x:c r="J7" t="str">
        <x:v>W</x:v>
      </x:c>
      <x:c r="K7" t="str">
        <x:v>W</x:v>
      </x:c>
      <x:c r="L7" t="str">
        <x:v>B</x:v>
      </x:c>
      <x:c r="M7" t="str">
        <x:v>B</x:v>
      </x:c>
      <x:c r="N7" t="str">
        <x:v>W</x:v>
      </x:c>
      <x:c r="O7" t="str">
        <x:v>W</x:v>
      </x:c>
      <x:c r="P7" t="str">
        <x:v>B</x:v>
      </x:c>
      <x:c r="Q7" t="str">
        <x:v>B</x:v>
      </x:c>
      <x:c r="R7" t="str">
        <x:v>B</x:v>
      </x:c>
      <x:c r="S7" t="str">
        <x:v>B</x:v>
      </x:c>
      <x:c r="T7" t="str">
        <x:v>W</x:v>
      </x:c>
      <x:c r="U7" t="str">
        <x:v>W</x:v>
      </x:c>
      <x:c r="V7" t="n">
        <x:f>COUNTIF(B7:U7,"W")</x:f>
        <x:v>8</x:v>
      </x:c>
      <x:c r="W7" s="5" t="str">
        <x:f>IF(COUNTIF(B7:D7,"W")&gt;0,"Y","N")</x:f>
        <x:v>Y</x:v>
      </x:c>
      <x:c r="X7" s="34" t="str">
        <x:v>x</x:v>
      </x:c>
      <x:c r="Y7" s="34" t="str">
        <x:v>Hypergeometric PMF</x:v>
      </x:c>
      <x:c r="Z7" s="34" t="str">
        <x:v>Relative frequency</x:v>
      </x:c>
      <x:c r="AA7" s="34" t="str">
        <x:v>Binomial PMF</x:v>
      </x:c>
      <x:c r="AB7" s="34" t="str">
        <x:v>Absolute deviation</x:v>
      </x:c>
      <x:c r="AC7" s="34" t="str">
        <x:v>Relative error</x:v>
      </x:c>
      <x:c r="AD7" s="42"/>
    </x:row>
    <x:row r="8">
      <x:c r="A8" s="1">
        <x:v>7</x:v>
      </x:c>
      <x:c r="B8" t="str">
        <x:v>B</x:v>
      </x:c>
      <x:c r="C8" t="str">
        <x:v>B</x:v>
      </x:c>
      <x:c r="D8" t="str">
        <x:v>B</x:v>
      </x:c>
      <x:c r="E8" t="str">
        <x:v>W</x:v>
      </x:c>
      <x:c r="F8" t="str">
        <x:v>B</x:v>
      </x:c>
      <x:c r="G8" t="str">
        <x:v>B</x:v>
      </x:c>
      <x:c r="H8" t="str">
        <x:v>W</x:v>
      </x:c>
      <x:c r="I8" t="str">
        <x:v>B</x:v>
      </x:c>
      <x:c r="J8" t="str">
        <x:v>B</x:v>
      </x:c>
      <x:c r="K8" t="str">
        <x:v>B</x:v>
      </x:c>
      <x:c r="L8" t="str">
        <x:v>B</x:v>
      </x:c>
      <x:c r="M8" t="str">
        <x:v>B</x:v>
      </x:c>
      <x:c r="N8" t="str">
        <x:v>B</x:v>
      </x:c>
      <x:c r="O8" t="str">
        <x:v>B</x:v>
      </x:c>
      <x:c r="P8" t="str">
        <x:v>W</x:v>
      </x:c>
      <x:c r="Q8" t="str">
        <x:v>W</x:v>
      </x:c>
      <x:c r="R8" t="str">
        <x:v>W</x:v>
      </x:c>
      <x:c r="S8" t="str">
        <x:v>B</x:v>
      </x:c>
      <x:c r="T8" t="str">
        <x:v>W</x:v>
      </x:c>
      <x:c r="U8" t="str">
        <x:v>B</x:v>
      </x:c>
      <x:c r="V8" t="n">
        <x:f>COUNTIF(B8:U8,"W")</x:f>
        <x:v>6</x:v>
      </x:c>
      <x:c r="W8" s="5" t="str">
        <x:f>IF(COUNTIF(B8:D8,"W")&gt;0,"Y","N")</x:f>
        <x:v>N</x:v>
      </x:c>
      <x:c r="X8" s="35" t="n">
        <x:v>0</x:v>
      </x:c>
      <x:c r="Y8" s="37" t="n">
        <x:f>('Team_Info'!$E$3/'Team_Info'!$E$4)*(('Team_Info'!$E$3-1)/('Team_Info'!$E$4-1))*(('Team_Info'!$E$3-2)/('Team_Info'!$E$4-2))*(('Team_Info'!$E$3-3)/('Team_Info'!$E$4-3))*(('Team_Info'!$E$3-4)/('Team_Info'!$E$4-4))*(('Team_Info'!$E$3-5)/('Team_Info'!$E$4-5))*(('Team_Info'!$E$3-6)/('Team_Info'!$E$4-6))*(('Team_Info'!$E$3-7)/('Team_Info'!$E$4-7))*(('Team_Info'!$E$3-8)/('Team_Info'!$E$4-8))*(('Team_Info'!$E$3-9)/('Team_Info'!$E$4-9))*(('Team_Info'!$E$3-10)/('Team_Info'!$E$4-10))*(('Team_Info'!$E$3-11)/('Team_Info'!$E$4-11))*(('Team_Info'!$E$3-12)/('Team_Info'!$E$4-12))*(('Team_Info'!$E$3-13)/('Team_Info'!$E$4-13))*(('Team_Info'!$E$3-14)/('Team_Info'!$E$4-14))*(('Team_Info'!$E$3-15)/('Team_Info'!$E$4-15))*(('Team_Info'!$E$3-16)/('Team_Info'!$E$4-16))*(('Team_Info'!$E$3-17)/('Team_Info'!$E$4-17))*(('Team_Info'!$E$3-18)/('Team_Info'!$E$4-18))*(('Team_Info'!$E$3-19)/('Team_Info'!$E$4-19))</x:f>
        <x:v>0.000047411049839849144</x:v>
      </x:c>
      <x:c r="Z8" s="37" t="n">
        <x:f>COUNTIF($V$2:$V$501,X8)/500</x:f>
        <x:v>0</x:v>
      </x:c>
      <x:c r="AA8" s="37" t="n">
        <x:f>BINOM.DIST(X8,20,'Team_Info'!$E$5,FALSE)</x:f>
        <x:v>0.00007073803880652933</x:v>
      </x:c>
      <x:c r="AB8" s="37" t="n">
        <x:f>ABS(Z8-Y8)</x:f>
        <x:v>0.000047411049839849144</x:v>
      </x:c>
      <x:c r="AC8" s="38" t="n">
        <x:f>IF(Y8=0,0,AB8/Y8)</x:f>
        <x:v>1</x:v>
      </x:c>
      <x:c r="AD8" s="42"/>
    </x:row>
    <x:row r="9">
      <x:c r="A9" s="1">
        <x:v>8</x:v>
      </x:c>
      <x:c r="B9" t="str">
        <x:v>W</x:v>
      </x:c>
      <x:c r="C9" t="str">
        <x:v>B</x:v>
      </x:c>
      <x:c r="D9" t="str">
        <x:v>B</x:v>
      </x:c>
      <x:c r="E9" t="str">
        <x:v>W</x:v>
      </x:c>
      <x:c r="F9" t="str">
        <x:v>W</x:v>
      </x:c>
      <x:c r="G9" t="str">
        <x:v>B</x:v>
      </x:c>
      <x:c r="H9" t="str">
        <x:v>B</x:v>
      </x:c>
      <x:c r="I9" t="str">
        <x:v>W</x:v>
      </x:c>
      <x:c r="J9" t="str">
        <x:v>B</x:v>
      </x:c>
      <x:c r="K9" t="str">
        <x:v>B</x:v>
      </x:c>
      <x:c r="L9" t="str">
        <x:v>B</x:v>
      </x:c>
      <x:c r="M9" t="str">
        <x:v>B</x:v>
      </x:c>
      <x:c r="N9" t="str">
        <x:v>W</x:v>
      </x:c>
      <x:c r="O9" t="str">
        <x:v>W</x:v>
      </x:c>
      <x:c r="P9" t="str">
        <x:v>B</x:v>
      </x:c>
      <x:c r="Q9" t="str">
        <x:v>B</x:v>
      </x:c>
      <x:c r="R9" t="str">
        <x:v>B</x:v>
      </x:c>
      <x:c r="S9" t="str">
        <x:v>B</x:v>
      </x:c>
      <x:c r="T9" t="str">
        <x:v>B</x:v>
      </x:c>
      <x:c r="U9" t="str">
        <x:v>B</x:v>
      </x:c>
      <x:c r="V9" t="n">
        <x:f>COUNTIF(B9:U9,"W")</x:f>
        <x:v>6</x:v>
      </x:c>
      <x:c r="W9" s="5" t="str">
        <x:f>IF(COUNTIF(B9:D9,"W")&gt;0,"Y","N")</x:f>
        <x:v>Y</x:v>
      </x:c>
      <x:c r="X9" s="35" t="n">
        <x:v>1</x:v>
      </x:c>
      <x:c r="Y9" s="37" t="n">
        <x:f>Y8*(('Team_Info'!$E$2-X8)/(X8+1))*((20-X8)/('Team_Info'!$E$3-20+X8+1))</x:f>
        <x:v>0.0006450107943328314</x:v>
      </x:c>
      <x:c r="Z9" s="37" t="n">
        <x:f>COUNTIF($V$2:$V$501,X9)/500</x:f>
        <x:v>0.002</x:v>
      </x:c>
      <x:c r="AA9" s="37" t="n">
        <x:f>BINOM.DIST(X9,20,'Team_Info'!$E$5,FALSE)</x:f>
        <x:v>0.0008666335644360138</x:v>
      </x:c>
      <x:c r="AB9" s="37" t="n">
        <x:f>ABS(Z9-Y9)</x:f>
        <x:v>0.0013549892056671686</x:v>
      </x:c>
      <x:c r="AC9" s="38" t="n">
        <x:f>IF(Y9=0,0,AB9/Y9)</x:f>
        <x:v>2.100723301954513</x:v>
      </x:c>
      <x:c r="AD9" s="42"/>
    </x:row>
    <x:row r="10">
      <x:c r="A10" s="1">
        <x:v>9</x:v>
      </x:c>
      <x:c r="B10" t="str">
        <x:v>B</x:v>
      </x:c>
      <x:c r="C10" t="str">
        <x:v>W</x:v>
      </x:c>
      <x:c r="D10" t="str">
        <x:v>W</x:v>
      </x:c>
      <x:c r="E10" t="str">
        <x:v>W</x:v>
      </x:c>
      <x:c r="F10" t="str">
        <x:v>B</x:v>
      </x:c>
      <x:c r="G10" t="str">
        <x:v>B</x:v>
      </x:c>
      <x:c r="H10" t="str">
        <x:v>W</x:v>
      </x:c>
      <x:c r="I10" t="str">
        <x:v>W</x:v>
      </x:c>
      <x:c r="J10" t="str">
        <x:v>B</x:v>
      </x:c>
      <x:c r="K10" t="str">
        <x:v>B</x:v>
      </x:c>
      <x:c r="L10" t="str">
        <x:v>W</x:v>
      </x:c>
      <x:c r="M10" t="str">
        <x:v>W</x:v>
      </x:c>
      <x:c r="N10" t="str">
        <x:v>B</x:v>
      </x:c>
      <x:c r="O10" t="str">
        <x:v>W</x:v>
      </x:c>
      <x:c r="P10" t="str">
        <x:v>B</x:v>
      </x:c>
      <x:c r="Q10" t="str">
        <x:v>W</x:v>
      </x:c>
      <x:c r="R10" t="str">
        <x:v>B</x:v>
      </x:c>
      <x:c r="S10" t="str">
        <x:v>B</x:v>
      </x:c>
      <x:c r="T10" t="str">
        <x:v>B</x:v>
      </x:c>
      <x:c r="U10" t="str">
        <x:v>B</x:v>
      </x:c>
      <x:c r="V10" t="n">
        <x:f>COUNTIF(B10:U10,"W")</x:f>
        <x:v>9</x:v>
      </x:c>
      <x:c r="W10" s="5" t="str">
        <x:f>IF(COUNTIF(B10:D10,"W")&gt;0,"Y","N")</x:f>
        <x:v>Y</x:v>
      </x:c>
      <x:c r="X10" s="35" t="n">
        <x:v>2</x:v>
      </x:c>
      <x:c r="Y10" s="37" t="n">
        <x:f>Y9*(('Team_Info'!$E$2-X9)/(X9+1))*((20-X9)/('Team_Info'!$E$3-20+X9+1))</x:f>
        <x:v>0.004108681476039192</x:v>
      </x:c>
      <x:c r="Z10" s="37" t="n">
        <x:f>COUNTIF($V$2:$V$501,X10)/500</x:f>
        <x:v>0.004</x:v>
      </x:c>
      <x:c r="AA10" s="37" t="n">
        <x:f>BINOM.DIST(X10,20,'Team_Info'!$E$5,FALSE)</x:f>
        <x:v>0.005043262863197013</x:v>
      </x:c>
      <x:c r="AB10" s="37" t="n">
        <x:f>ABS(Z10-Y10)</x:f>
        <x:v>0.0001086814760391918</x:v>
      </x:c>
      <x:c r="AC10" s="38" t="n">
        <x:f>IF(Y10=0,0,AB10/Y10)</x:f>
        <x:v>0.0264516674444089</x:v>
      </x:c>
      <x:c r="AD10" s="42"/>
    </x:row>
    <x:row r="11">
      <x:c r="A11" s="1">
        <x:v>10</x:v>
      </x:c>
      <x:c r="B11" t="str">
        <x:v>B</x:v>
      </x:c>
      <x:c r="C11" t="str">
        <x:v>W</x:v>
      </x:c>
      <x:c r="D11" t="str">
        <x:v>B</x:v>
      </x:c>
      <x:c r="E11" t="str">
        <x:v>B</x:v>
      </x:c>
      <x:c r="F11" t="str">
        <x:v>B</x:v>
      </x:c>
      <x:c r="G11" t="str">
        <x:v>W</x:v>
      </x:c>
      <x:c r="H11" t="str">
        <x:v>W</x:v>
      </x:c>
      <x:c r="I11" t="str">
        <x:v>B</x:v>
      </x:c>
      <x:c r="J11" t="str">
        <x:v>B</x:v>
      </x:c>
      <x:c r="K11" t="str">
        <x:v>B</x:v>
      </x:c>
      <x:c r="L11" t="str">
        <x:v>W</x:v>
      </x:c>
      <x:c r="M11" t="str">
        <x:v>W</x:v>
      </x:c>
      <x:c r="N11" t="str">
        <x:v>B</x:v>
      </x:c>
      <x:c r="O11" t="str">
        <x:v>B</x:v>
      </x:c>
      <x:c r="P11" t="str">
        <x:v>B</x:v>
      </x:c>
      <x:c r="Q11" t="str">
        <x:v>B</x:v>
      </x:c>
      <x:c r="R11" t="str">
        <x:v>B</x:v>
      </x:c>
      <x:c r="S11" t="str">
        <x:v>B</x:v>
      </x:c>
      <x:c r="T11" t="str">
        <x:v>B</x:v>
      </x:c>
      <x:c r="U11" t="str">
        <x:v>W</x:v>
      </x:c>
      <x:c r="V11" t="n">
        <x:f>COUNTIF(B11:U11,"W")</x:f>
        <x:v>6</x:v>
      </x:c>
      <x:c r="W11" s="5" t="str">
        <x:f>IF(COUNTIF(B11:D11,"W")&gt;0,"Y","N")</x:f>
        <x:v>Y</x:v>
      </x:c>
      <x:c r="X11" s="35" t="n">
        <x:v>3</x:v>
      </x:c>
      <x:c r="Y11" s="37" t="n">
        <x:f>Y10*(('Team_Info'!$E$2-X10)/(X10+1))*((20-X10)/('Team_Info'!$E$3-20+X10+1))</x:f>
        <x:v>0.01629304723256921</x:v>
      </x:c>
      <x:c r="Z11" s="37" t="n">
        <x:f>COUNTIF($V$2:$V$501,X11)/500</x:f>
        <x:v>0.02</x:v>
      </x:c>
      <x:c r="AA11" s="37" t="n">
        <x:f>BINOM.DIST(X11,20,'Team_Info'!$E$5,FALSE)</x:f>
        <x:v>0.018535971361069648</x:v>
      </x:c>
      <x:c r="AB11" s="37" t="n">
        <x:f>ABS(Z11-Y11)</x:f>
        <x:v>0.003706952767430792</x:v>
      </x:c>
      <x:c r="AC11" s="38" t="n">
        <x:f>IF(Y11=0,0,AB11/Y11)</x:f>
        <x:v>0.2275174627874845</x:v>
      </x:c>
      <x:c r="AD11" s="42"/>
    </x:row>
    <x:row r="12">
      <x:c r="A12" s="1">
        <x:v>11</x:v>
      </x:c>
      <x:c r="B12" t="str">
        <x:v>B</x:v>
      </x:c>
      <x:c r="C12" t="str">
        <x:v>B</x:v>
      </x:c>
      <x:c r="D12" t="str">
        <x:v>B</x:v>
      </x:c>
      <x:c r="E12" t="str">
        <x:v>B</x:v>
      </x:c>
      <x:c r="F12" t="str">
        <x:v>W</x:v>
      </x:c>
      <x:c r="G12" t="str">
        <x:v>B</x:v>
      </x:c>
      <x:c r="H12" t="str">
        <x:v>W</x:v>
      </x:c>
      <x:c r="I12" t="str">
        <x:v>W</x:v>
      </x:c>
      <x:c r="J12" t="str">
        <x:v>W</x:v>
      </x:c>
      <x:c r="K12" t="str">
        <x:v>W</x:v>
      </x:c>
      <x:c r="L12" t="str">
        <x:v>B</x:v>
      </x:c>
      <x:c r="M12" t="str">
        <x:v>B</x:v>
      </x:c>
      <x:c r="N12" t="str">
        <x:v>B</x:v>
      </x:c>
      <x:c r="O12" t="str">
        <x:v>B</x:v>
      </x:c>
      <x:c r="P12" t="str">
        <x:v>B</x:v>
      </x:c>
      <x:c r="Q12" t="str">
        <x:v>B</x:v>
      </x:c>
      <x:c r="R12" t="str">
        <x:v>B</x:v>
      </x:c>
      <x:c r="S12" t="str">
        <x:v>W</x:v>
      </x:c>
      <x:c r="T12" t="str">
        <x:v>B</x:v>
      </x:c>
      <x:c r="U12" t="str">
        <x:v>W</x:v>
      </x:c>
      <x:c r="V12" t="n">
        <x:f>COUNTIF(B12:U12,"W")</x:f>
        <x:v>7</x:v>
      </x:c>
      <x:c r="W12" s="5" t="str">
        <x:f>IF(COUNTIF(B12:D12,"W")&gt;0,"Y","N")</x:f>
        <x:v>N</x:v>
      </x:c>
      <x:c r="X12" s="35" t="n">
        <x:v>4</x:v>
      </x:c>
      <x:c r="Y12" s="37" t="n">
        <x:f>Y11*(('Team_Info'!$E$2-X11)/(X11+1))*((20-X11)/('Team_Info'!$E$3-20+X11+1))</x:f>
        <x:v>0.045108465052455894</x:v>
      </x:c>
      <x:c r="Z12" s="37" t="n">
        <x:f>COUNTIF($V$2:$V$501,X12)/500</x:f>
        <x:v>0.048</x:v>
      </x:c>
      <x:c r="AA12" s="37" t="n">
        <x:f>BINOM.DIST(X12,20,'Team_Info'!$E$5,FALSE)</x:f>
        <x:v>0.04825660606959101</x:v>
      </x:c>
      <x:c r="AB12" s="37" t="n">
        <x:f>ABS(Z12-Y12)</x:f>
        <x:v>0.002891534947544107</x:v>
      </x:c>
      <x:c r="AC12" s="38" t="n">
        <x:f>IF(Y12=0,0,AB12/Y12)</x:f>
        <x:v>0.06410182532661195</x:v>
      </x:c>
      <x:c r="AD12" s="42"/>
    </x:row>
    <x:row r="13">
      <x:c r="A13" s="1">
        <x:v>12</x:v>
      </x:c>
      <x:c r="B13" t="str">
        <x:v>W</x:v>
      </x:c>
      <x:c r="C13" t="str">
        <x:v>B</x:v>
      </x:c>
      <x:c r="D13" t="str">
        <x:v>B</x:v>
      </x:c>
      <x:c r="E13" t="str">
        <x:v>W</x:v>
      </x:c>
      <x:c r="F13" t="str">
        <x:v>W</x:v>
      </x:c>
      <x:c r="G13" t="str">
        <x:v>B</x:v>
      </x:c>
      <x:c r="H13" t="str">
        <x:v>B</x:v>
      </x:c>
      <x:c r="I13" t="str">
        <x:v>B</x:v>
      </x:c>
      <x:c r="J13" t="str">
        <x:v>W</x:v>
      </x:c>
      <x:c r="K13" t="str">
        <x:v>B</x:v>
      </x:c>
      <x:c r="L13" t="str">
        <x:v>B</x:v>
      </x:c>
      <x:c r="M13" t="str">
        <x:v>W</x:v>
      </x:c>
      <x:c r="N13" t="str">
        <x:v>B</x:v>
      </x:c>
      <x:c r="O13" t="str">
        <x:v>B</x:v>
      </x:c>
      <x:c r="P13" t="str">
        <x:v>B</x:v>
      </x:c>
      <x:c r="Q13" t="str">
        <x:v>W</x:v>
      </x:c>
      <x:c r="R13" t="str">
        <x:v>W</x:v>
      </x:c>
      <x:c r="S13" t="str">
        <x:v>B</x:v>
      </x:c>
      <x:c r="T13" t="str">
        <x:v>B</x:v>
      </x:c>
      <x:c r="U13" t="str">
        <x:v>B</x:v>
      </x:c>
      <x:c r="V13" t="n">
        <x:f>COUNTIF(B13:U13,"W")</x:f>
        <x:v>7</x:v>
      </x:c>
      <x:c r="W13" s="5" t="str">
        <x:f>IF(COUNTIF(B13:D13,"W")&gt;0,"Y","N")</x:f>
        <x:v>Y</x:v>
      </x:c>
      <x:c r="X13" s="35" t="n">
        <x:v>5</x:v>
      </x:c>
      <x:c r="Y13" s="37" t="n">
        <x:f>Y12*(('Team_Info'!$E$2-X12)/(X12+1))*((20-X12)/('Team_Info'!$E$3-20+X12+1))</x:f>
        <x:v>0.09267739183504574</x:v>
      </x:c>
      <x:c r="Z13" s="37" t="n">
        <x:f>COUNTIF($V$2:$V$501,X13)/500</x:f>
        <x:v>0.092</x:v>
      </x:c>
      <x:c r="AA13" s="37" t="n">
        <x:f>BINOM.DIST(X13,20,'Team_Info'!$E$5,FALSE)</x:f>
        <x:v>0.09459305399191033</x:v>
      </x:c>
      <x:c r="AB13" s="37" t="n">
        <x:f>ABS(Z13-Y13)</x:f>
        <x:v>0.0006773918350457403</x:v>
      </x:c>
      <x:c r="AC13" s="38" t="n">
        <x:f>IF(Y13=0,0,AB13/Y13)</x:f>
        <x:v>0.007309137877460058</x:v>
      </x:c>
      <x:c r="AD13" s="42"/>
    </x:row>
    <x:row r="14">
      <x:c r="A14" s="1">
        <x:v>13</x:v>
      </x:c>
      <x:c r="B14" t="str">
        <x:v>B</x:v>
      </x:c>
      <x:c r="C14" t="str">
        <x:v>W</x:v>
      </x:c>
      <x:c r="D14" t="str">
        <x:v>B</x:v>
      </x:c>
      <x:c r="E14" t="str">
        <x:v>B</x:v>
      </x:c>
      <x:c r="F14" t="str">
        <x:v>B</x:v>
      </x:c>
      <x:c r="G14" t="str">
        <x:v>B</x:v>
      </x:c>
      <x:c r="H14" t="str">
        <x:v>W</x:v>
      </x:c>
      <x:c r="I14" t="str">
        <x:v>B</x:v>
      </x:c>
      <x:c r="J14" t="str">
        <x:v>W</x:v>
      </x:c>
      <x:c r="K14" t="str">
        <x:v>B</x:v>
      </x:c>
      <x:c r="L14" t="str">
        <x:v>W</x:v>
      </x:c>
      <x:c r="M14" t="str">
        <x:v>B</x:v>
      </x:c>
      <x:c r="N14" t="str">
        <x:v>W</x:v>
      </x:c>
      <x:c r="O14" t="str">
        <x:v>W</x:v>
      </x:c>
      <x:c r="P14" t="str">
        <x:v>B</x:v>
      </x:c>
      <x:c r="Q14" t="str">
        <x:v>B</x:v>
      </x:c>
      <x:c r="R14" t="str">
        <x:v>B</x:v>
      </x:c>
      <x:c r="S14" t="str">
        <x:v>B</x:v>
      </x:c>
      <x:c r="T14" t="str">
        <x:v>B</x:v>
      </x:c>
      <x:c r="U14" t="str">
        <x:v>W</x:v>
      </x:c>
      <x:c r="V14" t="n">
        <x:f>COUNTIF(B14:U14,"W")</x:f>
        <x:v>7</x:v>
      </x:c>
      <x:c r="W14" s="5" t="str">
        <x:f>IF(COUNTIF(B14:D14,"W")&gt;0,"Y","N")</x:f>
        <x:v>Y</x:v>
      </x:c>
      <x:c r="X14" s="35" t="n">
        <x:v>6</x:v>
      </x:c>
      <x:c r="Y14" s="37" t="n">
        <x:f>Y13*(('Team_Info'!$E$2-X13)/(X13+1))*((20-X13)/('Team_Info'!$E$3-20+X13+1))</x:f>
        <x:v>0.14660830346786896</x:v>
      </x:c>
      <x:c r="Z14" s="37" t="n">
        <x:f>COUNTIF($V$2:$V$501,X14)/500</x:f>
        <x:v>0.146</x:v>
      </x:c>
      <x:c r="AA14" s="37" t="n">
        <x:f>BINOM.DIST(X14,20,'Team_Info'!$E$5,FALSE)</x:f>
        <x:v>0.14486109053734963</x:v>
      </x:c>
      <x:c r="AB14" s="37" t="n">
        <x:f>ABS(Z14-Y14)</x:f>
        <x:v>0.0006083034678689703</x:v>
      </x:c>
      <x:c r="AC14" s="38" t="n">
        <x:f>IF(Y14=0,0,AB14/Y14)</x:f>
        <x:v>0.004149174729399195</x:v>
      </x:c>
      <x:c r="AD14" s="42"/>
    </x:row>
    <x:row r="15">
      <x:c r="A15" s="1">
        <x:v>14</x:v>
      </x:c>
      <x:c r="B15" t="str">
        <x:v>W</x:v>
      </x:c>
      <x:c r="C15" t="str">
        <x:v>B</x:v>
      </x:c>
      <x:c r="D15" t="str">
        <x:v>B</x:v>
      </x:c>
      <x:c r="E15" t="str">
        <x:v>B</x:v>
      </x:c>
      <x:c r="F15" t="str">
        <x:v>W</x:v>
      </x:c>
      <x:c r="G15" t="str">
        <x:v>B</x:v>
      </x:c>
      <x:c r="H15" t="str">
        <x:v>B</x:v>
      </x:c>
      <x:c r="I15" t="str">
        <x:v>B</x:v>
      </x:c>
      <x:c r="J15" t="str">
        <x:v>W</x:v>
      </x:c>
      <x:c r="K15" t="str">
        <x:v>B</x:v>
      </x:c>
      <x:c r="L15" t="str">
        <x:v>B</x:v>
      </x:c>
      <x:c r="M15" t="str">
        <x:v>B</x:v>
      </x:c>
      <x:c r="N15" t="str">
        <x:v>W</x:v>
      </x:c>
      <x:c r="O15" t="str">
        <x:v>B</x:v>
      </x:c>
      <x:c r="P15" t="str">
        <x:v>B</x:v>
      </x:c>
      <x:c r="Q15" t="str">
        <x:v>W</x:v>
      </x:c>
      <x:c r="R15" t="str">
        <x:v>B</x:v>
      </x:c>
      <x:c r="S15" t="str">
        <x:v>W</x:v>
      </x:c>
      <x:c r="T15" t="str">
        <x:v>W</x:v>
      </x:c>
      <x:c r="U15" t="str">
        <x:v>W</x:v>
      </x:c>
      <x:c r="V15" t="n">
        <x:f>COUNTIF(B15:U15,"W")</x:f>
        <x:v>8</x:v>
      </x:c>
      <x:c r="W15" s="5" t="str">
        <x:f>IF(COUNTIF(B15:D15,"W")&gt;0,"Y","N")</x:f>
        <x:v>Y</x:v>
      </x:c>
      <x:c r="X15" s="35" t="n">
        <x:v>7</x:v>
      </x:c>
      <x:c r="Y15" s="37" t="n">
        <x:f>Y14*(('Team_Info'!$E$2-X14)/(X14+1))*((20-X14)/('Team_Info'!$E$3-20+X14+1))</x:f>
        <x:v>0.18284855825767926</x:v>
      </x:c>
      <x:c r="Z15" s="37" t="n">
        <x:f>COUNTIF($V$2:$V$501,X15)/500</x:f>
        <x:v>0.178</x:v>
      </x:c>
      <x:c r="AA15" s="37" t="n">
        <x:f>BINOM.DIST(X15,20,'Team_Info'!$E$5,FALSE)</x:f>
        <x:v>0.17747379678397804</x:v>
      </x:c>
      <x:c r="AB15" s="37" t="n">
        <x:f>ABS(Z15-Y15)</x:f>
        <x:v>0.00484855825767927</x:v>
      </x:c>
      <x:c r="AC15" s="38" t="n">
        <x:f>IF(Y15=0,0,AB15/Y15)</x:f>
        <x:v>0.02651679785654334</x:v>
      </x:c>
      <x:c r="AD15" s="42"/>
    </x:row>
    <x:row r="16">
      <x:c r="A16" s="1">
        <x:v>15</x:v>
      </x:c>
      <x:c r="B16" t="str">
        <x:v>B</x:v>
      </x:c>
      <x:c r="C16" t="str">
        <x:v>B</x:v>
      </x:c>
      <x:c r="D16" t="str">
        <x:v>B</x:v>
      </x:c>
      <x:c r="E16" t="str">
        <x:v>W</x:v>
      </x:c>
      <x:c r="F16" t="str">
        <x:v>B</x:v>
      </x:c>
      <x:c r="G16" t="str">
        <x:v>B</x:v>
      </x:c>
      <x:c r="H16" t="str">
        <x:v>B</x:v>
      </x:c>
      <x:c r="I16" t="str">
        <x:v>B</x:v>
      </x:c>
      <x:c r="J16" t="str">
        <x:v>W</x:v>
      </x:c>
      <x:c r="K16" t="str">
        <x:v>W</x:v>
      </x:c>
      <x:c r="L16" t="str">
        <x:v>B</x:v>
      </x:c>
      <x:c r="M16" t="str">
        <x:v>W</x:v>
      </x:c>
      <x:c r="N16" t="str">
        <x:v>W</x:v>
      </x:c>
      <x:c r="O16" t="str">
        <x:v>B</x:v>
      </x:c>
      <x:c r="P16" t="str">
        <x:v>B</x:v>
      </x:c>
      <x:c r="Q16" t="str">
        <x:v>W</x:v>
      </x:c>
      <x:c r="R16" t="str">
        <x:v>B</x:v>
      </x:c>
      <x:c r="S16" t="str">
        <x:v>W</x:v>
      </x:c>
      <x:c r="T16" t="str">
        <x:v>B</x:v>
      </x:c>
      <x:c r="U16" t="str">
        <x:v>B</x:v>
      </x:c>
      <x:c r="V16" t="n">
        <x:f>COUNTIF(B16:U16,"W")</x:f>
        <x:v>7</x:v>
      </x:c>
      <x:c r="W16" s="5" t="str">
        <x:f>IF(COUNTIF(B16:D16,"W")&gt;0,"Y","N")</x:f>
        <x:v>N</x:v>
      </x:c>
      <x:c r="X16" s="35" t="n">
        <x:v>8</x:v>
      </x:c>
      <x:c r="Y16" s="37" t="n">
        <x:f>Y15*(('Team_Info'!$E$2-X15)/(X15+1))*((20-X15)/('Team_Info'!$E$3-20+X15+1))</x:f>
        <x:v>0.18259318317631382</x:v>
      </x:c>
      <x:c r="Z16" s="37" t="n">
        <x:f>COUNTIF($V$2:$V$501,X16)/500</x:f>
        <x:v>0.178</x:v>
      </x:c>
      <x:c r="AA16" s="37" t="n">
        <x:f>BINOM.DIST(X16,20,'Team_Info'!$E$5,FALSE)</x:f>
        <x:v>0.17666076237462738</x:v>
      </x:c>
      <x:c r="AB16" s="37" t="n">
        <x:f>ABS(Z16-Y16)</x:f>
        <x:v>0.004593183176313825</x:v>
      </x:c>
      <x:c r="AC16" s="38" t="n">
        <x:f>IF(Y16=0,0,AB16/Y16)</x:f>
        <x:v>0.025155282888510693</x:v>
      </x:c>
      <x:c r="AD16" s="42"/>
    </x:row>
    <x:row r="17">
      <x:c r="A17" s="1">
        <x:v>16</x:v>
      </x:c>
      <x:c r="B17" t="str">
        <x:v>B</x:v>
      </x:c>
      <x:c r="C17" t="str">
        <x:v>B</x:v>
      </x:c>
      <x:c r="D17" t="str">
        <x:v>B</x:v>
      </x:c>
      <x:c r="E17" t="str">
        <x:v>W</x:v>
      </x:c>
      <x:c r="F17" t="str">
        <x:v>B</x:v>
      </x:c>
      <x:c r="G17" t="str">
        <x:v>W</x:v>
      </x:c>
      <x:c r="H17" t="str">
        <x:v>W</x:v>
      </x:c>
      <x:c r="I17" t="str">
        <x:v>B</x:v>
      </x:c>
      <x:c r="J17" t="str">
        <x:v>B</x:v>
      </x:c>
      <x:c r="K17" t="str">
        <x:v>W</x:v>
      </x:c>
      <x:c r="L17" t="str">
        <x:v>B</x:v>
      </x:c>
      <x:c r="M17" t="str">
        <x:v>B</x:v>
      </x:c>
      <x:c r="N17" t="str">
        <x:v>B</x:v>
      </x:c>
      <x:c r="O17" t="str">
        <x:v>B</x:v>
      </x:c>
      <x:c r="P17" t="str">
        <x:v>W</x:v>
      </x:c>
      <x:c r="Q17" t="str">
        <x:v>B</x:v>
      </x:c>
      <x:c r="R17" t="str">
        <x:v>B</x:v>
      </x:c>
      <x:c r="S17" t="str">
        <x:v>B</x:v>
      </x:c>
      <x:c r="T17" t="str">
        <x:v>B</x:v>
      </x:c>
      <x:c r="U17" t="str">
        <x:v>B</x:v>
      </x:c>
      <x:c r="V17" t="n">
        <x:f>COUNTIF(B17:U17,"W")</x:f>
        <x:v>5</x:v>
      </x:c>
      <x:c r="W17" s="5" t="str">
        <x:f>IF(COUNTIF(B17:D17,"W")&gt;0,"Y","N")</x:f>
        <x:v>N</x:v>
      </x:c>
      <x:c r="X17" s="35" t="n">
        <x:v>9</x:v>
      </x:c>
      <x:c r="Y17" s="37" t="n">
        <x:f>Y16*(('Team_Info'!$E$2-X16)/(X16+1))*((20-X16)/('Team_Info'!$E$3-20+X16+1))</x:f>
        <x:v>0.14742708863865336</x:v>
      </x:c>
      <x:c r="Z17" s="37" t="n">
        <x:f>COUNTIF($V$2:$V$501,X17)/500</x:f>
        <x:v>0.148</x:v>
      </x:c>
      <x:c r="AA17" s="37" t="n">
        <x:f>BINOM.DIST(X17,20,'Team_Info'!$E$5,FALSE)</x:f>
        <x:v>0.14428837136357003</x:v>
      </x:c>
      <x:c r="AB17" s="37" t="n">
        <x:f>ABS(Z17-Y17)</x:f>
        <x:v>0.0005729113613466286</x:v>
      </x:c>
      <x:c r="AC17" s="38" t="n">
        <x:f>IF(Y17=0,0,AB17/Y17)</x:f>
        <x:v>0.003886065760620461</x:v>
      </x:c>
      <x:c r="AD17" s="42"/>
    </x:row>
    <x:row r="18">
      <x:c r="A18" s="1">
        <x:v>17</x:v>
      </x:c>
      <x:c r="B18" t="str">
        <x:v>W</x:v>
      </x:c>
      <x:c r="C18" t="str">
        <x:v>B</x:v>
      </x:c>
      <x:c r="D18" t="str">
        <x:v>B</x:v>
      </x:c>
      <x:c r="E18" t="str">
        <x:v>W</x:v>
      </x:c>
      <x:c r="F18" t="str">
        <x:v>W</x:v>
      </x:c>
      <x:c r="G18" t="str">
        <x:v>B</x:v>
      </x:c>
      <x:c r="H18" t="str">
        <x:v>W</x:v>
      </x:c>
      <x:c r="I18" t="str">
        <x:v>B</x:v>
      </x:c>
      <x:c r="J18" t="str">
        <x:v>W</x:v>
      </x:c>
      <x:c r="K18" t="str">
        <x:v>B</x:v>
      </x:c>
      <x:c r="L18" t="str">
        <x:v>B</x:v>
      </x:c>
      <x:c r="M18" t="str">
        <x:v>B</x:v>
      </x:c>
      <x:c r="N18" t="str">
        <x:v>B</x:v>
      </x:c>
      <x:c r="O18" t="str">
        <x:v>W</x:v>
      </x:c>
      <x:c r="P18" t="str">
        <x:v>B</x:v>
      </x:c>
      <x:c r="Q18" t="str">
        <x:v>B</x:v>
      </x:c>
      <x:c r="R18" t="str">
        <x:v>B</x:v>
      </x:c>
      <x:c r="S18" t="str">
        <x:v>B</x:v>
      </x:c>
      <x:c r="T18" t="str">
        <x:v>W</x:v>
      </x:c>
      <x:c r="U18" t="str">
        <x:v>B</x:v>
      </x:c>
      <x:c r="V18" t="n">
        <x:f>COUNTIF(B18:U18,"W")</x:f>
        <x:v>7</x:v>
      </x:c>
      <x:c r="W18" s="5" t="str">
        <x:f>IF(COUNTIF(B18:D18,"W")&gt;0,"Y","N")</x:f>
        <x:v>Y</x:v>
      </x:c>
      <x:c r="X18" s="35" t="n">
        <x:v>10</x:v>
      </x:c>
      <x:c r="Y18" s="37" t="n">
        <x:f>Y17*(('Team_Info'!$E$2-X17)/(X17+1))*((20-X17)/('Team_Info'!$E$3-20+X17+1))</x:f>
        <x:v>0.09676429906227635</x:v>
      </x:c>
      <x:c r="Z18" s="37" t="n">
        <x:f>COUNTIF($V$2:$V$501,X18)/500</x:f>
        <x:v>0.088</x:v>
      </x:c>
      <x:c r="AA18" s="37" t="n">
        <x:f>BINOM.DIST(X18,20,'Team_Info'!$E$5,FALSE)</x:f>
        <x:v>0.09722467745807048</x:v>
      </x:c>
      <x:c r="AB18" s="37" t="n">
        <x:f>ABS(Z18-Y18)</x:f>
        <x:v>0.008764299062276354</x:v>
      </x:c>
      <x:c r="AC18" s="38" t="n">
        <x:f>IF(Y18=0,0,AB18/Y18)</x:f>
        <x:v>0.09057368417080927</x:v>
      </x:c>
      <x:c r="AD18" s="42"/>
    </x:row>
    <x:row r="19">
      <x:c r="A19" s="1">
        <x:v>18</x:v>
      </x:c>
      <x:c r="B19" t="str">
        <x:v>W</x:v>
      </x:c>
      <x:c r="C19" t="str">
        <x:v>W</x:v>
      </x:c>
      <x:c r="D19" t="str">
        <x:v>W</x:v>
      </x:c>
      <x:c r="E19" t="str">
        <x:v>B</x:v>
      </x:c>
      <x:c r="F19" t="str">
        <x:v>B</x:v>
      </x:c>
      <x:c r="G19" t="str">
        <x:v>W</x:v>
      </x:c>
      <x:c r="H19" t="str">
        <x:v>B</x:v>
      </x:c>
      <x:c r="I19" t="str">
        <x:v>W</x:v>
      </x:c>
      <x:c r="J19" t="str">
        <x:v>B</x:v>
      </x:c>
      <x:c r="K19" t="str">
        <x:v>W</x:v>
      </x:c>
      <x:c r="L19" t="str">
        <x:v>W</x:v>
      </x:c>
      <x:c r="M19" t="str">
        <x:v>W</x:v>
      </x:c>
      <x:c r="N19" t="str">
        <x:v>B</x:v>
      </x:c>
      <x:c r="O19" t="str">
        <x:v>W</x:v>
      </x:c>
      <x:c r="P19" t="str">
        <x:v>B</x:v>
      </x:c>
      <x:c r="Q19" t="str">
        <x:v>B</x:v>
      </x:c>
      <x:c r="R19" t="str">
        <x:v>B</x:v>
      </x:c>
      <x:c r="S19" t="str">
        <x:v>W</x:v>
      </x:c>
      <x:c r="T19" t="str">
        <x:v>B</x:v>
      </x:c>
      <x:c r="U19" t="str">
        <x:v>W</x:v>
      </x:c>
      <x:c r="V19" t="n">
        <x:f>COUNTIF(B19:U19,"W")</x:f>
        <x:v>11</x:v>
      </x:c>
      <x:c r="W19" s="5" t="str">
        <x:f>IF(COUNTIF(B19:D19,"W")&gt;0,"Y","N")</x:f>
        <x:v>Y</x:v>
      </x:c>
      <x:c r="X19" s="35" t="n">
        <x:v>11</x:v>
      </x:c>
      <x:c r="Y19" s="37" t="n">
        <x:f>Y18*(('Team_Info'!$E$2-X18)/(X18+1))*((20-X18)/('Team_Info'!$E$3-20+X18+1))</x:f>
        <x:v>0.05171718281550234</x:v>
      </x:c>
      <x:c r="Z19" s="37" t="n">
        <x:f>COUNTIF($V$2:$V$501,X19)/500</x:f>
        <x:v>0.05</x:v>
      </x:c>
      <x:c r="AA19" s="37" t="n">
        <x:f>BINOM.DIST(X19,20,'Team_Info'!$E$5,FALSE)</x:f>
        <x:v>0.05414225255875415</x:v>
      </x:c>
      <x:c r="AB19" s="37" t="n">
        <x:f>ABS(Z19-Y19)</x:f>
        <x:v>0.001717182815502337</x:v>
      </x:c>
      <x:c r="AC19" s="38" t="n">
        <x:f>IF(Y19=0,0,AB19/Y19)</x:f>
        <x:v>0.03320333247130405</x:v>
      </x:c>
      <x:c r="AD19" s="42"/>
    </x:row>
    <x:row r="20">
      <x:c r="A20" s="1">
        <x:v>19</x:v>
      </x:c>
      <x:c r="B20" t="str">
        <x:v>B</x:v>
      </x:c>
      <x:c r="C20" t="str">
        <x:v>B</x:v>
      </x:c>
      <x:c r="D20" t="str">
        <x:v>B</x:v>
      </x:c>
      <x:c r="E20" t="str">
        <x:v>B</x:v>
      </x:c>
      <x:c r="F20" t="str">
        <x:v>B</x:v>
      </x:c>
      <x:c r="G20" t="str">
        <x:v>W</x:v>
      </x:c>
      <x:c r="H20" t="str">
        <x:v>W</x:v>
      </x:c>
      <x:c r="I20" t="str">
        <x:v>B</x:v>
      </x:c>
      <x:c r="J20" t="str">
        <x:v>W</x:v>
      </x:c>
      <x:c r="K20" t="str">
        <x:v>B</x:v>
      </x:c>
      <x:c r="L20" t="str">
        <x:v>B</x:v>
      </x:c>
      <x:c r="M20" t="str">
        <x:v>B</x:v>
      </x:c>
      <x:c r="N20" t="str">
        <x:v>B</x:v>
      </x:c>
      <x:c r="O20" t="str">
        <x:v>B</x:v>
      </x:c>
      <x:c r="P20" t="str">
        <x:v>B</x:v>
      </x:c>
      <x:c r="Q20" t="str">
        <x:v>B</x:v>
      </x:c>
      <x:c r="R20" t="str">
        <x:v>W</x:v>
      </x:c>
      <x:c r="S20" t="str">
        <x:v>W</x:v>
      </x:c>
      <x:c r="T20" t="str">
        <x:v>W</x:v>
      </x:c>
      <x:c r="U20" t="str">
        <x:v>B</x:v>
      </x:c>
      <x:c r="V20" t="n">
        <x:f>COUNTIF(B20:U20,"W")</x:f>
        <x:v>6</x:v>
      </x:c>
      <x:c r="W20" s="5" t="str">
        <x:f>IF(COUNTIF(B20:D20,"W")&gt;0,"Y","N")</x:f>
        <x:v>N</x:v>
      </x:c>
      <x:c r="X20" s="35" t="n">
        <x:v>12</x:v>
      </x:c>
      <x:c r="Y20" s="37" t="n">
        <x:f>Y19*(('Team_Info'!$E$2-X19)/(X19+1))*((20-X19)/('Team_Info'!$E$3-20+X19+1))</x:f>
        <x:v>0.022467300731324788</x:v>
      </x:c>
      <x:c r="Z20" s="37" t="n">
        <x:f>COUNTIF($V$2:$V$501,X20)/500</x:f>
        <x:v>0.032</x:v>
      </x:c>
      <x:c r="AA20" s="37" t="n">
        <x:f>BINOM.DIST(X20,20,'Team_Info'!$E$5,FALSE)</x:f>
        <x:v>0.024874254775029726</x:v>
      </x:c>
      <x:c r="AB20" s="37" t="n">
        <x:f>ABS(Z20-Y20)</x:f>
        <x:v>0.009532699268675213</x:v>
      </x:c>
      <x:c r="AC20" s="38" t="n">
        <x:f>IF(Y20=0,0,AB20/Y20)</x:f>
        <x:v>0.4242921471818976</x:v>
      </x:c>
      <x:c r="AD20" s="42"/>
    </x:row>
    <x:row r="21">
      <x:c r="A21" s="1">
        <x:v>20</x:v>
      </x:c>
      <x:c r="B21" t="str">
        <x:v>W</x:v>
      </x:c>
      <x:c r="C21" t="str">
        <x:v>B</x:v>
      </x:c>
      <x:c r="D21" t="str">
        <x:v>W</x:v>
      </x:c>
      <x:c r="E21" t="str">
        <x:v>W</x:v>
      </x:c>
      <x:c r="F21" t="str">
        <x:v>W</x:v>
      </x:c>
      <x:c r="G21" t="str">
        <x:v>B</x:v>
      </x:c>
      <x:c r="H21" t="str">
        <x:v>B</x:v>
      </x:c>
      <x:c r="I21" t="str">
        <x:v>B</x:v>
      </x:c>
      <x:c r="J21" t="str">
        <x:v>B</x:v>
      </x:c>
      <x:c r="K21" t="str">
        <x:v>B</x:v>
      </x:c>
      <x:c r="L21" t="str">
        <x:v>W</x:v>
      </x:c>
      <x:c r="M21" t="str">
        <x:v>B</x:v>
      </x:c>
      <x:c r="N21" t="str">
        <x:v>B</x:v>
      </x:c>
      <x:c r="O21" t="str">
        <x:v>W</x:v>
      </x:c>
      <x:c r="P21" t="str">
        <x:v>W</x:v>
      </x:c>
      <x:c r="Q21" t="str">
        <x:v>W</x:v>
      </x:c>
      <x:c r="R21" t="str">
        <x:v>B</x:v>
      </x:c>
      <x:c r="S21" t="str">
        <x:v>B</x:v>
      </x:c>
      <x:c r="T21" t="str">
        <x:v>W</x:v>
      </x:c>
      <x:c r="U21" t="str">
        <x:v>B</x:v>
      </x:c>
      <x:c r="V21" t="n">
        <x:f>COUNTIF(B21:U21,"W")</x:f>
        <x:v>9</x:v>
      </x:c>
      <x:c r="W21" s="5" t="str">
        <x:f>IF(COUNTIF(B21:D21,"W")&gt;0,"Y","N")</x:f>
        <x:v>Y</x:v>
      </x:c>
      <x:c r="X21" s="35" t="n">
        <x:v>13</x:v>
      </x:c>
      <x:c r="Y21" s="37" t="n">
        <x:f>Y20*(('Team_Info'!$E$2-X20)/(X20+1))*((20-X20)/('Team_Info'!$E$3-20+X20+1))</x:f>
        <x:v>0.007889854771869908</x:v>
      </x:c>
      <x:c r="Z21" s="37" t="n">
        <x:f>COUNTIF($V$2:$V$501,X21)/500</x:f>
        <x:v>0.006</x:v>
      </x:c>
      <x:c r="AA21" s="37" t="n">
        <x:f>BINOM.DIST(X21,20,'Team_Info'!$E$5,FALSE)</x:f>
        <x:v>0.009376682428283455</x:v>
      </x:c>
      <x:c r="AB21" s="37" t="n">
        <x:f>ABS(Z21-Y21)</x:f>
        <x:v>0.001889854771869908</x:v>
      </x:c>
      <x:c r="AC21" s="38" t="n">
        <x:f>IF(Y21=0,0,AB21/Y21)</x:f>
        <x:v>0.23952972855823676</x:v>
      </x:c>
      <x:c r="AD21" s="42"/>
    </x:row>
    <x:row r="22">
      <x:c r="A22" s="1">
        <x:v>21</x:v>
      </x:c>
      <x:c r="B22" t="str">
        <x:v>W</x:v>
      </x:c>
      <x:c r="C22" t="str">
        <x:v>B</x:v>
      </x:c>
      <x:c r="D22" t="str">
        <x:v>W</x:v>
      </x:c>
      <x:c r="E22" t="str">
        <x:v>B</x:v>
      </x:c>
      <x:c r="F22" t="str">
        <x:v>B</x:v>
      </x:c>
      <x:c r="G22" t="str">
        <x:v>B</x:v>
      </x:c>
      <x:c r="H22" t="str">
        <x:v>W</x:v>
      </x:c>
      <x:c r="I22" t="str">
        <x:v>B</x:v>
      </x:c>
      <x:c r="J22" t="str">
        <x:v>B</x:v>
      </x:c>
      <x:c r="K22" t="str">
        <x:v>W</x:v>
      </x:c>
      <x:c r="L22" t="str">
        <x:v>W</x:v>
      </x:c>
      <x:c r="M22" t="str">
        <x:v>B</x:v>
      </x:c>
      <x:c r="N22" t="str">
        <x:v>W</x:v>
      </x:c>
      <x:c r="O22" t="str">
        <x:v>B</x:v>
      </x:c>
      <x:c r="P22" t="str">
        <x:v>B</x:v>
      </x:c>
      <x:c r="Q22" t="str">
        <x:v>W</x:v>
      </x:c>
      <x:c r="R22" t="str">
        <x:v>B</x:v>
      </x:c>
      <x:c r="S22" t="str">
        <x:v>W</x:v>
      </x:c>
      <x:c r="T22" t="str">
        <x:v>B</x:v>
      </x:c>
      <x:c r="U22" t="str">
        <x:v>W</x:v>
      </x:c>
      <x:c r="V22" t="n">
        <x:f>COUNTIF(B22:U22,"W")</x:f>
        <x:v>9</x:v>
      </x:c>
      <x:c r="W22" s="5" t="str">
        <x:f>IF(COUNTIF(B22:D22,"W")&gt;0,"Y","N")</x:f>
        <x:v>Y</x:v>
      </x:c>
      <x:c r="X22" s="35" t="n">
        <x:v>14</x:v>
      </x:c>
      <x:c r="Y22" s="37" t="n">
        <x:f>Y21*(('Team_Info'!$E$2-X21)/(X21+1))*((20-X21)/('Team_Info'!$E$3-20+X21+1))</x:f>
        <x:v>0.0022176889088499204</x:v>
      </x:c>
      <x:c r="Z22" s="37" t="n">
        <x:f>COUNTIF($V$2:$V$501,X22)/500</x:f>
        <x:v>0.006</x:v>
      </x:c>
      <x:c r="AA22" s="37" t="n">
        <x:f>BINOM.DIST(X22,20,'Team_Info'!$E$5,FALSE)</x:f>
        <x:v>0.002871915822275299</x:v>
      </x:c>
      <x:c r="AB22" s="37" t="n">
        <x:f>ABS(Z22-Y22)</x:f>
        <x:v>0.0037823110911500797</x:v>
      </x:c>
      <x:c r="AC22" s="38" t="n">
        <x:f>IF(Y22=0,0,AB22/Y22)</x:f>
        <x:v>1.705519234937042</x:v>
      </x:c>
      <x:c r="AD22" s="42"/>
    </x:row>
    <x:row r="23">
      <x:c r="A23" s="1">
        <x:v>22</x:v>
      </x:c>
      <x:c r="B23" t="str">
        <x:v>B</x:v>
      </x:c>
      <x:c r="C23" t="str">
        <x:v>B</x:v>
      </x:c>
      <x:c r="D23" t="str">
        <x:v>B</x:v>
      </x:c>
      <x:c r="E23" t="str">
        <x:v>B</x:v>
      </x:c>
      <x:c r="F23" t="str">
        <x:v>B</x:v>
      </x:c>
      <x:c r="G23" t="str">
        <x:v>W</x:v>
      </x:c>
      <x:c r="H23" t="str">
        <x:v>B</x:v>
      </x:c>
      <x:c r="I23" t="str">
        <x:v>W</x:v>
      </x:c>
      <x:c r="J23" t="str">
        <x:v>B</x:v>
      </x:c>
      <x:c r="K23" t="str">
        <x:v>B</x:v>
      </x:c>
      <x:c r="L23" t="str">
        <x:v>B</x:v>
      </x:c>
      <x:c r="M23" t="str">
        <x:v>W</x:v>
      </x:c>
      <x:c r="N23" t="str">
        <x:v>B</x:v>
      </x:c>
      <x:c r="O23" t="str">
        <x:v>W</x:v>
      </x:c>
      <x:c r="P23" t="str">
        <x:v>B</x:v>
      </x:c>
      <x:c r="Q23" t="str">
        <x:v>B</x:v>
      </x:c>
      <x:c r="R23" t="str">
        <x:v>B</x:v>
      </x:c>
      <x:c r="S23" t="str">
        <x:v>B</x:v>
      </x:c>
      <x:c r="T23" t="str">
        <x:v>W</x:v>
      </x:c>
      <x:c r="U23" t="str">
        <x:v>W</x:v>
      </x:c>
      <x:c r="V23" t="n">
        <x:f>COUNTIF(B23:U23,"W")</x:f>
        <x:v>6</x:v>
      </x:c>
      <x:c r="W23" s="5" t="str">
        <x:f>IF(COUNTIF(B23:D23,"W")&gt;0,"Y","N")</x:f>
        <x:v>N</x:v>
      </x:c>
      <x:c r="X23" s="35" t="n">
        <x:v>15</x:v>
      </x:c>
      <x:c r="Y23" s="37" t="n">
        <x:f>Y22*(('Team_Info'!$E$2-X22)/(X22+1))*((20-X22)/('Team_Info'!$E$3-20+X22+1))</x:f>
        <x:v>0.000491230016368907</x:v>
      </x:c>
      <x:c r="Z23" s="37" t="n">
        <x:f>COUNTIF($V$2:$V$501,X23)/500</x:f>
        <x:v>0.002</x:v>
      </x:c>
      <x:c r="AA23" s="37" t="n">
        <x:f>BINOM.DIST(X23,20,'Team_Info'!$E$5,FALSE)</x:f>
        <x:v>0.0007036945574999163</x:v>
      </x:c>
      <x:c r="AB23" s="37" t="n">
        <x:f>ABS(Z23-Y23)</x:f>
        <x:v>0.001508769983631093</x:v>
      </x:c>
      <x:c r="AC23" s="38" t="n">
        <x:f>IF(Y23=0,0,AB23/Y23)</x:f>
        <x:v>3.071412440924675</x:v>
      </x:c>
      <x:c r="AD23" s="42"/>
    </x:row>
    <x:row r="24">
      <x:c r="A24" s="1">
        <x:v>23</x:v>
      </x:c>
      <x:c r="B24" t="str">
        <x:v>B</x:v>
      </x:c>
      <x:c r="C24" t="str">
        <x:v>B</x:v>
      </x:c>
      <x:c r="D24" t="str">
        <x:v>B</x:v>
      </x:c>
      <x:c r="E24" t="str">
        <x:v>W</x:v>
      </x:c>
      <x:c r="F24" t="str">
        <x:v>W</x:v>
      </x:c>
      <x:c r="G24" t="str">
        <x:v>B</x:v>
      </x:c>
      <x:c r="H24" t="str">
        <x:v>W</x:v>
      </x:c>
      <x:c r="I24" t="str">
        <x:v>B</x:v>
      </x:c>
      <x:c r="J24" t="str">
        <x:v>B</x:v>
      </x:c>
      <x:c r="K24" t="str">
        <x:v>B</x:v>
      </x:c>
      <x:c r="L24" t="str">
        <x:v>B</x:v>
      </x:c>
      <x:c r="M24" t="str">
        <x:v>W</x:v>
      </x:c>
      <x:c r="N24" t="str">
        <x:v>B</x:v>
      </x:c>
      <x:c r="O24" t="str">
        <x:v>B</x:v>
      </x:c>
      <x:c r="P24" t="str">
        <x:v>W</x:v>
      </x:c>
      <x:c r="Q24" t="str">
        <x:v>B</x:v>
      </x:c>
      <x:c r="R24" t="str">
        <x:v>W</x:v>
      </x:c>
      <x:c r="S24" t="str">
        <x:v>B</x:v>
      </x:c>
      <x:c r="T24" t="str">
        <x:v>B</x:v>
      </x:c>
      <x:c r="U24" t="str">
        <x:v>B</x:v>
      </x:c>
      <x:c r="V24" t="n">
        <x:f>COUNTIF(B24:U24,"W")</x:f>
        <x:v>6</x:v>
      </x:c>
      <x:c r="W24" s="5" t="str">
        <x:f>IF(COUNTIF(B24:D24,"W")&gt;0,"Y","N")</x:f>
        <x:v>N</x:v>
      </x:c>
      <x:c r="X24" s="35" t="n">
        <x:v>16</x:v>
      </x:c>
      <x:c r="Y24" s="37" t="n">
        <x:f>Y23*(('Team_Info'!$E$2-X23)/(X23+1))*((20-X23)/('Team_Info'!$E$3-20+X23+1))</x:f>
        <x:v>0.00008373238915379097</x:v>
      </x:c>
      <x:c r="Z24" s="37" t="n">
        <x:f>COUNTIF($V$2:$V$501,X24)/500</x:f>
        <x:v>0</x:v>
      </x:c>
      <x:c r="AA24" s="37" t="n">
        <x:f>BINOM.DIST(X24,20,'Team_Info'!$E$5,FALSE)</x:f>
        <x:v>0.00013470592805544864</x:v>
      </x:c>
      <x:c r="AB24" s="37" t="n">
        <x:f>ABS(Z24-Y24)</x:f>
        <x:v>0.00008373238915379097</x:v>
      </x:c>
      <x:c r="AC24" s="38" t="n">
        <x:f>IF(Y24=0,0,AB24/Y24)</x:f>
        <x:v>1</x:v>
      </x:c>
      <x:c r="AD24" s="42"/>
    </x:row>
    <x:row r="25">
      <x:c r="A25" s="1">
        <x:v>24</x:v>
      </x:c>
      <x:c r="B25" t="str">
        <x:v>B</x:v>
      </x:c>
      <x:c r="C25" t="str">
        <x:v>B</x:v>
      </x:c>
      <x:c r="D25" t="str">
        <x:v>W</x:v>
      </x:c>
      <x:c r="E25" t="str">
        <x:v>B</x:v>
      </x:c>
      <x:c r="F25" t="str">
        <x:v>W</x:v>
      </x:c>
      <x:c r="G25" t="str">
        <x:v>W</x:v>
      </x:c>
      <x:c r="H25" t="str">
        <x:v>B</x:v>
      </x:c>
      <x:c r="I25" t="str">
        <x:v>B</x:v>
      </x:c>
      <x:c r="J25" t="str">
        <x:v>W</x:v>
      </x:c>
      <x:c r="K25" t="str">
        <x:v>W</x:v>
      </x:c>
      <x:c r="L25" t="str">
        <x:v>W</x:v>
      </x:c>
      <x:c r="M25" t="str">
        <x:v>B</x:v>
      </x:c>
      <x:c r="N25" t="str">
        <x:v>B</x:v>
      </x:c>
      <x:c r="O25" t="str">
        <x:v>B</x:v>
      </x:c>
      <x:c r="P25" t="str">
        <x:v>B</x:v>
      </x:c>
      <x:c r="Q25" t="str">
        <x:v>W</x:v>
      </x:c>
      <x:c r="R25" t="str">
        <x:v>B</x:v>
      </x:c>
      <x:c r="S25" t="str">
        <x:v>W</x:v>
      </x:c>
      <x:c r="T25" t="str">
        <x:v>B</x:v>
      </x:c>
      <x:c r="U25" t="str">
        <x:v>B</x:v>
      </x:c>
      <x:c r="V25" t="n">
        <x:f>COUNTIF(B25:U25,"W")</x:f>
        <x:v>8</x:v>
      </x:c>
      <x:c r="W25" s="5" t="str">
        <x:f>IF(COUNTIF(B25:D25,"W")&gt;0,"Y","N")</x:f>
        <x:v>Y</x:v>
      </x:c>
      <x:c r="X25" s="35" t="n">
        <x:v>17</x:v>
      </x:c>
      <x:c r="Y25" s="37" t="n">
        <x:f>Y24*(('Team_Info'!$E$2-X24)/(X24+1))*((20-X24)/('Team_Info'!$E$3-20+X24+1))</x:f>
        <x:v>0.000010584444686524265</x:v>
      </x:c>
      <x:c r="Z25" s="37" t="n">
        <x:f>COUNTIF($V$2:$V$501,X25)/500</x:f>
        <x:v>0</x:v>
      </x:c>
      <x:c r="AA25" s="37" t="n">
        <x:f>BINOM.DIST(X25,20,'Team_Info'!$E$5,FALSE)</x:f>
        <x:v>0.00001941557570987064</x:v>
      </x:c>
      <x:c r="AB25" s="37" t="n">
        <x:f>ABS(Z25-Y25)</x:f>
        <x:v>0.000010584444686524265</x:v>
      </x:c>
      <x:c r="AC25" s="38" t="n">
        <x:f>IF(Y25=0,0,AB25/Y25)</x:f>
        <x:v>1</x:v>
      </x:c>
      <x:c r="AD25" s="42"/>
    </x:row>
    <x:row r="26">
      <x:c r="A26" s="1">
        <x:v>25</x:v>
      </x:c>
      <x:c r="B26" t="str">
        <x:v>W</x:v>
      </x:c>
      <x:c r="C26" t="str">
        <x:v>B</x:v>
      </x:c>
      <x:c r="D26" t="str">
        <x:v>B</x:v>
      </x:c>
      <x:c r="E26" t="str">
        <x:v>B</x:v>
      </x:c>
      <x:c r="F26" t="str">
        <x:v>B</x:v>
      </x:c>
      <x:c r="G26" t="str">
        <x:v>B</x:v>
      </x:c>
      <x:c r="H26" t="str">
        <x:v>B</x:v>
      </x:c>
      <x:c r="I26" t="str">
        <x:v>W</x:v>
      </x:c>
      <x:c r="J26" t="str">
        <x:v>W</x:v>
      </x:c>
      <x:c r="K26" t="str">
        <x:v>B</x:v>
      </x:c>
      <x:c r="L26" t="str">
        <x:v>B</x:v>
      </x:c>
      <x:c r="M26" t="str">
        <x:v>W</x:v>
      </x:c>
      <x:c r="N26" t="str">
        <x:v>W</x:v>
      </x:c>
      <x:c r="O26" t="str">
        <x:v>B</x:v>
      </x:c>
      <x:c r="P26" t="str">
        <x:v>B</x:v>
      </x:c>
      <x:c r="Q26" t="str">
        <x:v>W</x:v>
      </x:c>
      <x:c r="R26" t="str">
        <x:v>B</x:v>
      </x:c>
      <x:c r="S26" t="str">
        <x:v>B</x:v>
      </x:c>
      <x:c r="T26" t="str">
        <x:v>B</x:v>
      </x:c>
      <x:c r="U26" t="str">
        <x:v>W</x:v>
      </x:c>
      <x:c r="V26" t="n">
        <x:f>COUNTIF(B26:U26,"W")</x:f>
        <x:v>7</x:v>
      </x:c>
      <x:c r="W26" s="5" t="str">
        <x:f>IF(COUNTIF(B26:D26,"W")&gt;0,"Y","N")</x:f>
        <x:v>Y</x:v>
      </x:c>
      <x:c r="X26" s="35" t="n">
        <x:v>18</x:v>
      </x:c>
      <x:c r="Y26" s="37" t="n">
        <x:f>Y25*(('Team_Info'!$E$2-X25)/(X25+1))*((20-X25)/('Team_Info'!$E$3-20+X25+1))</x:f>
        <x:v>9.333725473125454e-7</x:v>
      </x:c>
      <x:c r="Z26" s="37" t="n">
        <x:f>COUNTIF($V$2:$V$501,X26)/500</x:f>
        <x:v>0</x:v>
      </x:c>
      <x:c r="AA26" s="37" t="n">
        <x:f>BINOM.DIST(X26,20,'Team_Info'!$E$5,FALSE)</x:f>
        <x:v>0.0000019822184625260597</x:v>
      </x:c>
      <x:c r="AB26" s="37" t="n">
        <x:f>ABS(Z26-Y26)</x:f>
        <x:v>9.333725473125454e-7</x:v>
      </x:c>
      <x:c r="AC26" s="38" t="n">
        <x:f>IF(Y26=0,0,AB26/Y26)</x:f>
        <x:v>1</x:v>
      </x:c>
      <x:c r="AD26" s="42"/>
    </x:row>
    <x:row r="27">
      <x:c r="A27" s="1">
        <x:v>26</x:v>
      </x:c>
      <x:c r="B27" t="str">
        <x:v>W</x:v>
      </x:c>
      <x:c r="C27" t="str">
        <x:v>B</x:v>
      </x:c>
      <x:c r="D27" t="str">
        <x:v>B</x:v>
      </x:c>
      <x:c r="E27" t="str">
        <x:v>B</x:v>
      </x:c>
      <x:c r="F27" t="str">
        <x:v>B</x:v>
      </x:c>
      <x:c r="G27" t="str">
        <x:v>B</x:v>
      </x:c>
      <x:c r="H27" t="str">
        <x:v>W</x:v>
      </x:c>
      <x:c r="I27" t="str">
        <x:v>W</x:v>
      </x:c>
      <x:c r="J27" t="str">
        <x:v>B</x:v>
      </x:c>
      <x:c r="K27" t="str">
        <x:v>B</x:v>
      </x:c>
      <x:c r="L27" t="str">
        <x:v>B</x:v>
      </x:c>
      <x:c r="M27" t="str">
        <x:v>B</x:v>
      </x:c>
      <x:c r="N27" t="str">
        <x:v>B</x:v>
      </x:c>
      <x:c r="O27" t="str">
        <x:v>W</x:v>
      </x:c>
      <x:c r="P27" t="str">
        <x:v>B</x:v>
      </x:c>
      <x:c r="Q27" t="str">
        <x:v>B</x:v>
      </x:c>
      <x:c r="R27" t="str">
        <x:v>B</x:v>
      </x:c>
      <x:c r="S27" t="str">
        <x:v>W</x:v>
      </x:c>
      <x:c r="T27" t="str">
        <x:v>W</x:v>
      </x:c>
      <x:c r="U27" t="str">
        <x:v>W</x:v>
      </x:c>
      <x:c r="V27" t="n">
        <x:f>COUNTIF(B27:U27,"W")</x:f>
        <x:v>7</x:v>
      </x:c>
      <x:c r="W27" s="5" t="str">
        <x:f>IF(COUNTIF(B27:D27,"W")&gt;0,"Y","N")</x:f>
        <x:v>Y</x:v>
      </x:c>
      <x:c r="X27" s="35" t="n">
        <x:v>19</x:v>
      </x:c>
      <x:c r="Y27" s="37" t="n">
        <x:f>Y26*(('Team_Info'!$E$2-X26)/(X26+1))*((20-X26)/('Team_Info'!$E$3-20+X26+1))</x:f>
        <x:v>5.1193286528499715e-8</x:v>
      </x:c>
      <x:c r="Z27" s="37" t="n">
        <x:f>COUNTIF($V$2:$V$501,X27)/500</x:f>
        <x:v>0</x:v>
      </x:c>
      <x:c r="AA27" s="37" t="n">
        <x:f>BINOM.DIST(X27,20,'Team_Info'!$E$5,FALSE)</x:f>
        <x:v>1.278145825933034e-7</x:v>
      </x:c>
      <x:c r="AB27" s="37" t="n">
        <x:f>ABS(Z27-Y27)</x:f>
        <x:v>5.1193286528499715e-8</x:v>
      </x:c>
      <x:c r="AC27" s="38" t="n">
        <x:f>IF(Y27=0,0,AB27/Y27)</x:f>
        <x:v>1</x:v>
      </x:c>
      <x:c r="AD27" s="42"/>
    </x:row>
    <x:row r="28">
      <x:c r="A28" s="1">
        <x:v>27</x:v>
      </x:c>
      <x:c r="B28" t="str">
        <x:v>W</x:v>
      </x:c>
      <x:c r="C28" t="str">
        <x:v>B</x:v>
      </x:c>
      <x:c r="D28" t="str">
        <x:v>B</x:v>
      </x:c>
      <x:c r="E28" t="str">
        <x:v>B</x:v>
      </x:c>
      <x:c r="F28" t="str">
        <x:v>W</x:v>
      </x:c>
      <x:c r="G28" t="str">
        <x:v>B</x:v>
      </x:c>
      <x:c r="H28" t="str">
        <x:v>B</x:v>
      </x:c>
      <x:c r="I28" t="str">
        <x:v>B</x:v>
      </x:c>
      <x:c r="J28" t="str">
        <x:v>B</x:v>
      </x:c>
      <x:c r="K28" t="str">
        <x:v>B</x:v>
      </x:c>
      <x:c r="L28" t="str">
        <x:v>B</x:v>
      </x:c>
      <x:c r="M28" t="str">
        <x:v>W</x:v>
      </x:c>
      <x:c r="N28" t="str">
        <x:v>W</x:v>
      </x:c>
      <x:c r="O28" t="str">
        <x:v>B</x:v>
      </x:c>
      <x:c r="P28" t="str">
        <x:v>B</x:v>
      </x:c>
      <x:c r="Q28" t="str">
        <x:v>W</x:v>
      </x:c>
      <x:c r="R28" t="str">
        <x:v>B</x:v>
      </x:c>
      <x:c r="S28" t="str">
        <x:v>B</x:v>
      </x:c>
      <x:c r="T28" t="str">
        <x:v>B</x:v>
      </x:c>
      <x:c r="U28" t="str">
        <x:v>W</x:v>
      </x:c>
      <x:c r="V28" t="n">
        <x:f>COUNTIF(B28:U28,"W")</x:f>
        <x:v>6</x:v>
      </x:c>
      <x:c r="W28" s="5" t="str">
        <x:f>IF(COUNTIF(B28:D28,"W")&gt;0,"Y","N")</x:f>
        <x:v>Y</x:v>
      </x:c>
      <x:c r="X28" s="35" t="n">
        <x:v>20</x:v>
      </x:c>
      <x:c r="Y28" s="37" t="n">
        <x:f>Y27*(('Team_Info'!$E$2-X27)/(X27+1))*((20-X27)/('Team_Info'!$E$3-20+X27+1))</x:f>
        <x:v>1.3133356229824535e-9</x:v>
      </x:c>
      <x:c r="Z28" s="37" t="n">
        <x:f>COUNTIF($V$2:$V$501,X28)/500</x:f>
        <x:v>0</x:v>
      </x:c>
      <x:c r="AA28" s="37" t="n">
        <x:f>BINOM.DIST(X28,20,'Team_Info'!$E$5,FALSE)</x:f>
        <x:v>3.914739833355105e-9</x:v>
      </x:c>
      <x:c r="AB28" s="37" t="n">
        <x:f>ABS(Z28-Y28)</x:f>
        <x:v>1.3133356229824535e-9</x:v>
      </x:c>
      <x:c r="AC28" s="38" t="n">
        <x:f>IF(Y28=0,0,AB28/Y28)</x:f>
        <x:v>1</x:v>
      </x:c>
      <x:c r="AD28" s="42"/>
    </x:row>
    <x:row r="29">
      <x:c r="A29" s="1">
        <x:v>28</x:v>
      </x:c>
      <x:c r="B29" t="str">
        <x:v>B</x:v>
      </x:c>
      <x:c r="C29" t="str">
        <x:v>W</x:v>
      </x:c>
      <x:c r="D29" t="str">
        <x:v>B</x:v>
      </x:c>
      <x:c r="E29" t="str">
        <x:v>B</x:v>
      </x:c>
      <x:c r="F29" t="str">
        <x:v>B</x:v>
      </x:c>
      <x:c r="G29" t="str">
        <x:v>W</x:v>
      </x:c>
      <x:c r="H29" t="str">
        <x:v>W</x:v>
      </x:c>
      <x:c r="I29" t="str">
        <x:v>W</x:v>
      </x:c>
      <x:c r="J29" t="str">
        <x:v>W</x:v>
      </x:c>
      <x:c r="K29" t="str">
        <x:v>B</x:v>
      </x:c>
      <x:c r="L29" t="str">
        <x:v>W</x:v>
      </x:c>
      <x:c r="M29" t="str">
        <x:v>B</x:v>
      </x:c>
      <x:c r="N29" t="str">
        <x:v>W</x:v>
      </x:c>
      <x:c r="O29" t="str">
        <x:v>W</x:v>
      </x:c>
      <x:c r="P29" t="str">
        <x:v>B</x:v>
      </x:c>
      <x:c r="Q29" t="str">
        <x:v>W</x:v>
      </x:c>
      <x:c r="R29" t="str">
        <x:v>W</x:v>
      </x:c>
      <x:c r="S29" t="str">
        <x:v>W</x:v>
      </x:c>
      <x:c r="T29" t="str">
        <x:v>W</x:v>
      </x:c>
      <x:c r="U29" t="str">
        <x:v>W</x:v>
      </x:c>
      <x:c r="V29" t="n">
        <x:f>COUNTIF(B29:U29,"W")</x:f>
        <x:v>13</x:v>
      </x:c>
      <x:c r="W29" s="5" t="str">
        <x:f>IF(COUNTIF(B29:D29,"W")&gt;0,"Y","N")</x:f>
        <x:v>Y</x:v>
      </x:c>
      <x:c r="X29" s="41" t="str">
        <x:v>Totals</x:v>
      </x:c>
      <x:c r="Y29" s="41" t="n">
        <x:f>SUM(Y8:Y28)</x:f>
        <x:v>1</x:v>
      </x:c>
      <x:c r="Z29" s="41" t="n">
        <x:f>SUM(Z8:Z28)</x:f>
        <x:v>1</x:v>
      </x:c>
      <x:c r="AA29" s="42"/>
      <x:c r="AB29" s="42"/>
      <x:c r="AC29" s="42"/>
      <x:c r="AD29" s="42"/>
    </x:row>
    <x:row r="30">
      <x:c r="A30" s="1">
        <x:v>29</x:v>
      </x:c>
      <x:c r="B30" t="str">
        <x:v>W</x:v>
      </x:c>
      <x:c r="C30" t="str">
        <x:v>W</x:v>
      </x:c>
      <x:c r="D30" t="str">
        <x:v>B</x:v>
      </x:c>
      <x:c r="E30" t="str">
        <x:v>W</x:v>
      </x:c>
      <x:c r="F30" t="str">
        <x:v>W</x:v>
      </x:c>
      <x:c r="G30" t="str">
        <x:v>B</x:v>
      </x:c>
      <x:c r="H30" t="str">
        <x:v>B</x:v>
      </x:c>
      <x:c r="I30" t="str">
        <x:v>B</x:v>
      </x:c>
      <x:c r="J30" t="str">
        <x:v>W</x:v>
      </x:c>
      <x:c r="K30" t="str">
        <x:v>B</x:v>
      </x:c>
      <x:c r="L30" t="str">
        <x:v>W</x:v>
      </x:c>
      <x:c r="M30" t="str">
        <x:v>B</x:v>
      </x:c>
      <x:c r="N30" t="str">
        <x:v>B</x:v>
      </x:c>
      <x:c r="O30" t="str">
        <x:v>W</x:v>
      </x:c>
      <x:c r="P30" t="str">
        <x:v>B</x:v>
      </x:c>
      <x:c r="Q30" t="str">
        <x:v>W</x:v>
      </x:c>
      <x:c r="R30" t="str">
        <x:v>B</x:v>
      </x:c>
      <x:c r="S30" t="str">
        <x:v>W</x:v>
      </x:c>
      <x:c r="T30" t="str">
        <x:v>B</x:v>
      </x:c>
      <x:c r="U30" t="str">
        <x:v>B</x:v>
      </x:c>
      <x:c r="V30" t="n">
        <x:f>COUNTIF(B30:U30,"W")</x:f>
        <x:v>9</x:v>
      </x:c>
      <x:c r="W30" s="5" t="str">
        <x:f>IF(COUNTIF(B30:D30,"W")&gt;0,"Y","N")</x:f>
        <x:v>Y</x:v>
      </x:c>
      <x:c r="X30" s="1"/>
      <x:c r="Y30" s="1"/>
      <x:c r="Z30" s="1"/>
      <x:c r="AA30" s="1"/>
      <x:c r="AB30" s="1"/>
      <x:c r="AC30" s="1"/>
      <x:c r="AD30" s="1"/>
    </x:row>
    <x:row r="31">
      <x:c r="A31" s="1">
        <x:v>30</x:v>
      </x:c>
      <x:c r="B31" t="str">
        <x:v>W</x:v>
      </x:c>
      <x:c r="C31" t="str">
        <x:v>W</x:v>
      </x:c>
      <x:c r="D31" t="str">
        <x:v>W</x:v>
      </x:c>
      <x:c r="E31" t="str">
        <x:v>B</x:v>
      </x:c>
      <x:c r="F31" t="str">
        <x:v>W</x:v>
      </x:c>
      <x:c r="G31" t="str">
        <x:v>W</x:v>
      </x:c>
      <x:c r="H31" t="str">
        <x:v>W</x:v>
      </x:c>
      <x:c r="I31" t="str">
        <x:v>B</x:v>
      </x:c>
      <x:c r="J31" t="str">
        <x:v>B</x:v>
      </x:c>
      <x:c r="K31" t="str">
        <x:v>B</x:v>
      </x:c>
      <x:c r="L31" t="str">
        <x:v>W</x:v>
      </x:c>
      <x:c r="M31" t="str">
        <x:v>B</x:v>
      </x:c>
      <x:c r="N31" t="str">
        <x:v>B</x:v>
      </x:c>
      <x:c r="O31" t="str">
        <x:v>W</x:v>
      </x:c>
      <x:c r="P31" t="str">
        <x:v>B</x:v>
      </x:c>
      <x:c r="Q31" t="str">
        <x:v>W</x:v>
      </x:c>
      <x:c r="R31" t="str">
        <x:v>B</x:v>
      </x:c>
      <x:c r="S31" t="str">
        <x:v>W</x:v>
      </x:c>
      <x:c r="T31" t="str">
        <x:v>W</x:v>
      </x:c>
      <x:c r="U31" t="str">
        <x:v>B</x:v>
      </x:c>
      <x:c r="V31" t="n">
        <x:f>COUNTIF(B31:U31,"W")</x:f>
        <x:v>11</x:v>
      </x:c>
      <x:c r="W31" s="5" t="str">
        <x:f>IF(COUNTIF(B31:D31,"W")&gt;0,"Y","N")</x:f>
        <x:v>Y</x:v>
      </x:c>
      <x:c r="X31" s="1"/>
      <x:c r="Y31" s="1"/>
      <x:c r="Z31" s="1"/>
      <x:c r="AA31" s="1"/>
      <x:c r="AB31" s="1"/>
      <x:c r="AC31" s="1"/>
      <x:c r="AD31" s="1"/>
    </x:row>
    <x:row r="32">
      <x:c r="A32" s="1">
        <x:v>31</x:v>
      </x:c>
      <x:c r="B32" t="str">
        <x:v>B</x:v>
      </x:c>
      <x:c r="C32" t="str">
        <x:v>B</x:v>
      </x:c>
      <x:c r="D32" t="str">
        <x:v>W</x:v>
      </x:c>
      <x:c r="E32" t="str">
        <x:v>B</x:v>
      </x:c>
      <x:c r="F32" t="str">
        <x:v>W</x:v>
      </x:c>
      <x:c r="G32" t="str">
        <x:v>B</x:v>
      </x:c>
      <x:c r="H32" t="str">
        <x:v>W</x:v>
      </x:c>
      <x:c r="I32" t="str">
        <x:v>B</x:v>
      </x:c>
      <x:c r="J32" t="str">
        <x:v>W</x:v>
      </x:c>
      <x:c r="K32" t="str">
        <x:v>B</x:v>
      </x:c>
      <x:c r="L32" t="str">
        <x:v>B</x:v>
      </x:c>
      <x:c r="M32" t="str">
        <x:v>B</x:v>
      </x:c>
      <x:c r="N32" t="str">
        <x:v>W</x:v>
      </x:c>
      <x:c r="O32" t="str">
        <x:v>W</x:v>
      </x:c>
      <x:c r="P32" t="str">
        <x:v>B</x:v>
      </x:c>
      <x:c r="Q32" t="str">
        <x:v>B</x:v>
      </x:c>
      <x:c r="R32" t="str">
        <x:v>B</x:v>
      </x:c>
      <x:c r="S32" t="str">
        <x:v>W</x:v>
      </x:c>
      <x:c r="T32" t="str">
        <x:v>B</x:v>
      </x:c>
      <x:c r="U32" t="str">
        <x:v>B</x:v>
      </x:c>
      <x:c r="V32" t="n">
        <x:f>COUNTIF(B32:U32,"W")</x:f>
        <x:v>7</x:v>
      </x:c>
      <x:c r="W32" s="5" t="str">
        <x:f>IF(COUNTIF(B32:D32,"W")&gt;0,"Y","N")</x:f>
        <x:v>Y</x:v>
      </x:c>
      <x:c r="X32" s="1"/>
      <x:c r="Y32" s="1"/>
      <x:c r="Z32" s="1"/>
      <x:c r="AA32" s="1"/>
      <x:c r="AB32" s="1"/>
      <x:c r="AC32" s="1"/>
      <x:c r="AD32" s="1"/>
    </x:row>
    <x:row r="33">
      <x:c r="A33" s="1">
        <x:v>32</x:v>
      </x:c>
      <x:c r="B33" t="str">
        <x:v>W</x:v>
      </x:c>
      <x:c r="C33" t="str">
        <x:v>B</x:v>
      </x:c>
      <x:c r="D33" t="str">
        <x:v>B</x:v>
      </x:c>
      <x:c r="E33" t="str">
        <x:v>W</x:v>
      </x:c>
      <x:c r="F33" t="str">
        <x:v>B</x:v>
      </x:c>
      <x:c r="G33" t="str">
        <x:v>B</x:v>
      </x:c>
      <x:c r="H33" t="str">
        <x:v>B</x:v>
      </x:c>
      <x:c r="I33" t="str">
        <x:v>B</x:v>
      </x:c>
      <x:c r="J33" t="str">
        <x:v>B</x:v>
      </x:c>
      <x:c r="K33" t="str">
        <x:v>B</x:v>
      </x:c>
      <x:c r="L33" t="str">
        <x:v>B</x:v>
      </x:c>
      <x:c r="M33" t="str">
        <x:v>W</x:v>
      </x:c>
      <x:c r="N33" t="str">
        <x:v>B</x:v>
      </x:c>
      <x:c r="O33" t="str">
        <x:v>W</x:v>
      </x:c>
      <x:c r="P33" t="str">
        <x:v>B</x:v>
      </x:c>
      <x:c r="Q33" t="str">
        <x:v>B</x:v>
      </x:c>
      <x:c r="R33" t="str">
        <x:v>B</x:v>
      </x:c>
      <x:c r="S33" t="str">
        <x:v>W</x:v>
      </x:c>
      <x:c r="T33" t="str">
        <x:v>B</x:v>
      </x:c>
      <x:c r="U33" t="str">
        <x:v>B</x:v>
      </x:c>
      <x:c r="V33" t="n">
        <x:f>COUNTIF(B33:U33,"W")</x:f>
        <x:v>5</x:v>
      </x:c>
      <x:c r="W33" s="5" t="str">
        <x:f>IF(COUNTIF(B33:D33,"W")&gt;0,"Y","N")</x:f>
        <x:v>Y</x:v>
      </x:c>
      <x:c r="X33" s="1"/>
      <x:c r="Y33" s="1"/>
      <x:c r="Z33" s="1"/>
      <x:c r="AA33" s="1"/>
      <x:c r="AB33" s="1"/>
      <x:c r="AC33" s="1"/>
      <x:c r="AD33" s="1"/>
    </x:row>
    <x:row r="34">
      <x:c r="A34" s="1">
        <x:v>33</x:v>
      </x:c>
      <x:c r="B34" t="str">
        <x:v>B</x:v>
      </x:c>
      <x:c r="C34" t="str">
        <x:v>B</x:v>
      </x:c>
      <x:c r="D34" t="str">
        <x:v>B</x:v>
      </x:c>
      <x:c r="E34" t="str">
        <x:v>W</x:v>
      </x:c>
      <x:c r="F34" t="str">
        <x:v>B</x:v>
      </x:c>
      <x:c r="G34" t="str">
        <x:v>W</x:v>
      </x:c>
      <x:c r="H34" t="str">
        <x:v>B</x:v>
      </x:c>
      <x:c r="I34" t="str">
        <x:v>B</x:v>
      </x:c>
      <x:c r="J34" t="str">
        <x:v>W</x:v>
      </x:c>
      <x:c r="K34" t="str">
        <x:v>W</x:v>
      </x:c>
      <x:c r="L34" t="str">
        <x:v>W</x:v>
      </x:c>
      <x:c r="M34" t="str">
        <x:v>W</x:v>
      </x:c>
      <x:c r="N34" t="str">
        <x:v>B</x:v>
      </x:c>
      <x:c r="O34" t="str">
        <x:v>W</x:v>
      </x:c>
      <x:c r="P34" t="str">
        <x:v>B</x:v>
      </x:c>
      <x:c r="Q34" t="str">
        <x:v>B</x:v>
      </x:c>
      <x:c r="R34" t="str">
        <x:v>B</x:v>
      </x:c>
      <x:c r="S34" t="str">
        <x:v>W</x:v>
      </x:c>
      <x:c r="T34" t="str">
        <x:v>B</x:v>
      </x:c>
      <x:c r="U34" t="str">
        <x:v>B</x:v>
      </x:c>
      <x:c r="V34" t="n">
        <x:f>COUNTIF(B34:U34,"W")</x:f>
        <x:v>8</x:v>
      </x:c>
      <x:c r="W34" s="5" t="str">
        <x:f>IF(COUNTIF(B34:D34,"W")&gt;0,"Y","N")</x:f>
        <x:v>N</x:v>
      </x:c>
      <x:c r="X34" s="1"/>
      <x:c r="Y34" s="1"/>
      <x:c r="Z34" s="1"/>
      <x:c r="AA34" s="1"/>
      <x:c r="AB34" s="1"/>
      <x:c r="AC34" s="1"/>
      <x:c r="AD34" s="1"/>
    </x:row>
    <x:row r="35">
      <x:c r="A35" s="1">
        <x:v>34</x:v>
      </x:c>
      <x:c r="B35" t="str">
        <x:v>W</x:v>
      </x:c>
      <x:c r="C35" t="str">
        <x:v>B</x:v>
      </x:c>
      <x:c r="D35" t="str">
        <x:v>W</x:v>
      </x:c>
      <x:c r="E35" t="str">
        <x:v>W</x:v>
      </x:c>
      <x:c r="F35" t="str">
        <x:v>W</x:v>
      </x:c>
      <x:c r="G35" t="str">
        <x:v>W</x:v>
      </x:c>
      <x:c r="H35" t="str">
        <x:v>B</x:v>
      </x:c>
      <x:c r="I35" t="str">
        <x:v>W</x:v>
      </x:c>
      <x:c r="J35" t="str">
        <x:v>B</x:v>
      </x:c>
      <x:c r="K35" t="str">
        <x:v>B</x:v>
      </x:c>
      <x:c r="L35" t="str">
        <x:v>B</x:v>
      </x:c>
      <x:c r="M35" t="str">
        <x:v>W</x:v>
      </x:c>
      <x:c r="N35" t="str">
        <x:v>W</x:v>
      </x:c>
      <x:c r="O35" t="str">
        <x:v>W</x:v>
      </x:c>
      <x:c r="P35" t="str">
        <x:v>B</x:v>
      </x:c>
      <x:c r="Q35" t="str">
        <x:v>W</x:v>
      </x:c>
      <x:c r="R35" t="str">
        <x:v>B</x:v>
      </x:c>
      <x:c r="S35" t="str">
        <x:v>W</x:v>
      </x:c>
      <x:c r="T35" t="str">
        <x:v>W</x:v>
      </x:c>
      <x:c r="U35" t="str">
        <x:v>B</x:v>
      </x:c>
      <x:c r="V35" t="n">
        <x:f>COUNTIF(B35:U35,"W")</x:f>
        <x:v>12</x:v>
      </x:c>
      <x:c r="W35" s="5" t="str">
        <x:f>IF(COUNTIF(B35:D35,"W")&gt;0,"Y","N")</x:f>
        <x:v>Y</x:v>
      </x:c>
      <x:c r="X35" s="1"/>
      <x:c r="Y35" s="1"/>
      <x:c r="Z35" s="1"/>
      <x:c r="AA35" s="1"/>
      <x:c r="AB35" s="1"/>
      <x:c r="AC35" s="1"/>
      <x:c r="AD35" s="1"/>
    </x:row>
    <x:row r="36">
      <x:c r="A36" s="1">
        <x:v>35</x:v>
      </x:c>
      <x:c r="B36" t="str">
        <x:v>W</x:v>
      </x:c>
      <x:c r="C36" t="str">
        <x:v>B</x:v>
      </x:c>
      <x:c r="D36" t="str">
        <x:v>B</x:v>
      </x:c>
      <x:c r="E36" t="str">
        <x:v>B</x:v>
      </x:c>
      <x:c r="F36" t="str">
        <x:v>B</x:v>
      </x:c>
      <x:c r="G36" t="str">
        <x:v>W</x:v>
      </x:c>
      <x:c r="H36" t="str">
        <x:v>W</x:v>
      </x:c>
      <x:c r="I36" t="str">
        <x:v>W</x:v>
      </x:c>
      <x:c r="J36" t="str">
        <x:v>W</x:v>
      </x:c>
      <x:c r="K36" t="str">
        <x:v>B</x:v>
      </x:c>
      <x:c r="L36" t="str">
        <x:v>B</x:v>
      </x:c>
      <x:c r="M36" t="str">
        <x:v>W</x:v>
      </x:c>
      <x:c r="N36" t="str">
        <x:v>B</x:v>
      </x:c>
      <x:c r="O36" t="str">
        <x:v>B</x:v>
      </x:c>
      <x:c r="P36" t="str">
        <x:v>W</x:v>
      </x:c>
      <x:c r="Q36" t="str">
        <x:v>W</x:v>
      </x:c>
      <x:c r="R36" t="str">
        <x:v>W</x:v>
      </x:c>
      <x:c r="S36" t="str">
        <x:v>B</x:v>
      </x:c>
      <x:c r="T36" t="str">
        <x:v>W</x:v>
      </x:c>
      <x:c r="U36" t="str">
        <x:v>W</x:v>
      </x:c>
      <x:c r="V36" t="n">
        <x:f>COUNTIF(B36:U36,"W")</x:f>
        <x:v>11</x:v>
      </x:c>
      <x:c r="W36" s="5" t="str">
        <x:f>IF(COUNTIF(B36:D36,"W")&gt;0,"Y","N")</x:f>
        <x:v>Y</x:v>
      </x:c>
      <x:c r="X36" s="1"/>
      <x:c r="Y36" s="1"/>
      <x:c r="Z36" s="1"/>
      <x:c r="AA36" s="1"/>
      <x:c r="AB36" s="1"/>
      <x:c r="AC36" s="1"/>
      <x:c r="AD36" s="1"/>
    </x:row>
    <x:row r="37">
      <x:c r="A37" s="1">
        <x:v>36</x:v>
      </x:c>
      <x:c r="B37" t="str">
        <x:v>B</x:v>
      </x:c>
      <x:c r="C37" t="str">
        <x:v>W</x:v>
      </x:c>
      <x:c r="D37" t="str">
        <x:v>B</x:v>
      </x:c>
      <x:c r="E37" t="str">
        <x:v>W</x:v>
      </x:c>
      <x:c r="F37" t="str">
        <x:v>B</x:v>
      </x:c>
      <x:c r="G37" t="str">
        <x:v>B</x:v>
      </x:c>
      <x:c r="H37" t="str">
        <x:v>B</x:v>
      </x:c>
      <x:c r="I37" t="str">
        <x:v>B</x:v>
      </x:c>
      <x:c r="J37" t="str">
        <x:v>B</x:v>
      </x:c>
      <x:c r="K37" t="str">
        <x:v>B</x:v>
      </x:c>
      <x:c r="L37" t="str">
        <x:v>B</x:v>
      </x:c>
      <x:c r="M37" t="str">
        <x:v>W</x:v>
      </x:c>
      <x:c r="N37" t="str">
        <x:v>B</x:v>
      </x:c>
      <x:c r="O37" t="str">
        <x:v>W</x:v>
      </x:c>
      <x:c r="P37" t="str">
        <x:v>W</x:v>
      </x:c>
      <x:c r="Q37" t="str">
        <x:v>W</x:v>
      </x:c>
      <x:c r="R37" t="str">
        <x:v>B</x:v>
      </x:c>
      <x:c r="S37" t="str">
        <x:v>W</x:v>
      </x:c>
      <x:c r="T37" t="str">
        <x:v>W</x:v>
      </x:c>
      <x:c r="U37" t="str">
        <x:v>W</x:v>
      </x:c>
      <x:c r="V37" t="n">
        <x:f>COUNTIF(B37:U37,"W")</x:f>
        <x:v>9</x:v>
      </x:c>
      <x:c r="W37" s="5" t="str">
        <x:f>IF(COUNTIF(B37:D37,"W")&gt;0,"Y","N")</x:f>
        <x:v>Y</x:v>
      </x:c>
      <x:c r="X37" s="1"/>
      <x:c r="Y37" s="1"/>
      <x:c r="Z37" s="1"/>
      <x:c r="AA37" s="1"/>
      <x:c r="AB37" s="1"/>
      <x:c r="AC37" s="1"/>
      <x:c r="AD37" s="1"/>
    </x:row>
    <x:row r="38">
      <x:c r="A38" s="1">
        <x:v>37</x:v>
      </x:c>
      <x:c r="B38" t="str">
        <x:v>B</x:v>
      </x:c>
      <x:c r="C38" t="str">
        <x:v>B</x:v>
      </x:c>
      <x:c r="D38" t="str">
        <x:v>B</x:v>
      </x:c>
      <x:c r="E38" t="str">
        <x:v>W</x:v>
      </x:c>
      <x:c r="F38" t="str">
        <x:v>B</x:v>
      </x:c>
      <x:c r="G38" t="str">
        <x:v>B</x:v>
      </x:c>
      <x:c r="H38" t="str">
        <x:v>W</x:v>
      </x:c>
      <x:c r="I38" t="str">
        <x:v>B</x:v>
      </x:c>
      <x:c r="J38" t="str">
        <x:v>B</x:v>
      </x:c>
      <x:c r="K38" t="str">
        <x:v>B</x:v>
      </x:c>
      <x:c r="L38" t="str">
        <x:v>B</x:v>
      </x:c>
      <x:c r="M38" t="str">
        <x:v>W</x:v>
      </x:c>
      <x:c r="N38" t="str">
        <x:v>W</x:v>
      </x:c>
      <x:c r="O38" t="str">
        <x:v>W</x:v>
      </x:c>
      <x:c r="P38" t="str">
        <x:v>B</x:v>
      </x:c>
      <x:c r="Q38" t="str">
        <x:v>W</x:v>
      </x:c>
      <x:c r="R38" t="str">
        <x:v>B</x:v>
      </x:c>
      <x:c r="S38" t="str">
        <x:v>W</x:v>
      </x:c>
      <x:c r="T38" t="str">
        <x:v>W</x:v>
      </x:c>
      <x:c r="U38" t="str">
        <x:v>B</x:v>
      </x:c>
      <x:c r="V38" t="n">
        <x:f>COUNTIF(B38:U38,"W")</x:f>
        <x:v>8</x:v>
      </x:c>
      <x:c r="W38" s="5" t="str">
        <x:f>IF(COUNTIF(B38:D38,"W")&gt;0,"Y","N")</x:f>
        <x:v>N</x:v>
      </x:c>
      <x:c r="X38" s="1"/>
      <x:c r="Y38" s="1"/>
      <x:c r="Z38" s="1"/>
      <x:c r="AA38" s="1"/>
      <x:c r="AB38" s="1"/>
      <x:c r="AC38" s="1"/>
      <x:c r="AD38" s="1"/>
    </x:row>
    <x:row r="39">
      <x:c r="A39" s="1">
        <x:v>38</x:v>
      </x:c>
      <x:c r="B39" t="str">
        <x:v>W</x:v>
      </x:c>
      <x:c r="C39" t="str">
        <x:v>W</x:v>
      </x:c>
      <x:c r="D39" t="str">
        <x:v>W</x:v>
      </x:c>
      <x:c r="E39" t="str">
        <x:v>B</x:v>
      </x:c>
      <x:c r="F39" t="str">
        <x:v>W</x:v>
      </x:c>
      <x:c r="G39" t="str">
        <x:v>B</x:v>
      </x:c>
      <x:c r="H39" t="str">
        <x:v>W</x:v>
      </x:c>
      <x:c r="I39" t="str">
        <x:v>W</x:v>
      </x:c>
      <x:c r="J39" t="str">
        <x:v>B</x:v>
      </x:c>
      <x:c r="K39" t="str">
        <x:v>W</x:v>
      </x:c>
      <x:c r="L39" t="str">
        <x:v>B</x:v>
      </x:c>
      <x:c r="M39" t="str">
        <x:v>B</x:v>
      </x:c>
      <x:c r="N39" t="str">
        <x:v>B</x:v>
      </x:c>
      <x:c r="O39" t="str">
        <x:v>W</x:v>
      </x:c>
      <x:c r="P39" t="str">
        <x:v>B</x:v>
      </x:c>
      <x:c r="Q39" t="str">
        <x:v>B</x:v>
      </x:c>
      <x:c r="R39" t="str">
        <x:v>B</x:v>
      </x:c>
      <x:c r="S39" t="str">
        <x:v>W</x:v>
      </x:c>
      <x:c r="T39" t="str">
        <x:v>B</x:v>
      </x:c>
      <x:c r="U39" t="str">
        <x:v>B</x:v>
      </x:c>
      <x:c r="V39" t="n">
        <x:f>COUNTIF(B39:U39,"W")</x:f>
        <x:v>9</x:v>
      </x:c>
      <x:c r="W39" s="5" t="str">
        <x:f>IF(COUNTIF(B39:D39,"W")&gt;0,"Y","N")</x:f>
        <x:v>Y</x:v>
      </x:c>
      <x:c r="X39" s="1"/>
      <x:c r="Y39" s="1"/>
      <x:c r="Z39" s="1"/>
      <x:c r="AA39" s="1"/>
      <x:c r="AB39" s="1"/>
      <x:c r="AC39" s="1"/>
      <x:c r="AD39" s="1"/>
    </x:row>
    <x:row r="40">
      <x:c r="A40" s="1">
        <x:v>39</x:v>
      </x:c>
      <x:c r="B40" t="str">
        <x:v>B</x:v>
      </x:c>
      <x:c r="C40" t="str">
        <x:v>B</x:v>
      </x:c>
      <x:c r="D40" t="str">
        <x:v>W</x:v>
      </x:c>
      <x:c r="E40" t="str">
        <x:v>B</x:v>
      </x:c>
      <x:c r="F40" t="str">
        <x:v>B</x:v>
      </x:c>
      <x:c r="G40" t="str">
        <x:v>B</x:v>
      </x:c>
      <x:c r="H40" t="str">
        <x:v>B</x:v>
      </x:c>
      <x:c r="I40" t="str">
        <x:v>W</x:v>
      </x:c>
      <x:c r="J40" t="str">
        <x:v>B</x:v>
      </x:c>
      <x:c r="K40" t="str">
        <x:v>W</x:v>
      </x:c>
      <x:c r="L40" t="str">
        <x:v>W</x:v>
      </x:c>
      <x:c r="M40" t="str">
        <x:v>B</x:v>
      </x:c>
      <x:c r="N40" t="str">
        <x:v>W</x:v>
      </x:c>
      <x:c r="O40" t="str">
        <x:v>W</x:v>
      </x:c>
      <x:c r="P40" t="str">
        <x:v>B</x:v>
      </x:c>
      <x:c r="Q40" t="str">
        <x:v>B</x:v>
      </x:c>
      <x:c r="R40" t="str">
        <x:v>B</x:v>
      </x:c>
      <x:c r="S40" t="str">
        <x:v>B</x:v>
      </x:c>
      <x:c r="T40" t="str">
        <x:v>B</x:v>
      </x:c>
      <x:c r="U40" t="str">
        <x:v>W</x:v>
      </x:c>
      <x:c r="V40" t="n">
        <x:f>COUNTIF(B40:U40,"W")</x:f>
        <x:v>7</x:v>
      </x:c>
      <x:c r="W40" s="5" t="str">
        <x:f>IF(COUNTIF(B40:D40,"W")&gt;0,"Y","N")</x:f>
        <x:v>Y</x:v>
      </x:c>
      <x:c r="X40" s="1"/>
      <x:c r="Y40" s="1"/>
      <x:c r="Z40" s="1"/>
      <x:c r="AA40" s="1"/>
      <x:c r="AB40" s="1"/>
      <x:c r="AC40" s="1"/>
      <x:c r="AD40" s="1"/>
    </x:row>
    <x:row r="41">
      <x:c r="A41" s="1">
        <x:v>40</x:v>
      </x:c>
      <x:c r="B41" t="str">
        <x:v>W</x:v>
      </x:c>
      <x:c r="C41" t="str">
        <x:v>B</x:v>
      </x:c>
      <x:c r="D41" t="str">
        <x:v>B</x:v>
      </x:c>
      <x:c r="E41" t="str">
        <x:v>B</x:v>
      </x:c>
      <x:c r="F41" t="str">
        <x:v>W</x:v>
      </x:c>
      <x:c r="G41" t="str">
        <x:v>W</x:v>
      </x:c>
      <x:c r="H41" t="str">
        <x:v>B</x:v>
      </x:c>
      <x:c r="I41" t="str">
        <x:v>W</x:v>
      </x:c>
      <x:c r="J41" t="str">
        <x:v>B</x:v>
      </x:c>
      <x:c r="K41" t="str">
        <x:v>B</x:v>
      </x:c>
      <x:c r="L41" t="str">
        <x:v>W</x:v>
      </x:c>
      <x:c r="M41" t="str">
        <x:v>W</x:v>
      </x:c>
      <x:c r="N41" t="str">
        <x:v>W</x:v>
      </x:c>
      <x:c r="O41" t="str">
        <x:v>B</x:v>
      </x:c>
      <x:c r="P41" t="str">
        <x:v>B</x:v>
      </x:c>
      <x:c r="Q41" t="str">
        <x:v>B</x:v>
      </x:c>
      <x:c r="R41" t="str">
        <x:v>B</x:v>
      </x:c>
      <x:c r="S41" t="str">
        <x:v>W</x:v>
      </x:c>
      <x:c r="T41" t="str">
        <x:v>B</x:v>
      </x:c>
      <x:c r="U41" t="str">
        <x:v>B</x:v>
      </x:c>
      <x:c r="V41" t="n">
        <x:f>COUNTIF(B41:U41,"W")</x:f>
        <x:v>8</x:v>
      </x:c>
      <x:c r="W41" s="5" t="str">
        <x:f>IF(COUNTIF(B41:D41,"W")&gt;0,"Y","N")</x:f>
        <x:v>Y</x:v>
      </x:c>
      <x:c r="X41" s="1"/>
      <x:c r="Y41" s="1"/>
      <x:c r="Z41" s="1"/>
      <x:c r="AA41" s="1"/>
      <x:c r="AB41" s="1"/>
      <x:c r="AC41" s="1"/>
      <x:c r="AD41" s="1"/>
    </x:row>
    <x:row r="42">
      <x:c r="A42" s="1">
        <x:v>41</x:v>
      </x:c>
      <x:c r="B42" t="str">
        <x:v>B</x:v>
      </x:c>
      <x:c r="C42" t="str">
        <x:v>W</x:v>
      </x:c>
      <x:c r="D42" t="str">
        <x:v>W</x:v>
      </x:c>
      <x:c r="E42" t="str">
        <x:v>B</x:v>
      </x:c>
      <x:c r="F42" t="str">
        <x:v>W</x:v>
      </x:c>
      <x:c r="G42" t="str">
        <x:v>W</x:v>
      </x:c>
      <x:c r="H42" t="str">
        <x:v>B</x:v>
      </x:c>
      <x:c r="I42" t="str">
        <x:v>B</x:v>
      </x:c>
      <x:c r="J42" t="str">
        <x:v>B</x:v>
      </x:c>
      <x:c r="K42" t="str">
        <x:v>W</x:v>
      </x:c>
      <x:c r="L42" t="str">
        <x:v>W</x:v>
      </x:c>
      <x:c r="M42" t="str">
        <x:v>B</x:v>
      </x:c>
      <x:c r="N42" t="str">
        <x:v>W</x:v>
      </x:c>
      <x:c r="O42" t="str">
        <x:v>W</x:v>
      </x:c>
      <x:c r="P42" t="str">
        <x:v>B</x:v>
      </x:c>
      <x:c r="Q42" t="str">
        <x:v>W</x:v>
      </x:c>
      <x:c r="R42" t="str">
        <x:v>W</x:v>
      </x:c>
      <x:c r="S42" t="str">
        <x:v>W</x:v>
      </x:c>
      <x:c r="T42" t="str">
        <x:v>W</x:v>
      </x:c>
      <x:c r="U42" t="str">
        <x:v>B</x:v>
      </x:c>
      <x:c r="V42" t="n">
        <x:f>COUNTIF(B42:U42,"W")</x:f>
        <x:v>12</x:v>
      </x:c>
      <x:c r="W42" s="5" t="str">
        <x:f>IF(COUNTIF(B42:D42,"W")&gt;0,"Y","N")</x:f>
        <x:v>Y</x:v>
      </x:c>
      <x:c r="X42" s="1"/>
      <x:c r="Y42" s="1"/>
      <x:c r="Z42" s="1"/>
      <x:c r="AA42" s="1"/>
      <x:c r="AB42" s="1"/>
      <x:c r="AC42" s="1"/>
      <x:c r="AD42" s="1"/>
    </x:row>
    <x:row r="43">
      <x:c r="A43" s="1">
        <x:v>42</x:v>
      </x:c>
      <x:c r="B43" t="str">
        <x:v>W</x:v>
      </x:c>
      <x:c r="C43" t="str">
        <x:v>B</x:v>
      </x:c>
      <x:c r="D43" t="str">
        <x:v>W</x:v>
      </x:c>
      <x:c r="E43" t="str">
        <x:v>W</x:v>
      </x:c>
      <x:c r="F43" t="str">
        <x:v>B</x:v>
      </x:c>
      <x:c r="G43" t="str">
        <x:v>W</x:v>
      </x:c>
      <x:c r="H43" t="str">
        <x:v>W</x:v>
      </x:c>
      <x:c r="I43" t="str">
        <x:v>W</x:v>
      </x:c>
      <x:c r="J43" t="str">
        <x:v>B</x:v>
      </x:c>
      <x:c r="K43" t="str">
        <x:v>B</x:v>
      </x:c>
      <x:c r="L43" t="str">
        <x:v>W</x:v>
      </x:c>
      <x:c r="M43" t="str">
        <x:v>B</x:v>
      </x:c>
      <x:c r="N43" t="str">
        <x:v>B</x:v>
      </x:c>
      <x:c r="O43" t="str">
        <x:v>B</x:v>
      </x:c>
      <x:c r="P43" t="str">
        <x:v>W</x:v>
      </x:c>
      <x:c r="Q43" t="str">
        <x:v>W</x:v>
      </x:c>
      <x:c r="R43" t="str">
        <x:v>B</x:v>
      </x:c>
      <x:c r="S43" t="str">
        <x:v>B</x:v>
      </x:c>
      <x:c r="T43" t="str">
        <x:v>B</x:v>
      </x:c>
      <x:c r="U43" t="str">
        <x:v>B</x:v>
      </x:c>
      <x:c r="V43" t="n">
        <x:f>COUNTIF(B43:U43,"W")</x:f>
        <x:v>9</x:v>
      </x:c>
      <x:c r="W43" s="5" t="str">
        <x:f>IF(COUNTIF(B43:D43,"W")&gt;0,"Y","N")</x:f>
        <x:v>Y</x:v>
      </x:c>
      <x:c r="X43" s="1"/>
      <x:c r="Y43" s="1"/>
      <x:c r="Z43" s="1"/>
      <x:c r="AA43" s="1"/>
      <x:c r="AB43" s="1"/>
      <x:c r="AC43" s="1"/>
      <x:c r="AD43" s="1"/>
    </x:row>
    <x:row r="44">
      <x:c r="A44" s="1">
        <x:v>43</x:v>
      </x:c>
      <x:c r="B44" t="str">
        <x:v>W</x:v>
      </x:c>
      <x:c r="C44" t="str">
        <x:v>B</x:v>
      </x:c>
      <x:c r="D44" t="str">
        <x:v>B</x:v>
      </x:c>
      <x:c r="E44" t="str">
        <x:v>B</x:v>
      </x:c>
      <x:c r="F44" t="str">
        <x:v>W</x:v>
      </x:c>
      <x:c r="G44" t="str">
        <x:v>B</x:v>
      </x:c>
      <x:c r="H44" t="str">
        <x:v>B</x:v>
      </x:c>
      <x:c r="I44" t="str">
        <x:v>W</x:v>
      </x:c>
      <x:c r="J44" t="str">
        <x:v>W</x:v>
      </x:c>
      <x:c r="K44" t="str">
        <x:v>W</x:v>
      </x:c>
      <x:c r="L44" t="str">
        <x:v>W</x:v>
      </x:c>
      <x:c r="M44" t="str">
        <x:v>W</x:v>
      </x:c>
      <x:c r="N44" t="str">
        <x:v>B</x:v>
      </x:c>
      <x:c r="O44" t="str">
        <x:v>B</x:v>
      </x:c>
      <x:c r="P44" t="str">
        <x:v>B</x:v>
      </x:c>
      <x:c r="Q44" t="str">
        <x:v>B</x:v>
      </x:c>
      <x:c r="R44" t="str">
        <x:v>B</x:v>
      </x:c>
      <x:c r="S44" t="str">
        <x:v>B</x:v>
      </x:c>
      <x:c r="T44" t="str">
        <x:v>W</x:v>
      </x:c>
      <x:c r="U44" t="str">
        <x:v>B</x:v>
      </x:c>
      <x:c r="V44" t="n">
        <x:f>COUNTIF(B44:U44,"W")</x:f>
        <x:v>8</x:v>
      </x:c>
      <x:c r="W44" s="5" t="str">
        <x:f>IF(COUNTIF(B44:D44,"W")&gt;0,"Y","N")</x:f>
        <x:v>Y</x:v>
      </x:c>
      <x:c r="X44" s="1"/>
      <x:c r="Y44" s="1"/>
      <x:c r="Z44" s="1"/>
      <x:c r="AA44" s="1"/>
      <x:c r="AB44" s="1"/>
      <x:c r="AC44" s="1"/>
      <x:c r="AD44" s="1"/>
    </x:row>
    <x:row r="45">
      <x:c r="A45" s="1">
        <x:v>44</x:v>
      </x:c>
      <x:c r="B45" t="str">
        <x:v>B</x:v>
      </x:c>
      <x:c r="C45" t="str">
        <x:v>W</x:v>
      </x:c>
      <x:c r="D45" t="str">
        <x:v>W</x:v>
      </x:c>
      <x:c r="E45" t="str">
        <x:v>B</x:v>
      </x:c>
      <x:c r="F45" t="str">
        <x:v>W</x:v>
      </x:c>
      <x:c r="G45" t="str">
        <x:v>W</x:v>
      </x:c>
      <x:c r="H45" t="str">
        <x:v>B</x:v>
      </x:c>
      <x:c r="I45" t="str">
        <x:v>B</x:v>
      </x:c>
      <x:c r="J45" t="str">
        <x:v>W</x:v>
      </x:c>
      <x:c r="K45" t="str">
        <x:v>B</x:v>
      </x:c>
      <x:c r="L45" t="str">
        <x:v>B</x:v>
      </x:c>
      <x:c r="M45" t="str">
        <x:v>B</x:v>
      </x:c>
      <x:c r="N45" t="str">
        <x:v>W</x:v>
      </x:c>
      <x:c r="O45" t="str">
        <x:v>B</x:v>
      </x:c>
      <x:c r="P45" t="str">
        <x:v>W</x:v>
      </x:c>
      <x:c r="Q45" t="str">
        <x:v>B</x:v>
      </x:c>
      <x:c r="R45" t="str">
        <x:v>W</x:v>
      </x:c>
      <x:c r="S45" t="str">
        <x:v>W</x:v>
      </x:c>
      <x:c r="T45" t="str">
        <x:v>W</x:v>
      </x:c>
      <x:c r="U45" t="str">
        <x:v>W</x:v>
      </x:c>
      <x:c r="V45" t="n">
        <x:f>COUNTIF(B45:U45,"W")</x:f>
        <x:v>11</x:v>
      </x:c>
      <x:c r="W45" s="5" t="str">
        <x:f>IF(COUNTIF(B45:D45,"W")&gt;0,"Y","N")</x:f>
        <x:v>Y</x:v>
      </x:c>
      <x:c r="X45" s="1"/>
      <x:c r="Y45" s="1"/>
      <x:c r="Z45" s="1"/>
      <x:c r="AA45" s="1"/>
      <x:c r="AB45" s="1"/>
      <x:c r="AC45" s="1"/>
      <x:c r="AD45" s="1"/>
    </x:row>
    <x:row r="46">
      <x:c r="A46" s="1">
        <x:v>45</x:v>
      </x:c>
      <x:c r="B46" t="str">
        <x:v>B</x:v>
      </x:c>
      <x:c r="C46" t="str">
        <x:v>B</x:v>
      </x:c>
      <x:c r="D46" t="str">
        <x:v>B</x:v>
      </x:c>
      <x:c r="E46" t="str">
        <x:v>W</x:v>
      </x:c>
      <x:c r="F46" t="str">
        <x:v>W</x:v>
      </x:c>
      <x:c r="G46" t="str">
        <x:v>W</x:v>
      </x:c>
      <x:c r="H46" t="str">
        <x:v>W</x:v>
      </x:c>
      <x:c r="I46" t="str">
        <x:v>B</x:v>
      </x:c>
      <x:c r="J46" t="str">
        <x:v>W</x:v>
      </x:c>
      <x:c r="K46" t="str">
        <x:v>W</x:v>
      </x:c>
      <x:c r="L46" t="str">
        <x:v>B</x:v>
      </x:c>
      <x:c r="M46" t="str">
        <x:v>W</x:v>
      </x:c>
      <x:c r="N46" t="str">
        <x:v>B</x:v>
      </x:c>
      <x:c r="O46" t="str">
        <x:v>B</x:v>
      </x:c>
      <x:c r="P46" t="str">
        <x:v>B</x:v>
      </x:c>
      <x:c r="Q46" t="str">
        <x:v>B</x:v>
      </x:c>
      <x:c r="R46" t="str">
        <x:v>W</x:v>
      </x:c>
      <x:c r="S46" t="str">
        <x:v>B</x:v>
      </x:c>
      <x:c r="T46" t="str">
        <x:v>B</x:v>
      </x:c>
      <x:c r="U46" t="str">
        <x:v>W</x:v>
      </x:c>
      <x:c r="V46" t="n">
        <x:f>COUNTIF(B46:U46,"W")</x:f>
        <x:v>9</x:v>
      </x:c>
      <x:c r="W46" s="5" t="str">
        <x:f>IF(COUNTIF(B46:D46,"W")&gt;0,"Y","N")</x:f>
        <x:v>N</x:v>
      </x:c>
      <x:c r="X46" s="1"/>
      <x:c r="Y46" s="1"/>
      <x:c r="Z46" s="1"/>
      <x:c r="AA46" s="1"/>
      <x:c r="AB46" s="1"/>
      <x:c r="AC46" s="1"/>
      <x:c r="AD46" s="1"/>
    </x:row>
    <x:row r="47">
      <x:c r="A47" s="1">
        <x:v>46</x:v>
      </x:c>
      <x:c r="B47" t="str">
        <x:v>B</x:v>
      </x:c>
      <x:c r="C47" t="str">
        <x:v>W</x:v>
      </x:c>
      <x:c r="D47" t="str">
        <x:v>W</x:v>
      </x:c>
      <x:c r="E47" t="str">
        <x:v>W</x:v>
      </x:c>
      <x:c r="F47" t="str">
        <x:v>B</x:v>
      </x:c>
      <x:c r="G47" t="str">
        <x:v>W</x:v>
      </x:c>
      <x:c r="H47" t="str">
        <x:v>B</x:v>
      </x:c>
      <x:c r="I47" t="str">
        <x:v>W</x:v>
      </x:c>
      <x:c r="J47" t="str">
        <x:v>B</x:v>
      </x:c>
      <x:c r="K47" t="str">
        <x:v>W</x:v>
      </x:c>
      <x:c r="L47" t="str">
        <x:v>W</x:v>
      </x:c>
      <x:c r="M47" t="str">
        <x:v>W</x:v>
      </x:c>
      <x:c r="N47" t="str">
        <x:v>B</x:v>
      </x:c>
      <x:c r="O47" t="str">
        <x:v>W</x:v>
      </x:c>
      <x:c r="P47" t="str">
        <x:v>B</x:v>
      </x:c>
      <x:c r="Q47" t="str">
        <x:v>B</x:v>
      </x:c>
      <x:c r="R47" t="str">
        <x:v>B</x:v>
      </x:c>
      <x:c r="S47" t="str">
        <x:v>B</x:v>
      </x:c>
      <x:c r="T47" t="str">
        <x:v>B</x:v>
      </x:c>
      <x:c r="U47" t="str">
        <x:v>B</x:v>
      </x:c>
      <x:c r="V47" t="n">
        <x:f>COUNTIF(B47:U47,"W")</x:f>
        <x:v>9</x:v>
      </x:c>
      <x:c r="W47" s="5" t="str">
        <x:f>IF(COUNTIF(B47:D47,"W")&gt;0,"Y","N")</x:f>
        <x:v>Y</x:v>
      </x:c>
      <x:c r="X47" s="1"/>
      <x:c r="Y47" s="1"/>
      <x:c r="Z47" s="1"/>
      <x:c r="AA47" s="1"/>
      <x:c r="AB47" s="1"/>
      <x:c r="AC47" s="1"/>
      <x:c r="AD47" s="1"/>
    </x:row>
    <x:row r="48">
      <x:c r="A48" s="1">
        <x:v>47</x:v>
      </x:c>
      <x:c r="B48" t="str">
        <x:v>B</x:v>
      </x:c>
      <x:c r="C48" t="str">
        <x:v>B</x:v>
      </x:c>
      <x:c r="D48" t="str">
        <x:v>B</x:v>
      </x:c>
      <x:c r="E48" t="str">
        <x:v>B</x:v>
      </x:c>
      <x:c r="F48" t="str">
        <x:v>W</x:v>
      </x:c>
      <x:c r="G48" t="str">
        <x:v>W</x:v>
      </x:c>
      <x:c r="H48" t="str">
        <x:v>B</x:v>
      </x:c>
      <x:c r="I48" t="str">
        <x:v>B</x:v>
      </x:c>
      <x:c r="J48" t="str">
        <x:v>B</x:v>
      </x:c>
      <x:c r="K48" t="str">
        <x:v>B</x:v>
      </x:c>
      <x:c r="L48" t="str">
        <x:v>W</x:v>
      </x:c>
      <x:c r="M48" t="str">
        <x:v>B</x:v>
      </x:c>
      <x:c r="N48" t="str">
        <x:v>B</x:v>
      </x:c>
      <x:c r="O48" t="str">
        <x:v>B</x:v>
      </x:c>
      <x:c r="P48" t="str">
        <x:v>W</x:v>
      </x:c>
      <x:c r="Q48" t="str">
        <x:v>B</x:v>
      </x:c>
      <x:c r="R48" t="str">
        <x:v>B</x:v>
      </x:c>
      <x:c r="S48" t="str">
        <x:v>B</x:v>
      </x:c>
      <x:c r="T48" t="str">
        <x:v>B</x:v>
      </x:c>
      <x:c r="U48" t="str">
        <x:v>W</x:v>
      </x:c>
      <x:c r="V48" t="n">
        <x:f>COUNTIF(B48:U48,"W")</x:f>
        <x:v>5</x:v>
      </x:c>
      <x:c r="W48" s="5" t="str">
        <x:f>IF(COUNTIF(B48:D48,"W")&gt;0,"Y","N")</x:f>
        <x:v>N</x:v>
      </x:c>
      <x:c r="X48" s="1"/>
      <x:c r="Y48" s="1"/>
      <x:c r="Z48" s="1"/>
      <x:c r="AA48" s="1"/>
      <x:c r="AB48" s="1"/>
      <x:c r="AC48" s="1"/>
      <x:c r="AD48" s="1"/>
    </x:row>
    <x:row r="49">
      <x:c r="A49" s="1">
        <x:v>48</x:v>
      </x:c>
      <x:c r="B49" t="str">
        <x:v>W</x:v>
      </x:c>
      <x:c r="C49" t="str">
        <x:v>B</x:v>
      </x:c>
      <x:c r="D49" t="str">
        <x:v>W</x:v>
      </x:c>
      <x:c r="E49" t="str">
        <x:v>B</x:v>
      </x:c>
      <x:c r="F49" t="str">
        <x:v>W</x:v>
      </x:c>
      <x:c r="G49" t="str">
        <x:v>W</x:v>
      </x:c>
      <x:c r="H49" t="str">
        <x:v>B</x:v>
      </x:c>
      <x:c r="I49" t="str">
        <x:v>W</x:v>
      </x:c>
      <x:c r="J49" t="str">
        <x:v>B</x:v>
      </x:c>
      <x:c r="K49" t="str">
        <x:v>B</x:v>
      </x:c>
      <x:c r="L49" t="str">
        <x:v>W</x:v>
      </x:c>
      <x:c r="M49" t="str">
        <x:v>B</x:v>
      </x:c>
      <x:c r="N49" t="str">
        <x:v>B</x:v>
      </x:c>
      <x:c r="O49" t="str">
        <x:v>B</x:v>
      </x:c>
      <x:c r="P49" t="str">
        <x:v>B</x:v>
      </x:c>
      <x:c r="Q49" t="str">
        <x:v>B</x:v>
      </x:c>
      <x:c r="R49" t="str">
        <x:v>B</x:v>
      </x:c>
      <x:c r="S49" t="str">
        <x:v>B</x:v>
      </x:c>
      <x:c r="T49" t="str">
        <x:v>B</x:v>
      </x:c>
      <x:c r="U49" t="str">
        <x:v>B</x:v>
      </x:c>
      <x:c r="V49" t="n">
        <x:f>COUNTIF(B49:U49,"W")</x:f>
        <x:v>6</x:v>
      </x:c>
      <x:c r="W49" s="5" t="str">
        <x:f>IF(COUNTIF(B49:D49,"W")&gt;0,"Y","N")</x:f>
        <x:v>Y</x:v>
      </x:c>
      <x:c r="X49" s="1"/>
      <x:c r="Y49" s="1"/>
      <x:c r="Z49" s="1"/>
      <x:c r="AA49" s="1"/>
      <x:c r="AB49" s="1"/>
      <x:c r="AC49" s="1"/>
      <x:c r="AD49" s="1"/>
    </x:row>
    <x:row r="50">
      <x:c r="A50" s="1">
        <x:v>49</x:v>
      </x:c>
      <x:c r="B50" t="str">
        <x:v>W</x:v>
      </x:c>
      <x:c r="C50" t="str">
        <x:v>B</x:v>
      </x:c>
      <x:c r="D50" t="str">
        <x:v>B</x:v>
      </x:c>
      <x:c r="E50" t="str">
        <x:v>B</x:v>
      </x:c>
      <x:c r="F50" t="str">
        <x:v>B</x:v>
      </x:c>
      <x:c r="G50" t="str">
        <x:v>B</x:v>
      </x:c>
      <x:c r="H50" t="str">
        <x:v>B</x:v>
      </x:c>
      <x:c r="I50" t="str">
        <x:v>B</x:v>
      </x:c>
      <x:c r="J50" t="str">
        <x:v>B</x:v>
      </x:c>
      <x:c r="K50" t="str">
        <x:v>B</x:v>
      </x:c>
      <x:c r="L50" t="str">
        <x:v>W</x:v>
      </x:c>
      <x:c r="M50" t="str">
        <x:v>W</x:v>
      </x:c>
      <x:c r="N50" t="str">
        <x:v>B</x:v>
      </x:c>
      <x:c r="O50" t="str">
        <x:v>W</x:v>
      </x:c>
      <x:c r="P50" t="str">
        <x:v>B</x:v>
      </x:c>
      <x:c r="Q50" t="str">
        <x:v>B</x:v>
      </x:c>
      <x:c r="R50" t="str">
        <x:v>W</x:v>
      </x:c>
      <x:c r="S50" t="str">
        <x:v>B</x:v>
      </x:c>
      <x:c r="T50" t="str">
        <x:v>B</x:v>
      </x:c>
      <x:c r="U50" t="str">
        <x:v>W</x:v>
      </x:c>
      <x:c r="V50" t="n">
        <x:f>COUNTIF(B50:U50,"W")</x:f>
        <x:v>6</x:v>
      </x:c>
      <x:c r="W50" s="5" t="str">
        <x:f>IF(COUNTIF(B50:D50,"W")&gt;0,"Y","N")</x:f>
        <x:v>Y</x:v>
      </x:c>
      <x:c r="X50" s="1"/>
      <x:c r="Y50" s="1"/>
      <x:c r="Z50" s="1"/>
      <x:c r="AA50" s="1"/>
      <x:c r="AB50" s="1"/>
      <x:c r="AC50" s="1"/>
      <x:c r="AD50" s="1"/>
    </x:row>
    <x:row r="51">
      <x:c r="A51" s="1">
        <x:v>50</x:v>
      </x:c>
      <x:c r="B51" t="str">
        <x:v>B</x:v>
      </x:c>
      <x:c r="C51" t="str">
        <x:v>B</x:v>
      </x:c>
      <x:c r="D51" t="str">
        <x:v>W</x:v>
      </x:c>
      <x:c r="E51" t="str">
        <x:v>W</x:v>
      </x:c>
      <x:c r="F51" t="str">
        <x:v>B</x:v>
      </x:c>
      <x:c r="G51" t="str">
        <x:v>B</x:v>
      </x:c>
      <x:c r="H51" t="str">
        <x:v>W</x:v>
      </x:c>
      <x:c r="I51" t="str">
        <x:v>W</x:v>
      </x:c>
      <x:c r="J51" t="str">
        <x:v>W</x:v>
      </x:c>
      <x:c r="K51" t="str">
        <x:v>B</x:v>
      </x:c>
      <x:c r="L51" t="str">
        <x:v>W</x:v>
      </x:c>
      <x:c r="M51" t="str">
        <x:v>W</x:v>
      </x:c>
      <x:c r="N51" t="str">
        <x:v>W</x:v>
      </x:c>
      <x:c r="O51" t="str">
        <x:v>W</x:v>
      </x:c>
      <x:c r="P51" t="str">
        <x:v>B</x:v>
      </x:c>
      <x:c r="Q51" t="str">
        <x:v>B</x:v>
      </x:c>
      <x:c r="R51" t="str">
        <x:v>W</x:v>
      </x:c>
      <x:c r="S51" t="str">
        <x:v>W</x:v>
      </x:c>
      <x:c r="T51" t="str">
        <x:v>B</x:v>
      </x:c>
      <x:c r="U51" t="str">
        <x:v>B</x:v>
      </x:c>
      <x:c r="V51" t="n">
        <x:f>COUNTIF(B51:U51,"W")</x:f>
        <x:v>11</x:v>
      </x:c>
      <x:c r="W51" s="5" t="str">
        <x:f>IF(COUNTIF(B51:D51,"W")&gt;0,"Y","N")</x:f>
        <x:v>Y</x:v>
      </x:c>
      <x:c r="X51" s="1"/>
      <x:c r="Y51" s="1"/>
      <x:c r="Z51" s="1"/>
      <x:c r="AA51" s="1"/>
      <x:c r="AB51" s="1"/>
      <x:c r="AC51" s="1"/>
      <x:c r="AD51" s="1"/>
    </x:row>
    <x:row r="52">
      <x:c r="A52" s="1">
        <x:v>51</x:v>
      </x:c>
      <x:c r="B52" t="str">
        <x:v>W</x:v>
      </x:c>
      <x:c r="C52" t="str">
        <x:v>B</x:v>
      </x:c>
      <x:c r="D52" t="str">
        <x:v>B</x:v>
      </x:c>
      <x:c r="E52" t="str">
        <x:v>B</x:v>
      </x:c>
      <x:c r="F52" t="str">
        <x:v>B</x:v>
      </x:c>
      <x:c r="G52" t="str">
        <x:v>W</x:v>
      </x:c>
      <x:c r="H52" t="str">
        <x:v>B</x:v>
      </x:c>
      <x:c r="I52" t="str">
        <x:v>B</x:v>
      </x:c>
      <x:c r="J52" t="str">
        <x:v>W</x:v>
      </x:c>
      <x:c r="K52" t="str">
        <x:v>W</x:v>
      </x:c>
      <x:c r="L52" t="str">
        <x:v>B</x:v>
      </x:c>
      <x:c r="M52" t="str">
        <x:v>B</x:v>
      </x:c>
      <x:c r="N52" t="str">
        <x:v>B</x:v>
      </x:c>
      <x:c r="O52" t="str">
        <x:v>B</x:v>
      </x:c>
      <x:c r="P52" t="str">
        <x:v>W</x:v>
      </x:c>
      <x:c r="Q52" t="str">
        <x:v>W</x:v>
      </x:c>
      <x:c r="R52" t="str">
        <x:v>W</x:v>
      </x:c>
      <x:c r="S52" t="str">
        <x:v>W</x:v>
      </x:c>
      <x:c r="T52" t="str">
        <x:v>W</x:v>
      </x:c>
      <x:c r="U52" t="str">
        <x:v>B</x:v>
      </x:c>
      <x:c r="V52" t="n">
        <x:f>COUNTIF(B52:U52,"W")</x:f>
        <x:v>9</x:v>
      </x:c>
      <x:c r="W52" s="5" t="str">
        <x:f>IF(COUNTIF(B52:D52,"W")&gt;0,"Y","N")</x:f>
        <x:v>Y</x:v>
      </x:c>
      <x:c r="X52" s="1"/>
      <x:c r="Y52" s="1"/>
      <x:c r="Z52" s="1"/>
      <x:c r="AA52" s="1"/>
      <x:c r="AB52" s="1"/>
      <x:c r="AC52" s="1"/>
      <x:c r="AD52" s="1"/>
    </x:row>
    <x:row r="53">
      <x:c r="A53" s="1">
        <x:v>52</x:v>
      </x:c>
      <x:c r="B53" t="str">
        <x:v>B</x:v>
      </x:c>
      <x:c r="C53" t="str">
        <x:v>B</x:v>
      </x:c>
      <x:c r="D53" t="str">
        <x:v>B</x:v>
      </x:c>
      <x:c r="E53" t="str">
        <x:v>W</x:v>
      </x:c>
      <x:c r="F53" t="str">
        <x:v>B</x:v>
      </x:c>
      <x:c r="G53" t="str">
        <x:v>W</x:v>
      </x:c>
      <x:c r="H53" t="str">
        <x:v>B</x:v>
      </x:c>
      <x:c r="I53" t="str">
        <x:v>W</x:v>
      </x:c>
      <x:c r="J53" t="str">
        <x:v>B</x:v>
      </x:c>
      <x:c r="K53" t="str">
        <x:v>B</x:v>
      </x:c>
      <x:c r="L53" t="str">
        <x:v>W</x:v>
      </x:c>
      <x:c r="M53" t="str">
        <x:v>W</x:v>
      </x:c>
      <x:c r="N53" t="str">
        <x:v>B</x:v>
      </x:c>
      <x:c r="O53" t="str">
        <x:v>B</x:v>
      </x:c>
      <x:c r="P53" t="str">
        <x:v>W</x:v>
      </x:c>
      <x:c r="Q53" t="str">
        <x:v>B</x:v>
      </x:c>
      <x:c r="R53" t="str">
        <x:v>B</x:v>
      </x:c>
      <x:c r="S53" t="str">
        <x:v>B</x:v>
      </x:c>
      <x:c r="T53" t="str">
        <x:v>B</x:v>
      </x:c>
      <x:c r="U53" t="str">
        <x:v>W</x:v>
      </x:c>
      <x:c r="V53" t="n">
        <x:f>COUNTIF(B53:U53,"W")</x:f>
        <x:v>7</x:v>
      </x:c>
      <x:c r="W53" s="5" t="str">
        <x:f>IF(COUNTIF(B53:D53,"W")&gt;0,"Y","N")</x:f>
        <x:v>N</x:v>
      </x:c>
      <x:c r="X53" s="1"/>
      <x:c r="Y53" s="1"/>
      <x:c r="Z53" s="1"/>
      <x:c r="AA53" s="1"/>
      <x:c r="AB53" s="1"/>
      <x:c r="AC53" s="1"/>
      <x:c r="AD53" s="1"/>
    </x:row>
    <x:row r="54">
      <x:c r="A54" s="1">
        <x:v>53</x:v>
      </x:c>
      <x:c r="B54" t="str">
        <x:v>W</x:v>
      </x:c>
      <x:c r="C54" t="str">
        <x:v>B</x:v>
      </x:c>
      <x:c r="D54" t="str">
        <x:v>B</x:v>
      </x:c>
      <x:c r="E54" t="str">
        <x:v>W</x:v>
      </x:c>
      <x:c r="F54" t="str">
        <x:v>W</x:v>
      </x:c>
      <x:c r="G54" t="str">
        <x:v>W</x:v>
      </x:c>
      <x:c r="H54" t="str">
        <x:v>B</x:v>
      </x:c>
      <x:c r="I54" t="str">
        <x:v>B</x:v>
      </x:c>
      <x:c r="J54" t="str">
        <x:v>W</x:v>
      </x:c>
      <x:c r="K54" t="str">
        <x:v>B</x:v>
      </x:c>
      <x:c r="L54" t="str">
        <x:v>B</x:v>
      </x:c>
      <x:c r="M54" t="str">
        <x:v>W</x:v>
      </x:c>
      <x:c r="N54" t="str">
        <x:v>W</x:v>
      </x:c>
      <x:c r="O54" t="str">
        <x:v>B</x:v>
      </x:c>
      <x:c r="P54" t="str">
        <x:v>B</x:v>
      </x:c>
      <x:c r="Q54" t="str">
        <x:v>W</x:v>
      </x:c>
      <x:c r="R54" t="str">
        <x:v>W</x:v>
      </x:c>
      <x:c r="S54" t="str">
        <x:v>B</x:v>
      </x:c>
      <x:c r="T54" t="str">
        <x:v>B</x:v>
      </x:c>
      <x:c r="U54" t="str">
        <x:v>B</x:v>
      </x:c>
      <x:c r="V54" t="n">
        <x:f>COUNTIF(B54:U54,"W")</x:f>
        <x:v>9</x:v>
      </x:c>
      <x:c r="W54" s="5" t="str">
        <x:f>IF(COUNTIF(B54:D54,"W")&gt;0,"Y","N")</x:f>
        <x:v>Y</x:v>
      </x:c>
      <x:c r="X54" s="1"/>
      <x:c r="Y54" s="1"/>
      <x:c r="Z54" s="1"/>
      <x:c r="AA54" s="1"/>
      <x:c r="AB54" s="1"/>
      <x:c r="AC54" s="1"/>
      <x:c r="AD54" s="1"/>
    </x:row>
    <x:row r="55">
      <x:c r="A55" s="1">
        <x:v>54</x:v>
      </x:c>
      <x:c r="B55" t="str">
        <x:v>B</x:v>
      </x:c>
      <x:c r="C55" t="str">
        <x:v>B</x:v>
      </x:c>
      <x:c r="D55" t="str">
        <x:v>W</x:v>
      </x:c>
      <x:c r="E55" t="str">
        <x:v>W</x:v>
      </x:c>
      <x:c r="F55" t="str">
        <x:v>B</x:v>
      </x:c>
      <x:c r="G55" t="str">
        <x:v>W</x:v>
      </x:c>
      <x:c r="H55" t="str">
        <x:v>W</x:v>
      </x:c>
      <x:c r="I55" t="str">
        <x:v>B</x:v>
      </x:c>
      <x:c r="J55" t="str">
        <x:v>B</x:v>
      </x:c>
      <x:c r="K55" t="str">
        <x:v>B</x:v>
      </x:c>
      <x:c r="L55" t="str">
        <x:v>W</x:v>
      </x:c>
      <x:c r="M55" t="str">
        <x:v>B</x:v>
      </x:c>
      <x:c r="N55" t="str">
        <x:v>W</x:v>
      </x:c>
      <x:c r="O55" t="str">
        <x:v>W</x:v>
      </x:c>
      <x:c r="P55" t="str">
        <x:v>W</x:v>
      </x:c>
      <x:c r="Q55" t="str">
        <x:v>B</x:v>
      </x:c>
      <x:c r="R55" t="str">
        <x:v>B</x:v>
      </x:c>
      <x:c r="S55" t="str">
        <x:v>B</x:v>
      </x:c>
      <x:c r="T55" t="str">
        <x:v>B</x:v>
      </x:c>
      <x:c r="U55" t="str">
        <x:v>W</x:v>
      </x:c>
      <x:c r="V55" t="n">
        <x:f>COUNTIF(B55:U55,"W")</x:f>
        <x:v>9</x:v>
      </x:c>
      <x:c r="W55" s="5" t="str">
        <x:f>IF(COUNTIF(B55:D55,"W")&gt;0,"Y","N")</x:f>
        <x:v>Y</x:v>
      </x:c>
      <x:c r="X55" s="1"/>
      <x:c r="Y55" s="1"/>
      <x:c r="Z55" s="1"/>
      <x:c r="AA55" s="1"/>
      <x:c r="AB55" s="1"/>
      <x:c r="AC55" s="1"/>
      <x:c r="AD55" s="1"/>
    </x:row>
    <x:row r="56">
      <x:c r="A56" s="1">
        <x:v>55</x:v>
      </x:c>
      <x:c r="B56" t="str">
        <x:v>B</x:v>
      </x:c>
      <x:c r="C56" t="str">
        <x:v>B</x:v>
      </x:c>
      <x:c r="D56" t="str">
        <x:v>B</x:v>
      </x:c>
      <x:c r="E56" t="str">
        <x:v>W</x:v>
      </x:c>
      <x:c r="F56" t="str">
        <x:v>B</x:v>
      </x:c>
      <x:c r="G56" t="str">
        <x:v>W</x:v>
      </x:c>
      <x:c r="H56" t="str">
        <x:v>W</x:v>
      </x:c>
      <x:c r="I56" t="str">
        <x:v>B</x:v>
      </x:c>
      <x:c r="J56" t="str">
        <x:v>B</x:v>
      </x:c>
      <x:c r="K56" t="str">
        <x:v>B</x:v>
      </x:c>
      <x:c r="L56" t="str">
        <x:v>B</x:v>
      </x:c>
      <x:c r="M56" t="str">
        <x:v>B</x:v>
      </x:c>
      <x:c r="N56" t="str">
        <x:v>W</x:v>
      </x:c>
      <x:c r="O56" t="str">
        <x:v>B</x:v>
      </x:c>
      <x:c r="P56" t="str">
        <x:v>B</x:v>
      </x:c>
      <x:c r="Q56" t="str">
        <x:v>B</x:v>
      </x:c>
      <x:c r="R56" t="str">
        <x:v>W</x:v>
      </x:c>
      <x:c r="S56" t="str">
        <x:v>B</x:v>
      </x:c>
      <x:c r="T56" t="str">
        <x:v>B</x:v>
      </x:c>
      <x:c r="U56" t="str">
        <x:v>B</x:v>
      </x:c>
      <x:c r="V56" t="n">
        <x:f>COUNTIF(B56:U56,"W")</x:f>
        <x:v>5</x:v>
      </x:c>
      <x:c r="W56" s="5" t="str">
        <x:f>IF(COUNTIF(B56:D56,"W")&gt;0,"Y","N")</x:f>
        <x:v>N</x:v>
      </x:c>
      <x:c r="X56" s="1"/>
      <x:c r="Y56" s="1"/>
      <x:c r="Z56" s="1"/>
      <x:c r="AA56" s="1"/>
      <x:c r="AB56" s="1"/>
      <x:c r="AC56" s="1"/>
      <x:c r="AD56" s="1"/>
    </x:row>
    <x:row r="57">
      <x:c r="A57" s="1">
        <x:v>56</x:v>
      </x:c>
      <x:c r="B57" t="str">
        <x:v>B</x:v>
      </x:c>
      <x:c r="C57" t="str">
        <x:v>B</x:v>
      </x:c>
      <x:c r="D57" t="str">
        <x:v>B</x:v>
      </x:c>
      <x:c r="E57" t="str">
        <x:v>W</x:v>
      </x:c>
      <x:c r="F57" t="str">
        <x:v>B</x:v>
      </x:c>
      <x:c r="G57" t="str">
        <x:v>B</x:v>
      </x:c>
      <x:c r="H57" t="str">
        <x:v>B</x:v>
      </x:c>
      <x:c r="I57" t="str">
        <x:v>B</x:v>
      </x:c>
      <x:c r="J57" t="str">
        <x:v>B</x:v>
      </x:c>
      <x:c r="K57" t="str">
        <x:v>W</x:v>
      </x:c>
      <x:c r="L57" t="str">
        <x:v>B</x:v>
      </x:c>
      <x:c r="M57" t="str">
        <x:v>B</x:v>
      </x:c>
      <x:c r="N57" t="str">
        <x:v>B</x:v>
      </x:c>
      <x:c r="O57" t="str">
        <x:v>W</x:v>
      </x:c>
      <x:c r="P57" t="str">
        <x:v>B</x:v>
      </x:c>
      <x:c r="Q57" t="str">
        <x:v>W</x:v>
      </x:c>
      <x:c r="R57" t="str">
        <x:v>B</x:v>
      </x:c>
      <x:c r="S57" t="str">
        <x:v>B</x:v>
      </x:c>
      <x:c r="T57" t="str">
        <x:v>B</x:v>
      </x:c>
      <x:c r="U57" t="str">
        <x:v>B</x:v>
      </x:c>
      <x:c r="V57" t="n">
        <x:f>COUNTIF(B57:U57,"W")</x:f>
        <x:v>4</x:v>
      </x:c>
      <x:c r="W57" s="5" t="str">
        <x:f>IF(COUNTIF(B57:D57,"W")&gt;0,"Y","N")</x:f>
        <x:v>N</x:v>
      </x:c>
      <x:c r="X57" s="1"/>
      <x:c r="Y57" s="1"/>
      <x:c r="Z57" s="1"/>
      <x:c r="AA57" s="1"/>
      <x:c r="AB57" s="1"/>
      <x:c r="AC57" s="1"/>
      <x:c r="AD57" s="1"/>
    </x:row>
    <x:row r="58">
      <x:c r="A58" s="1">
        <x:v>57</x:v>
      </x:c>
      <x:c r="B58" t="str">
        <x:v>W</x:v>
      </x:c>
      <x:c r="C58" t="str">
        <x:v>B</x:v>
      </x:c>
      <x:c r="D58" t="str">
        <x:v>B</x:v>
      </x:c>
      <x:c r="E58" t="str">
        <x:v>B</x:v>
      </x:c>
      <x:c r="F58" t="str">
        <x:v>B</x:v>
      </x:c>
      <x:c r="G58" t="str">
        <x:v>B</x:v>
      </x:c>
      <x:c r="H58" t="str">
        <x:v>B</x:v>
      </x:c>
      <x:c r="I58" t="str">
        <x:v>B</x:v>
      </x:c>
      <x:c r="J58" t="str">
        <x:v>W</x:v>
      </x:c>
      <x:c r="K58" t="str">
        <x:v>W</x:v>
      </x:c>
      <x:c r="L58" t="str">
        <x:v>W</x:v>
      </x:c>
      <x:c r="M58" t="str">
        <x:v>B</x:v>
      </x:c>
      <x:c r="N58" t="str">
        <x:v>B</x:v>
      </x:c>
      <x:c r="O58" t="str">
        <x:v>B</x:v>
      </x:c>
      <x:c r="P58" t="str">
        <x:v>W</x:v>
      </x:c>
      <x:c r="Q58" t="str">
        <x:v>W</x:v>
      </x:c>
      <x:c r="R58" t="str">
        <x:v>B</x:v>
      </x:c>
      <x:c r="S58" t="str">
        <x:v>W</x:v>
      </x:c>
      <x:c r="T58" t="str">
        <x:v>W</x:v>
      </x:c>
      <x:c r="U58" t="str">
        <x:v>W</x:v>
      </x:c>
      <x:c r="V58" t="n">
        <x:f>COUNTIF(B58:U58,"W")</x:f>
        <x:v>9</x:v>
      </x:c>
      <x:c r="W58" s="5" t="str">
        <x:f>IF(COUNTIF(B58:D58,"W")&gt;0,"Y","N")</x:f>
        <x:v>Y</x:v>
      </x:c>
      <x:c r="X58" s="1"/>
      <x:c r="Y58" s="1"/>
      <x:c r="Z58" s="1"/>
      <x:c r="AA58" s="1"/>
      <x:c r="AB58" s="1"/>
      <x:c r="AC58" s="1"/>
      <x:c r="AD58" s="1"/>
    </x:row>
    <x:row r="59">
      <x:c r="A59" s="1">
        <x:v>58</x:v>
      </x:c>
      <x:c r="B59" t="str">
        <x:v>W</x:v>
      </x:c>
      <x:c r="C59" t="str">
        <x:v>B</x:v>
      </x:c>
      <x:c r="D59" t="str">
        <x:v>B</x:v>
      </x:c>
      <x:c r="E59" t="str">
        <x:v>B</x:v>
      </x:c>
      <x:c r="F59" t="str">
        <x:v>B</x:v>
      </x:c>
      <x:c r="G59" t="str">
        <x:v>B</x:v>
      </x:c>
      <x:c r="H59" t="str">
        <x:v>B</x:v>
      </x:c>
      <x:c r="I59" t="str">
        <x:v>W</x:v>
      </x:c>
      <x:c r="J59" t="str">
        <x:v>B</x:v>
      </x:c>
      <x:c r="K59" t="str">
        <x:v>B</x:v>
      </x:c>
      <x:c r="L59" t="str">
        <x:v>B</x:v>
      </x:c>
      <x:c r="M59" t="str">
        <x:v>B</x:v>
      </x:c>
      <x:c r="N59" t="str">
        <x:v>W</x:v>
      </x:c>
      <x:c r="O59" t="str">
        <x:v>W</x:v>
      </x:c>
      <x:c r="P59" t="str">
        <x:v>B</x:v>
      </x:c>
      <x:c r="Q59" t="str">
        <x:v>W</x:v>
      </x:c>
      <x:c r="R59" t="str">
        <x:v>B</x:v>
      </x:c>
      <x:c r="S59" t="str">
        <x:v>B</x:v>
      </x:c>
      <x:c r="T59" t="str">
        <x:v>B</x:v>
      </x:c>
      <x:c r="U59" t="str">
        <x:v>B</x:v>
      </x:c>
      <x:c r="V59" t="n">
        <x:f>COUNTIF(B59:U59,"W")</x:f>
        <x:v>5</x:v>
      </x:c>
      <x:c r="W59" s="5" t="str">
        <x:f>IF(COUNTIF(B59:D59,"W")&gt;0,"Y","N")</x:f>
        <x:v>Y</x:v>
      </x:c>
      <x:c r="X59" s="1"/>
      <x:c r="Y59" s="1"/>
      <x:c r="Z59" s="1"/>
      <x:c r="AA59" s="1"/>
      <x:c r="AB59" s="1"/>
      <x:c r="AC59" s="1"/>
      <x:c r="AD59" s="1"/>
    </x:row>
    <x:row r="60">
      <x:c r="A60" s="1">
        <x:v>59</x:v>
      </x:c>
      <x:c r="B60" t="str">
        <x:v>B</x:v>
      </x:c>
      <x:c r="C60" t="str">
        <x:v>W</x:v>
      </x:c>
      <x:c r="D60" t="str">
        <x:v>B</x:v>
      </x:c>
      <x:c r="E60" t="str">
        <x:v>B</x:v>
      </x:c>
      <x:c r="F60" t="str">
        <x:v>W</x:v>
      </x:c>
      <x:c r="G60" t="str">
        <x:v>W</x:v>
      </x:c>
      <x:c r="H60" t="str">
        <x:v>B</x:v>
      </x:c>
      <x:c r="I60" t="str">
        <x:v>B</x:v>
      </x:c>
      <x:c r="J60" t="str">
        <x:v>B</x:v>
      </x:c>
      <x:c r="K60" t="str">
        <x:v>B</x:v>
      </x:c>
      <x:c r="L60" t="str">
        <x:v>W</x:v>
      </x:c>
      <x:c r="M60" t="str">
        <x:v>W</x:v>
      </x:c>
      <x:c r="N60" t="str">
        <x:v>B</x:v>
      </x:c>
      <x:c r="O60" t="str">
        <x:v>B</x:v>
      </x:c>
      <x:c r="P60" t="str">
        <x:v>B</x:v>
      </x:c>
      <x:c r="Q60" t="str">
        <x:v>B</x:v>
      </x:c>
      <x:c r="R60" t="str">
        <x:v>B</x:v>
      </x:c>
      <x:c r="S60" t="str">
        <x:v>B</x:v>
      </x:c>
      <x:c r="T60" t="str">
        <x:v>B</x:v>
      </x:c>
      <x:c r="U60" t="str">
        <x:v>B</x:v>
      </x:c>
      <x:c r="V60" t="n">
        <x:f>COUNTIF(B60:U60,"W")</x:f>
        <x:v>5</x:v>
      </x:c>
      <x:c r="W60" s="5" t="str">
        <x:f>IF(COUNTIF(B60:D60,"W")&gt;0,"Y","N")</x:f>
        <x:v>Y</x:v>
      </x:c>
      <x:c r="X60" s="1"/>
      <x:c r="Y60" s="1"/>
      <x:c r="Z60" s="1"/>
      <x:c r="AA60" s="1"/>
      <x:c r="AB60" s="1"/>
      <x:c r="AC60" s="1"/>
      <x:c r="AD60" s="1"/>
    </x:row>
    <x:row r="61">
      <x:c r="A61" s="1">
        <x:v>60</x:v>
      </x:c>
      <x:c r="B61" t="str">
        <x:v>B</x:v>
      </x:c>
      <x:c r="C61" t="str">
        <x:v>B</x:v>
      </x:c>
      <x:c r="D61" t="str">
        <x:v>W</x:v>
      </x:c>
      <x:c r="E61" t="str">
        <x:v>B</x:v>
      </x:c>
      <x:c r="F61" t="str">
        <x:v>B</x:v>
      </x:c>
      <x:c r="G61" t="str">
        <x:v>W</x:v>
      </x:c>
      <x:c r="H61" t="str">
        <x:v>B</x:v>
      </x:c>
      <x:c r="I61" t="str">
        <x:v>B</x:v>
      </x:c>
      <x:c r="J61" t="str">
        <x:v>B</x:v>
      </x:c>
      <x:c r="K61" t="str">
        <x:v>B</x:v>
      </x:c>
      <x:c r="L61" t="str">
        <x:v>W</x:v>
      </x:c>
      <x:c r="M61" t="str">
        <x:v>B</x:v>
      </x:c>
      <x:c r="N61" t="str">
        <x:v>W</x:v>
      </x:c>
      <x:c r="O61" t="str">
        <x:v>B</x:v>
      </x:c>
      <x:c r="P61" t="str">
        <x:v>W</x:v>
      </x:c>
      <x:c r="Q61" t="str">
        <x:v>W</x:v>
      </x:c>
      <x:c r="R61" t="str">
        <x:v>W</x:v>
      </x:c>
      <x:c r="S61" t="str">
        <x:v>B</x:v>
      </x:c>
      <x:c r="T61" t="str">
        <x:v>B</x:v>
      </x:c>
      <x:c r="U61" t="str">
        <x:v>B</x:v>
      </x:c>
      <x:c r="V61" t="n">
        <x:f>COUNTIF(B61:U61,"W")</x:f>
        <x:v>7</x:v>
      </x:c>
      <x:c r="W61" s="5" t="str">
        <x:f>IF(COUNTIF(B61:D61,"W")&gt;0,"Y","N")</x:f>
        <x:v>Y</x:v>
      </x:c>
      <x:c r="X61" s="1"/>
      <x:c r="Y61" s="1"/>
      <x:c r="Z61" s="1"/>
      <x:c r="AA61" s="1"/>
      <x:c r="AB61" s="1"/>
      <x:c r="AC61" s="1"/>
      <x:c r="AD61" s="1"/>
    </x:row>
    <x:row r="62">
      <x:c r="A62" s="1">
        <x:v>61</x:v>
      </x:c>
      <x:c r="B62" t="str">
        <x:v>B</x:v>
      </x:c>
      <x:c r="C62" t="str">
        <x:v>W</x:v>
      </x:c>
      <x:c r="D62" t="str">
        <x:v>B</x:v>
      </x:c>
      <x:c r="E62" t="str">
        <x:v>B</x:v>
      </x:c>
      <x:c r="F62" t="str">
        <x:v>B</x:v>
      </x:c>
      <x:c r="G62" t="str">
        <x:v>W</x:v>
      </x:c>
      <x:c r="H62" t="str">
        <x:v>W</x:v>
      </x:c>
      <x:c r="I62" t="str">
        <x:v>W</x:v>
      </x:c>
      <x:c r="J62" t="str">
        <x:v>B</x:v>
      </x:c>
      <x:c r="K62" t="str">
        <x:v>W</x:v>
      </x:c>
      <x:c r="L62" t="str">
        <x:v>B</x:v>
      </x:c>
      <x:c r="M62" t="str">
        <x:v>B</x:v>
      </x:c>
      <x:c r="N62" t="str">
        <x:v>B</x:v>
      </x:c>
      <x:c r="O62" t="str">
        <x:v>W</x:v>
      </x:c>
      <x:c r="P62" t="str">
        <x:v>W</x:v>
      </x:c>
      <x:c r="Q62" t="str">
        <x:v>B</x:v>
      </x:c>
      <x:c r="R62" t="str">
        <x:v>W</x:v>
      </x:c>
      <x:c r="S62" t="str">
        <x:v>W</x:v>
      </x:c>
      <x:c r="T62" t="str">
        <x:v>W</x:v>
      </x:c>
      <x:c r="U62" t="str">
        <x:v>W</x:v>
      </x:c>
      <x:c r="V62" t="n">
        <x:f>COUNTIF(B62:U62,"W")</x:f>
        <x:v>11</x:v>
      </x:c>
      <x:c r="W62" s="5" t="str">
        <x:f>IF(COUNTIF(B62:D62,"W")&gt;0,"Y","N")</x:f>
        <x:v>Y</x:v>
      </x:c>
      <x:c r="X62" s="1"/>
      <x:c r="Y62" s="1"/>
      <x:c r="Z62" s="1"/>
      <x:c r="AA62" s="1"/>
      <x:c r="AB62" s="1"/>
      <x:c r="AC62" s="1"/>
      <x:c r="AD62" s="1"/>
    </x:row>
    <x:row r="63">
      <x:c r="A63" s="1">
        <x:v>62</x:v>
      </x:c>
      <x:c r="B63" t="str">
        <x:v>B</x:v>
      </x:c>
      <x:c r="C63" t="str">
        <x:v>B</x:v>
      </x:c>
      <x:c r="D63" t="str">
        <x:v>B</x:v>
      </x:c>
      <x:c r="E63" t="str">
        <x:v>W</x:v>
      </x:c>
      <x:c r="F63" t="str">
        <x:v>B</x:v>
      </x:c>
      <x:c r="G63" t="str">
        <x:v>B</x:v>
      </x:c>
      <x:c r="H63" t="str">
        <x:v>B</x:v>
      </x:c>
      <x:c r="I63" t="str">
        <x:v>B</x:v>
      </x:c>
      <x:c r="J63" t="str">
        <x:v>W</x:v>
      </x:c>
      <x:c r="K63" t="str">
        <x:v>B</x:v>
      </x:c>
      <x:c r="L63" t="str">
        <x:v>B</x:v>
      </x:c>
      <x:c r="M63" t="str">
        <x:v>W</x:v>
      </x:c>
      <x:c r="N63" t="str">
        <x:v>W</x:v>
      </x:c>
      <x:c r="O63" t="str">
        <x:v>B</x:v>
      </x:c>
      <x:c r="P63" t="str">
        <x:v>W</x:v>
      </x:c>
      <x:c r="Q63" t="str">
        <x:v>W</x:v>
      </x:c>
      <x:c r="R63" t="str">
        <x:v>W</x:v>
      </x:c>
      <x:c r="S63" t="str">
        <x:v>B</x:v>
      </x:c>
      <x:c r="T63" t="str">
        <x:v>B</x:v>
      </x:c>
      <x:c r="U63" t="str">
        <x:v>B</x:v>
      </x:c>
      <x:c r="V63" t="n">
        <x:f>COUNTIF(B63:U63,"W")</x:f>
        <x:v>7</x:v>
      </x:c>
      <x:c r="W63" s="5" t="str">
        <x:f>IF(COUNTIF(B63:D63,"W")&gt;0,"Y","N")</x:f>
        <x:v>N</x:v>
      </x:c>
      <x:c r="X63" s="1"/>
      <x:c r="Y63" s="1"/>
      <x:c r="Z63" s="1"/>
      <x:c r="AA63" s="1"/>
      <x:c r="AB63" s="1"/>
      <x:c r="AC63" s="1"/>
      <x:c r="AD63" s="1"/>
    </x:row>
    <x:row r="64">
      <x:c r="A64" s="1">
        <x:v>63</x:v>
      </x:c>
      <x:c r="B64" t="str">
        <x:v>B</x:v>
      </x:c>
      <x:c r="C64" t="str">
        <x:v>B</x:v>
      </x:c>
      <x:c r="D64" t="str">
        <x:v>W</x:v>
      </x:c>
      <x:c r="E64" t="str">
        <x:v>W</x:v>
      </x:c>
      <x:c r="F64" t="str">
        <x:v>W</x:v>
      </x:c>
      <x:c r="G64" t="str">
        <x:v>W</x:v>
      </x:c>
      <x:c r="H64" t="str">
        <x:v>W</x:v>
      </x:c>
      <x:c r="I64" t="str">
        <x:v>B</x:v>
      </x:c>
      <x:c r="J64" t="str">
        <x:v>W</x:v>
      </x:c>
      <x:c r="K64" t="str">
        <x:v>W</x:v>
      </x:c>
      <x:c r="L64" t="str">
        <x:v>B</x:v>
      </x:c>
      <x:c r="M64" t="str">
        <x:v>W</x:v>
      </x:c>
      <x:c r="N64" t="str">
        <x:v>W</x:v>
      </x:c>
      <x:c r="O64" t="str">
        <x:v>B</x:v>
      </x:c>
      <x:c r="P64" t="str">
        <x:v>B</x:v>
      </x:c>
      <x:c r="Q64" t="str">
        <x:v>B</x:v>
      </x:c>
      <x:c r="R64" t="str">
        <x:v>W</x:v>
      </x:c>
      <x:c r="S64" t="str">
        <x:v>W</x:v>
      </x:c>
      <x:c r="T64" t="str">
        <x:v>W</x:v>
      </x:c>
      <x:c r="U64" t="str">
        <x:v>B</x:v>
      </x:c>
      <x:c r="V64" t="n">
        <x:f>COUNTIF(B64:U64,"W")</x:f>
        <x:v>12</x:v>
      </x:c>
      <x:c r="W64" s="5" t="str">
        <x:f>IF(COUNTIF(B64:D64,"W")&gt;0,"Y","N")</x:f>
        <x:v>Y</x:v>
      </x:c>
      <x:c r="X64" s="1"/>
      <x:c r="Y64" s="1"/>
      <x:c r="Z64" s="1"/>
      <x:c r="AA64" s="1"/>
      <x:c r="AB64" s="1"/>
      <x:c r="AC64" s="1"/>
      <x:c r="AD64" s="1"/>
    </x:row>
    <x:row r="65">
      <x:c r="A65" s="1">
        <x:v>64</x:v>
      </x:c>
      <x:c r="B65" t="str">
        <x:v>B</x:v>
      </x:c>
      <x:c r="C65" t="str">
        <x:v>B</x:v>
      </x:c>
      <x:c r="D65" t="str">
        <x:v>B</x:v>
      </x:c>
      <x:c r="E65" t="str">
        <x:v>W</x:v>
      </x:c>
      <x:c r="F65" t="str">
        <x:v>W</x:v>
      </x:c>
      <x:c r="G65" t="str">
        <x:v>W</x:v>
      </x:c>
      <x:c r="H65" t="str">
        <x:v>B</x:v>
      </x:c>
      <x:c r="I65" t="str">
        <x:v>B</x:v>
      </x:c>
      <x:c r="J65" t="str">
        <x:v>W</x:v>
      </x:c>
      <x:c r="K65" t="str">
        <x:v>B</x:v>
      </x:c>
      <x:c r="L65" t="str">
        <x:v>B</x:v>
      </x:c>
      <x:c r="M65" t="str">
        <x:v>W</x:v>
      </x:c>
      <x:c r="N65" t="str">
        <x:v>W</x:v>
      </x:c>
      <x:c r="O65" t="str">
        <x:v>B</x:v>
      </x:c>
      <x:c r="P65" t="str">
        <x:v>B</x:v>
      </x:c>
      <x:c r="Q65" t="str">
        <x:v>B</x:v>
      </x:c>
      <x:c r="R65" t="str">
        <x:v>W</x:v>
      </x:c>
      <x:c r="S65" t="str">
        <x:v>B</x:v>
      </x:c>
      <x:c r="T65" t="str">
        <x:v>W</x:v>
      </x:c>
      <x:c r="U65" t="str">
        <x:v>W</x:v>
      </x:c>
      <x:c r="V65" t="n">
        <x:f>COUNTIF(B65:U65,"W")</x:f>
        <x:v>9</x:v>
      </x:c>
      <x:c r="W65" s="5" t="str">
        <x:f>IF(COUNTIF(B65:D65,"W")&gt;0,"Y","N")</x:f>
        <x:v>N</x:v>
      </x:c>
      <x:c r="X65" s="1"/>
      <x:c r="Y65" s="1"/>
      <x:c r="Z65" s="1"/>
      <x:c r="AA65" s="1"/>
      <x:c r="AB65" s="1"/>
      <x:c r="AC65" s="1"/>
      <x:c r="AD65" s="1"/>
    </x:row>
    <x:row r="66">
      <x:c r="A66" s="1">
        <x:v>65</x:v>
      </x:c>
      <x:c r="B66" t="str">
        <x:v>B</x:v>
      </x:c>
      <x:c r="C66" t="str">
        <x:v>W</x:v>
      </x:c>
      <x:c r="D66" t="str">
        <x:v>W</x:v>
      </x:c>
      <x:c r="E66" t="str">
        <x:v>W</x:v>
      </x:c>
      <x:c r="F66" t="str">
        <x:v>B</x:v>
      </x:c>
      <x:c r="G66" t="str">
        <x:v>W</x:v>
      </x:c>
      <x:c r="H66" t="str">
        <x:v>B</x:v>
      </x:c>
      <x:c r="I66" t="str">
        <x:v>W</x:v>
      </x:c>
      <x:c r="J66" t="str">
        <x:v>W</x:v>
      </x:c>
      <x:c r="K66" t="str">
        <x:v>B</x:v>
      </x:c>
      <x:c r="L66" t="str">
        <x:v>W</x:v>
      </x:c>
      <x:c r="M66" t="str">
        <x:v>B</x:v>
      </x:c>
      <x:c r="N66" t="str">
        <x:v>B</x:v>
      </x:c>
      <x:c r="O66" t="str">
        <x:v>B</x:v>
      </x:c>
      <x:c r="P66" t="str">
        <x:v>W</x:v>
      </x:c>
      <x:c r="Q66" t="str">
        <x:v>W</x:v>
      </x:c>
      <x:c r="R66" t="str">
        <x:v>B</x:v>
      </x:c>
      <x:c r="S66" t="str">
        <x:v>B</x:v>
      </x:c>
      <x:c r="T66" t="str">
        <x:v>B</x:v>
      </x:c>
      <x:c r="U66" t="str">
        <x:v>B</x:v>
      </x:c>
      <x:c r="V66" t="n">
        <x:f>COUNTIF(B66:U66,"W")</x:f>
        <x:v>9</x:v>
      </x:c>
      <x:c r="W66" s="5" t="str">
        <x:f>IF(COUNTIF(B66:D66,"W")&gt;0,"Y","N")</x:f>
        <x:v>Y</x:v>
      </x:c>
      <x:c r="X66" s="1"/>
      <x:c r="Y66" s="1"/>
      <x:c r="Z66" s="1"/>
      <x:c r="AA66" s="1"/>
      <x:c r="AB66" s="1"/>
      <x:c r="AC66" s="1"/>
      <x:c r="AD66" s="1"/>
    </x:row>
    <x:row r="67">
      <x:c r="A67" s="1">
        <x:v>66</x:v>
      </x:c>
      <x:c r="B67" t="str">
        <x:v>B</x:v>
      </x:c>
      <x:c r="C67" t="str">
        <x:v>B</x:v>
      </x:c>
      <x:c r="D67" t="str">
        <x:v>B</x:v>
      </x:c>
      <x:c r="E67" t="str">
        <x:v>B</x:v>
      </x:c>
      <x:c r="F67" t="str">
        <x:v>B</x:v>
      </x:c>
      <x:c r="G67" t="str">
        <x:v>W</x:v>
      </x:c>
      <x:c r="H67" t="str">
        <x:v>B</x:v>
      </x:c>
      <x:c r="I67" t="str">
        <x:v>B</x:v>
      </x:c>
      <x:c r="J67" t="str">
        <x:v>W</x:v>
      </x:c>
      <x:c r="K67" t="str">
        <x:v>W</x:v>
      </x:c>
      <x:c r="L67" t="str">
        <x:v>W</x:v>
      </x:c>
      <x:c r="M67" t="str">
        <x:v>B</x:v>
      </x:c>
      <x:c r="N67" t="str">
        <x:v>W</x:v>
      </x:c>
      <x:c r="O67" t="str">
        <x:v>W</x:v>
      </x:c>
      <x:c r="P67" t="str">
        <x:v>W</x:v>
      </x:c>
      <x:c r="Q67" t="str">
        <x:v>W</x:v>
      </x:c>
      <x:c r="R67" t="str">
        <x:v>B</x:v>
      </x:c>
      <x:c r="S67" t="str">
        <x:v>W</x:v>
      </x:c>
      <x:c r="T67" t="str">
        <x:v>W</x:v>
      </x:c>
      <x:c r="U67" t="str">
        <x:v>W</x:v>
      </x:c>
      <x:c r="V67" t="n">
        <x:f>COUNTIF(B67:U67,"W")</x:f>
        <x:v>11</x:v>
      </x:c>
      <x:c r="W67" s="5" t="str">
        <x:f>IF(COUNTIF(B67:D67,"W")&gt;0,"Y","N")</x:f>
        <x:v>N</x:v>
      </x:c>
      <x:c r="X67" s="1"/>
      <x:c r="Y67" s="1"/>
      <x:c r="Z67" s="1"/>
      <x:c r="AA67" s="1"/>
      <x:c r="AB67" s="1"/>
      <x:c r="AC67" s="1"/>
      <x:c r="AD67" s="1"/>
    </x:row>
    <x:row r="68">
      <x:c r="A68" s="1">
        <x:v>67</x:v>
      </x:c>
      <x:c r="B68" t="str">
        <x:v>W</x:v>
      </x:c>
      <x:c r="C68" t="str">
        <x:v>B</x:v>
      </x:c>
      <x:c r="D68" t="str">
        <x:v>B</x:v>
      </x:c>
      <x:c r="E68" t="str">
        <x:v>B</x:v>
      </x:c>
      <x:c r="F68" t="str">
        <x:v>B</x:v>
      </x:c>
      <x:c r="G68" t="str">
        <x:v>B</x:v>
      </x:c>
      <x:c r="H68" t="str">
        <x:v>B</x:v>
      </x:c>
      <x:c r="I68" t="str">
        <x:v>B</x:v>
      </x:c>
      <x:c r="J68" t="str">
        <x:v>B</x:v>
      </x:c>
      <x:c r="K68" t="str">
        <x:v>W</x:v>
      </x:c>
      <x:c r="L68" t="str">
        <x:v>B</x:v>
      </x:c>
      <x:c r="M68" t="str">
        <x:v>B</x:v>
      </x:c>
      <x:c r="N68" t="str">
        <x:v>B</x:v>
      </x:c>
      <x:c r="O68" t="str">
        <x:v>B</x:v>
      </x:c>
      <x:c r="P68" t="str">
        <x:v>B</x:v>
      </x:c>
      <x:c r="Q68" t="str">
        <x:v>B</x:v>
      </x:c>
      <x:c r="R68" t="str">
        <x:v>W</x:v>
      </x:c>
      <x:c r="S68" t="str">
        <x:v>B</x:v>
      </x:c>
      <x:c r="T68" t="str">
        <x:v>B</x:v>
      </x:c>
      <x:c r="U68" t="str">
        <x:v>W</x:v>
      </x:c>
      <x:c r="V68" t="n">
        <x:f>COUNTIF(B68:U68,"W")</x:f>
        <x:v>4</x:v>
      </x:c>
      <x:c r="W68" s="5" t="str">
        <x:f>IF(COUNTIF(B68:D68,"W")&gt;0,"Y","N")</x:f>
        <x:v>Y</x:v>
      </x:c>
      <x:c r="X68" s="1"/>
      <x:c r="Y68" s="1"/>
      <x:c r="Z68" s="1"/>
      <x:c r="AA68" s="1"/>
      <x:c r="AB68" s="1"/>
      <x:c r="AC68" s="1"/>
      <x:c r="AD68" s="1"/>
    </x:row>
    <x:row r="69">
      <x:c r="A69" s="1">
        <x:v>68</x:v>
      </x:c>
      <x:c r="B69" t="str">
        <x:v>B</x:v>
      </x:c>
      <x:c r="C69" t="str">
        <x:v>B</x:v>
      </x:c>
      <x:c r="D69" t="str">
        <x:v>W</x:v>
      </x:c>
      <x:c r="E69" t="str">
        <x:v>B</x:v>
      </x:c>
      <x:c r="F69" t="str">
        <x:v>B</x:v>
      </x:c>
      <x:c r="G69" t="str">
        <x:v>B</x:v>
      </x:c>
      <x:c r="H69" t="str">
        <x:v>B</x:v>
      </x:c>
      <x:c r="I69" t="str">
        <x:v>B</x:v>
      </x:c>
      <x:c r="J69" t="str">
        <x:v>W</x:v>
      </x:c>
      <x:c r="K69" t="str">
        <x:v>W</x:v>
      </x:c>
      <x:c r="L69" t="str">
        <x:v>W</x:v>
      </x:c>
      <x:c r="M69" t="str">
        <x:v>W</x:v>
      </x:c>
      <x:c r="N69" t="str">
        <x:v>W</x:v>
      </x:c>
      <x:c r="O69" t="str">
        <x:v>B</x:v>
      </x:c>
      <x:c r="P69" t="str">
        <x:v>B</x:v>
      </x:c>
      <x:c r="Q69" t="str">
        <x:v>B</x:v>
      </x:c>
      <x:c r="R69" t="str">
        <x:v>B</x:v>
      </x:c>
      <x:c r="S69" t="str">
        <x:v>B</x:v>
      </x:c>
      <x:c r="T69" t="str">
        <x:v>B</x:v>
      </x:c>
      <x:c r="U69" t="str">
        <x:v>B</x:v>
      </x:c>
      <x:c r="V69" t="n">
        <x:f>COUNTIF(B69:U69,"W")</x:f>
        <x:v>6</x:v>
      </x:c>
      <x:c r="W69" s="5" t="str">
        <x:f>IF(COUNTIF(B69:D69,"W")&gt;0,"Y","N")</x:f>
        <x:v>Y</x:v>
      </x:c>
      <x:c r="X69" s="1"/>
      <x:c r="Y69" s="1"/>
      <x:c r="Z69" s="1"/>
      <x:c r="AA69" s="1"/>
      <x:c r="AB69" s="1"/>
      <x:c r="AC69" s="1"/>
      <x:c r="AD69" s="1"/>
    </x:row>
    <x:row r="70">
      <x:c r="A70" s="1">
        <x:v>69</x:v>
      </x:c>
      <x:c r="B70" t="str">
        <x:v>B</x:v>
      </x:c>
      <x:c r="C70" t="str">
        <x:v>B</x:v>
      </x:c>
      <x:c r="D70" t="str">
        <x:v>B</x:v>
      </x:c>
      <x:c r="E70" t="str">
        <x:v>B</x:v>
      </x:c>
      <x:c r="F70" t="str">
        <x:v>W</x:v>
      </x:c>
      <x:c r="G70" t="str">
        <x:v>B</x:v>
      </x:c>
      <x:c r="H70" t="str">
        <x:v>B</x:v>
      </x:c>
      <x:c r="I70" t="str">
        <x:v>W</x:v>
      </x:c>
      <x:c r="J70" t="str">
        <x:v>B</x:v>
      </x:c>
      <x:c r="K70" t="str">
        <x:v>B</x:v>
      </x:c>
      <x:c r="L70" t="str">
        <x:v>B</x:v>
      </x:c>
      <x:c r="M70" t="str">
        <x:v>W</x:v>
      </x:c>
      <x:c r="N70" t="str">
        <x:v>B</x:v>
      </x:c>
      <x:c r="O70" t="str">
        <x:v>W</x:v>
      </x:c>
      <x:c r="P70" t="str">
        <x:v>W</x:v>
      </x:c>
      <x:c r="Q70" t="str">
        <x:v>B</x:v>
      </x:c>
      <x:c r="R70" t="str">
        <x:v>B</x:v>
      </x:c>
      <x:c r="S70" t="str">
        <x:v>W</x:v>
      </x:c>
      <x:c r="T70" t="str">
        <x:v>B</x:v>
      </x:c>
      <x:c r="U70" t="str">
        <x:v>B</x:v>
      </x:c>
      <x:c r="V70" t="n">
        <x:f>COUNTIF(B70:U70,"W")</x:f>
        <x:v>6</x:v>
      </x:c>
      <x:c r="W70" s="5" t="str">
        <x:f>IF(COUNTIF(B70:D70,"W")&gt;0,"Y","N")</x:f>
        <x:v>N</x:v>
      </x:c>
      <x:c r="X70" s="1"/>
      <x:c r="Y70" s="1"/>
      <x:c r="Z70" s="1"/>
      <x:c r="AA70" s="1"/>
      <x:c r="AB70" s="1"/>
      <x:c r="AC70" s="1"/>
      <x:c r="AD70" s="1"/>
    </x:row>
    <x:row r="71">
      <x:c r="A71" s="1">
        <x:v>70</x:v>
      </x:c>
      <x:c r="B71" t="str">
        <x:v>W</x:v>
      </x:c>
      <x:c r="C71" t="str">
        <x:v>W</x:v>
      </x:c>
      <x:c r="D71" t="str">
        <x:v>B</x:v>
      </x:c>
      <x:c r="E71" t="str">
        <x:v>B</x:v>
      </x:c>
      <x:c r="F71" t="str">
        <x:v>B</x:v>
      </x:c>
      <x:c r="G71" t="str">
        <x:v>W</x:v>
      </x:c>
      <x:c r="H71" t="str">
        <x:v>B</x:v>
      </x:c>
      <x:c r="I71" t="str">
        <x:v>B</x:v>
      </x:c>
      <x:c r="J71" t="str">
        <x:v>B</x:v>
      </x:c>
      <x:c r="K71" t="str">
        <x:v>B</x:v>
      </x:c>
      <x:c r="L71" t="str">
        <x:v>B</x:v>
      </x:c>
      <x:c r="M71" t="str">
        <x:v>B</x:v>
      </x:c>
      <x:c r="N71" t="str">
        <x:v>W</x:v>
      </x:c>
      <x:c r="O71" t="str">
        <x:v>W</x:v>
      </x:c>
      <x:c r="P71" t="str">
        <x:v>B</x:v>
      </x:c>
      <x:c r="Q71" t="str">
        <x:v>B</x:v>
      </x:c>
      <x:c r="R71" t="str">
        <x:v>B</x:v>
      </x:c>
      <x:c r="S71" t="str">
        <x:v>B</x:v>
      </x:c>
      <x:c r="T71" t="str">
        <x:v>B</x:v>
      </x:c>
      <x:c r="U71" t="str">
        <x:v>B</x:v>
      </x:c>
      <x:c r="V71" t="n">
        <x:f>COUNTIF(B71:U71,"W")</x:f>
        <x:v>5</x:v>
      </x:c>
      <x:c r="W71" s="5" t="str">
        <x:f>IF(COUNTIF(B71:D71,"W")&gt;0,"Y","N")</x:f>
        <x:v>Y</x:v>
      </x:c>
      <x:c r="X71" s="1"/>
      <x:c r="Y71" s="1"/>
      <x:c r="Z71" s="1"/>
      <x:c r="AA71" s="1"/>
      <x:c r="AB71" s="1"/>
      <x:c r="AC71" s="1"/>
      <x:c r="AD71" s="1"/>
    </x:row>
    <x:row r="72">
      <x:c r="A72" s="1">
        <x:v>71</x:v>
      </x:c>
      <x:c r="B72" t="str">
        <x:v>W</x:v>
      </x:c>
      <x:c r="C72" t="str">
        <x:v>B</x:v>
      </x:c>
      <x:c r="D72" t="str">
        <x:v>W</x:v>
      </x:c>
      <x:c r="E72" t="str">
        <x:v>B</x:v>
      </x:c>
      <x:c r="F72" t="str">
        <x:v>B</x:v>
      </x:c>
      <x:c r="G72" t="str">
        <x:v>W</x:v>
      </x:c>
      <x:c r="H72" t="str">
        <x:v>W</x:v>
      </x:c>
      <x:c r="I72" t="str">
        <x:v>W</x:v>
      </x:c>
      <x:c r="J72" t="str">
        <x:v>B</x:v>
      </x:c>
      <x:c r="K72" t="str">
        <x:v>B</x:v>
      </x:c>
      <x:c r="L72" t="str">
        <x:v>B</x:v>
      </x:c>
      <x:c r="M72" t="str">
        <x:v>W</x:v>
      </x:c>
      <x:c r="N72" t="str">
        <x:v>B</x:v>
      </x:c>
      <x:c r="O72" t="str">
        <x:v>B</x:v>
      </x:c>
      <x:c r="P72" t="str">
        <x:v>W</x:v>
      </x:c>
      <x:c r="Q72" t="str">
        <x:v>B</x:v>
      </x:c>
      <x:c r="R72" t="str">
        <x:v>W</x:v>
      </x:c>
      <x:c r="S72" t="str">
        <x:v>W</x:v>
      </x:c>
      <x:c r="T72" t="str">
        <x:v>B</x:v>
      </x:c>
      <x:c r="U72" t="str">
        <x:v>W</x:v>
      </x:c>
      <x:c r="V72" t="n">
        <x:f>COUNTIF(B72:U72,"W")</x:f>
        <x:v>10</x:v>
      </x:c>
      <x:c r="W72" s="5" t="str">
        <x:f>IF(COUNTIF(B72:D72,"W")&gt;0,"Y","N")</x:f>
        <x:v>Y</x:v>
      </x:c>
      <x:c r="X72" s="1"/>
      <x:c r="Y72" s="1"/>
      <x:c r="Z72" s="1"/>
      <x:c r="AA72" s="1"/>
      <x:c r="AB72" s="1"/>
      <x:c r="AC72" s="1"/>
      <x:c r="AD72" s="1"/>
    </x:row>
    <x:row r="73">
      <x:c r="A73" s="1">
        <x:v>72</x:v>
      </x:c>
      <x:c r="B73" t="str">
        <x:v>W</x:v>
      </x:c>
      <x:c r="C73" t="str">
        <x:v>B</x:v>
      </x:c>
      <x:c r="D73" t="str">
        <x:v>B</x:v>
      </x:c>
      <x:c r="E73" t="str">
        <x:v>B</x:v>
      </x:c>
      <x:c r="F73" t="str">
        <x:v>B</x:v>
      </x:c>
      <x:c r="G73" t="str">
        <x:v>B</x:v>
      </x:c>
      <x:c r="H73" t="str">
        <x:v>B</x:v>
      </x:c>
      <x:c r="I73" t="str">
        <x:v>W</x:v>
      </x:c>
      <x:c r="J73" t="str">
        <x:v>W</x:v>
      </x:c>
      <x:c r="K73" t="str">
        <x:v>B</x:v>
      </x:c>
      <x:c r="L73" t="str">
        <x:v>B</x:v>
      </x:c>
      <x:c r="M73" t="str">
        <x:v>B</x:v>
      </x:c>
      <x:c r="N73" t="str">
        <x:v>B</x:v>
      </x:c>
      <x:c r="O73" t="str">
        <x:v>W</x:v>
      </x:c>
      <x:c r="P73" t="str">
        <x:v>W</x:v>
      </x:c>
      <x:c r="Q73" t="str">
        <x:v>W</x:v>
      </x:c>
      <x:c r="R73" t="str">
        <x:v>B</x:v>
      </x:c>
      <x:c r="S73" t="str">
        <x:v>B</x:v>
      </x:c>
      <x:c r="T73" t="str">
        <x:v>W</x:v>
      </x:c>
      <x:c r="U73" t="str">
        <x:v>B</x:v>
      </x:c>
      <x:c r="V73" t="n">
        <x:f>COUNTIF(B73:U73,"W")</x:f>
        <x:v>7</x:v>
      </x:c>
      <x:c r="W73" s="5" t="str">
        <x:f>IF(COUNTIF(B73:D73,"W")&gt;0,"Y","N")</x:f>
        <x:v>Y</x:v>
      </x:c>
      <x:c r="X73" s="1"/>
      <x:c r="Y73" s="1"/>
      <x:c r="Z73" s="1"/>
      <x:c r="AA73" s="1"/>
      <x:c r="AB73" s="1"/>
      <x:c r="AC73" s="1"/>
      <x:c r="AD73" s="1"/>
    </x:row>
    <x:row r="74">
      <x:c r="A74" s="1">
        <x:v>73</x:v>
      </x:c>
      <x:c r="B74" t="str">
        <x:v>B</x:v>
      </x:c>
      <x:c r="C74" t="str">
        <x:v>W</x:v>
      </x:c>
      <x:c r="D74" t="str">
        <x:v>B</x:v>
      </x:c>
      <x:c r="E74" t="str">
        <x:v>B</x:v>
      </x:c>
      <x:c r="F74" t="str">
        <x:v>W</x:v>
      </x:c>
      <x:c r="G74" t="str">
        <x:v>B</x:v>
      </x:c>
      <x:c r="H74" t="str">
        <x:v>B</x:v>
      </x:c>
      <x:c r="I74" t="str">
        <x:v>B</x:v>
      </x:c>
      <x:c r="J74" t="str">
        <x:v>W</x:v>
      </x:c>
      <x:c r="K74" t="str">
        <x:v>B</x:v>
      </x:c>
      <x:c r="L74" t="str">
        <x:v>W</x:v>
      </x:c>
      <x:c r="M74" t="str">
        <x:v>B</x:v>
      </x:c>
      <x:c r="N74" t="str">
        <x:v>B</x:v>
      </x:c>
      <x:c r="O74" t="str">
        <x:v>B</x:v>
      </x:c>
      <x:c r="P74" t="str">
        <x:v>B</x:v>
      </x:c>
      <x:c r="Q74" t="str">
        <x:v>W</x:v>
      </x:c>
      <x:c r="R74" t="str">
        <x:v>W</x:v>
      </x:c>
      <x:c r="S74" t="str">
        <x:v>B</x:v>
      </x:c>
      <x:c r="T74" t="str">
        <x:v>B</x:v>
      </x:c>
      <x:c r="U74" t="str">
        <x:v>W</x:v>
      </x:c>
      <x:c r="V74" t="n">
        <x:f>COUNTIF(B74:U74,"W")</x:f>
        <x:v>7</x:v>
      </x:c>
      <x:c r="W74" s="5" t="str">
        <x:f>IF(COUNTIF(B74:D74,"W")&gt;0,"Y","N")</x:f>
        <x:v>Y</x:v>
      </x:c>
      <x:c r="X74" s="1"/>
      <x:c r="Y74" s="1"/>
      <x:c r="Z74" s="1"/>
      <x:c r="AA74" s="1"/>
      <x:c r="AB74" s="1"/>
      <x:c r="AC74" s="1"/>
      <x:c r="AD74" s="1"/>
    </x:row>
    <x:row r="75">
      <x:c r="A75" s="1">
        <x:v>74</x:v>
      </x:c>
      <x:c r="B75" t="str">
        <x:v>B</x:v>
      </x:c>
      <x:c r="C75" t="str">
        <x:v>B</x:v>
      </x:c>
      <x:c r="D75" t="str">
        <x:v>B</x:v>
      </x:c>
      <x:c r="E75" t="str">
        <x:v>W</x:v>
      </x:c>
      <x:c r="F75" t="str">
        <x:v>B</x:v>
      </x:c>
      <x:c r="G75" t="str">
        <x:v>B</x:v>
      </x:c>
      <x:c r="H75" t="str">
        <x:v>B</x:v>
      </x:c>
      <x:c r="I75" t="str">
        <x:v>B</x:v>
      </x:c>
      <x:c r="J75" t="str">
        <x:v>W</x:v>
      </x:c>
      <x:c r="K75" t="str">
        <x:v>W</x:v>
      </x:c>
      <x:c r="L75" t="str">
        <x:v>W</x:v>
      </x:c>
      <x:c r="M75" t="str">
        <x:v>W</x:v>
      </x:c>
      <x:c r="N75" t="str">
        <x:v>B</x:v>
      </x:c>
      <x:c r="O75" t="str">
        <x:v>B</x:v>
      </x:c>
      <x:c r="P75" t="str">
        <x:v>B</x:v>
      </x:c>
      <x:c r="Q75" t="str">
        <x:v>B</x:v>
      </x:c>
      <x:c r="R75" t="str">
        <x:v>W</x:v>
      </x:c>
      <x:c r="S75" t="str">
        <x:v>W</x:v>
      </x:c>
      <x:c r="T75" t="str">
        <x:v>B</x:v>
      </x:c>
      <x:c r="U75" t="str">
        <x:v>W</x:v>
      </x:c>
      <x:c r="V75" t="n">
        <x:f>COUNTIF(B75:U75,"W")</x:f>
        <x:v>8</x:v>
      </x:c>
      <x:c r="W75" s="5" t="str">
        <x:f>IF(COUNTIF(B75:D75,"W")&gt;0,"Y","N")</x:f>
        <x:v>N</x:v>
      </x:c>
      <x:c r="X75" s="1"/>
      <x:c r="Y75" s="1"/>
      <x:c r="Z75" s="1"/>
      <x:c r="AA75" s="1"/>
      <x:c r="AB75" s="1"/>
      <x:c r="AC75" s="1"/>
      <x:c r="AD75" s="1"/>
    </x:row>
    <x:row r="76">
      <x:c r="A76" s="1">
        <x:v>75</x:v>
      </x:c>
      <x:c r="B76" t="str">
        <x:v>B</x:v>
      </x:c>
      <x:c r="C76" t="str">
        <x:v>B</x:v>
      </x:c>
      <x:c r="D76" t="str">
        <x:v>B</x:v>
      </x:c>
      <x:c r="E76" t="str">
        <x:v>B</x:v>
      </x:c>
      <x:c r="F76" t="str">
        <x:v>B</x:v>
      </x:c>
      <x:c r="G76" t="str">
        <x:v>B</x:v>
      </x:c>
      <x:c r="H76" t="str">
        <x:v>B</x:v>
      </x:c>
      <x:c r="I76" t="str">
        <x:v>W</x:v>
      </x:c>
      <x:c r="J76" t="str">
        <x:v>B</x:v>
      </x:c>
      <x:c r="K76" t="str">
        <x:v>B</x:v>
      </x:c>
      <x:c r="L76" t="str">
        <x:v>B</x:v>
      </x:c>
      <x:c r="M76" t="str">
        <x:v>W</x:v>
      </x:c>
      <x:c r="N76" t="str">
        <x:v>W</x:v>
      </x:c>
      <x:c r="O76" t="str">
        <x:v>W</x:v>
      </x:c>
      <x:c r="P76" t="str">
        <x:v>B</x:v>
      </x:c>
      <x:c r="Q76" t="str">
        <x:v>B</x:v>
      </x:c>
      <x:c r="R76" t="str">
        <x:v>W</x:v>
      </x:c>
      <x:c r="S76" t="str">
        <x:v>W</x:v>
      </x:c>
      <x:c r="T76" t="str">
        <x:v>W</x:v>
      </x:c>
      <x:c r="U76" t="str">
        <x:v>B</x:v>
      </x:c>
      <x:c r="V76" t="n">
        <x:f>COUNTIF(B76:U76,"W")</x:f>
        <x:v>7</x:v>
      </x:c>
      <x:c r="W76" s="5" t="str">
        <x:f>IF(COUNTIF(B76:D76,"W")&gt;0,"Y","N")</x:f>
        <x:v>N</x:v>
      </x:c>
      <x:c r="X76" s="1"/>
      <x:c r="Y76" s="1"/>
      <x:c r="Z76" s="1"/>
      <x:c r="AA76" s="1"/>
      <x:c r="AB76" s="1"/>
      <x:c r="AC76" s="1"/>
      <x:c r="AD76" s="1"/>
    </x:row>
    <x:row r="77">
      <x:c r="A77" s="1">
        <x:v>76</x:v>
      </x:c>
      <x:c r="B77" t="str">
        <x:v>B</x:v>
      </x:c>
      <x:c r="C77" t="str">
        <x:v>W</x:v>
      </x:c>
      <x:c r="D77" t="str">
        <x:v>W</x:v>
      </x:c>
      <x:c r="E77" t="str">
        <x:v>B</x:v>
      </x:c>
      <x:c r="F77" t="str">
        <x:v>B</x:v>
      </x:c>
      <x:c r="G77" t="str">
        <x:v>B</x:v>
      </x:c>
      <x:c r="H77" t="str">
        <x:v>B</x:v>
      </x:c>
      <x:c r="I77" t="str">
        <x:v>W</x:v>
      </x:c>
      <x:c r="J77" t="str">
        <x:v>W</x:v>
      </x:c>
      <x:c r="K77" t="str">
        <x:v>B</x:v>
      </x:c>
      <x:c r="L77" t="str">
        <x:v>W</x:v>
      </x:c>
      <x:c r="M77" t="str">
        <x:v>W</x:v>
      </x:c>
      <x:c r="N77" t="str">
        <x:v>B</x:v>
      </x:c>
      <x:c r="O77" t="str">
        <x:v>B</x:v>
      </x:c>
      <x:c r="P77" t="str">
        <x:v>W</x:v>
      </x:c>
      <x:c r="Q77" t="str">
        <x:v>B</x:v>
      </x:c>
      <x:c r="R77" t="str">
        <x:v>B</x:v>
      </x:c>
      <x:c r="S77" t="str">
        <x:v>B</x:v>
      </x:c>
      <x:c r="T77" t="str">
        <x:v>B</x:v>
      </x:c>
      <x:c r="U77" t="str">
        <x:v>B</x:v>
      </x:c>
      <x:c r="V77" t="n">
        <x:f>COUNTIF(B77:U77,"W")</x:f>
        <x:v>7</x:v>
      </x:c>
      <x:c r="W77" s="5" t="str">
        <x:f>IF(COUNTIF(B77:D77,"W")&gt;0,"Y","N")</x:f>
        <x:v>Y</x:v>
      </x:c>
      <x:c r="X77" s="1"/>
      <x:c r="Y77" s="1"/>
      <x:c r="Z77" s="1"/>
      <x:c r="AA77" s="1"/>
      <x:c r="AB77" s="1"/>
      <x:c r="AC77" s="1"/>
      <x:c r="AD77" s="1"/>
    </x:row>
    <x:row r="78">
      <x:c r="A78" s="1">
        <x:v>77</x:v>
      </x:c>
      <x:c r="B78" t="str">
        <x:v>W</x:v>
      </x:c>
      <x:c r="C78" t="str">
        <x:v>W</x:v>
      </x:c>
      <x:c r="D78" t="str">
        <x:v>B</x:v>
      </x:c>
      <x:c r="E78" t="str">
        <x:v>B</x:v>
      </x:c>
      <x:c r="F78" t="str">
        <x:v>B</x:v>
      </x:c>
      <x:c r="G78" t="str">
        <x:v>B</x:v>
      </x:c>
      <x:c r="H78" t="str">
        <x:v>B</x:v>
      </x:c>
      <x:c r="I78" t="str">
        <x:v>W</x:v>
      </x:c>
      <x:c r="J78" t="str">
        <x:v>B</x:v>
      </x:c>
      <x:c r="K78" t="str">
        <x:v>B</x:v>
      </x:c>
      <x:c r="L78" t="str">
        <x:v>B</x:v>
      </x:c>
      <x:c r="M78" t="str">
        <x:v>B</x:v>
      </x:c>
      <x:c r="N78" t="str">
        <x:v>B</x:v>
      </x:c>
      <x:c r="O78" t="str">
        <x:v>B</x:v>
      </x:c>
      <x:c r="P78" t="str">
        <x:v>W</x:v>
      </x:c>
      <x:c r="Q78" t="str">
        <x:v>B</x:v>
      </x:c>
      <x:c r="R78" t="str">
        <x:v>W</x:v>
      </x:c>
      <x:c r="S78" t="str">
        <x:v>W</x:v>
      </x:c>
      <x:c r="T78" t="str">
        <x:v>B</x:v>
      </x:c>
      <x:c r="U78" t="str">
        <x:v>W</x:v>
      </x:c>
      <x:c r="V78" t="n">
        <x:f>COUNTIF(B78:U78,"W")</x:f>
        <x:v>7</x:v>
      </x:c>
      <x:c r="W78" s="5" t="str">
        <x:f>IF(COUNTIF(B78:D78,"W")&gt;0,"Y","N")</x:f>
        <x:v>Y</x:v>
      </x:c>
      <x:c r="X78" s="1"/>
      <x:c r="Y78" s="1"/>
      <x:c r="Z78" s="1"/>
      <x:c r="AA78" s="1"/>
      <x:c r="AB78" s="1"/>
      <x:c r="AC78" s="1"/>
      <x:c r="AD78" s="1"/>
    </x:row>
    <x:row r="79">
      <x:c r="A79" s="1">
        <x:v>78</x:v>
      </x:c>
      <x:c r="B79" t="str">
        <x:v>B</x:v>
      </x:c>
      <x:c r="C79" t="str">
        <x:v>W</x:v>
      </x:c>
      <x:c r="D79" t="str">
        <x:v>B</x:v>
      </x:c>
      <x:c r="E79" t="str">
        <x:v>B</x:v>
      </x:c>
      <x:c r="F79" t="str">
        <x:v>B</x:v>
      </x:c>
      <x:c r="G79" t="str">
        <x:v>W</x:v>
      </x:c>
      <x:c r="H79" t="str">
        <x:v>W</x:v>
      </x:c>
      <x:c r="I79" t="str">
        <x:v>W</x:v>
      </x:c>
      <x:c r="J79" t="str">
        <x:v>B</x:v>
      </x:c>
      <x:c r="K79" t="str">
        <x:v>B</x:v>
      </x:c>
      <x:c r="L79" t="str">
        <x:v>B</x:v>
      </x:c>
      <x:c r="M79" t="str">
        <x:v>B</x:v>
      </x:c>
      <x:c r="N79" t="str">
        <x:v>B</x:v>
      </x:c>
      <x:c r="O79" t="str">
        <x:v>B</x:v>
      </x:c>
      <x:c r="P79" t="str">
        <x:v>B</x:v>
      </x:c>
      <x:c r="Q79" t="str">
        <x:v>W</x:v>
      </x:c>
      <x:c r="R79" t="str">
        <x:v>B</x:v>
      </x:c>
      <x:c r="S79" t="str">
        <x:v>W</x:v>
      </x:c>
      <x:c r="T79" t="str">
        <x:v>B</x:v>
      </x:c>
      <x:c r="U79" t="str">
        <x:v>W</x:v>
      </x:c>
      <x:c r="V79" t="n">
        <x:f>COUNTIF(B79:U79,"W")</x:f>
        <x:v>7</x:v>
      </x:c>
      <x:c r="W79" s="5" t="str">
        <x:f>IF(COUNTIF(B79:D79,"W")&gt;0,"Y","N")</x:f>
        <x:v>Y</x:v>
      </x:c>
      <x:c r="X79" s="1"/>
      <x:c r="Y79" s="1"/>
      <x:c r="Z79" s="1"/>
      <x:c r="AA79" s="1"/>
      <x:c r="AB79" s="1"/>
      <x:c r="AC79" s="1"/>
      <x:c r="AD79" s="1"/>
    </x:row>
    <x:row r="80">
      <x:c r="A80" s="1">
        <x:v>79</x:v>
      </x:c>
      <x:c r="B80" t="str">
        <x:v>W</x:v>
      </x:c>
      <x:c r="C80" t="str">
        <x:v>B</x:v>
      </x:c>
      <x:c r="D80" t="str">
        <x:v>W</x:v>
      </x:c>
      <x:c r="E80" t="str">
        <x:v>B</x:v>
      </x:c>
      <x:c r="F80" t="str">
        <x:v>W</x:v>
      </x:c>
      <x:c r="G80" t="str">
        <x:v>W</x:v>
      </x:c>
      <x:c r="H80" t="str">
        <x:v>B</x:v>
      </x:c>
      <x:c r="I80" t="str">
        <x:v>W</x:v>
      </x:c>
      <x:c r="J80" t="str">
        <x:v>W</x:v>
      </x:c>
      <x:c r="K80" t="str">
        <x:v>B</x:v>
      </x:c>
      <x:c r="L80" t="str">
        <x:v>W</x:v>
      </x:c>
      <x:c r="M80" t="str">
        <x:v>B</x:v>
      </x:c>
      <x:c r="N80" t="str">
        <x:v>W</x:v>
      </x:c>
      <x:c r="O80" t="str">
        <x:v>W</x:v>
      </x:c>
      <x:c r="P80" t="str">
        <x:v>B</x:v>
      </x:c>
      <x:c r="Q80" t="str">
        <x:v>W</x:v>
      </x:c>
      <x:c r="R80" t="str">
        <x:v>W</x:v>
      </x:c>
      <x:c r="S80" t="str">
        <x:v>W</x:v>
      </x:c>
      <x:c r="T80" t="str">
        <x:v>B</x:v>
      </x:c>
      <x:c r="U80" t="str">
        <x:v>B</x:v>
      </x:c>
      <x:c r="V80" t="n">
        <x:f>COUNTIF(B80:U80,"W")</x:f>
        <x:v>12</x:v>
      </x:c>
      <x:c r="W80" s="5" t="str">
        <x:f>IF(COUNTIF(B80:D80,"W")&gt;0,"Y","N")</x:f>
        <x:v>Y</x:v>
      </x:c>
      <x:c r="X80" s="1"/>
      <x:c r="Y80" s="1"/>
      <x:c r="Z80" s="1"/>
      <x:c r="AA80" s="1"/>
      <x:c r="AB80" s="1"/>
      <x:c r="AC80" s="1"/>
      <x:c r="AD80" s="1"/>
    </x:row>
    <x:row r="81">
      <x:c r="A81" s="1">
        <x:v>80</x:v>
      </x:c>
      <x:c r="B81" t="str">
        <x:v>B</x:v>
      </x:c>
      <x:c r="C81" t="str">
        <x:v>W</x:v>
      </x:c>
      <x:c r="D81" t="str">
        <x:v>B</x:v>
      </x:c>
      <x:c r="E81" t="str">
        <x:v>B</x:v>
      </x:c>
      <x:c r="F81" t="str">
        <x:v>B</x:v>
      </x:c>
      <x:c r="G81" t="str">
        <x:v>W</x:v>
      </x:c>
      <x:c r="H81" t="str">
        <x:v>W</x:v>
      </x:c>
      <x:c r="I81" t="str">
        <x:v>B</x:v>
      </x:c>
      <x:c r="J81" t="str">
        <x:v>B</x:v>
      </x:c>
      <x:c r="K81" t="str">
        <x:v>W</x:v>
      </x:c>
      <x:c r="L81" t="str">
        <x:v>B</x:v>
      </x:c>
      <x:c r="M81" t="str">
        <x:v>B</x:v>
      </x:c>
      <x:c r="N81" t="str">
        <x:v>W</x:v>
      </x:c>
      <x:c r="O81" t="str">
        <x:v>W</x:v>
      </x:c>
      <x:c r="P81" t="str">
        <x:v>B</x:v>
      </x:c>
      <x:c r="Q81" t="str">
        <x:v>W</x:v>
      </x:c>
      <x:c r="R81" t="str">
        <x:v>W</x:v>
      </x:c>
      <x:c r="S81" t="str">
        <x:v>B</x:v>
      </x:c>
      <x:c r="T81" t="str">
        <x:v>B</x:v>
      </x:c>
      <x:c r="U81" t="str">
        <x:v>B</x:v>
      </x:c>
      <x:c r="V81" t="n">
        <x:f>COUNTIF(B81:U81,"W")</x:f>
        <x:v>8</x:v>
      </x:c>
      <x:c r="W81" s="5" t="str">
        <x:f>IF(COUNTIF(B81:D81,"W")&gt;0,"Y","N")</x:f>
        <x:v>Y</x:v>
      </x:c>
      <x:c r="X81" s="1"/>
      <x:c r="Y81" s="1"/>
      <x:c r="Z81" s="1"/>
      <x:c r="AA81" s="1"/>
      <x:c r="AB81" s="1"/>
      <x:c r="AC81" s="1"/>
      <x:c r="AD81" s="1"/>
    </x:row>
    <x:row r="82">
      <x:c r="A82" s="1">
        <x:v>81</x:v>
      </x:c>
      <x:c r="B82" t="str">
        <x:v>B</x:v>
      </x:c>
      <x:c r="C82" t="str">
        <x:v>B</x:v>
      </x:c>
      <x:c r="D82" t="str">
        <x:v>W</x:v>
      </x:c>
      <x:c r="E82" t="str">
        <x:v>B</x:v>
      </x:c>
      <x:c r="F82" t="str">
        <x:v>B</x:v>
      </x:c>
      <x:c r="G82" t="str">
        <x:v>B</x:v>
      </x:c>
      <x:c r="H82" t="str">
        <x:v>B</x:v>
      </x:c>
      <x:c r="I82" t="str">
        <x:v>B</x:v>
      </x:c>
      <x:c r="J82" t="str">
        <x:v>B</x:v>
      </x:c>
      <x:c r="K82" t="str">
        <x:v>B</x:v>
      </x:c>
      <x:c r="L82" t="str">
        <x:v>W</x:v>
      </x:c>
      <x:c r="M82" t="str">
        <x:v>B</x:v>
      </x:c>
      <x:c r="N82" t="str">
        <x:v>B</x:v>
      </x:c>
      <x:c r="O82" t="str">
        <x:v>B</x:v>
      </x:c>
      <x:c r="P82" t="str">
        <x:v>B</x:v>
      </x:c>
      <x:c r="Q82" t="str">
        <x:v>B</x:v>
      </x:c>
      <x:c r="R82" t="str">
        <x:v>W</x:v>
      </x:c>
      <x:c r="S82" t="str">
        <x:v>B</x:v>
      </x:c>
      <x:c r="T82" t="str">
        <x:v>B</x:v>
      </x:c>
      <x:c r="U82" t="str">
        <x:v>W</x:v>
      </x:c>
      <x:c r="V82" t="n">
        <x:f>COUNTIF(B82:U82,"W")</x:f>
        <x:v>4</x:v>
      </x:c>
      <x:c r="W82" s="5" t="str">
        <x:f>IF(COUNTIF(B82:D82,"W")&gt;0,"Y","N")</x:f>
        <x:v>Y</x:v>
      </x:c>
      <x:c r="X82" s="1"/>
      <x:c r="Y82" s="1"/>
      <x:c r="Z82" s="1"/>
      <x:c r="AA82" s="1"/>
      <x:c r="AB82" s="1"/>
      <x:c r="AC82" s="1"/>
      <x:c r="AD82" s="1"/>
    </x:row>
    <x:row r="83">
      <x:c r="A83" s="1">
        <x:v>82</x:v>
      </x:c>
      <x:c r="B83" t="str">
        <x:v>B</x:v>
      </x:c>
      <x:c r="C83" t="str">
        <x:v>B</x:v>
      </x:c>
      <x:c r="D83" t="str">
        <x:v>W</x:v>
      </x:c>
      <x:c r="E83" t="str">
        <x:v>W</x:v>
      </x:c>
      <x:c r="F83" t="str">
        <x:v>B</x:v>
      </x:c>
      <x:c r="G83" t="str">
        <x:v>B</x:v>
      </x:c>
      <x:c r="H83" t="str">
        <x:v>B</x:v>
      </x:c>
      <x:c r="I83" t="str">
        <x:v>W</x:v>
      </x:c>
      <x:c r="J83" t="str">
        <x:v>B</x:v>
      </x:c>
      <x:c r="K83" t="str">
        <x:v>W</x:v>
      </x:c>
      <x:c r="L83" t="str">
        <x:v>B</x:v>
      </x:c>
      <x:c r="M83" t="str">
        <x:v>B</x:v>
      </x:c>
      <x:c r="N83" t="str">
        <x:v>B</x:v>
      </x:c>
      <x:c r="O83" t="str">
        <x:v>B</x:v>
      </x:c>
      <x:c r="P83" t="str">
        <x:v>W</x:v>
      </x:c>
      <x:c r="Q83" t="str">
        <x:v>B</x:v>
      </x:c>
      <x:c r="R83" t="str">
        <x:v>B</x:v>
      </x:c>
      <x:c r="S83" t="str">
        <x:v>W</x:v>
      </x:c>
      <x:c r="T83" t="str">
        <x:v>W</x:v>
      </x:c>
      <x:c r="U83" t="str">
        <x:v>B</x:v>
      </x:c>
      <x:c r="V83" t="n">
        <x:f>COUNTIF(B83:U83,"W")</x:f>
        <x:v>7</x:v>
      </x:c>
      <x:c r="W83" s="5" t="str">
        <x:f>IF(COUNTIF(B83:D83,"W")&gt;0,"Y","N")</x:f>
        <x:v>Y</x:v>
      </x:c>
      <x:c r="X83" s="1"/>
      <x:c r="Y83" s="1"/>
      <x:c r="Z83" s="1"/>
      <x:c r="AA83" s="1"/>
      <x:c r="AB83" s="1"/>
      <x:c r="AC83" s="1"/>
      <x:c r="AD83" s="1"/>
    </x:row>
    <x:row r="84">
      <x:c r="A84" s="1">
        <x:v>83</x:v>
      </x:c>
      <x:c r="B84" t="str">
        <x:v>B</x:v>
      </x:c>
      <x:c r="C84" t="str">
        <x:v>W</x:v>
      </x:c>
      <x:c r="D84" t="str">
        <x:v>W</x:v>
      </x:c>
      <x:c r="E84" t="str">
        <x:v>B</x:v>
      </x:c>
      <x:c r="F84" t="str">
        <x:v>B</x:v>
      </x:c>
      <x:c r="G84" t="str">
        <x:v>B</x:v>
      </x:c>
      <x:c r="H84" t="str">
        <x:v>B</x:v>
      </x:c>
      <x:c r="I84" t="str">
        <x:v>B</x:v>
      </x:c>
      <x:c r="J84" t="str">
        <x:v>B</x:v>
      </x:c>
      <x:c r="K84" t="str">
        <x:v>B</x:v>
      </x:c>
      <x:c r="L84" t="str">
        <x:v>W</x:v>
      </x:c>
      <x:c r="M84" t="str">
        <x:v>W</x:v>
      </x:c>
      <x:c r="N84" t="str">
        <x:v>B</x:v>
      </x:c>
      <x:c r="O84" t="str">
        <x:v>B</x:v>
      </x:c>
      <x:c r="P84" t="str">
        <x:v>B</x:v>
      </x:c>
      <x:c r="Q84" t="str">
        <x:v>B</x:v>
      </x:c>
      <x:c r="R84" t="str">
        <x:v>B</x:v>
      </x:c>
      <x:c r="S84" t="str">
        <x:v>B</x:v>
      </x:c>
      <x:c r="T84" t="str">
        <x:v>B</x:v>
      </x:c>
      <x:c r="U84" t="str">
        <x:v>B</x:v>
      </x:c>
      <x:c r="V84" t="n">
        <x:f>COUNTIF(B84:U84,"W")</x:f>
        <x:v>4</x:v>
      </x:c>
      <x:c r="W84" s="5" t="str">
        <x:f>IF(COUNTIF(B84:D84,"W")&gt;0,"Y","N")</x:f>
        <x:v>Y</x:v>
      </x:c>
      <x:c r="X84" s="1"/>
      <x:c r="Y84" s="1"/>
      <x:c r="Z84" s="1"/>
      <x:c r="AA84" s="1"/>
      <x:c r="AB84" s="1"/>
      <x:c r="AC84" s="1"/>
      <x:c r="AD84" s="1"/>
    </x:row>
    <x:row r="85">
      <x:c r="A85" s="1">
        <x:v>84</x:v>
      </x:c>
      <x:c r="B85" t="str">
        <x:v>W</x:v>
      </x:c>
      <x:c r="C85" t="str">
        <x:v>B</x:v>
      </x:c>
      <x:c r="D85" t="str">
        <x:v>B</x:v>
      </x:c>
      <x:c r="E85" t="str">
        <x:v>W</x:v>
      </x:c>
      <x:c r="F85" t="str">
        <x:v>W</x:v>
      </x:c>
      <x:c r="G85" t="str">
        <x:v>W</x:v>
      </x:c>
      <x:c r="H85" t="str">
        <x:v>W</x:v>
      </x:c>
      <x:c r="I85" t="str">
        <x:v>W</x:v>
      </x:c>
      <x:c r="J85" t="str">
        <x:v>W</x:v>
      </x:c>
      <x:c r="K85" t="str">
        <x:v>B</x:v>
      </x:c>
      <x:c r="L85" t="str">
        <x:v>W</x:v>
      </x:c>
      <x:c r="M85" t="str">
        <x:v>B</x:v>
      </x:c>
      <x:c r="N85" t="str">
        <x:v>B</x:v>
      </x:c>
      <x:c r="O85" t="str">
        <x:v>B</x:v>
      </x:c>
      <x:c r="P85" t="str">
        <x:v>B</x:v>
      </x:c>
      <x:c r="Q85" t="str">
        <x:v>B</x:v>
      </x:c>
      <x:c r="R85" t="str">
        <x:v>B</x:v>
      </x:c>
      <x:c r="S85" t="str">
        <x:v>W</x:v>
      </x:c>
      <x:c r="T85" t="str">
        <x:v>B</x:v>
      </x:c>
      <x:c r="U85" t="str">
        <x:v>W</x:v>
      </x:c>
      <x:c r="V85" t="n">
        <x:f>COUNTIF(B85:U85,"W")</x:f>
        <x:v>10</x:v>
      </x:c>
      <x:c r="W85" s="5" t="str">
        <x:f>IF(COUNTIF(B85:D85,"W")&gt;0,"Y","N")</x:f>
        <x:v>Y</x:v>
      </x:c>
      <x:c r="X85" s="1"/>
      <x:c r="Y85" s="1"/>
      <x:c r="Z85" s="1"/>
      <x:c r="AA85" s="1"/>
      <x:c r="AB85" s="1"/>
      <x:c r="AC85" s="1"/>
      <x:c r="AD85" s="1"/>
    </x:row>
    <x:row r="86">
      <x:c r="A86" s="1">
        <x:v>85</x:v>
      </x:c>
      <x:c r="B86" t="str">
        <x:v>B</x:v>
      </x:c>
      <x:c r="C86" t="str">
        <x:v>W</x:v>
      </x:c>
      <x:c r="D86" t="str">
        <x:v>W</x:v>
      </x:c>
      <x:c r="E86" t="str">
        <x:v>B</x:v>
      </x:c>
      <x:c r="F86" t="str">
        <x:v>B</x:v>
      </x:c>
      <x:c r="G86" t="str">
        <x:v>W</x:v>
      </x:c>
      <x:c r="H86" t="str">
        <x:v>B</x:v>
      </x:c>
      <x:c r="I86" t="str">
        <x:v>B</x:v>
      </x:c>
      <x:c r="J86" t="str">
        <x:v>B</x:v>
      </x:c>
      <x:c r="K86" t="str">
        <x:v>W</x:v>
      </x:c>
      <x:c r="L86" t="str">
        <x:v>B</x:v>
      </x:c>
      <x:c r="M86" t="str">
        <x:v>B</x:v>
      </x:c>
      <x:c r="N86" t="str">
        <x:v>B</x:v>
      </x:c>
      <x:c r="O86" t="str">
        <x:v>B</x:v>
      </x:c>
      <x:c r="P86" t="str">
        <x:v>B</x:v>
      </x:c>
      <x:c r="Q86" t="str">
        <x:v>B</x:v>
      </x:c>
      <x:c r="R86" t="str">
        <x:v>B</x:v>
      </x:c>
      <x:c r="S86" t="str">
        <x:v>W</x:v>
      </x:c>
      <x:c r="T86" t="str">
        <x:v>B</x:v>
      </x:c>
      <x:c r="U86" t="str">
        <x:v>B</x:v>
      </x:c>
      <x:c r="V86" t="n">
        <x:f>COUNTIF(B86:U86,"W")</x:f>
        <x:v>5</x:v>
      </x:c>
      <x:c r="W86" s="5" t="str">
        <x:f>IF(COUNTIF(B86:D86,"W")&gt;0,"Y","N")</x:f>
        <x:v>Y</x:v>
      </x:c>
      <x:c r="X86" s="1"/>
      <x:c r="Y86" s="1"/>
      <x:c r="Z86" s="1"/>
      <x:c r="AA86" s="1"/>
      <x:c r="AB86" s="1"/>
      <x:c r="AC86" s="1"/>
      <x:c r="AD86" s="1"/>
    </x:row>
    <x:row r="87">
      <x:c r="A87" s="1">
        <x:v>86</x:v>
      </x:c>
      <x:c r="B87" t="str">
        <x:v>B</x:v>
      </x:c>
      <x:c r="C87" t="str">
        <x:v>W</x:v>
      </x:c>
      <x:c r="D87" t="str">
        <x:v>B</x:v>
      </x:c>
      <x:c r="E87" t="str">
        <x:v>B</x:v>
      </x:c>
      <x:c r="F87" t="str">
        <x:v>B</x:v>
      </x:c>
      <x:c r="G87" t="str">
        <x:v>B</x:v>
      </x:c>
      <x:c r="H87" t="str">
        <x:v>W</x:v>
      </x:c>
      <x:c r="I87" t="str">
        <x:v>B</x:v>
      </x:c>
      <x:c r="J87" t="str">
        <x:v>B</x:v>
      </x:c>
      <x:c r="K87" t="str">
        <x:v>B</x:v>
      </x:c>
      <x:c r="L87" t="str">
        <x:v>W</x:v>
      </x:c>
      <x:c r="M87" t="str">
        <x:v>B</x:v>
      </x:c>
      <x:c r="N87" t="str">
        <x:v>W</x:v>
      </x:c>
      <x:c r="O87" t="str">
        <x:v>B</x:v>
      </x:c>
      <x:c r="P87" t="str">
        <x:v>B</x:v>
      </x:c>
      <x:c r="Q87" t="str">
        <x:v>B</x:v>
      </x:c>
      <x:c r="R87" t="str">
        <x:v>B</x:v>
      </x:c>
      <x:c r="S87" t="str">
        <x:v>B</x:v>
      </x:c>
      <x:c r="T87" t="str">
        <x:v>W</x:v>
      </x:c>
      <x:c r="U87" t="str">
        <x:v>W</x:v>
      </x:c>
      <x:c r="V87" t="n">
        <x:f>COUNTIF(B87:U87,"W")</x:f>
        <x:v>6</x:v>
      </x:c>
      <x:c r="W87" s="5" t="str">
        <x:f>IF(COUNTIF(B87:D87,"W")&gt;0,"Y","N")</x:f>
        <x:v>Y</x:v>
      </x:c>
      <x:c r="X87" s="1"/>
      <x:c r="Y87" s="1"/>
      <x:c r="Z87" s="1"/>
      <x:c r="AA87" s="1"/>
      <x:c r="AB87" s="1"/>
      <x:c r="AC87" s="1"/>
      <x:c r="AD87" s="1"/>
    </x:row>
    <x:row r="88">
      <x:c r="A88" s="1">
        <x:v>87</x:v>
      </x:c>
      <x:c r="B88" t="str">
        <x:v>B</x:v>
      </x:c>
      <x:c r="C88" t="str">
        <x:v>W</x:v>
      </x:c>
      <x:c r="D88" t="str">
        <x:v>W</x:v>
      </x:c>
      <x:c r="E88" t="str">
        <x:v>B</x:v>
      </x:c>
      <x:c r="F88" t="str">
        <x:v>W</x:v>
      </x:c>
      <x:c r="G88" t="str">
        <x:v>B</x:v>
      </x:c>
      <x:c r="H88" t="str">
        <x:v>B</x:v>
      </x:c>
      <x:c r="I88" t="str">
        <x:v>B</x:v>
      </x:c>
      <x:c r="J88" t="str">
        <x:v>B</x:v>
      </x:c>
      <x:c r="K88" t="str">
        <x:v>W</x:v>
      </x:c>
      <x:c r="L88" t="str">
        <x:v>B</x:v>
      </x:c>
      <x:c r="M88" t="str">
        <x:v>W</x:v>
      </x:c>
      <x:c r="N88" t="str">
        <x:v>W</x:v>
      </x:c>
      <x:c r="O88" t="str">
        <x:v>B</x:v>
      </x:c>
      <x:c r="P88" t="str">
        <x:v>B</x:v>
      </x:c>
      <x:c r="Q88" t="str">
        <x:v>B</x:v>
      </x:c>
      <x:c r="R88" t="str">
        <x:v>B</x:v>
      </x:c>
      <x:c r="S88" t="str">
        <x:v>B</x:v>
      </x:c>
      <x:c r="T88" t="str">
        <x:v>W</x:v>
      </x:c>
      <x:c r="U88" t="str">
        <x:v>W</x:v>
      </x:c>
      <x:c r="V88" t="n">
        <x:f>COUNTIF(B88:U88,"W")</x:f>
        <x:v>8</x:v>
      </x:c>
      <x:c r="W88" s="5" t="str">
        <x:f>IF(COUNTIF(B88:D88,"W")&gt;0,"Y","N")</x:f>
        <x:v>Y</x:v>
      </x:c>
      <x:c r="X88" s="1"/>
      <x:c r="Y88" s="1"/>
      <x:c r="Z88" s="1"/>
      <x:c r="AA88" s="1"/>
      <x:c r="AB88" s="1"/>
      <x:c r="AC88" s="1"/>
      <x:c r="AD88" s="1"/>
    </x:row>
    <x:row r="89">
      <x:c r="A89" s="1">
        <x:v>88</x:v>
      </x:c>
      <x:c r="B89" t="str">
        <x:v>B</x:v>
      </x:c>
      <x:c r="C89" t="str">
        <x:v>B</x:v>
      </x:c>
      <x:c r="D89" t="str">
        <x:v>W</x:v>
      </x:c>
      <x:c r="E89" t="str">
        <x:v>W</x:v>
      </x:c>
      <x:c r="F89" t="str">
        <x:v>W</x:v>
      </x:c>
      <x:c r="G89" t="str">
        <x:v>B</x:v>
      </x:c>
      <x:c r="H89" t="str">
        <x:v>B</x:v>
      </x:c>
      <x:c r="I89" t="str">
        <x:v>W</x:v>
      </x:c>
      <x:c r="J89" t="str">
        <x:v>W</x:v>
      </x:c>
      <x:c r="K89" t="str">
        <x:v>W</x:v>
      </x:c>
      <x:c r="L89" t="str">
        <x:v>B</x:v>
      </x:c>
      <x:c r="M89" t="str">
        <x:v>B</x:v>
      </x:c>
      <x:c r="N89" t="str">
        <x:v>B</x:v>
      </x:c>
      <x:c r="O89" t="str">
        <x:v>B</x:v>
      </x:c>
      <x:c r="P89" t="str">
        <x:v>B</x:v>
      </x:c>
      <x:c r="Q89" t="str">
        <x:v>B</x:v>
      </x:c>
      <x:c r="R89" t="str">
        <x:v>B</x:v>
      </x:c>
      <x:c r="S89" t="str">
        <x:v>B</x:v>
      </x:c>
      <x:c r="T89" t="str">
        <x:v>B</x:v>
      </x:c>
      <x:c r="U89" t="str">
        <x:v>B</x:v>
      </x:c>
      <x:c r="V89" t="n">
        <x:f>COUNTIF(B89:U89,"W")</x:f>
        <x:v>6</x:v>
      </x:c>
      <x:c r="W89" s="5" t="str">
        <x:f>IF(COUNTIF(B89:D89,"W")&gt;0,"Y","N")</x:f>
        <x:v>Y</x:v>
      </x:c>
      <x:c r="X89" s="1"/>
      <x:c r="Y89" s="1"/>
      <x:c r="Z89" s="1"/>
      <x:c r="AA89" s="1"/>
      <x:c r="AB89" s="1"/>
      <x:c r="AC89" s="1"/>
      <x:c r="AD89" s="1"/>
    </x:row>
    <x:row r="90">
      <x:c r="A90" s="1">
        <x:v>89</x:v>
      </x:c>
      <x:c r="B90" t="str">
        <x:v>W</x:v>
      </x:c>
      <x:c r="C90" t="str">
        <x:v>B</x:v>
      </x:c>
      <x:c r="D90" t="str">
        <x:v>B</x:v>
      </x:c>
      <x:c r="E90" t="str">
        <x:v>B</x:v>
      </x:c>
      <x:c r="F90" t="str">
        <x:v>B</x:v>
      </x:c>
      <x:c r="G90" t="str">
        <x:v>B</x:v>
      </x:c>
      <x:c r="H90" t="str">
        <x:v>W</x:v>
      </x:c>
      <x:c r="I90" t="str">
        <x:v>W</x:v>
      </x:c>
      <x:c r="J90" t="str">
        <x:v>B</x:v>
      </x:c>
      <x:c r="K90" t="str">
        <x:v>B</x:v>
      </x:c>
      <x:c r="L90" t="str">
        <x:v>W</x:v>
      </x:c>
      <x:c r="M90" t="str">
        <x:v>W</x:v>
      </x:c>
      <x:c r="N90" t="str">
        <x:v>W</x:v>
      </x:c>
      <x:c r="O90" t="str">
        <x:v>W</x:v>
      </x:c>
      <x:c r="P90" t="str">
        <x:v>W</x:v>
      </x:c>
      <x:c r="Q90" t="str">
        <x:v>W</x:v>
      </x:c>
      <x:c r="R90" t="str">
        <x:v>B</x:v>
      </x:c>
      <x:c r="S90" t="str">
        <x:v>W</x:v>
      </x:c>
      <x:c r="T90" t="str">
        <x:v>W</x:v>
      </x:c>
      <x:c r="U90" t="str">
        <x:v>W</x:v>
      </x:c>
      <x:c r="V90" t="n">
        <x:f>COUNTIF(B90:U90,"W")</x:f>
        <x:v>12</x:v>
      </x:c>
      <x:c r="W90" s="5" t="str">
        <x:f>IF(COUNTIF(B90:D90,"W")&gt;0,"Y","N")</x:f>
        <x:v>Y</x:v>
      </x:c>
      <x:c r="X90" s="1"/>
      <x:c r="Y90" s="1"/>
      <x:c r="Z90" s="1"/>
      <x:c r="AA90" s="1"/>
      <x:c r="AB90" s="1"/>
      <x:c r="AC90" s="1"/>
      <x:c r="AD90" s="1"/>
    </x:row>
    <x:row r="91">
      <x:c r="A91" s="1">
        <x:v>90</x:v>
      </x:c>
      <x:c r="B91" t="str">
        <x:v>B</x:v>
      </x:c>
      <x:c r="C91" t="str">
        <x:v>W</x:v>
      </x:c>
      <x:c r="D91" t="str">
        <x:v>W</x:v>
      </x:c>
      <x:c r="E91" t="str">
        <x:v>B</x:v>
      </x:c>
      <x:c r="F91" t="str">
        <x:v>B</x:v>
      </x:c>
      <x:c r="G91" t="str">
        <x:v>W</x:v>
      </x:c>
      <x:c r="H91" t="str">
        <x:v>B</x:v>
      </x:c>
      <x:c r="I91" t="str">
        <x:v>B</x:v>
      </x:c>
      <x:c r="J91" t="str">
        <x:v>W</x:v>
      </x:c>
      <x:c r="K91" t="str">
        <x:v>W</x:v>
      </x:c>
      <x:c r="L91" t="str">
        <x:v>W</x:v>
      </x:c>
      <x:c r="M91" t="str">
        <x:v>W</x:v>
      </x:c>
      <x:c r="N91" t="str">
        <x:v>B</x:v>
      </x:c>
      <x:c r="O91" t="str">
        <x:v>B</x:v>
      </x:c>
      <x:c r="P91" t="str">
        <x:v>B</x:v>
      </x:c>
      <x:c r="Q91" t="str">
        <x:v>B</x:v>
      </x:c>
      <x:c r="R91" t="str">
        <x:v>W</x:v>
      </x:c>
      <x:c r="S91" t="str">
        <x:v>B</x:v>
      </x:c>
      <x:c r="T91" t="str">
        <x:v>B</x:v>
      </x:c>
      <x:c r="U91" t="str">
        <x:v>B</x:v>
      </x:c>
      <x:c r="V91" t="n">
        <x:f>COUNTIF(B91:U91,"W")</x:f>
        <x:v>8</x:v>
      </x:c>
      <x:c r="W91" s="5" t="str">
        <x:f>IF(COUNTIF(B91:D91,"W")&gt;0,"Y","N")</x:f>
        <x:v>Y</x:v>
      </x:c>
      <x:c r="X91" s="1"/>
      <x:c r="Y91" s="1"/>
      <x:c r="Z91" s="1"/>
      <x:c r="AA91" s="1"/>
      <x:c r="AB91" s="1"/>
      <x:c r="AC91" s="1"/>
      <x:c r="AD91" s="1"/>
    </x:row>
    <x:row r="92">
      <x:c r="A92" s="1">
        <x:v>91</x:v>
      </x:c>
      <x:c r="B92" t="str">
        <x:v>W</x:v>
      </x:c>
      <x:c r="C92" t="str">
        <x:v>B</x:v>
      </x:c>
      <x:c r="D92" t="str">
        <x:v>W</x:v>
      </x:c>
      <x:c r="E92" t="str">
        <x:v>W</x:v>
      </x:c>
      <x:c r="F92" t="str">
        <x:v>W</x:v>
      </x:c>
      <x:c r="G92" t="str">
        <x:v>B</x:v>
      </x:c>
      <x:c r="H92" t="str">
        <x:v>W</x:v>
      </x:c>
      <x:c r="I92" t="str">
        <x:v>B</x:v>
      </x:c>
      <x:c r="J92" t="str">
        <x:v>W</x:v>
      </x:c>
      <x:c r="K92" t="str">
        <x:v>W</x:v>
      </x:c>
      <x:c r="L92" t="str">
        <x:v>B</x:v>
      </x:c>
      <x:c r="M92" t="str">
        <x:v>B</x:v>
      </x:c>
      <x:c r="N92" t="str">
        <x:v>B</x:v>
      </x:c>
      <x:c r="O92" t="str">
        <x:v>W</x:v>
      </x:c>
      <x:c r="P92" t="str">
        <x:v>B</x:v>
      </x:c>
      <x:c r="Q92" t="str">
        <x:v>B</x:v>
      </x:c>
      <x:c r="R92" t="str">
        <x:v>B</x:v>
      </x:c>
      <x:c r="S92" t="str">
        <x:v>B</x:v>
      </x:c>
      <x:c r="T92" t="str">
        <x:v>B</x:v>
      </x:c>
      <x:c r="U92" t="str">
        <x:v>B</x:v>
      </x:c>
      <x:c r="V92" t="n">
        <x:f>COUNTIF(B92:U92,"W")</x:f>
        <x:v>8</x:v>
      </x:c>
      <x:c r="W92" s="5" t="str">
        <x:f>IF(COUNTIF(B92:D92,"W")&gt;0,"Y","N")</x:f>
        <x:v>Y</x:v>
      </x:c>
      <x:c r="X92" s="1"/>
      <x:c r="Y92" s="1"/>
      <x:c r="Z92" s="1"/>
      <x:c r="AA92" s="1"/>
      <x:c r="AB92" s="1"/>
      <x:c r="AC92" s="1"/>
      <x:c r="AD92" s="1"/>
    </x:row>
    <x:row r="93">
      <x:c r="A93" s="1">
        <x:v>92</x:v>
      </x:c>
      <x:c r="B93" t="str">
        <x:v>W</x:v>
      </x:c>
      <x:c r="C93" t="str">
        <x:v>B</x:v>
      </x:c>
      <x:c r="D93" t="str">
        <x:v>W</x:v>
      </x:c>
      <x:c r="E93" t="str">
        <x:v>W</x:v>
      </x:c>
      <x:c r="F93" t="str">
        <x:v>B</x:v>
      </x:c>
      <x:c r="G93" t="str">
        <x:v>B</x:v>
      </x:c>
      <x:c r="H93" t="str">
        <x:v>B</x:v>
      </x:c>
      <x:c r="I93" t="str">
        <x:v>B</x:v>
      </x:c>
      <x:c r="J93" t="str">
        <x:v>W</x:v>
      </x:c>
      <x:c r="K93" t="str">
        <x:v>B</x:v>
      </x:c>
      <x:c r="L93" t="str">
        <x:v>W</x:v>
      </x:c>
      <x:c r="M93" t="str">
        <x:v>W</x:v>
      </x:c>
      <x:c r="N93" t="str">
        <x:v>W</x:v>
      </x:c>
      <x:c r="O93" t="str">
        <x:v>B</x:v>
      </x:c>
      <x:c r="P93" t="str">
        <x:v>B</x:v>
      </x:c>
      <x:c r="Q93" t="str">
        <x:v>B</x:v>
      </x:c>
      <x:c r="R93" t="str">
        <x:v>W</x:v>
      </x:c>
      <x:c r="S93" t="str">
        <x:v>W</x:v>
      </x:c>
      <x:c r="T93" t="str">
        <x:v>W</x:v>
      </x:c>
      <x:c r="U93" t="str">
        <x:v>B</x:v>
      </x:c>
      <x:c r="V93" t="n">
        <x:f>COUNTIF(B93:U93,"W")</x:f>
        <x:v>10</x:v>
      </x:c>
      <x:c r="W93" s="5" t="str">
        <x:f>IF(COUNTIF(B93:D93,"W")&gt;0,"Y","N")</x:f>
        <x:v>Y</x:v>
      </x:c>
      <x:c r="X93" s="1"/>
      <x:c r="Y93" s="1"/>
      <x:c r="Z93" s="1"/>
      <x:c r="AA93" s="1"/>
      <x:c r="AB93" s="1"/>
      <x:c r="AC93" s="1"/>
      <x:c r="AD93" s="1"/>
    </x:row>
    <x:row r="94">
      <x:c r="A94" s="1">
        <x:v>93</x:v>
      </x:c>
      <x:c r="B94" t="str">
        <x:v>B</x:v>
      </x:c>
      <x:c r="C94" t="str">
        <x:v>B</x:v>
      </x:c>
      <x:c r="D94" t="str">
        <x:v>W</x:v>
      </x:c>
      <x:c r="E94" t="str">
        <x:v>W</x:v>
      </x:c>
      <x:c r="F94" t="str">
        <x:v>W</x:v>
      </x:c>
      <x:c r="G94" t="str">
        <x:v>B</x:v>
      </x:c>
      <x:c r="H94" t="str">
        <x:v>B</x:v>
      </x:c>
      <x:c r="I94" t="str">
        <x:v>W</x:v>
      </x:c>
      <x:c r="J94" t="str">
        <x:v>B</x:v>
      </x:c>
      <x:c r="K94" t="str">
        <x:v>B</x:v>
      </x:c>
      <x:c r="L94" t="str">
        <x:v>B</x:v>
      </x:c>
      <x:c r="M94" t="str">
        <x:v>B</x:v>
      </x:c>
      <x:c r="N94" t="str">
        <x:v>B</x:v>
      </x:c>
      <x:c r="O94" t="str">
        <x:v>B</x:v>
      </x:c>
      <x:c r="P94" t="str">
        <x:v>B</x:v>
      </x:c>
      <x:c r="Q94" t="str">
        <x:v>B</x:v>
      </x:c>
      <x:c r="R94" t="str">
        <x:v>B</x:v>
      </x:c>
      <x:c r="S94" t="str">
        <x:v>W</x:v>
      </x:c>
      <x:c r="T94" t="str">
        <x:v>B</x:v>
      </x:c>
      <x:c r="U94" t="str">
        <x:v>B</x:v>
      </x:c>
      <x:c r="V94" t="n">
        <x:f>COUNTIF(B94:U94,"W")</x:f>
        <x:v>5</x:v>
      </x:c>
      <x:c r="W94" s="5" t="str">
        <x:f>IF(COUNTIF(B94:D94,"W")&gt;0,"Y","N")</x:f>
        <x:v>Y</x:v>
      </x:c>
      <x:c r="X94" s="1"/>
      <x:c r="Y94" s="1"/>
      <x:c r="Z94" s="1"/>
      <x:c r="AA94" s="1"/>
      <x:c r="AB94" s="1"/>
      <x:c r="AC94" s="1"/>
      <x:c r="AD94" s="1"/>
    </x:row>
    <x:row r="95">
      <x:c r="A95" s="1">
        <x:v>94</x:v>
      </x:c>
      <x:c r="B95" t="str">
        <x:v>B</x:v>
      </x:c>
      <x:c r="C95" t="str">
        <x:v>W</x:v>
      </x:c>
      <x:c r="D95" t="str">
        <x:v>B</x:v>
      </x:c>
      <x:c r="E95" t="str">
        <x:v>W</x:v>
      </x:c>
      <x:c r="F95" t="str">
        <x:v>B</x:v>
      </x:c>
      <x:c r="G95" t="str">
        <x:v>B</x:v>
      </x:c>
      <x:c r="H95" t="str">
        <x:v>B</x:v>
      </x:c>
      <x:c r="I95" t="str">
        <x:v>B</x:v>
      </x:c>
      <x:c r="J95" t="str">
        <x:v>B</x:v>
      </x:c>
      <x:c r="K95" t="str">
        <x:v>W</x:v>
      </x:c>
      <x:c r="L95" t="str">
        <x:v>W</x:v>
      </x:c>
      <x:c r="M95" t="str">
        <x:v>B</x:v>
      </x:c>
      <x:c r="N95" t="str">
        <x:v>W</x:v>
      </x:c>
      <x:c r="O95" t="str">
        <x:v>B</x:v>
      </x:c>
      <x:c r="P95" t="str">
        <x:v>W</x:v>
      </x:c>
      <x:c r="Q95" t="str">
        <x:v>B</x:v>
      </x:c>
      <x:c r="R95" t="str">
        <x:v>W</x:v>
      </x:c>
      <x:c r="S95" t="str">
        <x:v>B</x:v>
      </x:c>
      <x:c r="T95" t="str">
        <x:v>W</x:v>
      </x:c>
      <x:c r="U95" t="str">
        <x:v>W</x:v>
      </x:c>
      <x:c r="V95" t="n">
        <x:f>COUNTIF(B95:U95,"W")</x:f>
        <x:v>9</x:v>
      </x:c>
      <x:c r="W95" s="5" t="str">
        <x:f>IF(COUNTIF(B95:D95,"W")&gt;0,"Y","N")</x:f>
        <x:v>Y</x:v>
      </x:c>
      <x:c r="X95" s="1"/>
      <x:c r="Y95" s="1"/>
      <x:c r="Z95" s="1"/>
      <x:c r="AA95" s="1"/>
      <x:c r="AB95" s="1"/>
      <x:c r="AC95" s="1"/>
      <x:c r="AD95" s="1"/>
    </x:row>
    <x:row r="96">
      <x:c r="A96" s="1">
        <x:v>95</x:v>
      </x:c>
      <x:c r="B96" t="str">
        <x:v>B</x:v>
      </x:c>
      <x:c r="C96" t="str">
        <x:v>B</x:v>
      </x:c>
      <x:c r="D96" t="str">
        <x:v>W</x:v>
      </x:c>
      <x:c r="E96" t="str">
        <x:v>B</x:v>
      </x:c>
      <x:c r="F96" t="str">
        <x:v>W</x:v>
      </x:c>
      <x:c r="G96" t="str">
        <x:v>B</x:v>
      </x:c>
      <x:c r="H96" t="str">
        <x:v>W</x:v>
      </x:c>
      <x:c r="I96" t="str">
        <x:v>B</x:v>
      </x:c>
      <x:c r="J96" t="str">
        <x:v>B</x:v>
      </x:c>
      <x:c r="K96" t="str">
        <x:v>W</x:v>
      </x:c>
      <x:c r="L96" t="str">
        <x:v>B</x:v>
      </x:c>
      <x:c r="M96" t="str">
        <x:v>B</x:v>
      </x:c>
      <x:c r="N96" t="str">
        <x:v>W</x:v>
      </x:c>
      <x:c r="O96" t="str">
        <x:v>B</x:v>
      </x:c>
      <x:c r="P96" t="str">
        <x:v>B</x:v>
      </x:c>
      <x:c r="Q96" t="str">
        <x:v>W</x:v>
      </x:c>
      <x:c r="R96" t="str">
        <x:v>B</x:v>
      </x:c>
      <x:c r="S96" t="str">
        <x:v>B</x:v>
      </x:c>
      <x:c r="T96" t="str">
        <x:v>B</x:v>
      </x:c>
      <x:c r="U96" t="str">
        <x:v>B</x:v>
      </x:c>
      <x:c r="V96" t="n">
        <x:f>COUNTIF(B96:U96,"W")</x:f>
        <x:v>6</x:v>
      </x:c>
      <x:c r="W96" s="5" t="str">
        <x:f>IF(COUNTIF(B96:D96,"W")&gt;0,"Y","N")</x:f>
        <x:v>Y</x:v>
      </x:c>
      <x:c r="X96" s="1"/>
      <x:c r="Y96" s="1"/>
      <x:c r="Z96" s="1"/>
      <x:c r="AA96" s="1"/>
      <x:c r="AB96" s="1"/>
      <x:c r="AC96" s="1"/>
      <x:c r="AD96" s="1"/>
    </x:row>
    <x:row r="97">
      <x:c r="A97" s="1">
        <x:v>96</x:v>
      </x:c>
      <x:c r="B97" t="str">
        <x:v>B</x:v>
      </x:c>
      <x:c r="C97" t="str">
        <x:v>W</x:v>
      </x:c>
      <x:c r="D97" t="str">
        <x:v>B</x:v>
      </x:c>
      <x:c r="E97" t="str">
        <x:v>B</x:v>
      </x:c>
      <x:c r="F97" t="str">
        <x:v>B</x:v>
      </x:c>
      <x:c r="G97" t="str">
        <x:v>W</x:v>
      </x:c>
      <x:c r="H97" t="str">
        <x:v>W</x:v>
      </x:c>
      <x:c r="I97" t="str">
        <x:v>B</x:v>
      </x:c>
      <x:c r="J97" t="str">
        <x:v>W</x:v>
      </x:c>
      <x:c r="K97" t="str">
        <x:v>B</x:v>
      </x:c>
      <x:c r="L97" t="str">
        <x:v>B</x:v>
      </x:c>
      <x:c r="M97" t="str">
        <x:v>B</x:v>
      </x:c>
      <x:c r="N97" t="str">
        <x:v>B</x:v>
      </x:c>
      <x:c r="O97" t="str">
        <x:v>B</x:v>
      </x:c>
      <x:c r="P97" t="str">
        <x:v>B</x:v>
      </x:c>
      <x:c r="Q97" t="str">
        <x:v>B</x:v>
      </x:c>
      <x:c r="R97" t="str">
        <x:v>W</x:v>
      </x:c>
      <x:c r="S97" t="str">
        <x:v>B</x:v>
      </x:c>
      <x:c r="T97" t="str">
        <x:v>W</x:v>
      </x:c>
      <x:c r="U97" t="str">
        <x:v>B</x:v>
      </x:c>
      <x:c r="V97" t="n">
        <x:f>COUNTIF(B97:U97,"W")</x:f>
        <x:v>6</x:v>
      </x:c>
      <x:c r="W97" s="5" t="str">
        <x:f>IF(COUNTIF(B97:D97,"W")&gt;0,"Y","N")</x:f>
        <x:v>Y</x:v>
      </x:c>
      <x:c r="X97" s="1"/>
      <x:c r="Y97" s="1"/>
      <x:c r="Z97" s="1"/>
      <x:c r="AA97" s="1"/>
      <x:c r="AB97" s="1"/>
      <x:c r="AC97" s="1"/>
      <x:c r="AD97" s="1"/>
    </x:row>
    <x:row r="98">
      <x:c r="A98" s="1">
        <x:v>97</x:v>
      </x:c>
      <x:c r="B98" t="str">
        <x:v>W</x:v>
      </x:c>
      <x:c r="C98" t="str">
        <x:v>W</x:v>
      </x:c>
      <x:c r="D98" t="str">
        <x:v>W</x:v>
      </x:c>
      <x:c r="E98" t="str">
        <x:v>W</x:v>
      </x:c>
      <x:c r="F98" t="str">
        <x:v>W</x:v>
      </x:c>
      <x:c r="G98" t="str">
        <x:v>B</x:v>
      </x:c>
      <x:c r="H98" t="str">
        <x:v>B</x:v>
      </x:c>
      <x:c r="I98" t="str">
        <x:v>W</x:v>
      </x:c>
      <x:c r="J98" t="str">
        <x:v>W</x:v>
      </x:c>
      <x:c r="K98" t="str">
        <x:v>W</x:v>
      </x:c>
      <x:c r="L98" t="str">
        <x:v>W</x:v>
      </x:c>
      <x:c r="M98" t="str">
        <x:v>W</x:v>
      </x:c>
      <x:c r="N98" t="str">
        <x:v>B</x:v>
      </x:c>
      <x:c r="O98" t="str">
        <x:v>B</x:v>
      </x:c>
      <x:c r="P98" t="str">
        <x:v>W</x:v>
      </x:c>
      <x:c r="Q98" t="str">
        <x:v>B</x:v>
      </x:c>
      <x:c r="R98" t="str">
        <x:v>B</x:v>
      </x:c>
      <x:c r="S98" t="str">
        <x:v>B</x:v>
      </x:c>
      <x:c r="T98" t="str">
        <x:v>B</x:v>
      </x:c>
      <x:c r="U98" t="str">
        <x:v>B</x:v>
      </x:c>
      <x:c r="V98" t="n">
        <x:f>COUNTIF(B98:U98,"W")</x:f>
        <x:v>11</x:v>
      </x:c>
      <x:c r="W98" s="5" t="str">
        <x:f>IF(COUNTIF(B98:D98,"W")&gt;0,"Y","N")</x:f>
        <x:v>Y</x:v>
      </x:c>
      <x:c r="X98" s="1"/>
      <x:c r="Y98" s="1"/>
      <x:c r="Z98" s="1"/>
      <x:c r="AA98" s="1"/>
      <x:c r="AB98" s="1"/>
      <x:c r="AC98" s="1"/>
      <x:c r="AD98" s="1"/>
    </x:row>
    <x:row r="99">
      <x:c r="A99" s="1">
        <x:v>98</x:v>
      </x:c>
      <x:c r="B99" t="str">
        <x:v>B</x:v>
      </x:c>
      <x:c r="C99" t="str">
        <x:v>W</x:v>
      </x:c>
      <x:c r="D99" t="str">
        <x:v>W</x:v>
      </x:c>
      <x:c r="E99" t="str">
        <x:v>B</x:v>
      </x:c>
      <x:c r="F99" t="str">
        <x:v>B</x:v>
      </x:c>
      <x:c r="G99" t="str">
        <x:v>B</x:v>
      </x:c>
      <x:c r="H99" t="str">
        <x:v>B</x:v>
      </x:c>
      <x:c r="I99" t="str">
        <x:v>B</x:v>
      </x:c>
      <x:c r="J99" t="str">
        <x:v>B</x:v>
      </x:c>
      <x:c r="K99" t="str">
        <x:v>W</x:v>
      </x:c>
      <x:c r="L99" t="str">
        <x:v>W</x:v>
      </x:c>
      <x:c r="M99" t="str">
        <x:v>B</x:v>
      </x:c>
      <x:c r="N99" t="str">
        <x:v>B</x:v>
      </x:c>
      <x:c r="O99" t="str">
        <x:v>W</x:v>
      </x:c>
      <x:c r="P99" t="str">
        <x:v>W</x:v>
      </x:c>
      <x:c r="Q99" t="str">
        <x:v>W</x:v>
      </x:c>
      <x:c r="R99" t="str">
        <x:v>B</x:v>
      </x:c>
      <x:c r="S99" t="str">
        <x:v>B</x:v>
      </x:c>
      <x:c r="T99" t="str">
        <x:v>W</x:v>
      </x:c>
      <x:c r="U99" t="str">
        <x:v>B</x:v>
      </x:c>
      <x:c r="V99" t="n">
        <x:f>COUNTIF(B99:U99,"W")</x:f>
        <x:v>8</x:v>
      </x:c>
      <x:c r="W99" s="5" t="str">
        <x:f>IF(COUNTIF(B99:D99,"W")&gt;0,"Y","N")</x:f>
        <x:v>Y</x:v>
      </x:c>
      <x:c r="X99" s="1"/>
      <x:c r="Y99" s="1"/>
      <x:c r="Z99" s="1"/>
      <x:c r="AA99" s="1"/>
      <x:c r="AB99" s="1"/>
      <x:c r="AC99" s="1"/>
      <x:c r="AD99" s="1"/>
    </x:row>
    <x:row r="100">
      <x:c r="A100" s="1">
        <x:v>99</x:v>
      </x:c>
      <x:c r="B100" t="str">
        <x:v>B</x:v>
      </x:c>
      <x:c r="C100" t="str">
        <x:v>W</x:v>
      </x:c>
      <x:c r="D100" t="str">
        <x:v>B</x:v>
      </x:c>
      <x:c r="E100" t="str">
        <x:v>W</x:v>
      </x:c>
      <x:c r="F100" t="str">
        <x:v>W</x:v>
      </x:c>
      <x:c r="G100" t="str">
        <x:v>B</x:v>
      </x:c>
      <x:c r="H100" t="str">
        <x:v>W</x:v>
      </x:c>
      <x:c r="I100" t="str">
        <x:v>B</x:v>
      </x:c>
      <x:c r="J100" t="str">
        <x:v>W</x:v>
      </x:c>
      <x:c r="K100" t="str">
        <x:v>W</x:v>
      </x:c>
      <x:c r="L100" t="str">
        <x:v>B</x:v>
      </x:c>
      <x:c r="M100" t="str">
        <x:v>B</x:v>
      </x:c>
      <x:c r="N100" t="str">
        <x:v>B</x:v>
      </x:c>
      <x:c r="O100" t="str">
        <x:v>B</x:v>
      </x:c>
      <x:c r="P100" t="str">
        <x:v>W</x:v>
      </x:c>
      <x:c r="Q100" t="str">
        <x:v>B</x:v>
      </x:c>
      <x:c r="R100" t="str">
        <x:v>B</x:v>
      </x:c>
      <x:c r="S100" t="str">
        <x:v>W</x:v>
      </x:c>
      <x:c r="T100" t="str">
        <x:v>W</x:v>
      </x:c>
      <x:c r="U100" t="str">
        <x:v>W</x:v>
      </x:c>
      <x:c r="V100" t="n">
        <x:f>COUNTIF(B100:U100,"W")</x:f>
        <x:v>10</x:v>
      </x:c>
      <x:c r="W100" s="5" t="str">
        <x:f>IF(COUNTIF(B100:D100,"W")&gt;0,"Y","N")</x:f>
        <x:v>Y</x:v>
      </x:c>
      <x:c r="X100" s="1"/>
      <x:c r="Y100" s="1"/>
      <x:c r="Z100" s="1"/>
      <x:c r="AA100" s="1"/>
      <x:c r="AB100" s="1"/>
      <x:c r="AC100" s="1"/>
      <x:c r="AD100" s="1"/>
    </x:row>
    <x:row r="101">
      <x:c r="A101" s="1">
        <x:v>100</x:v>
      </x:c>
      <x:c r="B101" t="str">
        <x:v>B</x:v>
      </x:c>
      <x:c r="C101" t="str">
        <x:v>B</x:v>
      </x:c>
      <x:c r="D101" t="str">
        <x:v>B</x:v>
      </x:c>
      <x:c r="E101" t="str">
        <x:v>W</x:v>
      </x:c>
      <x:c r="F101" t="str">
        <x:v>W</x:v>
      </x:c>
      <x:c r="G101" t="str">
        <x:v>B</x:v>
      </x:c>
      <x:c r="H101" t="str">
        <x:v>W</x:v>
      </x:c>
      <x:c r="I101" t="str">
        <x:v>W</x:v>
      </x:c>
      <x:c r="J101" t="str">
        <x:v>W</x:v>
      </x:c>
      <x:c r="K101" t="str">
        <x:v>B</x:v>
      </x:c>
      <x:c r="L101" t="str">
        <x:v>B</x:v>
      </x:c>
      <x:c r="M101" t="str">
        <x:v>W</x:v>
      </x:c>
      <x:c r="N101" t="str">
        <x:v>B</x:v>
      </x:c>
      <x:c r="O101" t="str">
        <x:v>B</x:v>
      </x:c>
      <x:c r="P101" t="str">
        <x:v>W</x:v>
      </x:c>
      <x:c r="Q101" t="str">
        <x:v>B</x:v>
      </x:c>
      <x:c r="R101" t="str">
        <x:v>W</x:v>
      </x:c>
      <x:c r="S101" t="str">
        <x:v>B</x:v>
      </x:c>
      <x:c r="T101" t="str">
        <x:v>B</x:v>
      </x:c>
      <x:c r="U101" t="str">
        <x:v>B</x:v>
      </x:c>
      <x:c r="V101" t="n">
        <x:f>COUNTIF(B101:U101,"W")</x:f>
        <x:v>8</x:v>
      </x:c>
      <x:c r="W101" s="5" t="str">
        <x:f>IF(COUNTIF(B101:D101,"W")&gt;0,"Y","N")</x:f>
        <x:v>N</x:v>
      </x:c>
      <x:c r="X101" s="1"/>
      <x:c r="Y101" s="1"/>
      <x:c r="Z101" s="1"/>
      <x:c r="AA101" s="1"/>
      <x:c r="AB101" s="1"/>
      <x:c r="AC101" s="1"/>
      <x:c r="AD101" s="1"/>
    </x:row>
    <x:row r="102">
      <x:c r="A102" s="1">
        <x:v>101</x:v>
      </x:c>
      <x:c r="B102" t="str">
        <x:v>W</x:v>
      </x:c>
      <x:c r="C102" t="str">
        <x:v>W</x:v>
      </x:c>
      <x:c r="D102" t="str">
        <x:v>B</x:v>
      </x:c>
      <x:c r="E102" t="str">
        <x:v>W</x:v>
      </x:c>
      <x:c r="F102" t="str">
        <x:v>B</x:v>
      </x:c>
      <x:c r="G102" t="str">
        <x:v>B</x:v>
      </x:c>
      <x:c r="H102" t="str">
        <x:v>B</x:v>
      </x:c>
      <x:c r="I102" t="str">
        <x:v>B</x:v>
      </x:c>
      <x:c r="J102" t="str">
        <x:v>B</x:v>
      </x:c>
      <x:c r="K102" t="str">
        <x:v>B</x:v>
      </x:c>
      <x:c r="L102" t="str">
        <x:v>W</x:v>
      </x:c>
      <x:c r="M102" t="str">
        <x:v>W</x:v>
      </x:c>
      <x:c r="N102" t="str">
        <x:v>B</x:v>
      </x:c>
      <x:c r="O102" t="str">
        <x:v>B</x:v>
      </x:c>
      <x:c r="P102" t="str">
        <x:v>B</x:v>
      </x:c>
      <x:c r="Q102" t="str">
        <x:v>B</x:v>
      </x:c>
      <x:c r="R102" t="str">
        <x:v>B</x:v>
      </x:c>
      <x:c r="S102" t="str">
        <x:v>W</x:v>
      </x:c>
      <x:c r="T102" t="str">
        <x:v>B</x:v>
      </x:c>
      <x:c r="U102" t="str">
        <x:v>W</x:v>
      </x:c>
      <x:c r="V102" t="n">
        <x:f>COUNTIF(B102:U102,"W")</x:f>
        <x:v>7</x:v>
      </x:c>
      <x:c r="W102" s="5" t="str">
        <x:f>IF(COUNTIF(B102:D102,"W")&gt;0,"Y","N")</x:f>
        <x:v>Y</x:v>
      </x:c>
      <x:c r="X102" s="1"/>
      <x:c r="Y102" s="1"/>
      <x:c r="Z102" s="1"/>
      <x:c r="AA102" s="1"/>
      <x:c r="AB102" s="1"/>
      <x:c r="AC102" s="1"/>
      <x:c r="AD102" s="1"/>
    </x:row>
    <x:row r="103">
      <x:c r="A103" s="1">
        <x:v>102</x:v>
      </x:c>
      <x:c r="B103" t="str">
        <x:v>W</x:v>
      </x:c>
      <x:c r="C103" t="str">
        <x:v>B</x:v>
      </x:c>
      <x:c r="D103" t="str">
        <x:v>B</x:v>
      </x:c>
      <x:c r="E103" t="str">
        <x:v>B</x:v>
      </x:c>
      <x:c r="F103" t="str">
        <x:v>B</x:v>
      </x:c>
      <x:c r="G103" t="str">
        <x:v>B</x:v>
      </x:c>
      <x:c r="H103" t="str">
        <x:v>B</x:v>
      </x:c>
      <x:c r="I103" t="str">
        <x:v>B</x:v>
      </x:c>
      <x:c r="J103" t="str">
        <x:v>W</x:v>
      </x:c>
      <x:c r="K103" t="str">
        <x:v>W</x:v>
      </x:c>
      <x:c r="L103" t="str">
        <x:v>B</x:v>
      </x:c>
      <x:c r="M103" t="str">
        <x:v>W</x:v>
      </x:c>
      <x:c r="N103" t="str">
        <x:v>W</x:v>
      </x:c>
      <x:c r="O103" t="str">
        <x:v>W</x:v>
      </x:c>
      <x:c r="P103" t="str">
        <x:v>B</x:v>
      </x:c>
      <x:c r="Q103" t="str">
        <x:v>B</x:v>
      </x:c>
      <x:c r="R103" t="str">
        <x:v>B</x:v>
      </x:c>
      <x:c r="S103" t="str">
        <x:v>B</x:v>
      </x:c>
      <x:c r="T103" t="str">
        <x:v>W</x:v>
      </x:c>
      <x:c r="U103" t="str">
        <x:v>W</x:v>
      </x:c>
      <x:c r="V103" t="n">
        <x:f>COUNTIF(B103:U103,"W")</x:f>
        <x:v>8</x:v>
      </x:c>
      <x:c r="W103" s="5" t="str">
        <x:f>IF(COUNTIF(B103:D103,"W")&gt;0,"Y","N")</x:f>
        <x:v>Y</x:v>
      </x:c>
      <x:c r="X103" s="1"/>
      <x:c r="Y103" s="1"/>
      <x:c r="Z103" s="1"/>
      <x:c r="AA103" s="1"/>
      <x:c r="AB103" s="1"/>
      <x:c r="AC103" s="1"/>
      <x:c r="AD103" s="1"/>
    </x:row>
    <x:row r="104">
      <x:c r="A104" s="1">
        <x:v>103</x:v>
      </x:c>
      <x:c r="B104" t="str">
        <x:v>B</x:v>
      </x:c>
      <x:c r="C104" t="str">
        <x:v>B</x:v>
      </x:c>
      <x:c r="D104" t="str">
        <x:v>W</x:v>
      </x:c>
      <x:c r="E104" t="str">
        <x:v>B</x:v>
      </x:c>
      <x:c r="F104" t="str">
        <x:v>B</x:v>
      </x:c>
      <x:c r="G104" t="str">
        <x:v>W</x:v>
      </x:c>
      <x:c r="H104" t="str">
        <x:v>W</x:v>
      </x:c>
      <x:c r="I104" t="str">
        <x:v>W</x:v>
      </x:c>
      <x:c r="J104" t="str">
        <x:v>W</x:v>
      </x:c>
      <x:c r="K104" t="str">
        <x:v>B</x:v>
      </x:c>
      <x:c r="L104" t="str">
        <x:v>B</x:v>
      </x:c>
      <x:c r="M104" t="str">
        <x:v>B</x:v>
      </x:c>
      <x:c r="N104" t="str">
        <x:v>B</x:v>
      </x:c>
      <x:c r="O104" t="str">
        <x:v>B</x:v>
      </x:c>
      <x:c r="P104" t="str">
        <x:v>B</x:v>
      </x:c>
      <x:c r="Q104" t="str">
        <x:v>B</x:v>
      </x:c>
      <x:c r="R104" t="str">
        <x:v>B</x:v>
      </x:c>
      <x:c r="S104" t="str">
        <x:v>B</x:v>
      </x:c>
      <x:c r="T104" t="str">
        <x:v>B</x:v>
      </x:c>
      <x:c r="U104" t="str">
        <x:v>B</x:v>
      </x:c>
      <x:c r="V104" t="n">
        <x:f>COUNTIF(B104:U104,"W")</x:f>
        <x:v>5</x:v>
      </x:c>
      <x:c r="W104" s="5" t="str">
        <x:f>IF(COUNTIF(B104:D104,"W")&gt;0,"Y","N")</x:f>
        <x:v>Y</x:v>
      </x:c>
      <x:c r="X104" s="1"/>
      <x:c r="Y104" s="1"/>
      <x:c r="Z104" s="1"/>
      <x:c r="AA104" s="1"/>
      <x:c r="AB104" s="1"/>
      <x:c r="AC104" s="1"/>
      <x:c r="AD104" s="1"/>
    </x:row>
    <x:row r="105">
      <x:c r="A105" s="1">
        <x:v>104</x:v>
      </x:c>
      <x:c r="B105" t="str">
        <x:v>B</x:v>
      </x:c>
      <x:c r="C105" t="str">
        <x:v>B</x:v>
      </x:c>
      <x:c r="D105" t="str">
        <x:v>W</x:v>
      </x:c>
      <x:c r="E105" t="str">
        <x:v>W</x:v>
      </x:c>
      <x:c r="F105" t="str">
        <x:v>B</x:v>
      </x:c>
      <x:c r="G105" t="str">
        <x:v>B</x:v>
      </x:c>
      <x:c r="H105" t="str">
        <x:v>B</x:v>
      </x:c>
      <x:c r="I105" t="str">
        <x:v>B</x:v>
      </x:c>
      <x:c r="J105" t="str">
        <x:v>W</x:v>
      </x:c>
      <x:c r="K105" t="str">
        <x:v>W</x:v>
      </x:c>
      <x:c r="L105" t="str">
        <x:v>W</x:v>
      </x:c>
      <x:c r="M105" t="str">
        <x:v>W</x:v>
      </x:c>
      <x:c r="N105" t="str">
        <x:v>W</x:v>
      </x:c>
      <x:c r="O105" t="str">
        <x:v>B</x:v>
      </x:c>
      <x:c r="P105" t="str">
        <x:v>B</x:v>
      </x:c>
      <x:c r="Q105" t="str">
        <x:v>B</x:v>
      </x:c>
      <x:c r="R105" t="str">
        <x:v>W</x:v>
      </x:c>
      <x:c r="S105" t="str">
        <x:v>B</x:v>
      </x:c>
      <x:c r="T105" t="str">
        <x:v>B</x:v>
      </x:c>
      <x:c r="U105" t="str">
        <x:v>W</x:v>
      </x:c>
      <x:c r="V105" t="n">
        <x:f>COUNTIF(B105:U105,"W")</x:f>
        <x:v>9</x:v>
      </x:c>
      <x:c r="W105" s="5" t="str">
        <x:f>IF(COUNTIF(B105:D105,"W")&gt;0,"Y","N")</x:f>
        <x:v>Y</x:v>
      </x:c>
      <x:c r="X105" s="1"/>
      <x:c r="Y105" s="1"/>
      <x:c r="Z105" s="1"/>
      <x:c r="AA105" s="1"/>
      <x:c r="AB105" s="1"/>
      <x:c r="AC105" s="1"/>
      <x:c r="AD105" s="1"/>
    </x:row>
    <x:row r="106">
      <x:c r="A106" s="1">
        <x:v>105</x:v>
      </x:c>
      <x:c r="B106" t="str">
        <x:v>W</x:v>
      </x:c>
      <x:c r="C106" t="str">
        <x:v>B</x:v>
      </x:c>
      <x:c r="D106" t="str">
        <x:v>B</x:v>
      </x:c>
      <x:c r="E106" t="str">
        <x:v>B</x:v>
      </x:c>
      <x:c r="F106" t="str">
        <x:v>B</x:v>
      </x:c>
      <x:c r="G106" t="str">
        <x:v>B</x:v>
      </x:c>
      <x:c r="H106" t="str">
        <x:v>B</x:v>
      </x:c>
      <x:c r="I106" t="str">
        <x:v>B</x:v>
      </x:c>
      <x:c r="J106" t="str">
        <x:v>B</x:v>
      </x:c>
      <x:c r="K106" t="str">
        <x:v>B</x:v>
      </x:c>
      <x:c r="L106" t="str">
        <x:v>B</x:v>
      </x:c>
      <x:c r="M106" t="str">
        <x:v>W</x:v>
      </x:c>
      <x:c r="N106" t="str">
        <x:v>W</x:v>
      </x:c>
      <x:c r="O106" t="str">
        <x:v>B</x:v>
      </x:c>
      <x:c r="P106" t="str">
        <x:v>B</x:v>
      </x:c>
      <x:c r="Q106" t="str">
        <x:v>B</x:v>
      </x:c>
      <x:c r="R106" t="str">
        <x:v>B</x:v>
      </x:c>
      <x:c r="S106" t="str">
        <x:v>W</x:v>
      </x:c>
      <x:c r="T106" t="str">
        <x:v>B</x:v>
      </x:c>
      <x:c r="U106" t="str">
        <x:v>B</x:v>
      </x:c>
      <x:c r="V106" t="n">
        <x:f>COUNTIF(B106:U106,"W")</x:f>
        <x:v>4</x:v>
      </x:c>
      <x:c r="W106" s="5" t="str">
        <x:f>IF(COUNTIF(B106:D106,"W")&gt;0,"Y","N")</x:f>
        <x:v>Y</x:v>
      </x:c>
      <x:c r="X106" s="1"/>
      <x:c r="Y106" s="1"/>
      <x:c r="Z106" s="1"/>
      <x:c r="AA106" s="1"/>
      <x:c r="AB106" s="1"/>
      <x:c r="AC106" s="1"/>
      <x:c r="AD106" s="1"/>
    </x:row>
    <x:row r="107">
      <x:c r="A107" s="1">
        <x:v>106</x:v>
      </x:c>
      <x:c r="B107" t="str">
        <x:v>B</x:v>
      </x:c>
      <x:c r="C107" t="str">
        <x:v>B</x:v>
      </x:c>
      <x:c r="D107" t="str">
        <x:v>W</x:v>
      </x:c>
      <x:c r="E107" t="str">
        <x:v>B</x:v>
      </x:c>
      <x:c r="F107" t="str">
        <x:v>W</x:v>
      </x:c>
      <x:c r="G107" t="str">
        <x:v>B</x:v>
      </x:c>
      <x:c r="H107" t="str">
        <x:v>W</x:v>
      </x:c>
      <x:c r="I107" t="str">
        <x:v>B</x:v>
      </x:c>
      <x:c r="J107" t="str">
        <x:v>B</x:v>
      </x:c>
      <x:c r="K107" t="str">
        <x:v>B</x:v>
      </x:c>
      <x:c r="L107" t="str">
        <x:v>B</x:v>
      </x:c>
      <x:c r="M107" t="str">
        <x:v>B</x:v>
      </x:c>
      <x:c r="N107" t="str">
        <x:v>B</x:v>
      </x:c>
      <x:c r="O107" t="str">
        <x:v>B</x:v>
      </x:c>
      <x:c r="P107" t="str">
        <x:v>W</x:v>
      </x:c>
      <x:c r="Q107" t="str">
        <x:v>B</x:v>
      </x:c>
      <x:c r="R107" t="str">
        <x:v>B</x:v>
      </x:c>
      <x:c r="S107" t="str">
        <x:v>B</x:v>
      </x:c>
      <x:c r="T107" t="str">
        <x:v>B</x:v>
      </x:c>
      <x:c r="U107" t="str">
        <x:v>W</x:v>
      </x:c>
      <x:c r="V107" t="n">
        <x:f>COUNTIF(B107:U107,"W")</x:f>
        <x:v>5</x:v>
      </x:c>
      <x:c r="W107" s="5" t="str">
        <x:f>IF(COUNTIF(B107:D107,"W")&gt;0,"Y","N")</x:f>
        <x:v>Y</x:v>
      </x:c>
      <x:c r="X107" s="1"/>
      <x:c r="Y107" s="1"/>
      <x:c r="Z107" s="1"/>
      <x:c r="AA107" s="1"/>
      <x:c r="AB107" s="1"/>
      <x:c r="AC107" s="1"/>
      <x:c r="AD107" s="1"/>
    </x:row>
    <x:row r="108">
      <x:c r="A108" s="1">
        <x:v>107</x:v>
      </x:c>
      <x:c r="B108" t="str">
        <x:v>B</x:v>
      </x:c>
      <x:c r="C108" t="str">
        <x:v>B</x:v>
      </x:c>
      <x:c r="D108" t="str">
        <x:v>B</x:v>
      </x:c>
      <x:c r="E108" t="str">
        <x:v>W</x:v>
      </x:c>
      <x:c r="F108" t="str">
        <x:v>W</x:v>
      </x:c>
      <x:c r="G108" t="str">
        <x:v>W</x:v>
      </x:c>
      <x:c r="H108" t="str">
        <x:v>B</x:v>
      </x:c>
      <x:c r="I108" t="str">
        <x:v>B</x:v>
      </x:c>
      <x:c r="J108" t="str">
        <x:v>B</x:v>
      </x:c>
      <x:c r="K108" t="str">
        <x:v>B</x:v>
      </x:c>
      <x:c r="L108" t="str">
        <x:v>W</x:v>
      </x:c>
      <x:c r="M108" t="str">
        <x:v>W</x:v>
      </x:c>
      <x:c r="N108" t="str">
        <x:v>B</x:v>
      </x:c>
      <x:c r="O108" t="str">
        <x:v>W</x:v>
      </x:c>
      <x:c r="P108" t="str">
        <x:v>B</x:v>
      </x:c>
      <x:c r="Q108" t="str">
        <x:v>W</x:v>
      </x:c>
      <x:c r="R108" t="str">
        <x:v>B</x:v>
      </x:c>
      <x:c r="S108" t="str">
        <x:v>W</x:v>
      </x:c>
      <x:c r="T108" t="str">
        <x:v>B</x:v>
      </x:c>
      <x:c r="U108" t="str">
        <x:v>W</x:v>
      </x:c>
      <x:c r="V108" t="n">
        <x:f>COUNTIF(B108:U108,"W")</x:f>
        <x:v>9</x:v>
      </x:c>
      <x:c r="W108" s="5" t="str">
        <x:f>IF(COUNTIF(B108:D108,"W")&gt;0,"Y","N")</x:f>
        <x:v>N</x:v>
      </x:c>
      <x:c r="X108" s="1"/>
      <x:c r="Y108" s="1"/>
      <x:c r="Z108" s="1"/>
      <x:c r="AA108" s="1"/>
      <x:c r="AB108" s="1"/>
      <x:c r="AC108" s="1"/>
      <x:c r="AD108" s="1"/>
    </x:row>
    <x:row r="109">
      <x:c r="A109" s="1">
        <x:v>108</x:v>
      </x:c>
      <x:c r="B109" t="str">
        <x:v>B</x:v>
      </x:c>
      <x:c r="C109" t="str">
        <x:v>B</x:v>
      </x:c>
      <x:c r="D109" t="str">
        <x:v>B</x:v>
      </x:c>
      <x:c r="E109" t="str">
        <x:v>W</x:v>
      </x:c>
      <x:c r="F109" t="str">
        <x:v>W</x:v>
      </x:c>
      <x:c r="G109" t="str">
        <x:v>B</x:v>
      </x:c>
      <x:c r="H109" t="str">
        <x:v>B</x:v>
      </x:c>
      <x:c r="I109" t="str">
        <x:v>B</x:v>
      </x:c>
      <x:c r="J109" t="str">
        <x:v>W</x:v>
      </x:c>
      <x:c r="K109" t="str">
        <x:v>B</x:v>
      </x:c>
      <x:c r="L109" t="str">
        <x:v>B</x:v>
      </x:c>
      <x:c r="M109" t="str">
        <x:v>B</x:v>
      </x:c>
      <x:c r="N109" t="str">
        <x:v>B</x:v>
      </x:c>
      <x:c r="O109" t="str">
        <x:v>B</x:v>
      </x:c>
      <x:c r="P109" t="str">
        <x:v>W</x:v>
      </x:c>
      <x:c r="Q109" t="str">
        <x:v>B</x:v>
      </x:c>
      <x:c r="R109" t="str">
        <x:v>W</x:v>
      </x:c>
      <x:c r="S109" t="str">
        <x:v>B</x:v>
      </x:c>
      <x:c r="T109" t="str">
        <x:v>B</x:v>
      </x:c>
      <x:c r="U109" t="str">
        <x:v>B</x:v>
      </x:c>
      <x:c r="V109" t="n">
        <x:f>COUNTIF(B109:U109,"W")</x:f>
        <x:v>5</x:v>
      </x:c>
      <x:c r="W109" s="5" t="str">
        <x:f>IF(COUNTIF(B109:D109,"W")&gt;0,"Y","N")</x:f>
        <x:v>N</x:v>
      </x:c>
      <x:c r="X109" s="1"/>
      <x:c r="Y109" s="1"/>
      <x:c r="Z109" s="1"/>
      <x:c r="AA109" s="1"/>
      <x:c r="AB109" s="1"/>
      <x:c r="AC109" s="1"/>
      <x:c r="AD109" s="1"/>
    </x:row>
    <x:row r="110">
      <x:c r="A110" s="1">
        <x:v>109</x:v>
      </x:c>
      <x:c r="B110" t="str">
        <x:v>B</x:v>
      </x:c>
      <x:c r="C110" t="str">
        <x:v>B</x:v>
      </x:c>
      <x:c r="D110" t="str">
        <x:v>W</x:v>
      </x:c>
      <x:c r="E110" t="str">
        <x:v>W</x:v>
      </x:c>
      <x:c r="F110" t="str">
        <x:v>W</x:v>
      </x:c>
      <x:c r="G110" t="str">
        <x:v>B</x:v>
      </x:c>
      <x:c r="H110" t="str">
        <x:v>W</x:v>
      </x:c>
      <x:c r="I110" t="str">
        <x:v>B</x:v>
      </x:c>
      <x:c r="J110" t="str">
        <x:v>B</x:v>
      </x:c>
      <x:c r="K110" t="str">
        <x:v>B</x:v>
      </x:c>
      <x:c r="L110" t="str">
        <x:v>B</x:v>
      </x:c>
      <x:c r="M110" t="str">
        <x:v>B</x:v>
      </x:c>
      <x:c r="N110" t="str">
        <x:v>W</x:v>
      </x:c>
      <x:c r="O110" t="str">
        <x:v>W</x:v>
      </x:c>
      <x:c r="P110" t="str">
        <x:v>B</x:v>
      </x:c>
      <x:c r="Q110" t="str">
        <x:v>B</x:v>
      </x:c>
      <x:c r="R110" t="str">
        <x:v>B</x:v>
      </x:c>
      <x:c r="S110" t="str">
        <x:v>B</x:v>
      </x:c>
      <x:c r="T110" t="str">
        <x:v>B</x:v>
      </x:c>
      <x:c r="U110" t="str">
        <x:v>B</x:v>
      </x:c>
      <x:c r="V110" t="n">
        <x:f>COUNTIF(B110:U110,"W")</x:f>
        <x:v>6</x:v>
      </x:c>
      <x:c r="W110" s="5" t="str">
        <x:f>IF(COUNTIF(B110:D110,"W")&gt;0,"Y","N")</x:f>
        <x:v>Y</x:v>
      </x:c>
      <x:c r="X110" s="1"/>
      <x:c r="Y110" s="1"/>
      <x:c r="Z110" s="1"/>
      <x:c r="AA110" s="1"/>
      <x:c r="AB110" s="1"/>
      <x:c r="AC110" s="1"/>
      <x:c r="AD110" s="1"/>
    </x:row>
    <x:row r="111">
      <x:c r="A111" s="1">
        <x:v>110</x:v>
      </x:c>
      <x:c r="B111" t="str">
        <x:v>B</x:v>
      </x:c>
      <x:c r="C111" t="str">
        <x:v>W</x:v>
      </x:c>
      <x:c r="D111" t="str">
        <x:v>B</x:v>
      </x:c>
      <x:c r="E111" t="str">
        <x:v>W</x:v>
      </x:c>
      <x:c r="F111" t="str">
        <x:v>B</x:v>
      </x:c>
      <x:c r="G111" t="str">
        <x:v>W</x:v>
      </x:c>
      <x:c r="H111" t="str">
        <x:v>W</x:v>
      </x:c>
      <x:c r="I111" t="str">
        <x:v>W</x:v>
      </x:c>
      <x:c r="J111" t="str">
        <x:v>W</x:v>
      </x:c>
      <x:c r="K111" t="str">
        <x:v>W</x:v>
      </x:c>
      <x:c r="L111" t="str">
        <x:v>W</x:v>
      </x:c>
      <x:c r="M111" t="str">
        <x:v>B</x:v>
      </x:c>
      <x:c r="N111" t="str">
        <x:v>B</x:v>
      </x:c>
      <x:c r="O111" t="str">
        <x:v>B</x:v>
      </x:c>
      <x:c r="P111" t="str">
        <x:v>B</x:v>
      </x:c>
      <x:c r="Q111" t="str">
        <x:v>W</x:v>
      </x:c>
      <x:c r="R111" t="str">
        <x:v>W</x:v>
      </x:c>
      <x:c r="S111" t="str">
        <x:v>W</x:v>
      </x:c>
      <x:c r="T111" t="str">
        <x:v>W</x:v>
      </x:c>
      <x:c r="U111" t="str">
        <x:v>B</x:v>
      </x:c>
      <x:c r="V111" t="n">
        <x:f>COUNTIF(B111:U111,"W")</x:f>
        <x:v>12</x:v>
      </x:c>
      <x:c r="W111" s="5" t="str">
        <x:f>IF(COUNTIF(B111:D111,"W")&gt;0,"Y","N")</x:f>
        <x:v>Y</x:v>
      </x:c>
      <x:c r="X111" s="1"/>
      <x:c r="Y111" s="1"/>
      <x:c r="Z111" s="1"/>
      <x:c r="AA111" s="1"/>
      <x:c r="AB111" s="1"/>
      <x:c r="AC111" s="1"/>
      <x:c r="AD111" s="1"/>
    </x:row>
    <x:row r="112">
      <x:c r="A112" s="1">
        <x:v>111</x:v>
      </x:c>
      <x:c r="B112" t="str">
        <x:v>W</x:v>
      </x:c>
      <x:c r="C112" t="str">
        <x:v>B</x:v>
      </x:c>
      <x:c r="D112" t="str">
        <x:v>B</x:v>
      </x:c>
      <x:c r="E112" t="str">
        <x:v>W</x:v>
      </x:c>
      <x:c r="F112" t="str">
        <x:v>W</x:v>
      </x:c>
      <x:c r="G112" t="str">
        <x:v>B</x:v>
      </x:c>
      <x:c r="H112" t="str">
        <x:v>B</x:v>
      </x:c>
      <x:c r="I112" t="str">
        <x:v>W</x:v>
      </x:c>
      <x:c r="J112" t="str">
        <x:v>W</x:v>
      </x:c>
      <x:c r="K112" t="str">
        <x:v>W</x:v>
      </x:c>
      <x:c r="L112" t="str">
        <x:v>B</x:v>
      </x:c>
      <x:c r="M112" t="str">
        <x:v>B</x:v>
      </x:c>
      <x:c r="N112" t="str">
        <x:v>B</x:v>
      </x:c>
      <x:c r="O112" t="str">
        <x:v>W</x:v>
      </x:c>
      <x:c r="P112" t="str">
        <x:v>B</x:v>
      </x:c>
      <x:c r="Q112" t="str">
        <x:v>B</x:v>
      </x:c>
      <x:c r="R112" t="str">
        <x:v>W</x:v>
      </x:c>
      <x:c r="S112" t="str">
        <x:v>B</x:v>
      </x:c>
      <x:c r="T112" t="str">
        <x:v>W</x:v>
      </x:c>
      <x:c r="U112" t="str">
        <x:v>B</x:v>
      </x:c>
      <x:c r="V112" t="n">
        <x:f>COUNTIF(B112:U112,"W")</x:f>
        <x:v>9</x:v>
      </x:c>
      <x:c r="W112" s="5" t="str">
        <x:f>IF(COUNTIF(B112:D112,"W")&gt;0,"Y","N")</x:f>
        <x:v>Y</x:v>
      </x:c>
      <x:c r="X112" s="1"/>
      <x:c r="Y112" s="1"/>
      <x:c r="Z112" s="1"/>
      <x:c r="AA112" s="1"/>
      <x:c r="AB112" s="1"/>
      <x:c r="AC112" s="1"/>
      <x:c r="AD112" s="1"/>
    </x:row>
    <x:row r="113">
      <x:c r="A113" s="1">
        <x:v>112</x:v>
      </x:c>
      <x:c r="B113" t="str">
        <x:v>B</x:v>
      </x:c>
      <x:c r="C113" t="str">
        <x:v>W</x:v>
      </x:c>
      <x:c r="D113" t="str">
        <x:v>B</x:v>
      </x:c>
      <x:c r="E113" t="str">
        <x:v>B</x:v>
      </x:c>
      <x:c r="F113" t="str">
        <x:v>B</x:v>
      </x:c>
      <x:c r="G113" t="str">
        <x:v>B</x:v>
      </x:c>
      <x:c r="H113" t="str">
        <x:v>B</x:v>
      </x:c>
      <x:c r="I113" t="str">
        <x:v>B</x:v>
      </x:c>
      <x:c r="J113" t="str">
        <x:v>W</x:v>
      </x:c>
      <x:c r="K113" t="str">
        <x:v>B</x:v>
      </x:c>
      <x:c r="L113" t="str">
        <x:v>B</x:v>
      </x:c>
      <x:c r="M113" t="str">
        <x:v>W</x:v>
      </x:c>
      <x:c r="N113" t="str">
        <x:v>B</x:v>
      </x:c>
      <x:c r="O113" t="str">
        <x:v>B</x:v>
      </x:c>
      <x:c r="P113" t="str">
        <x:v>B</x:v>
      </x:c>
      <x:c r="Q113" t="str">
        <x:v>W</x:v>
      </x:c>
      <x:c r="R113" t="str">
        <x:v>B</x:v>
      </x:c>
      <x:c r="S113" t="str">
        <x:v>B</x:v>
      </x:c>
      <x:c r="T113" t="str">
        <x:v>B</x:v>
      </x:c>
      <x:c r="U113" t="str">
        <x:v>B</x:v>
      </x:c>
      <x:c r="V113" t="n">
        <x:f>COUNTIF(B113:U113,"W")</x:f>
        <x:v>4</x:v>
      </x:c>
      <x:c r="W113" s="5" t="str">
        <x:f>IF(COUNTIF(B113:D113,"W")&gt;0,"Y","N")</x:f>
        <x:v>Y</x:v>
      </x:c>
      <x:c r="X113" s="1"/>
      <x:c r="Y113" s="1"/>
      <x:c r="Z113" s="1"/>
      <x:c r="AA113" s="1"/>
      <x:c r="AB113" s="1"/>
      <x:c r="AC113" s="1"/>
      <x:c r="AD113" s="1"/>
    </x:row>
    <x:row r="114">
      <x:c r="A114" s="1">
        <x:v>113</x:v>
      </x:c>
      <x:c r="B114" t="str">
        <x:v>B</x:v>
      </x:c>
      <x:c r="C114" t="str">
        <x:v>B</x:v>
      </x:c>
      <x:c r="D114" t="str">
        <x:v>B</x:v>
      </x:c>
      <x:c r="E114" t="str">
        <x:v>W</x:v>
      </x:c>
      <x:c r="F114" t="str">
        <x:v>W</x:v>
      </x:c>
      <x:c r="G114" t="str">
        <x:v>B</x:v>
      </x:c>
      <x:c r="H114" t="str">
        <x:v>B</x:v>
      </x:c>
      <x:c r="I114" t="str">
        <x:v>B</x:v>
      </x:c>
      <x:c r="J114" t="str">
        <x:v>B</x:v>
      </x:c>
      <x:c r="K114" t="str">
        <x:v>B</x:v>
      </x:c>
      <x:c r="L114" t="str">
        <x:v>B</x:v>
      </x:c>
      <x:c r="M114" t="str">
        <x:v>W</x:v>
      </x:c>
      <x:c r="N114" t="str">
        <x:v>W</x:v>
      </x:c>
      <x:c r="O114" t="str">
        <x:v>B</x:v>
      </x:c>
      <x:c r="P114" t="str">
        <x:v>B</x:v>
      </x:c>
      <x:c r="Q114" t="str">
        <x:v>B</x:v>
      </x:c>
      <x:c r="R114" t="str">
        <x:v>B</x:v>
      </x:c>
      <x:c r="S114" t="str">
        <x:v>B</x:v>
      </x:c>
      <x:c r="T114" t="str">
        <x:v>B</x:v>
      </x:c>
      <x:c r="U114" t="str">
        <x:v>W</x:v>
      </x:c>
      <x:c r="V114" t="n">
        <x:f>COUNTIF(B114:U114,"W")</x:f>
        <x:v>5</x:v>
      </x:c>
      <x:c r="W114" s="5" t="str">
        <x:f>IF(COUNTIF(B114:D114,"W")&gt;0,"Y","N")</x:f>
        <x:v>N</x:v>
      </x:c>
      <x:c r="X114" s="1"/>
      <x:c r="Y114" s="1"/>
      <x:c r="Z114" s="1"/>
      <x:c r="AA114" s="1"/>
      <x:c r="AB114" s="1"/>
      <x:c r="AC114" s="1"/>
      <x:c r="AD114" s="1"/>
    </x:row>
    <x:row r="115">
      <x:c r="A115" s="1">
        <x:v>114</x:v>
      </x:c>
      <x:c r="B115" t="str">
        <x:v>B</x:v>
      </x:c>
      <x:c r="C115" t="str">
        <x:v>W</x:v>
      </x:c>
      <x:c r="D115" t="str">
        <x:v>B</x:v>
      </x:c>
      <x:c r="E115" t="str">
        <x:v>W</x:v>
      </x:c>
      <x:c r="F115" t="str">
        <x:v>B</x:v>
      </x:c>
      <x:c r="G115" t="str">
        <x:v>W</x:v>
      </x:c>
      <x:c r="H115" t="str">
        <x:v>B</x:v>
      </x:c>
      <x:c r="I115" t="str">
        <x:v>W</x:v>
      </x:c>
      <x:c r="J115" t="str">
        <x:v>W</x:v>
      </x:c>
      <x:c r="K115" t="str">
        <x:v>B</x:v>
      </x:c>
      <x:c r="L115" t="str">
        <x:v>W</x:v>
      </x:c>
      <x:c r="M115" t="str">
        <x:v>W</x:v>
      </x:c>
      <x:c r="N115" t="str">
        <x:v>B</x:v>
      </x:c>
      <x:c r="O115" t="str">
        <x:v>B</x:v>
      </x:c>
      <x:c r="P115" t="str">
        <x:v>B</x:v>
      </x:c>
      <x:c r="Q115" t="str">
        <x:v>W</x:v>
      </x:c>
      <x:c r="R115" t="str">
        <x:v>B</x:v>
      </x:c>
      <x:c r="S115" t="str">
        <x:v>B</x:v>
      </x:c>
      <x:c r="T115" t="str">
        <x:v>W</x:v>
      </x:c>
      <x:c r="U115" t="str">
        <x:v>B</x:v>
      </x:c>
      <x:c r="V115" t="n">
        <x:f>COUNTIF(B115:U115,"W")</x:f>
        <x:v>9</x:v>
      </x:c>
      <x:c r="W115" s="5" t="str">
        <x:f>IF(COUNTIF(B115:D115,"W")&gt;0,"Y","N")</x:f>
        <x:v>Y</x:v>
      </x:c>
      <x:c r="X115" s="1"/>
      <x:c r="Y115" s="1"/>
      <x:c r="Z115" s="1"/>
      <x:c r="AA115" s="1"/>
      <x:c r="AB115" s="1"/>
      <x:c r="AC115" s="1"/>
      <x:c r="AD115" s="1"/>
    </x:row>
    <x:row r="116">
      <x:c r="A116" s="1">
        <x:v>115</x:v>
      </x:c>
      <x:c r="B116" t="str">
        <x:v>W</x:v>
      </x:c>
      <x:c r="C116" t="str">
        <x:v>W</x:v>
      </x:c>
      <x:c r="D116" t="str">
        <x:v>B</x:v>
      </x:c>
      <x:c r="E116" t="str">
        <x:v>W</x:v>
      </x:c>
      <x:c r="F116" t="str">
        <x:v>B</x:v>
      </x:c>
      <x:c r="G116" t="str">
        <x:v>W</x:v>
      </x:c>
      <x:c r="H116" t="str">
        <x:v>B</x:v>
      </x:c>
      <x:c r="I116" t="str">
        <x:v>B</x:v>
      </x:c>
      <x:c r="J116" t="str">
        <x:v>B</x:v>
      </x:c>
      <x:c r="K116" t="str">
        <x:v>W</x:v>
      </x:c>
      <x:c r="L116" t="str">
        <x:v>B</x:v>
      </x:c>
      <x:c r="M116" t="str">
        <x:v>W</x:v>
      </x:c>
      <x:c r="N116" t="str">
        <x:v>W</x:v>
      </x:c>
      <x:c r="O116" t="str">
        <x:v>B</x:v>
      </x:c>
      <x:c r="P116" t="str">
        <x:v>W</x:v>
      </x:c>
      <x:c r="Q116" t="str">
        <x:v>B</x:v>
      </x:c>
      <x:c r="R116" t="str">
        <x:v>B</x:v>
      </x:c>
      <x:c r="S116" t="str">
        <x:v>B</x:v>
      </x:c>
      <x:c r="T116" t="str">
        <x:v>B</x:v>
      </x:c>
      <x:c r="U116" t="str">
        <x:v>B</x:v>
      </x:c>
      <x:c r="V116" t="n">
        <x:f>COUNTIF(B116:U116,"W")</x:f>
        <x:v>8</x:v>
      </x:c>
      <x:c r="W116" s="5" t="str">
        <x:f>IF(COUNTIF(B116:D116,"W")&gt;0,"Y","N")</x:f>
        <x:v>Y</x:v>
      </x:c>
      <x:c r="X116" s="1"/>
      <x:c r="Y116" s="1"/>
      <x:c r="Z116" s="1"/>
      <x:c r="AA116" s="1"/>
      <x:c r="AB116" s="1"/>
      <x:c r="AC116" s="1"/>
      <x:c r="AD116" s="1"/>
    </x:row>
    <x:row r="117">
      <x:c r="A117" s="1">
        <x:v>116</x:v>
      </x:c>
      <x:c r="B117" t="str">
        <x:v>B</x:v>
      </x:c>
      <x:c r="C117" t="str">
        <x:v>W</x:v>
      </x:c>
      <x:c r="D117" t="str">
        <x:v>B</x:v>
      </x:c>
      <x:c r="E117" t="str">
        <x:v>B</x:v>
      </x:c>
      <x:c r="F117" t="str">
        <x:v>W</x:v>
      </x:c>
      <x:c r="G117" t="str">
        <x:v>B</x:v>
      </x:c>
      <x:c r="H117" t="str">
        <x:v>B</x:v>
      </x:c>
      <x:c r="I117" t="str">
        <x:v>W</x:v>
      </x:c>
      <x:c r="J117" t="str">
        <x:v>W</x:v>
      </x:c>
      <x:c r="K117" t="str">
        <x:v>B</x:v>
      </x:c>
      <x:c r="L117" t="str">
        <x:v>B</x:v>
      </x:c>
      <x:c r="M117" t="str">
        <x:v>B</x:v>
      </x:c>
      <x:c r="N117" t="str">
        <x:v>B</x:v>
      </x:c>
      <x:c r="O117" t="str">
        <x:v>W</x:v>
      </x:c>
      <x:c r="P117" t="str">
        <x:v>W</x:v>
      </x:c>
      <x:c r="Q117" t="str">
        <x:v>W</x:v>
      </x:c>
      <x:c r="R117" t="str">
        <x:v>B</x:v>
      </x:c>
      <x:c r="S117" t="str">
        <x:v>B</x:v>
      </x:c>
      <x:c r="T117" t="str">
        <x:v>B</x:v>
      </x:c>
      <x:c r="U117" t="str">
        <x:v>W</x:v>
      </x:c>
      <x:c r="V117" t="n">
        <x:f>COUNTIF(B117:U117,"W")</x:f>
        <x:v>8</x:v>
      </x:c>
      <x:c r="W117" s="5" t="str">
        <x:f>IF(COUNTIF(B117:D117,"W")&gt;0,"Y","N")</x:f>
        <x:v>Y</x:v>
      </x:c>
      <x:c r="X117" s="1"/>
      <x:c r="Y117" s="1"/>
      <x:c r="Z117" s="1"/>
      <x:c r="AA117" s="1"/>
      <x:c r="AB117" s="1"/>
      <x:c r="AC117" s="1"/>
      <x:c r="AD117" s="1"/>
    </x:row>
    <x:row r="118">
      <x:c r="A118" s="1">
        <x:v>117</x:v>
      </x:c>
      <x:c r="B118" t="str">
        <x:v>W</x:v>
      </x:c>
      <x:c r="C118" t="str">
        <x:v>W</x:v>
      </x:c>
      <x:c r="D118" t="str">
        <x:v>W</x:v>
      </x:c>
      <x:c r="E118" t="str">
        <x:v>B</x:v>
      </x:c>
      <x:c r="F118" t="str">
        <x:v>B</x:v>
      </x:c>
      <x:c r="G118" t="str">
        <x:v>B</x:v>
      </x:c>
      <x:c r="H118" t="str">
        <x:v>W</x:v>
      </x:c>
      <x:c r="I118" t="str">
        <x:v>B</x:v>
      </x:c>
      <x:c r="J118" t="str">
        <x:v>B</x:v>
      </x:c>
      <x:c r="K118" t="str">
        <x:v>B</x:v>
      </x:c>
      <x:c r="L118" t="str">
        <x:v>W</x:v>
      </x:c>
      <x:c r="M118" t="str">
        <x:v>B</x:v>
      </x:c>
      <x:c r="N118" t="str">
        <x:v>B</x:v>
      </x:c>
      <x:c r="O118" t="str">
        <x:v>B</x:v>
      </x:c>
      <x:c r="P118" t="str">
        <x:v>B</x:v>
      </x:c>
      <x:c r="Q118" t="str">
        <x:v>B</x:v>
      </x:c>
      <x:c r="R118" t="str">
        <x:v>B</x:v>
      </x:c>
      <x:c r="S118" t="str">
        <x:v>B</x:v>
      </x:c>
      <x:c r="T118" t="str">
        <x:v>B</x:v>
      </x:c>
      <x:c r="U118" t="str">
        <x:v>B</x:v>
      </x:c>
      <x:c r="V118" t="n">
        <x:f>COUNTIF(B118:U118,"W")</x:f>
        <x:v>5</x:v>
      </x:c>
      <x:c r="W118" s="5" t="str">
        <x:f>IF(COUNTIF(B118:D118,"W")&gt;0,"Y","N")</x:f>
        <x:v>Y</x:v>
      </x:c>
      <x:c r="X118" s="1"/>
      <x:c r="Y118" s="1"/>
      <x:c r="Z118" s="1"/>
      <x:c r="AA118" s="1"/>
      <x:c r="AB118" s="1"/>
      <x:c r="AC118" s="1"/>
      <x:c r="AD118" s="1"/>
    </x:row>
    <x:row r="119">
      <x:c r="A119" s="1">
        <x:v>118</x:v>
      </x:c>
      <x:c r="B119" t="str">
        <x:v>B</x:v>
      </x:c>
      <x:c r="C119" t="str">
        <x:v>B</x:v>
      </x:c>
      <x:c r="D119" t="str">
        <x:v>B</x:v>
      </x:c>
      <x:c r="E119" t="str">
        <x:v>B</x:v>
      </x:c>
      <x:c r="F119" t="str">
        <x:v>B</x:v>
      </x:c>
      <x:c r="G119" t="str">
        <x:v>B</x:v>
      </x:c>
      <x:c r="H119" t="str">
        <x:v>B</x:v>
      </x:c>
      <x:c r="I119" t="str">
        <x:v>B</x:v>
      </x:c>
      <x:c r="J119" t="str">
        <x:v>B</x:v>
      </x:c>
      <x:c r="K119" t="str">
        <x:v>W</x:v>
      </x:c>
      <x:c r="L119" t="str">
        <x:v>B</x:v>
      </x:c>
      <x:c r="M119" t="str">
        <x:v>B</x:v>
      </x:c>
      <x:c r="N119" t="str">
        <x:v>W</x:v>
      </x:c>
      <x:c r="O119" t="str">
        <x:v>B</x:v>
      </x:c>
      <x:c r="P119" t="str">
        <x:v>B</x:v>
      </x:c>
      <x:c r="Q119" t="str">
        <x:v>W</x:v>
      </x:c>
      <x:c r="R119" t="str">
        <x:v>W</x:v>
      </x:c>
      <x:c r="S119" t="str">
        <x:v>B</x:v>
      </x:c>
      <x:c r="T119" t="str">
        <x:v>B</x:v>
      </x:c>
      <x:c r="U119" t="str">
        <x:v>W</x:v>
      </x:c>
      <x:c r="V119" t="n">
        <x:f>COUNTIF(B119:U119,"W")</x:f>
        <x:v>5</x:v>
      </x:c>
      <x:c r="W119" s="5" t="str">
        <x:f>IF(COUNTIF(B119:D119,"W")&gt;0,"Y","N")</x:f>
        <x:v>N</x:v>
      </x:c>
      <x:c r="X119" s="1"/>
      <x:c r="Y119" s="1"/>
      <x:c r="Z119" s="1"/>
      <x:c r="AA119" s="1"/>
      <x:c r="AB119" s="1"/>
      <x:c r="AC119" s="1"/>
      <x:c r="AD119" s="1"/>
    </x:row>
    <x:row r="120">
      <x:c r="A120" s="1">
        <x:v>119</x:v>
      </x:c>
      <x:c r="B120" t="str">
        <x:v>B</x:v>
      </x:c>
      <x:c r="C120" t="str">
        <x:v>B</x:v>
      </x:c>
      <x:c r="D120" t="str">
        <x:v>B</x:v>
      </x:c>
      <x:c r="E120" t="str">
        <x:v>B</x:v>
      </x:c>
      <x:c r="F120" t="str">
        <x:v>B</x:v>
      </x:c>
      <x:c r="G120" t="str">
        <x:v>W</x:v>
      </x:c>
      <x:c r="H120" t="str">
        <x:v>W</x:v>
      </x:c>
      <x:c r="I120" t="str">
        <x:v>B</x:v>
      </x:c>
      <x:c r="J120" t="str">
        <x:v>B</x:v>
      </x:c>
      <x:c r="K120" t="str">
        <x:v>B</x:v>
      </x:c>
      <x:c r="L120" t="str">
        <x:v>B</x:v>
      </x:c>
      <x:c r="M120" t="str">
        <x:v>B</x:v>
      </x:c>
      <x:c r="N120" t="str">
        <x:v>W</x:v>
      </x:c>
      <x:c r="O120" t="str">
        <x:v>B</x:v>
      </x:c>
      <x:c r="P120" t="str">
        <x:v>B</x:v>
      </x:c>
      <x:c r="Q120" t="str">
        <x:v>B</x:v>
      </x:c>
      <x:c r="R120" t="str">
        <x:v>B</x:v>
      </x:c>
      <x:c r="S120" t="str">
        <x:v>B</x:v>
      </x:c>
      <x:c r="T120" t="str">
        <x:v>B</x:v>
      </x:c>
      <x:c r="U120" t="str">
        <x:v>B</x:v>
      </x:c>
      <x:c r="V120" t="n">
        <x:f>COUNTIF(B120:U120,"W")</x:f>
        <x:v>3</x:v>
      </x:c>
      <x:c r="W120" s="5" t="str">
        <x:f>IF(COUNTIF(B120:D120,"W")&gt;0,"Y","N")</x:f>
        <x:v>N</x:v>
      </x:c>
      <x:c r="X120" s="1"/>
      <x:c r="Y120" s="1"/>
      <x:c r="Z120" s="1"/>
      <x:c r="AA120" s="1"/>
      <x:c r="AB120" s="1"/>
      <x:c r="AC120" s="1"/>
      <x:c r="AD120" s="1"/>
    </x:row>
    <x:row r="121">
      <x:c r="A121" s="1">
        <x:v>120</x:v>
      </x:c>
      <x:c r="B121" t="str">
        <x:v>B</x:v>
      </x:c>
      <x:c r="C121" t="str">
        <x:v>W</x:v>
      </x:c>
      <x:c r="D121" t="str">
        <x:v>W</x:v>
      </x:c>
      <x:c r="E121" t="str">
        <x:v>B</x:v>
      </x:c>
      <x:c r="F121" t="str">
        <x:v>W</x:v>
      </x:c>
      <x:c r="G121" t="str">
        <x:v>W</x:v>
      </x:c>
      <x:c r="H121" t="str">
        <x:v>W</x:v>
      </x:c>
      <x:c r="I121" t="str">
        <x:v>W</x:v>
      </x:c>
      <x:c r="J121" t="str">
        <x:v>B</x:v>
      </x:c>
      <x:c r="K121" t="str">
        <x:v>B</x:v>
      </x:c>
      <x:c r="L121" t="str">
        <x:v>W</x:v>
      </x:c>
      <x:c r="M121" t="str">
        <x:v>W</x:v>
      </x:c>
      <x:c r="N121" t="str">
        <x:v>W</x:v>
      </x:c>
      <x:c r="O121" t="str">
        <x:v>B</x:v>
      </x:c>
      <x:c r="P121" t="str">
        <x:v>W</x:v>
      </x:c>
      <x:c r="Q121" t="str">
        <x:v>W</x:v>
      </x:c>
      <x:c r="R121" t="str">
        <x:v>B</x:v>
      </x:c>
      <x:c r="S121" t="str">
        <x:v>B</x:v>
      </x:c>
      <x:c r="T121" t="str">
        <x:v>B</x:v>
      </x:c>
      <x:c r="U121" t="str">
        <x:v>W</x:v>
      </x:c>
      <x:c r="V121" t="n">
        <x:f>COUNTIF(B121:U121,"W")</x:f>
        <x:v>12</x:v>
      </x:c>
      <x:c r="W121" s="5" t="str">
        <x:f>IF(COUNTIF(B121:D121,"W")&gt;0,"Y","N")</x:f>
        <x:v>Y</x:v>
      </x:c>
      <x:c r="X121" s="1"/>
      <x:c r="Y121" s="1"/>
      <x:c r="Z121" s="1"/>
      <x:c r="AA121" s="1"/>
      <x:c r="AB121" s="1"/>
      <x:c r="AC121" s="1"/>
      <x:c r="AD121" s="1"/>
    </x:row>
    <x:row r="122">
      <x:c r="A122" s="1">
        <x:v>121</x:v>
      </x:c>
      <x:c r="B122" t="str">
        <x:v>B</x:v>
      </x:c>
      <x:c r="C122" t="str">
        <x:v>B</x:v>
      </x:c>
      <x:c r="D122" t="str">
        <x:v>B</x:v>
      </x:c>
      <x:c r="E122" t="str">
        <x:v>W</x:v>
      </x:c>
      <x:c r="F122" t="str">
        <x:v>B</x:v>
      </x:c>
      <x:c r="G122" t="str">
        <x:v>B</x:v>
      </x:c>
      <x:c r="H122" t="str">
        <x:v>W</x:v>
      </x:c>
      <x:c r="I122" t="str">
        <x:v>W</x:v>
      </x:c>
      <x:c r="J122" t="str">
        <x:v>W</x:v>
      </x:c>
      <x:c r="K122" t="str">
        <x:v>B</x:v>
      </x:c>
      <x:c r="L122" t="str">
        <x:v>W</x:v>
      </x:c>
      <x:c r="M122" t="str">
        <x:v>B</x:v>
      </x:c>
      <x:c r="N122" t="str">
        <x:v>B</x:v>
      </x:c>
      <x:c r="O122" t="str">
        <x:v>B</x:v>
      </x:c>
      <x:c r="P122" t="str">
        <x:v>B</x:v>
      </x:c>
      <x:c r="Q122" t="str">
        <x:v>B</x:v>
      </x:c>
      <x:c r="R122" t="str">
        <x:v>B</x:v>
      </x:c>
      <x:c r="S122" t="str">
        <x:v>B</x:v>
      </x:c>
      <x:c r="T122" t="str">
        <x:v>W</x:v>
      </x:c>
      <x:c r="U122" t="str">
        <x:v>B</x:v>
      </x:c>
      <x:c r="V122" t="n">
        <x:f>COUNTIF(B122:U122,"W")</x:f>
        <x:v>6</x:v>
      </x:c>
      <x:c r="W122" s="5" t="str">
        <x:f>IF(COUNTIF(B122:D122,"W")&gt;0,"Y","N")</x:f>
        <x:v>N</x:v>
      </x:c>
      <x:c r="X122" s="1"/>
      <x:c r="Y122" s="1"/>
      <x:c r="Z122" s="1"/>
      <x:c r="AA122" s="1"/>
      <x:c r="AB122" s="1"/>
      <x:c r="AC122" s="1"/>
      <x:c r="AD122" s="1"/>
    </x:row>
    <x:row r="123">
      <x:c r="A123" s="1">
        <x:v>122</x:v>
      </x:c>
      <x:c r="B123" t="str">
        <x:v>B</x:v>
      </x:c>
      <x:c r="C123" t="str">
        <x:v>B</x:v>
      </x:c>
      <x:c r="D123" t="str">
        <x:v>W</x:v>
      </x:c>
      <x:c r="E123" t="str">
        <x:v>B</x:v>
      </x:c>
      <x:c r="F123" t="str">
        <x:v>B</x:v>
      </x:c>
      <x:c r="G123" t="str">
        <x:v>W</x:v>
      </x:c>
      <x:c r="H123" t="str">
        <x:v>B</x:v>
      </x:c>
      <x:c r="I123" t="str">
        <x:v>B</x:v>
      </x:c>
      <x:c r="J123" t="str">
        <x:v>W</x:v>
      </x:c>
      <x:c r="K123" t="str">
        <x:v>W</x:v>
      </x:c>
      <x:c r="L123" t="str">
        <x:v>W</x:v>
      </x:c>
      <x:c r="M123" t="str">
        <x:v>B</x:v>
      </x:c>
      <x:c r="N123" t="str">
        <x:v>B</x:v>
      </x:c>
      <x:c r="O123" t="str">
        <x:v>B</x:v>
      </x:c>
      <x:c r="P123" t="str">
        <x:v>B</x:v>
      </x:c>
      <x:c r="Q123" t="str">
        <x:v>W</x:v>
      </x:c>
      <x:c r="R123" t="str">
        <x:v>B</x:v>
      </x:c>
      <x:c r="S123" t="str">
        <x:v>B</x:v>
      </x:c>
      <x:c r="T123" t="str">
        <x:v>B</x:v>
      </x:c>
      <x:c r="U123" t="str">
        <x:v>W</x:v>
      </x:c>
      <x:c r="V123" t="n">
        <x:f>COUNTIF(B123:U123,"W")</x:f>
        <x:v>7</x:v>
      </x:c>
      <x:c r="W123" s="5" t="str">
        <x:f>IF(COUNTIF(B123:D123,"W")&gt;0,"Y","N")</x:f>
        <x:v>Y</x:v>
      </x:c>
      <x:c r="X123" s="1"/>
      <x:c r="Y123" s="1"/>
      <x:c r="Z123" s="1"/>
      <x:c r="AA123" s="1"/>
      <x:c r="AB123" s="1"/>
      <x:c r="AC123" s="1"/>
      <x:c r="AD123" s="1"/>
    </x:row>
    <x:row r="124">
      <x:c r="A124" s="1">
        <x:v>123</x:v>
      </x:c>
      <x:c r="B124" t="str">
        <x:v>B</x:v>
      </x:c>
      <x:c r="C124" t="str">
        <x:v>B</x:v>
      </x:c>
      <x:c r="D124" t="str">
        <x:v>B</x:v>
      </x:c>
      <x:c r="E124" t="str">
        <x:v>W</x:v>
      </x:c>
      <x:c r="F124" t="str">
        <x:v>W</x:v>
      </x:c>
      <x:c r="G124" t="str">
        <x:v>B</x:v>
      </x:c>
      <x:c r="H124" t="str">
        <x:v>B</x:v>
      </x:c>
      <x:c r="I124" t="str">
        <x:v>W</x:v>
      </x:c>
      <x:c r="J124" t="str">
        <x:v>B</x:v>
      </x:c>
      <x:c r="K124" t="str">
        <x:v>W</x:v>
      </x:c>
      <x:c r="L124" t="str">
        <x:v>B</x:v>
      </x:c>
      <x:c r="M124" t="str">
        <x:v>B</x:v>
      </x:c>
      <x:c r="N124" t="str">
        <x:v>B</x:v>
      </x:c>
      <x:c r="O124" t="str">
        <x:v>B</x:v>
      </x:c>
      <x:c r="P124" t="str">
        <x:v>W</x:v>
      </x:c>
      <x:c r="Q124" t="str">
        <x:v>B</x:v>
      </x:c>
      <x:c r="R124" t="str">
        <x:v>W</x:v>
      </x:c>
      <x:c r="S124" t="str">
        <x:v>W</x:v>
      </x:c>
      <x:c r="T124" t="str">
        <x:v>W</x:v>
      </x:c>
      <x:c r="U124" t="str">
        <x:v>W</x:v>
      </x:c>
      <x:c r="V124" t="n">
        <x:f>COUNTIF(B124:U124,"W")</x:f>
        <x:v>9</x:v>
      </x:c>
      <x:c r="W124" s="5" t="str">
        <x:f>IF(COUNTIF(B124:D124,"W")&gt;0,"Y","N")</x:f>
        <x:v>N</x:v>
      </x:c>
      <x:c r="X124" s="1"/>
      <x:c r="Y124" s="1"/>
      <x:c r="Z124" s="1"/>
      <x:c r="AA124" s="1"/>
      <x:c r="AB124" s="1"/>
      <x:c r="AC124" s="1"/>
      <x:c r="AD124" s="1"/>
    </x:row>
    <x:row r="125">
      <x:c r="A125" s="1">
        <x:v>124</x:v>
      </x:c>
      <x:c r="B125" t="str">
        <x:v>B</x:v>
      </x:c>
      <x:c r="C125" t="str">
        <x:v>B</x:v>
      </x:c>
      <x:c r="D125" t="str">
        <x:v>W</x:v>
      </x:c>
      <x:c r="E125" t="str">
        <x:v>B</x:v>
      </x:c>
      <x:c r="F125" t="str">
        <x:v>B</x:v>
      </x:c>
      <x:c r="G125" t="str">
        <x:v>B</x:v>
      </x:c>
      <x:c r="H125" t="str">
        <x:v>W</x:v>
      </x:c>
      <x:c r="I125" t="str">
        <x:v>B</x:v>
      </x:c>
      <x:c r="J125" t="str">
        <x:v>B</x:v>
      </x:c>
      <x:c r="K125" t="str">
        <x:v>B</x:v>
      </x:c>
      <x:c r="L125" t="str">
        <x:v>B</x:v>
      </x:c>
      <x:c r="M125" t="str">
        <x:v>B</x:v>
      </x:c>
      <x:c r="N125" t="str">
        <x:v>W</x:v>
      </x:c>
      <x:c r="O125" t="str">
        <x:v>W</x:v>
      </x:c>
      <x:c r="P125" t="str">
        <x:v>B</x:v>
      </x:c>
      <x:c r="Q125" t="str">
        <x:v>B</x:v>
      </x:c>
      <x:c r="R125" t="str">
        <x:v>W</x:v>
      </x:c>
      <x:c r="S125" t="str">
        <x:v>W</x:v>
      </x:c>
      <x:c r="T125" t="str">
        <x:v>W</x:v>
      </x:c>
      <x:c r="U125" t="str">
        <x:v>W</x:v>
      </x:c>
      <x:c r="V125" t="n">
        <x:f>COUNTIF(B125:U125,"W")</x:f>
        <x:v>8</x:v>
      </x:c>
      <x:c r="W125" s="5" t="str">
        <x:f>IF(COUNTIF(B125:D125,"W")&gt;0,"Y","N")</x:f>
        <x:v>Y</x:v>
      </x:c>
      <x:c r="X125" s="1"/>
      <x:c r="Y125" s="1"/>
      <x:c r="Z125" s="1"/>
      <x:c r="AA125" s="1"/>
      <x:c r="AB125" s="1"/>
      <x:c r="AC125" s="1"/>
      <x:c r="AD125" s="1"/>
    </x:row>
    <x:row r="126">
      <x:c r="A126" s="1">
        <x:v>125</x:v>
      </x:c>
      <x:c r="B126" t="str">
        <x:v>B</x:v>
      </x:c>
      <x:c r="C126" t="str">
        <x:v>B</x:v>
      </x:c>
      <x:c r="D126" t="str">
        <x:v>W</x:v>
      </x:c>
      <x:c r="E126" t="str">
        <x:v>B</x:v>
      </x:c>
      <x:c r="F126" t="str">
        <x:v>B</x:v>
      </x:c>
      <x:c r="G126" t="str">
        <x:v>B</x:v>
      </x:c>
      <x:c r="H126" t="str">
        <x:v>B</x:v>
      </x:c>
      <x:c r="I126" t="str">
        <x:v>W</x:v>
      </x:c>
      <x:c r="J126" t="str">
        <x:v>W</x:v>
      </x:c>
      <x:c r="K126" t="str">
        <x:v>B</x:v>
      </x:c>
      <x:c r="L126" t="str">
        <x:v>B</x:v>
      </x:c>
      <x:c r="M126" t="str">
        <x:v>W</x:v>
      </x:c>
      <x:c r="N126" t="str">
        <x:v>B</x:v>
      </x:c>
      <x:c r="O126" t="str">
        <x:v>B</x:v>
      </x:c>
      <x:c r="P126" t="str">
        <x:v>B</x:v>
      </x:c>
      <x:c r="Q126" t="str">
        <x:v>B</x:v>
      </x:c>
      <x:c r="R126" t="str">
        <x:v>B</x:v>
      </x:c>
      <x:c r="S126" t="str">
        <x:v>B</x:v>
      </x:c>
      <x:c r="T126" t="str">
        <x:v>W</x:v>
      </x:c>
      <x:c r="U126" t="str">
        <x:v>B</x:v>
      </x:c>
      <x:c r="V126" t="n">
        <x:f>COUNTIF(B126:U126,"W")</x:f>
        <x:v>5</x:v>
      </x:c>
      <x:c r="W126" s="5" t="str">
        <x:f>IF(COUNTIF(B126:D126,"W")&gt;0,"Y","N")</x:f>
        <x:v>Y</x:v>
      </x:c>
      <x:c r="X126" s="1"/>
      <x:c r="Y126" s="1"/>
      <x:c r="Z126" s="1"/>
      <x:c r="AA126" s="1"/>
      <x:c r="AB126" s="1"/>
      <x:c r="AC126" s="1"/>
      <x:c r="AD126" s="1"/>
    </x:row>
    <x:row r="127">
      <x:c r="A127" s="1">
        <x:v>126</x:v>
      </x:c>
      <x:c r="B127" t="str">
        <x:v>B</x:v>
      </x:c>
      <x:c r="C127" t="str">
        <x:v>W</x:v>
      </x:c>
      <x:c r="D127" t="str">
        <x:v>B</x:v>
      </x:c>
      <x:c r="E127" t="str">
        <x:v>B</x:v>
      </x:c>
      <x:c r="F127" t="str">
        <x:v>W</x:v>
      </x:c>
      <x:c r="G127" t="str">
        <x:v>B</x:v>
      </x:c>
      <x:c r="H127" t="str">
        <x:v>W</x:v>
      </x:c>
      <x:c r="I127" t="str">
        <x:v>W</x:v>
      </x:c>
      <x:c r="J127" t="str">
        <x:v>W</x:v>
      </x:c>
      <x:c r="K127" t="str">
        <x:v>W</x:v>
      </x:c>
      <x:c r="L127" t="str">
        <x:v>W</x:v>
      </x:c>
      <x:c r="M127" t="str">
        <x:v>W</x:v>
      </x:c>
      <x:c r="N127" t="str">
        <x:v>B</x:v>
      </x:c>
      <x:c r="O127" t="str">
        <x:v>B</x:v>
      </x:c>
      <x:c r="P127" t="str">
        <x:v>B</x:v>
      </x:c>
      <x:c r="Q127" t="str">
        <x:v>B</x:v>
      </x:c>
      <x:c r="R127" t="str">
        <x:v>W</x:v>
      </x:c>
      <x:c r="S127" t="str">
        <x:v>B</x:v>
      </x:c>
      <x:c r="T127" t="str">
        <x:v>B</x:v>
      </x:c>
      <x:c r="U127" t="str">
        <x:v>W</x:v>
      </x:c>
      <x:c r="V127" t="n">
        <x:f>COUNTIF(B127:U127,"W")</x:f>
        <x:v>10</x:v>
      </x:c>
      <x:c r="W127" s="5" t="str">
        <x:f>IF(COUNTIF(B127:D127,"W")&gt;0,"Y","N")</x:f>
        <x:v>Y</x:v>
      </x:c>
      <x:c r="X127" s="1"/>
      <x:c r="Y127" s="1"/>
      <x:c r="Z127" s="1"/>
      <x:c r="AA127" s="1"/>
      <x:c r="AB127" s="1"/>
      <x:c r="AC127" s="1"/>
      <x:c r="AD127" s="1"/>
    </x:row>
    <x:row r="128">
      <x:c r="A128" s="1">
        <x:v>127</x:v>
      </x:c>
      <x:c r="B128" t="str">
        <x:v>B</x:v>
      </x:c>
      <x:c r="C128" t="str">
        <x:v>B</x:v>
      </x:c>
      <x:c r="D128" t="str">
        <x:v>B</x:v>
      </x:c>
      <x:c r="E128" t="str">
        <x:v>W</x:v>
      </x:c>
      <x:c r="F128" t="str">
        <x:v>B</x:v>
      </x:c>
      <x:c r="G128" t="str">
        <x:v>B</x:v>
      </x:c>
      <x:c r="H128" t="str">
        <x:v>W</x:v>
      </x:c>
      <x:c r="I128" t="str">
        <x:v>B</x:v>
      </x:c>
      <x:c r="J128" t="str">
        <x:v>B</x:v>
      </x:c>
      <x:c r="K128" t="str">
        <x:v>W</x:v>
      </x:c>
      <x:c r="L128" t="str">
        <x:v>B</x:v>
      </x:c>
      <x:c r="M128" t="str">
        <x:v>B</x:v>
      </x:c>
      <x:c r="N128" t="str">
        <x:v>B</x:v>
      </x:c>
      <x:c r="O128" t="str">
        <x:v>B</x:v>
      </x:c>
      <x:c r="P128" t="str">
        <x:v>B</x:v>
      </x:c>
      <x:c r="Q128" t="str">
        <x:v>B</x:v>
      </x:c>
      <x:c r="R128" t="str">
        <x:v>B</x:v>
      </x:c>
      <x:c r="S128" t="str">
        <x:v>W</x:v>
      </x:c>
      <x:c r="T128" t="str">
        <x:v>W</x:v>
      </x:c>
      <x:c r="U128" t="str">
        <x:v>B</x:v>
      </x:c>
      <x:c r="V128" t="n">
        <x:f>COUNTIF(B128:U128,"W")</x:f>
        <x:v>5</x:v>
      </x:c>
      <x:c r="W128" s="5" t="str">
        <x:f>IF(COUNTIF(B128:D128,"W")&gt;0,"Y","N")</x:f>
        <x:v>N</x:v>
      </x:c>
      <x:c r="X128" s="1"/>
      <x:c r="Y128" s="1"/>
      <x:c r="Z128" s="1"/>
      <x:c r="AA128" s="1"/>
      <x:c r="AB128" s="1"/>
      <x:c r="AC128" s="1"/>
      <x:c r="AD128" s="1"/>
    </x:row>
    <x:row r="129">
      <x:c r="A129" s="1">
        <x:v>128</x:v>
      </x:c>
      <x:c r="B129" t="str">
        <x:v>W</x:v>
      </x:c>
      <x:c r="C129" t="str">
        <x:v>W</x:v>
      </x:c>
      <x:c r="D129" t="str">
        <x:v>W</x:v>
      </x:c>
      <x:c r="E129" t="str">
        <x:v>B</x:v>
      </x:c>
      <x:c r="F129" t="str">
        <x:v>B</x:v>
      </x:c>
      <x:c r="G129" t="str">
        <x:v>B</x:v>
      </x:c>
      <x:c r="H129" t="str">
        <x:v>B</x:v>
      </x:c>
      <x:c r="I129" t="str">
        <x:v>B</x:v>
      </x:c>
      <x:c r="J129" t="str">
        <x:v>B</x:v>
      </x:c>
      <x:c r="K129" t="str">
        <x:v>B</x:v>
      </x:c>
      <x:c r="L129" t="str">
        <x:v>W</x:v>
      </x:c>
      <x:c r="M129" t="str">
        <x:v>B</x:v>
      </x:c>
      <x:c r="N129" t="str">
        <x:v>W</x:v>
      </x:c>
      <x:c r="O129" t="str">
        <x:v>B</x:v>
      </x:c>
      <x:c r="P129" t="str">
        <x:v>B</x:v>
      </x:c>
      <x:c r="Q129" t="str">
        <x:v>B</x:v>
      </x:c>
      <x:c r="R129" t="str">
        <x:v>W</x:v>
      </x:c>
      <x:c r="S129" t="str">
        <x:v>W</x:v>
      </x:c>
      <x:c r="T129" t="str">
        <x:v>W</x:v>
      </x:c>
      <x:c r="U129" t="str">
        <x:v>W</x:v>
      </x:c>
      <x:c r="V129" t="n">
        <x:f>COUNTIF(B129:U129,"W")</x:f>
        <x:v>9</x:v>
      </x:c>
      <x:c r="W129" s="5" t="str">
        <x:f>IF(COUNTIF(B129:D129,"W")&gt;0,"Y","N")</x:f>
        <x:v>Y</x:v>
      </x:c>
      <x:c r="X129" s="1"/>
      <x:c r="Y129" s="1"/>
      <x:c r="Z129" s="1"/>
      <x:c r="AA129" s="1"/>
      <x:c r="AB129" s="1"/>
      <x:c r="AC129" s="1"/>
      <x:c r="AD129" s="1"/>
    </x:row>
    <x:row r="130">
      <x:c r="A130" s="1">
        <x:v>129</x:v>
      </x:c>
      <x:c r="B130" t="str">
        <x:v>B</x:v>
      </x:c>
      <x:c r="C130" t="str">
        <x:v>B</x:v>
      </x:c>
      <x:c r="D130" t="str">
        <x:v>B</x:v>
      </x:c>
      <x:c r="E130" t="str">
        <x:v>B</x:v>
      </x:c>
      <x:c r="F130" t="str">
        <x:v>B</x:v>
      </x:c>
      <x:c r="G130" t="str">
        <x:v>W</x:v>
      </x:c>
      <x:c r="H130" t="str">
        <x:v>B</x:v>
      </x:c>
      <x:c r="I130" t="str">
        <x:v>B</x:v>
      </x:c>
      <x:c r="J130" t="str">
        <x:v>B</x:v>
      </x:c>
      <x:c r="K130" t="str">
        <x:v>W</x:v>
      </x:c>
      <x:c r="L130" t="str">
        <x:v>B</x:v>
      </x:c>
      <x:c r="M130" t="str">
        <x:v>W</x:v>
      </x:c>
      <x:c r="N130" t="str">
        <x:v>W</x:v>
      </x:c>
      <x:c r="O130" t="str">
        <x:v>B</x:v>
      </x:c>
      <x:c r="P130" t="str">
        <x:v>W</x:v>
      </x:c>
      <x:c r="Q130" t="str">
        <x:v>W</x:v>
      </x:c>
      <x:c r="R130" t="str">
        <x:v>W</x:v>
      </x:c>
      <x:c r="S130" t="str">
        <x:v>W</x:v>
      </x:c>
      <x:c r="T130" t="str">
        <x:v>W</x:v>
      </x:c>
      <x:c r="U130" t="str">
        <x:v>B</x:v>
      </x:c>
      <x:c r="V130" t="n">
        <x:f>COUNTIF(B130:U130,"W")</x:f>
        <x:v>9</x:v>
      </x:c>
      <x:c r="W130" s="5" t="str">
        <x:f>IF(COUNTIF(B130:D130,"W")&gt;0,"Y","N")</x:f>
        <x:v>N</x:v>
      </x:c>
      <x:c r="X130" s="1"/>
      <x:c r="Y130" s="1"/>
      <x:c r="Z130" s="1"/>
      <x:c r="AA130" s="1"/>
      <x:c r="AB130" s="1"/>
      <x:c r="AC130" s="1"/>
      <x:c r="AD130" s="1"/>
    </x:row>
    <x:row r="131">
      <x:c r="A131" s="1">
        <x:v>130</x:v>
      </x:c>
      <x:c r="B131" t="str">
        <x:v>W</x:v>
      </x:c>
      <x:c r="C131" t="str">
        <x:v>B</x:v>
      </x:c>
      <x:c r="D131" t="str">
        <x:v>W</x:v>
      </x:c>
      <x:c r="E131" t="str">
        <x:v>W</x:v>
      </x:c>
      <x:c r="F131" t="str">
        <x:v>W</x:v>
      </x:c>
      <x:c r="G131" t="str">
        <x:v>B</x:v>
      </x:c>
      <x:c r="H131" t="str">
        <x:v>B</x:v>
      </x:c>
      <x:c r="I131" t="str">
        <x:v>W</x:v>
      </x:c>
      <x:c r="J131" t="str">
        <x:v>B</x:v>
      </x:c>
      <x:c r="K131" t="str">
        <x:v>B</x:v>
      </x:c>
      <x:c r="L131" t="str">
        <x:v>B</x:v>
      </x:c>
      <x:c r="M131" t="str">
        <x:v>W</x:v>
      </x:c>
      <x:c r="N131" t="str">
        <x:v>B</x:v>
      </x:c>
      <x:c r="O131" t="str">
        <x:v>W</x:v>
      </x:c>
      <x:c r="P131" t="str">
        <x:v>B</x:v>
      </x:c>
      <x:c r="Q131" t="str">
        <x:v>B</x:v>
      </x:c>
      <x:c r="R131" t="str">
        <x:v>B</x:v>
      </x:c>
      <x:c r="S131" t="str">
        <x:v>B</x:v>
      </x:c>
      <x:c r="T131" t="str">
        <x:v>W</x:v>
      </x:c>
      <x:c r="U131" t="str">
        <x:v>B</x:v>
      </x:c>
      <x:c r="V131" t="n">
        <x:f>COUNTIF(B131:U131,"W")</x:f>
        <x:v>8</x:v>
      </x:c>
      <x:c r="W131" s="5" t="str">
        <x:f>IF(COUNTIF(B131:D131,"W")&gt;0,"Y","N")</x:f>
        <x:v>Y</x:v>
      </x:c>
      <x:c r="X131" s="1"/>
      <x:c r="Y131" s="1"/>
      <x:c r="Z131" s="1"/>
      <x:c r="AA131" s="1"/>
      <x:c r="AB131" s="1"/>
      <x:c r="AC131" s="1"/>
      <x:c r="AD131" s="1"/>
    </x:row>
    <x:row r="132">
      <x:c r="A132" s="1">
        <x:v>131</x:v>
      </x:c>
      <x:c r="B132" t="str">
        <x:v>W</x:v>
      </x:c>
      <x:c r="C132" t="str">
        <x:v>W</x:v>
      </x:c>
      <x:c r="D132" t="str">
        <x:v>B</x:v>
      </x:c>
      <x:c r="E132" t="str">
        <x:v>B</x:v>
      </x:c>
      <x:c r="F132" t="str">
        <x:v>W</x:v>
      </x:c>
      <x:c r="G132" t="str">
        <x:v>W</x:v>
      </x:c>
      <x:c r="H132" t="str">
        <x:v>W</x:v>
      </x:c>
      <x:c r="I132" t="str">
        <x:v>W</x:v>
      </x:c>
      <x:c r="J132" t="str">
        <x:v>W</x:v>
      </x:c>
      <x:c r="K132" t="str">
        <x:v>B</x:v>
      </x:c>
      <x:c r="L132" t="str">
        <x:v>W</x:v>
      </x:c>
      <x:c r="M132" t="str">
        <x:v>B</x:v>
      </x:c>
      <x:c r="N132" t="str">
        <x:v>W</x:v>
      </x:c>
      <x:c r="O132" t="str">
        <x:v>W</x:v>
      </x:c>
      <x:c r="P132" t="str">
        <x:v>B</x:v>
      </x:c>
      <x:c r="Q132" t="str">
        <x:v>B</x:v>
      </x:c>
      <x:c r="R132" t="str">
        <x:v>W</x:v>
      </x:c>
      <x:c r="S132" t="str">
        <x:v>B</x:v>
      </x:c>
      <x:c r="T132" t="str">
        <x:v>W</x:v>
      </x:c>
      <x:c r="U132" t="str">
        <x:v>W</x:v>
      </x:c>
      <x:c r="V132" t="n">
        <x:f>COUNTIF(B132:U132,"W")</x:f>
        <x:v>13</x:v>
      </x:c>
      <x:c r="W132" s="5" t="str">
        <x:f>IF(COUNTIF(B132:D132,"W")&gt;0,"Y","N")</x:f>
        <x:v>Y</x:v>
      </x:c>
      <x:c r="X132" s="1"/>
      <x:c r="Y132" s="1"/>
      <x:c r="Z132" s="1"/>
      <x:c r="AA132" s="1"/>
      <x:c r="AB132" s="1"/>
      <x:c r="AC132" s="1"/>
      <x:c r="AD132" s="1"/>
    </x:row>
    <x:row r="133">
      <x:c r="A133" s="1">
        <x:v>132</x:v>
      </x:c>
      <x:c r="B133" t="str">
        <x:v>B</x:v>
      </x:c>
      <x:c r="C133" t="str">
        <x:v>W</x:v>
      </x:c>
      <x:c r="D133" t="str">
        <x:v>B</x:v>
      </x:c>
      <x:c r="E133" t="str">
        <x:v>W</x:v>
      </x:c>
      <x:c r="F133" t="str">
        <x:v>B</x:v>
      </x:c>
      <x:c r="G133" t="str">
        <x:v>B</x:v>
      </x:c>
      <x:c r="H133" t="str">
        <x:v>B</x:v>
      </x:c>
      <x:c r="I133" t="str">
        <x:v>W</x:v>
      </x:c>
      <x:c r="J133" t="str">
        <x:v>B</x:v>
      </x:c>
      <x:c r="K133" t="str">
        <x:v>B</x:v>
      </x:c>
      <x:c r="L133" t="str">
        <x:v>B</x:v>
      </x:c>
      <x:c r="M133" t="str">
        <x:v>B</x:v>
      </x:c>
      <x:c r="N133" t="str">
        <x:v>B</x:v>
      </x:c>
      <x:c r="O133" t="str">
        <x:v>B</x:v>
      </x:c>
      <x:c r="P133" t="str">
        <x:v>B</x:v>
      </x:c>
      <x:c r="Q133" t="str">
        <x:v>B</x:v>
      </x:c>
      <x:c r="R133" t="str">
        <x:v>W</x:v>
      </x:c>
      <x:c r="S133" t="str">
        <x:v>B</x:v>
      </x:c>
      <x:c r="T133" t="str">
        <x:v>B</x:v>
      </x:c>
      <x:c r="U133" t="str">
        <x:v>B</x:v>
      </x:c>
      <x:c r="V133" t="n">
        <x:f>COUNTIF(B133:U133,"W")</x:f>
        <x:v>4</x:v>
      </x:c>
      <x:c r="W133" s="5" t="str">
        <x:f>IF(COUNTIF(B133:D133,"W")&gt;0,"Y","N")</x:f>
        <x:v>Y</x:v>
      </x:c>
      <x:c r="X133" s="1"/>
      <x:c r="Y133" s="1"/>
      <x:c r="Z133" s="1"/>
      <x:c r="AA133" s="1"/>
      <x:c r="AB133" s="1"/>
      <x:c r="AC133" s="1"/>
      <x:c r="AD133" s="1"/>
    </x:row>
    <x:row r="134">
      <x:c r="A134" s="1">
        <x:v>133</x:v>
      </x:c>
      <x:c r="B134" t="str">
        <x:v>B</x:v>
      </x:c>
      <x:c r="C134" t="str">
        <x:v>W</x:v>
      </x:c>
      <x:c r="D134" t="str">
        <x:v>W</x:v>
      </x:c>
      <x:c r="E134" t="str">
        <x:v>W</x:v>
      </x:c>
      <x:c r="F134" t="str">
        <x:v>W</x:v>
      </x:c>
      <x:c r="G134" t="str">
        <x:v>B</x:v>
      </x:c>
      <x:c r="H134" t="str">
        <x:v>B</x:v>
      </x:c>
      <x:c r="I134" t="str">
        <x:v>W</x:v>
      </x:c>
      <x:c r="J134" t="str">
        <x:v>B</x:v>
      </x:c>
      <x:c r="K134" t="str">
        <x:v>W</x:v>
      </x:c>
      <x:c r="L134" t="str">
        <x:v>W</x:v>
      </x:c>
      <x:c r="M134" t="str">
        <x:v>B</x:v>
      </x:c>
      <x:c r="N134" t="str">
        <x:v>B</x:v>
      </x:c>
      <x:c r="O134" t="str">
        <x:v>B</x:v>
      </x:c>
      <x:c r="P134" t="str">
        <x:v>B</x:v>
      </x:c>
      <x:c r="Q134" t="str">
        <x:v>W</x:v>
      </x:c>
      <x:c r="R134" t="str">
        <x:v>W</x:v>
      </x:c>
      <x:c r="S134" t="str">
        <x:v>B</x:v>
      </x:c>
      <x:c r="T134" t="str">
        <x:v>B</x:v>
      </x:c>
      <x:c r="U134" t="str">
        <x:v>W</x:v>
      </x:c>
      <x:c r="V134" t="n">
        <x:f>COUNTIF(B134:U134,"W")</x:f>
        <x:v>10</x:v>
      </x:c>
      <x:c r="W134" s="5" t="str">
        <x:f>IF(COUNTIF(B134:D134,"W")&gt;0,"Y","N")</x:f>
        <x:v>Y</x:v>
      </x:c>
      <x:c r="X134" s="1"/>
      <x:c r="Y134" s="1"/>
      <x:c r="Z134" s="1"/>
      <x:c r="AA134" s="1"/>
      <x:c r="AB134" s="1"/>
      <x:c r="AC134" s="1"/>
      <x:c r="AD134" s="1"/>
    </x:row>
    <x:row r="135">
      <x:c r="A135" s="1">
        <x:v>134</x:v>
      </x:c>
      <x:c r="B135" t="str">
        <x:v>B</x:v>
      </x:c>
      <x:c r="C135" t="str">
        <x:v>B</x:v>
      </x:c>
      <x:c r="D135" t="str">
        <x:v>B</x:v>
      </x:c>
      <x:c r="E135" t="str">
        <x:v>B</x:v>
      </x:c>
      <x:c r="F135" t="str">
        <x:v>B</x:v>
      </x:c>
      <x:c r="G135" t="str">
        <x:v>B</x:v>
      </x:c>
      <x:c r="H135" t="str">
        <x:v>B</x:v>
      </x:c>
      <x:c r="I135" t="str">
        <x:v>B</x:v>
      </x:c>
      <x:c r="J135" t="str">
        <x:v>B</x:v>
      </x:c>
      <x:c r="K135" t="str">
        <x:v>W</x:v>
      </x:c>
      <x:c r="L135" t="str">
        <x:v>B</x:v>
      </x:c>
      <x:c r="M135" t="str">
        <x:v>B</x:v>
      </x:c>
      <x:c r="N135" t="str">
        <x:v>W</x:v>
      </x:c>
      <x:c r="O135" t="str">
        <x:v>W</x:v>
      </x:c>
      <x:c r="P135" t="str">
        <x:v>B</x:v>
      </x:c>
      <x:c r="Q135" t="str">
        <x:v>B</x:v>
      </x:c>
      <x:c r="R135" t="str">
        <x:v>B</x:v>
      </x:c>
      <x:c r="S135" t="str">
        <x:v>W</x:v>
      </x:c>
      <x:c r="T135" t="str">
        <x:v>W</x:v>
      </x:c>
      <x:c r="U135" t="str">
        <x:v>B</x:v>
      </x:c>
      <x:c r="V135" t="n">
        <x:f>COUNTIF(B135:U135,"W")</x:f>
        <x:v>5</x:v>
      </x:c>
      <x:c r="W135" s="5" t="str">
        <x:f>IF(COUNTIF(B135:D135,"W")&gt;0,"Y","N")</x:f>
        <x:v>N</x:v>
      </x:c>
      <x:c r="X135" s="1"/>
      <x:c r="Y135" s="1"/>
      <x:c r="Z135" s="1"/>
      <x:c r="AA135" s="1"/>
      <x:c r="AB135" s="1"/>
      <x:c r="AC135" s="1"/>
      <x:c r="AD135" s="1"/>
    </x:row>
    <x:row r="136">
      <x:c r="A136" s="1">
        <x:v>135</x:v>
      </x:c>
      <x:c r="B136" t="str">
        <x:v>B</x:v>
      </x:c>
      <x:c r="C136" t="str">
        <x:v>B</x:v>
      </x:c>
      <x:c r="D136" t="str">
        <x:v>B</x:v>
      </x:c>
      <x:c r="E136" t="str">
        <x:v>W</x:v>
      </x:c>
      <x:c r="F136" t="str">
        <x:v>W</x:v>
      </x:c>
      <x:c r="G136" t="str">
        <x:v>B</x:v>
      </x:c>
      <x:c r="H136" t="str">
        <x:v>B</x:v>
      </x:c>
      <x:c r="I136" t="str">
        <x:v>W</x:v>
      </x:c>
      <x:c r="J136" t="str">
        <x:v>B</x:v>
      </x:c>
      <x:c r="K136" t="str">
        <x:v>B</x:v>
      </x:c>
      <x:c r="L136" t="str">
        <x:v>W</x:v>
      </x:c>
      <x:c r="M136" t="str">
        <x:v>W</x:v>
      </x:c>
      <x:c r="N136" t="str">
        <x:v>B</x:v>
      </x:c>
      <x:c r="O136" t="str">
        <x:v>B</x:v>
      </x:c>
      <x:c r="P136" t="str">
        <x:v>W</x:v>
      </x:c>
      <x:c r="Q136" t="str">
        <x:v>B</x:v>
      </x:c>
      <x:c r="R136" t="str">
        <x:v>B</x:v>
      </x:c>
      <x:c r="S136" t="str">
        <x:v>W</x:v>
      </x:c>
      <x:c r="T136" t="str">
        <x:v>B</x:v>
      </x:c>
      <x:c r="U136" t="str">
        <x:v>W</x:v>
      </x:c>
      <x:c r="V136" t="n">
        <x:f>COUNTIF(B136:U136,"W")</x:f>
        <x:v>8</x:v>
      </x:c>
      <x:c r="W136" s="5" t="str">
        <x:f>IF(COUNTIF(B136:D136,"W")&gt;0,"Y","N")</x:f>
        <x:v>N</x:v>
      </x:c>
      <x:c r="X136" s="1"/>
      <x:c r="Y136" s="1"/>
      <x:c r="Z136" s="1"/>
      <x:c r="AA136" s="1"/>
      <x:c r="AB136" s="1"/>
      <x:c r="AC136" s="1"/>
      <x:c r="AD136" s="1"/>
    </x:row>
    <x:row r="137">
      <x:c r="A137" s="1">
        <x:v>136</x:v>
      </x:c>
      <x:c r="B137" t="str">
        <x:v>B</x:v>
      </x:c>
      <x:c r="C137" t="str">
        <x:v>B</x:v>
      </x:c>
      <x:c r="D137" t="str">
        <x:v>B</x:v>
      </x:c>
      <x:c r="E137" t="str">
        <x:v>W</x:v>
      </x:c>
      <x:c r="F137" t="str">
        <x:v>B</x:v>
      </x:c>
      <x:c r="G137" t="str">
        <x:v>B</x:v>
      </x:c>
      <x:c r="H137" t="str">
        <x:v>B</x:v>
      </x:c>
      <x:c r="I137" t="str">
        <x:v>B</x:v>
      </x:c>
      <x:c r="J137" t="str">
        <x:v>W</x:v>
      </x:c>
      <x:c r="K137" t="str">
        <x:v>B</x:v>
      </x:c>
      <x:c r="L137" t="str">
        <x:v>B</x:v>
      </x:c>
      <x:c r="M137" t="str">
        <x:v>W</x:v>
      </x:c>
      <x:c r="N137" t="str">
        <x:v>W</x:v>
      </x:c>
      <x:c r="O137" t="str">
        <x:v>W</x:v>
      </x:c>
      <x:c r="P137" t="str">
        <x:v>W</x:v>
      </x:c>
      <x:c r="Q137" t="str">
        <x:v>W</x:v>
      </x:c>
      <x:c r="R137" t="str">
        <x:v>B</x:v>
      </x:c>
      <x:c r="S137" t="str">
        <x:v>B</x:v>
      </x:c>
      <x:c r="T137" t="str">
        <x:v>W</x:v>
      </x:c>
      <x:c r="U137" t="str">
        <x:v>B</x:v>
      </x:c>
      <x:c r="V137" t="n">
        <x:f>COUNTIF(B137:U137,"W")</x:f>
        <x:v>8</x:v>
      </x:c>
      <x:c r="W137" s="5" t="str">
        <x:f>IF(COUNTIF(B137:D137,"W")&gt;0,"Y","N")</x:f>
        <x:v>N</x:v>
      </x:c>
      <x:c r="X137" s="1"/>
      <x:c r="Y137" s="1"/>
      <x:c r="Z137" s="1"/>
      <x:c r="AA137" s="1"/>
      <x:c r="AB137" s="1"/>
      <x:c r="AC137" s="1"/>
      <x:c r="AD137" s="1"/>
    </x:row>
    <x:row r="138">
      <x:c r="A138" s="1">
        <x:v>137</x:v>
      </x:c>
      <x:c r="B138" t="str">
        <x:v>W</x:v>
      </x:c>
      <x:c r="C138" t="str">
        <x:v>B</x:v>
      </x:c>
      <x:c r="D138" t="str">
        <x:v>B</x:v>
      </x:c>
      <x:c r="E138" t="str">
        <x:v>B</x:v>
      </x:c>
      <x:c r="F138" t="str">
        <x:v>W</x:v>
      </x:c>
      <x:c r="G138" t="str">
        <x:v>B</x:v>
      </x:c>
      <x:c r="H138" t="str">
        <x:v>B</x:v>
      </x:c>
      <x:c r="I138" t="str">
        <x:v>W</x:v>
      </x:c>
      <x:c r="J138" t="str">
        <x:v>B</x:v>
      </x:c>
      <x:c r="K138" t="str">
        <x:v>W</x:v>
      </x:c>
      <x:c r="L138" t="str">
        <x:v>W</x:v>
      </x:c>
      <x:c r="M138" t="str">
        <x:v>B</x:v>
      </x:c>
      <x:c r="N138" t="str">
        <x:v>B</x:v>
      </x:c>
      <x:c r="O138" t="str">
        <x:v>B</x:v>
      </x:c>
      <x:c r="P138" t="str">
        <x:v>B</x:v>
      </x:c>
      <x:c r="Q138" t="str">
        <x:v>W</x:v>
      </x:c>
      <x:c r="R138" t="str">
        <x:v>W</x:v>
      </x:c>
      <x:c r="S138" t="str">
        <x:v>W</x:v>
      </x:c>
      <x:c r="T138" t="str">
        <x:v>B</x:v>
      </x:c>
      <x:c r="U138" t="str">
        <x:v>B</x:v>
      </x:c>
      <x:c r="V138" t="n">
        <x:f>COUNTIF(B138:U138,"W")</x:f>
        <x:v>8</x:v>
      </x:c>
      <x:c r="W138" s="5" t="str">
        <x:f>IF(COUNTIF(B138:D138,"W")&gt;0,"Y","N")</x:f>
        <x:v>Y</x:v>
      </x:c>
      <x:c r="X138" s="1"/>
      <x:c r="Y138" s="1"/>
      <x:c r="Z138" s="1"/>
      <x:c r="AA138" s="1"/>
      <x:c r="AB138" s="1"/>
      <x:c r="AC138" s="1"/>
      <x:c r="AD138" s="1"/>
    </x:row>
    <x:row r="139">
      <x:c r="A139" s="1">
        <x:v>138</x:v>
      </x:c>
      <x:c r="B139" t="str">
        <x:v>W</x:v>
      </x:c>
      <x:c r="C139" t="str">
        <x:v>B</x:v>
      </x:c>
      <x:c r="D139" t="str">
        <x:v>B</x:v>
      </x:c>
      <x:c r="E139" t="str">
        <x:v>W</x:v>
      </x:c>
      <x:c r="F139" t="str">
        <x:v>B</x:v>
      </x:c>
      <x:c r="G139" t="str">
        <x:v>W</x:v>
      </x:c>
      <x:c r="H139" t="str">
        <x:v>W</x:v>
      </x:c>
      <x:c r="I139" t="str">
        <x:v>B</x:v>
      </x:c>
      <x:c r="J139" t="str">
        <x:v>B</x:v>
      </x:c>
      <x:c r="K139" t="str">
        <x:v>B</x:v>
      </x:c>
      <x:c r="L139" t="str">
        <x:v>B</x:v>
      </x:c>
      <x:c r="M139" t="str">
        <x:v>W</x:v>
      </x:c>
      <x:c r="N139" t="str">
        <x:v>W</x:v>
      </x:c>
      <x:c r="O139" t="str">
        <x:v>B</x:v>
      </x:c>
      <x:c r="P139" t="str">
        <x:v>W</x:v>
      </x:c>
      <x:c r="Q139" t="str">
        <x:v>W</x:v>
      </x:c>
      <x:c r="R139" t="str">
        <x:v>W</x:v>
      </x:c>
      <x:c r="S139" t="str">
        <x:v>B</x:v>
      </x:c>
      <x:c r="T139" t="str">
        <x:v>W</x:v>
      </x:c>
      <x:c r="U139" t="str">
        <x:v>B</x:v>
      </x:c>
      <x:c r="V139" t="n">
        <x:f>COUNTIF(B139:U139,"W")</x:f>
        <x:v>10</x:v>
      </x:c>
      <x:c r="W139" s="5" t="str">
        <x:f>IF(COUNTIF(B139:D139,"W")&gt;0,"Y","N")</x:f>
        <x:v>Y</x:v>
      </x:c>
      <x:c r="X139" s="1"/>
      <x:c r="Y139" s="1"/>
      <x:c r="Z139" s="1"/>
      <x:c r="AA139" s="1"/>
      <x:c r="AB139" s="1"/>
      <x:c r="AC139" s="1"/>
      <x:c r="AD139" s="1"/>
    </x:row>
    <x:row r="140">
      <x:c r="A140" s="1">
        <x:v>139</x:v>
      </x:c>
      <x:c r="B140" t="str">
        <x:v>B</x:v>
      </x:c>
      <x:c r="C140" t="str">
        <x:v>W</x:v>
      </x:c>
      <x:c r="D140" t="str">
        <x:v>B</x:v>
      </x:c>
      <x:c r="E140" t="str">
        <x:v>W</x:v>
      </x:c>
      <x:c r="F140" t="str">
        <x:v>W</x:v>
      </x:c>
      <x:c r="G140" t="str">
        <x:v>B</x:v>
      </x:c>
      <x:c r="H140" t="str">
        <x:v>B</x:v>
      </x:c>
      <x:c r="I140" t="str">
        <x:v>B</x:v>
      </x:c>
      <x:c r="J140" t="str">
        <x:v>W</x:v>
      </x:c>
      <x:c r="K140" t="str">
        <x:v>B</x:v>
      </x:c>
      <x:c r="L140" t="str">
        <x:v>B</x:v>
      </x:c>
      <x:c r="M140" t="str">
        <x:v>B</x:v>
      </x:c>
      <x:c r="N140" t="str">
        <x:v>W</x:v>
      </x:c>
      <x:c r="O140" t="str">
        <x:v>W</x:v>
      </x:c>
      <x:c r="P140" t="str">
        <x:v>B</x:v>
      </x:c>
      <x:c r="Q140" t="str">
        <x:v>B</x:v>
      </x:c>
      <x:c r="R140" t="str">
        <x:v>W</x:v>
      </x:c>
      <x:c r="S140" t="str">
        <x:v>W</x:v>
      </x:c>
      <x:c r="T140" t="str">
        <x:v>W</x:v>
      </x:c>
      <x:c r="U140" t="str">
        <x:v>W</x:v>
      </x:c>
      <x:c r="V140" t="n">
        <x:f>COUNTIF(B140:U140,"W")</x:f>
        <x:v>10</x:v>
      </x:c>
      <x:c r="W140" s="5" t="str">
        <x:f>IF(COUNTIF(B140:D140,"W")&gt;0,"Y","N")</x:f>
        <x:v>Y</x:v>
      </x:c>
      <x:c r="X140" s="1"/>
      <x:c r="Y140" s="1"/>
      <x:c r="Z140" s="1"/>
      <x:c r="AA140" s="1"/>
      <x:c r="AB140" s="1"/>
      <x:c r="AC140" s="1"/>
      <x:c r="AD140" s="1"/>
    </x:row>
    <x:row r="141">
      <x:c r="A141" s="1">
        <x:v>140</x:v>
      </x:c>
      <x:c r="B141" t="str">
        <x:v>B</x:v>
      </x:c>
      <x:c r="C141" t="str">
        <x:v>B</x:v>
      </x:c>
      <x:c r="D141" t="str">
        <x:v>B</x:v>
      </x:c>
      <x:c r="E141" t="str">
        <x:v>W</x:v>
      </x:c>
      <x:c r="F141" t="str">
        <x:v>B</x:v>
      </x:c>
      <x:c r="G141" t="str">
        <x:v>B</x:v>
      </x:c>
      <x:c r="H141" t="str">
        <x:v>W</x:v>
      </x:c>
      <x:c r="I141" t="str">
        <x:v>B</x:v>
      </x:c>
      <x:c r="J141" t="str">
        <x:v>B</x:v>
      </x:c>
      <x:c r="K141" t="str">
        <x:v>W</x:v>
      </x:c>
      <x:c r="L141" t="str">
        <x:v>B</x:v>
      </x:c>
      <x:c r="M141" t="str">
        <x:v>W</x:v>
      </x:c>
      <x:c r="N141" t="str">
        <x:v>B</x:v>
      </x:c>
      <x:c r="O141" t="str">
        <x:v>B</x:v>
      </x:c>
      <x:c r="P141" t="str">
        <x:v>B</x:v>
      </x:c>
      <x:c r="Q141" t="str">
        <x:v>B</x:v>
      </x:c>
      <x:c r="R141" t="str">
        <x:v>W</x:v>
      </x:c>
      <x:c r="S141" t="str">
        <x:v>W</x:v>
      </x:c>
      <x:c r="T141" t="str">
        <x:v>B</x:v>
      </x:c>
      <x:c r="U141" t="str">
        <x:v>B</x:v>
      </x:c>
      <x:c r="V141" t="n">
        <x:f>COUNTIF(B141:U141,"W")</x:f>
        <x:v>6</x:v>
      </x:c>
      <x:c r="W141" s="5" t="str">
        <x:f>IF(COUNTIF(B141:D141,"W")&gt;0,"Y","N")</x:f>
        <x:v>N</x:v>
      </x:c>
      <x:c r="X141" s="1"/>
      <x:c r="Y141" s="1"/>
      <x:c r="Z141" s="1"/>
      <x:c r="AA141" s="1"/>
      <x:c r="AB141" s="1"/>
      <x:c r="AC141" s="1"/>
      <x:c r="AD141" s="1"/>
    </x:row>
    <x:row r="142">
      <x:c r="A142" s="1">
        <x:v>141</x:v>
      </x:c>
      <x:c r="B142" t="str">
        <x:v>W</x:v>
      </x:c>
      <x:c r="C142" t="str">
        <x:v>W</x:v>
      </x:c>
      <x:c r="D142" t="str">
        <x:v>W</x:v>
      </x:c>
      <x:c r="E142" t="str">
        <x:v>B</x:v>
      </x:c>
      <x:c r="F142" t="str">
        <x:v>B</x:v>
      </x:c>
      <x:c r="G142" t="str">
        <x:v>B</x:v>
      </x:c>
      <x:c r="H142" t="str">
        <x:v>W</x:v>
      </x:c>
      <x:c r="I142" t="str">
        <x:v>B</x:v>
      </x:c>
      <x:c r="J142" t="str">
        <x:v>B</x:v>
      </x:c>
      <x:c r="K142" t="str">
        <x:v>B</x:v>
      </x:c>
      <x:c r="L142" t="str">
        <x:v>W</x:v>
      </x:c>
      <x:c r="M142" t="str">
        <x:v>W</x:v>
      </x:c>
      <x:c r="N142" t="str">
        <x:v>B</x:v>
      </x:c>
      <x:c r="O142" t="str">
        <x:v>W</x:v>
      </x:c>
      <x:c r="P142" t="str">
        <x:v>B</x:v>
      </x:c>
      <x:c r="Q142" t="str">
        <x:v>B</x:v>
      </x:c>
      <x:c r="R142" t="str">
        <x:v>B</x:v>
      </x:c>
      <x:c r="S142" t="str">
        <x:v>B</x:v>
      </x:c>
      <x:c r="T142" t="str">
        <x:v>B</x:v>
      </x:c>
      <x:c r="U142" t="str">
        <x:v>W</x:v>
      </x:c>
      <x:c r="V142" t="n">
        <x:f>COUNTIF(B142:U142,"W")</x:f>
        <x:v>8</x:v>
      </x:c>
      <x:c r="W142" s="5" t="str">
        <x:f>IF(COUNTIF(B142:D142,"W")&gt;0,"Y","N")</x:f>
        <x:v>Y</x:v>
      </x:c>
      <x:c r="X142" s="1"/>
      <x:c r="Y142" s="1"/>
      <x:c r="Z142" s="1"/>
      <x:c r="AA142" s="1"/>
      <x:c r="AB142" s="1"/>
      <x:c r="AC142" s="1"/>
      <x:c r="AD142" s="1"/>
    </x:row>
    <x:row r="143">
      <x:c r="A143" s="1">
        <x:v>142</x:v>
      </x:c>
      <x:c r="B143" t="str">
        <x:v>B</x:v>
      </x:c>
      <x:c r="C143" t="str">
        <x:v>W</x:v>
      </x:c>
      <x:c r="D143" t="str">
        <x:v>B</x:v>
      </x:c>
      <x:c r="E143" t="str">
        <x:v>B</x:v>
      </x:c>
      <x:c r="F143" t="str">
        <x:v>B</x:v>
      </x:c>
      <x:c r="G143" t="str">
        <x:v>W</x:v>
      </x:c>
      <x:c r="H143" t="str">
        <x:v>W</x:v>
      </x:c>
      <x:c r="I143" t="str">
        <x:v>W</x:v>
      </x:c>
      <x:c r="J143" t="str">
        <x:v>B</x:v>
      </x:c>
      <x:c r="K143" t="str">
        <x:v>W</x:v>
      </x:c>
      <x:c r="L143" t="str">
        <x:v>B</x:v>
      </x:c>
      <x:c r="M143" t="str">
        <x:v>B</x:v>
      </x:c>
      <x:c r="N143" t="str">
        <x:v>B</x:v>
      </x:c>
      <x:c r="O143" t="str">
        <x:v>W</x:v>
      </x:c>
      <x:c r="P143" t="str">
        <x:v>B</x:v>
      </x:c>
      <x:c r="Q143" t="str">
        <x:v>W</x:v>
      </x:c>
      <x:c r="R143" t="str">
        <x:v>W</x:v>
      </x:c>
      <x:c r="S143" t="str">
        <x:v>B</x:v>
      </x:c>
      <x:c r="T143" t="str">
        <x:v>B</x:v>
      </x:c>
      <x:c r="U143" t="str">
        <x:v>B</x:v>
      </x:c>
      <x:c r="V143" t="n">
        <x:f>COUNTIF(B143:U143,"W")</x:f>
        <x:v>8</x:v>
      </x:c>
      <x:c r="W143" s="5" t="str">
        <x:f>IF(COUNTIF(B143:D143,"W")&gt;0,"Y","N")</x:f>
        <x:v>Y</x:v>
      </x:c>
      <x:c r="X143" s="1"/>
      <x:c r="Y143" s="1"/>
      <x:c r="Z143" s="1"/>
      <x:c r="AA143" s="1"/>
      <x:c r="AB143" s="1"/>
      <x:c r="AC143" s="1"/>
      <x:c r="AD143" s="1"/>
    </x:row>
    <x:row r="144">
      <x:c r="A144" s="1">
        <x:v>143</x:v>
      </x:c>
      <x:c r="B144" t="str">
        <x:v>B</x:v>
      </x:c>
      <x:c r="C144" t="str">
        <x:v>W</x:v>
      </x:c>
      <x:c r="D144" t="str">
        <x:v>B</x:v>
      </x:c>
      <x:c r="E144" t="str">
        <x:v>W</x:v>
      </x:c>
      <x:c r="F144" t="str">
        <x:v>B</x:v>
      </x:c>
      <x:c r="G144" t="str">
        <x:v>W</x:v>
      </x:c>
      <x:c r="H144" t="str">
        <x:v>W</x:v>
      </x:c>
      <x:c r="I144" t="str">
        <x:v>B</x:v>
      </x:c>
      <x:c r="J144" t="str">
        <x:v>B</x:v>
      </x:c>
      <x:c r="K144" t="str">
        <x:v>W</x:v>
      </x:c>
      <x:c r="L144" t="str">
        <x:v>W</x:v>
      </x:c>
      <x:c r="M144" t="str">
        <x:v>B</x:v>
      </x:c>
      <x:c r="N144" t="str">
        <x:v>B</x:v>
      </x:c>
      <x:c r="O144" t="str">
        <x:v>W</x:v>
      </x:c>
      <x:c r="P144" t="str">
        <x:v>W</x:v>
      </x:c>
      <x:c r="Q144" t="str">
        <x:v>B</x:v>
      </x:c>
      <x:c r="R144" t="str">
        <x:v>W</x:v>
      </x:c>
      <x:c r="S144" t="str">
        <x:v>B</x:v>
      </x:c>
      <x:c r="T144" t="str">
        <x:v>B</x:v>
      </x:c>
      <x:c r="U144" t="str">
        <x:v>B</x:v>
      </x:c>
      <x:c r="V144" t="n">
        <x:f>COUNTIF(B144:U144,"W")</x:f>
        <x:v>9</x:v>
      </x:c>
      <x:c r="W144" s="5" t="str">
        <x:f>IF(COUNTIF(B144:D144,"W")&gt;0,"Y","N")</x:f>
        <x:v>Y</x:v>
      </x:c>
      <x:c r="X144" s="1"/>
      <x:c r="Y144" s="1"/>
      <x:c r="Z144" s="1"/>
      <x:c r="AA144" s="1"/>
      <x:c r="AB144" s="1"/>
      <x:c r="AC144" s="1"/>
      <x:c r="AD144" s="1"/>
    </x:row>
    <x:row r="145">
      <x:c r="A145" s="1">
        <x:v>144</x:v>
      </x:c>
      <x:c r="B145" t="str">
        <x:v>W</x:v>
      </x:c>
      <x:c r="C145" t="str">
        <x:v>B</x:v>
      </x:c>
      <x:c r="D145" t="str">
        <x:v>B</x:v>
      </x:c>
      <x:c r="E145" t="str">
        <x:v>B</x:v>
      </x:c>
      <x:c r="F145" t="str">
        <x:v>W</x:v>
      </x:c>
      <x:c r="G145" t="str">
        <x:v>B</x:v>
      </x:c>
      <x:c r="H145" t="str">
        <x:v>B</x:v>
      </x:c>
      <x:c r="I145" t="str">
        <x:v>B</x:v>
      </x:c>
      <x:c r="J145" t="str">
        <x:v>B</x:v>
      </x:c>
      <x:c r="K145" t="str">
        <x:v>W</x:v>
      </x:c>
      <x:c r="L145" t="str">
        <x:v>B</x:v>
      </x:c>
      <x:c r="M145" t="str">
        <x:v>B</x:v>
      </x:c>
      <x:c r="N145" t="str">
        <x:v>W</x:v>
      </x:c>
      <x:c r="O145" t="str">
        <x:v>B</x:v>
      </x:c>
      <x:c r="P145" t="str">
        <x:v>B</x:v>
      </x:c>
      <x:c r="Q145" t="str">
        <x:v>B</x:v>
      </x:c>
      <x:c r="R145" t="str">
        <x:v>W</x:v>
      </x:c>
      <x:c r="S145" t="str">
        <x:v>B</x:v>
      </x:c>
      <x:c r="T145" t="str">
        <x:v>B</x:v>
      </x:c>
      <x:c r="U145" t="str">
        <x:v>B</x:v>
      </x:c>
      <x:c r="V145" t="n">
        <x:f>COUNTIF(B145:U145,"W")</x:f>
        <x:v>5</x:v>
      </x:c>
      <x:c r="W145" s="5" t="str">
        <x:f>IF(COUNTIF(B145:D145,"W")&gt;0,"Y","N")</x:f>
        <x:v>Y</x:v>
      </x:c>
      <x:c r="X145" s="1"/>
      <x:c r="Y145" s="1"/>
      <x:c r="Z145" s="1"/>
      <x:c r="AA145" s="1"/>
      <x:c r="AB145" s="1"/>
      <x:c r="AC145" s="1"/>
      <x:c r="AD145" s="1"/>
    </x:row>
    <x:row r="146">
      <x:c r="A146" s="1">
        <x:v>145</x:v>
      </x:c>
      <x:c r="B146" t="str">
        <x:v>B</x:v>
      </x:c>
      <x:c r="C146" t="str">
        <x:v>B</x:v>
      </x:c>
      <x:c r="D146" t="str">
        <x:v>W</x:v>
      </x:c>
      <x:c r="E146" t="str">
        <x:v>W</x:v>
      </x:c>
      <x:c r="F146" t="str">
        <x:v>W</x:v>
      </x:c>
      <x:c r="G146" t="str">
        <x:v>B</x:v>
      </x:c>
      <x:c r="H146" t="str">
        <x:v>B</x:v>
      </x:c>
      <x:c r="I146" t="str">
        <x:v>B</x:v>
      </x:c>
      <x:c r="J146" t="str">
        <x:v>B</x:v>
      </x:c>
      <x:c r="K146" t="str">
        <x:v>B</x:v>
      </x:c>
      <x:c r="L146" t="str">
        <x:v>B</x:v>
      </x:c>
      <x:c r="M146" t="str">
        <x:v>B</x:v>
      </x:c>
      <x:c r="N146" t="str">
        <x:v>W</x:v>
      </x:c>
      <x:c r="O146" t="str">
        <x:v>B</x:v>
      </x:c>
      <x:c r="P146" t="str">
        <x:v>B</x:v>
      </x:c>
      <x:c r="Q146" t="str">
        <x:v>B</x:v>
      </x:c>
      <x:c r="R146" t="str">
        <x:v>B</x:v>
      </x:c>
      <x:c r="S146" t="str">
        <x:v>W</x:v>
      </x:c>
      <x:c r="T146" t="str">
        <x:v>B</x:v>
      </x:c>
      <x:c r="U146" t="str">
        <x:v>B</x:v>
      </x:c>
      <x:c r="V146" t="n">
        <x:f>COUNTIF(B146:U146,"W")</x:f>
        <x:v>5</x:v>
      </x:c>
      <x:c r="W146" s="5" t="str">
        <x:f>IF(COUNTIF(B146:D146,"W")&gt;0,"Y","N")</x:f>
        <x:v>Y</x:v>
      </x:c>
      <x:c r="X146" s="1"/>
      <x:c r="Y146" s="1"/>
      <x:c r="Z146" s="1"/>
      <x:c r="AA146" s="1"/>
      <x:c r="AB146" s="1"/>
      <x:c r="AC146" s="1"/>
      <x:c r="AD146" s="1"/>
    </x:row>
    <x:row r="147">
      <x:c r="A147" s="1">
        <x:v>146</x:v>
      </x:c>
      <x:c r="B147" t="str">
        <x:v>W</x:v>
      </x:c>
      <x:c r="C147" t="str">
        <x:v>W</x:v>
      </x:c>
      <x:c r="D147" t="str">
        <x:v>B</x:v>
      </x:c>
      <x:c r="E147" t="str">
        <x:v>B</x:v>
      </x:c>
      <x:c r="F147" t="str">
        <x:v>B</x:v>
      </x:c>
      <x:c r="G147" t="str">
        <x:v>W</x:v>
      </x:c>
      <x:c r="H147" t="str">
        <x:v>W</x:v>
      </x:c>
      <x:c r="I147" t="str">
        <x:v>B</x:v>
      </x:c>
      <x:c r="J147" t="str">
        <x:v>B</x:v>
      </x:c>
      <x:c r="K147" t="str">
        <x:v>B</x:v>
      </x:c>
      <x:c r="L147" t="str">
        <x:v>B</x:v>
      </x:c>
      <x:c r="M147" t="str">
        <x:v>B</x:v>
      </x:c>
      <x:c r="N147" t="str">
        <x:v>W</x:v>
      </x:c>
      <x:c r="O147" t="str">
        <x:v>B</x:v>
      </x:c>
      <x:c r="P147" t="str">
        <x:v>B</x:v>
      </x:c>
      <x:c r="Q147" t="str">
        <x:v>B</x:v>
      </x:c>
      <x:c r="R147" t="str">
        <x:v>B</x:v>
      </x:c>
      <x:c r="S147" t="str">
        <x:v>W</x:v>
      </x:c>
      <x:c r="T147" t="str">
        <x:v>W</x:v>
      </x:c>
      <x:c r="U147" t="str">
        <x:v>B</x:v>
      </x:c>
      <x:c r="V147" t="n">
        <x:f>COUNTIF(B147:U147,"W")</x:f>
        <x:v>7</x:v>
      </x:c>
      <x:c r="W147" s="5" t="str">
        <x:f>IF(COUNTIF(B147:D147,"W")&gt;0,"Y","N")</x:f>
        <x:v>Y</x:v>
      </x:c>
      <x:c r="X147" s="1"/>
      <x:c r="Y147" s="1"/>
      <x:c r="Z147" s="1"/>
      <x:c r="AA147" s="1"/>
      <x:c r="AB147" s="1"/>
      <x:c r="AC147" s="1"/>
      <x:c r="AD147" s="1"/>
    </x:row>
    <x:row r="148">
      <x:c r="A148" s="1">
        <x:v>147</x:v>
      </x:c>
      <x:c r="B148" t="str">
        <x:v>B</x:v>
      </x:c>
      <x:c r="C148" t="str">
        <x:v>W</x:v>
      </x:c>
      <x:c r="D148" t="str">
        <x:v>B</x:v>
      </x:c>
      <x:c r="E148" t="str">
        <x:v>B</x:v>
      </x:c>
      <x:c r="F148" t="str">
        <x:v>B</x:v>
      </x:c>
      <x:c r="G148" t="str">
        <x:v>B</x:v>
      </x:c>
      <x:c r="H148" t="str">
        <x:v>B</x:v>
      </x:c>
      <x:c r="I148" t="str">
        <x:v>B</x:v>
      </x:c>
      <x:c r="J148" t="str">
        <x:v>B</x:v>
      </x:c>
      <x:c r="K148" t="str">
        <x:v>B</x:v>
      </x:c>
      <x:c r="L148" t="str">
        <x:v>B</x:v>
      </x:c>
      <x:c r="M148" t="str">
        <x:v>W</x:v>
      </x:c>
      <x:c r="N148" t="str">
        <x:v>B</x:v>
      </x:c>
      <x:c r="O148" t="str">
        <x:v>W</x:v>
      </x:c>
      <x:c r="P148" t="str">
        <x:v>W</x:v>
      </x:c>
      <x:c r="Q148" t="str">
        <x:v>B</x:v>
      </x:c>
      <x:c r="R148" t="str">
        <x:v>B</x:v>
      </x:c>
      <x:c r="S148" t="str">
        <x:v>W</x:v>
      </x:c>
      <x:c r="T148" t="str">
        <x:v>B</x:v>
      </x:c>
      <x:c r="U148" t="str">
        <x:v>B</x:v>
      </x:c>
      <x:c r="V148" t="n">
        <x:f>COUNTIF(B148:U148,"W")</x:f>
        <x:v>5</x:v>
      </x:c>
      <x:c r="W148" s="5" t="str">
        <x:f>IF(COUNTIF(B148:D148,"W")&gt;0,"Y","N")</x:f>
        <x:v>Y</x:v>
      </x:c>
      <x:c r="X148" s="1"/>
      <x:c r="Y148" s="1"/>
      <x:c r="Z148" s="1"/>
      <x:c r="AA148" s="1"/>
      <x:c r="AB148" s="1"/>
      <x:c r="AC148" s="1"/>
      <x:c r="AD148" s="1"/>
    </x:row>
    <x:row r="149">
      <x:c r="A149" s="1">
        <x:v>148</x:v>
      </x:c>
      <x:c r="B149" t="str">
        <x:v>W</x:v>
      </x:c>
      <x:c r="C149" t="str">
        <x:v>B</x:v>
      </x:c>
      <x:c r="D149" t="str">
        <x:v>B</x:v>
      </x:c>
      <x:c r="E149" t="str">
        <x:v>B</x:v>
      </x:c>
      <x:c r="F149" t="str">
        <x:v>B</x:v>
      </x:c>
      <x:c r="G149" t="str">
        <x:v>B</x:v>
      </x:c>
      <x:c r="H149" t="str">
        <x:v>W</x:v>
      </x:c>
      <x:c r="I149" t="str">
        <x:v>W</x:v>
      </x:c>
      <x:c r="J149" t="str">
        <x:v>W</x:v>
      </x:c>
      <x:c r="K149" t="str">
        <x:v>B</x:v>
      </x:c>
      <x:c r="L149" t="str">
        <x:v>B</x:v>
      </x:c>
      <x:c r="M149" t="str">
        <x:v>B</x:v>
      </x:c>
      <x:c r="N149" t="str">
        <x:v>W</x:v>
      </x:c>
      <x:c r="O149" t="str">
        <x:v>B</x:v>
      </x:c>
      <x:c r="P149" t="str">
        <x:v>B</x:v>
      </x:c>
      <x:c r="Q149" t="str">
        <x:v>B</x:v>
      </x:c>
      <x:c r="R149" t="str">
        <x:v>B</x:v>
      </x:c>
      <x:c r="S149" t="str">
        <x:v>W</x:v>
      </x:c>
      <x:c r="T149" t="str">
        <x:v>B</x:v>
      </x:c>
      <x:c r="U149" t="str">
        <x:v>B</x:v>
      </x:c>
      <x:c r="V149" t="n">
        <x:f>COUNTIF(B149:U149,"W")</x:f>
        <x:v>6</x:v>
      </x:c>
      <x:c r="W149" s="5" t="str">
        <x:f>IF(COUNTIF(B149:D149,"W")&gt;0,"Y","N")</x:f>
        <x:v>Y</x:v>
      </x:c>
      <x:c r="X149" s="1"/>
      <x:c r="Y149" s="1"/>
      <x:c r="Z149" s="1"/>
      <x:c r="AA149" s="1"/>
      <x:c r="AB149" s="1"/>
      <x:c r="AC149" s="1"/>
      <x:c r="AD149" s="1"/>
    </x:row>
    <x:row r="150">
      <x:c r="A150" s="1">
        <x:v>149</x:v>
      </x:c>
      <x:c r="B150" t="str">
        <x:v>W</x:v>
      </x:c>
      <x:c r="C150" t="str">
        <x:v>W</x:v>
      </x:c>
      <x:c r="D150" t="str">
        <x:v>B</x:v>
      </x:c>
      <x:c r="E150" t="str">
        <x:v>W</x:v>
      </x:c>
      <x:c r="F150" t="str">
        <x:v>W</x:v>
      </x:c>
      <x:c r="G150" t="str">
        <x:v>W</x:v>
      </x:c>
      <x:c r="H150" t="str">
        <x:v>B</x:v>
      </x:c>
      <x:c r="I150" t="str">
        <x:v>B</x:v>
      </x:c>
      <x:c r="J150" t="str">
        <x:v>B</x:v>
      </x:c>
      <x:c r="K150" t="str">
        <x:v>B</x:v>
      </x:c>
      <x:c r="L150" t="str">
        <x:v>B</x:v>
      </x:c>
      <x:c r="M150" t="str">
        <x:v>W</x:v>
      </x:c>
      <x:c r="N150" t="str">
        <x:v>W</x:v>
      </x:c>
      <x:c r="O150" t="str">
        <x:v>W</x:v>
      </x:c>
      <x:c r="P150" t="str">
        <x:v>B</x:v>
      </x:c>
      <x:c r="Q150" t="str">
        <x:v>B</x:v>
      </x:c>
      <x:c r="R150" t="str">
        <x:v>B</x:v>
      </x:c>
      <x:c r="S150" t="str">
        <x:v>W</x:v>
      </x:c>
      <x:c r="T150" t="str">
        <x:v>B</x:v>
      </x:c>
      <x:c r="U150" t="str">
        <x:v>B</x:v>
      </x:c>
      <x:c r="V150" t="n">
        <x:f>COUNTIF(B150:U150,"W")</x:f>
        <x:v>9</x:v>
      </x:c>
      <x:c r="W150" s="5" t="str">
        <x:f>IF(COUNTIF(B150:D150,"W")&gt;0,"Y","N")</x:f>
        <x:v>Y</x:v>
      </x:c>
      <x:c r="X150" s="1"/>
      <x:c r="Y150" s="1"/>
      <x:c r="Z150" s="1"/>
      <x:c r="AA150" s="1"/>
      <x:c r="AB150" s="1"/>
      <x:c r="AC150" s="1"/>
      <x:c r="AD150" s="1"/>
    </x:row>
    <x:row r="151">
      <x:c r="A151" s="1">
        <x:v>150</x:v>
      </x:c>
      <x:c r="B151" t="str">
        <x:v>B</x:v>
      </x:c>
      <x:c r="C151" t="str">
        <x:v>B</x:v>
      </x:c>
      <x:c r="D151" t="str">
        <x:v>B</x:v>
      </x:c>
      <x:c r="E151" t="str">
        <x:v>B</x:v>
      </x:c>
      <x:c r="F151" t="str">
        <x:v>W</x:v>
      </x:c>
      <x:c r="G151" t="str">
        <x:v>B</x:v>
      </x:c>
      <x:c r="H151" t="str">
        <x:v>W</x:v>
      </x:c>
      <x:c r="I151" t="str">
        <x:v>W</x:v>
      </x:c>
      <x:c r="J151" t="str">
        <x:v>B</x:v>
      </x:c>
      <x:c r="K151" t="str">
        <x:v>W</x:v>
      </x:c>
      <x:c r="L151" t="str">
        <x:v>B</x:v>
      </x:c>
      <x:c r="M151" t="str">
        <x:v>W</x:v>
      </x:c>
      <x:c r="N151" t="str">
        <x:v>W</x:v>
      </x:c>
      <x:c r="O151" t="str">
        <x:v>B</x:v>
      </x:c>
      <x:c r="P151" t="str">
        <x:v>B</x:v>
      </x:c>
      <x:c r="Q151" t="str">
        <x:v>B</x:v>
      </x:c>
      <x:c r="R151" t="str">
        <x:v>B</x:v>
      </x:c>
      <x:c r="S151" t="str">
        <x:v>W</x:v>
      </x:c>
      <x:c r="T151" t="str">
        <x:v>B</x:v>
      </x:c>
      <x:c r="U151" t="str">
        <x:v>B</x:v>
      </x:c>
      <x:c r="V151" t="n">
        <x:f>COUNTIF(B151:U151,"W")</x:f>
        <x:v>7</x:v>
      </x:c>
      <x:c r="W151" s="5" t="str">
        <x:f>IF(COUNTIF(B151:D151,"W")&gt;0,"Y","N")</x:f>
        <x:v>N</x:v>
      </x:c>
      <x:c r="X151" s="1"/>
      <x:c r="Y151" s="1"/>
      <x:c r="Z151" s="1"/>
      <x:c r="AA151" s="1"/>
      <x:c r="AB151" s="1"/>
      <x:c r="AC151" s="1"/>
      <x:c r="AD151" s="1"/>
    </x:row>
    <x:row r="152">
      <x:c r="A152" s="1">
        <x:v>151</x:v>
      </x:c>
      <x:c r="B152" t="str">
        <x:v>B</x:v>
      </x:c>
      <x:c r="C152" t="str">
        <x:v>W</x:v>
      </x:c>
      <x:c r="D152" t="str">
        <x:v>W</x:v>
      </x:c>
      <x:c r="E152" t="str">
        <x:v>W</x:v>
      </x:c>
      <x:c r="F152" t="str">
        <x:v>B</x:v>
      </x:c>
      <x:c r="G152" t="str">
        <x:v>W</x:v>
      </x:c>
      <x:c r="H152" t="str">
        <x:v>W</x:v>
      </x:c>
      <x:c r="I152" t="str">
        <x:v>W</x:v>
      </x:c>
      <x:c r="J152" t="str">
        <x:v>B</x:v>
      </x:c>
      <x:c r="K152" t="str">
        <x:v>B</x:v>
      </x:c>
      <x:c r="L152" t="str">
        <x:v>W</x:v>
      </x:c>
      <x:c r="M152" t="str">
        <x:v>B</x:v>
      </x:c>
      <x:c r="N152" t="str">
        <x:v>B</x:v>
      </x:c>
      <x:c r="O152" t="str">
        <x:v>W</x:v>
      </x:c>
      <x:c r="P152" t="str">
        <x:v>W</x:v>
      </x:c>
      <x:c r="Q152" t="str">
        <x:v>W</x:v>
      </x:c>
      <x:c r="R152" t="str">
        <x:v>W</x:v>
      </x:c>
      <x:c r="S152" t="str">
        <x:v>B</x:v>
      </x:c>
      <x:c r="T152" t="str">
        <x:v>B</x:v>
      </x:c>
      <x:c r="U152" t="str">
        <x:v>B</x:v>
      </x:c>
      <x:c r="V152" t="n">
        <x:f>COUNTIF(B152:U152,"W")</x:f>
        <x:v>11</x:v>
      </x:c>
      <x:c r="W152" s="5" t="str">
        <x:f>IF(COUNTIF(B152:D152,"W")&gt;0,"Y","N")</x:f>
        <x:v>Y</x:v>
      </x:c>
      <x:c r="X152" s="1"/>
      <x:c r="Y152" s="1"/>
      <x:c r="Z152" s="1"/>
      <x:c r="AA152" s="1"/>
      <x:c r="AB152" s="1"/>
      <x:c r="AC152" s="1"/>
      <x:c r="AD152" s="1"/>
    </x:row>
    <x:row r="153">
      <x:c r="A153" s="1">
        <x:v>152</x:v>
      </x:c>
      <x:c r="B153" t="str">
        <x:v>B</x:v>
      </x:c>
      <x:c r="C153" t="str">
        <x:v>B</x:v>
      </x:c>
      <x:c r="D153" t="str">
        <x:v>W</x:v>
      </x:c>
      <x:c r="E153" t="str">
        <x:v>W</x:v>
      </x:c>
      <x:c r="F153" t="str">
        <x:v>B</x:v>
      </x:c>
      <x:c r="G153" t="str">
        <x:v>B</x:v>
      </x:c>
      <x:c r="H153" t="str">
        <x:v>W</x:v>
      </x:c>
      <x:c r="I153" t="str">
        <x:v>B</x:v>
      </x:c>
      <x:c r="J153" t="str">
        <x:v>B</x:v>
      </x:c>
      <x:c r="K153" t="str">
        <x:v>B</x:v>
      </x:c>
      <x:c r="L153" t="str">
        <x:v>B</x:v>
      </x:c>
      <x:c r="M153" t="str">
        <x:v>W</x:v>
      </x:c>
      <x:c r="N153" t="str">
        <x:v>B</x:v>
      </x:c>
      <x:c r="O153" t="str">
        <x:v>W</x:v>
      </x:c>
      <x:c r="P153" t="str">
        <x:v>B</x:v>
      </x:c>
      <x:c r="Q153" t="str">
        <x:v>B</x:v>
      </x:c>
      <x:c r="R153" t="str">
        <x:v>W</x:v>
      </x:c>
      <x:c r="S153" t="str">
        <x:v>B</x:v>
      </x:c>
      <x:c r="T153" t="str">
        <x:v>B</x:v>
      </x:c>
      <x:c r="U153" t="str">
        <x:v>B</x:v>
      </x:c>
      <x:c r="V153" t="n">
        <x:f>COUNTIF(B153:U153,"W")</x:f>
        <x:v>6</x:v>
      </x:c>
      <x:c r="W153" s="5" t="str">
        <x:f>IF(COUNTIF(B153:D153,"W")&gt;0,"Y","N")</x:f>
        <x:v>Y</x:v>
      </x:c>
      <x:c r="X153" s="1"/>
      <x:c r="Y153" s="1"/>
      <x:c r="Z153" s="1"/>
      <x:c r="AA153" s="1"/>
      <x:c r="AB153" s="1"/>
      <x:c r="AC153" s="1"/>
      <x:c r="AD153" s="1"/>
    </x:row>
    <x:row r="154">
      <x:c r="A154" s="1">
        <x:v>153</x:v>
      </x:c>
      <x:c r="B154" t="str">
        <x:v>W</x:v>
      </x:c>
      <x:c r="C154" t="str">
        <x:v>B</x:v>
      </x:c>
      <x:c r="D154" t="str">
        <x:v>B</x:v>
      </x:c>
      <x:c r="E154" t="str">
        <x:v>B</x:v>
      </x:c>
      <x:c r="F154" t="str">
        <x:v>B</x:v>
      </x:c>
      <x:c r="G154" t="str">
        <x:v>B</x:v>
      </x:c>
      <x:c r="H154" t="str">
        <x:v>W</x:v>
      </x:c>
      <x:c r="I154" t="str">
        <x:v>B</x:v>
      </x:c>
      <x:c r="J154" t="str">
        <x:v>B</x:v>
      </x:c>
      <x:c r="K154" t="str">
        <x:v>B</x:v>
      </x:c>
      <x:c r="L154" t="str">
        <x:v>B</x:v>
      </x:c>
      <x:c r="M154" t="str">
        <x:v>B</x:v>
      </x:c>
      <x:c r="N154" t="str">
        <x:v>W</x:v>
      </x:c>
      <x:c r="O154" t="str">
        <x:v>W</x:v>
      </x:c>
      <x:c r="P154" t="str">
        <x:v>B</x:v>
      </x:c>
      <x:c r="Q154" t="str">
        <x:v>W</x:v>
      </x:c>
      <x:c r="R154" t="str">
        <x:v>B</x:v>
      </x:c>
      <x:c r="S154" t="str">
        <x:v>W</x:v>
      </x:c>
      <x:c r="T154" t="str">
        <x:v>W</x:v>
      </x:c>
      <x:c r="U154" t="str">
        <x:v>B</x:v>
      </x:c>
      <x:c r="V154" t="n">
        <x:f>COUNTIF(B154:U154,"W")</x:f>
        <x:v>7</x:v>
      </x:c>
      <x:c r="W154" s="5" t="str">
        <x:f>IF(COUNTIF(B154:D154,"W")&gt;0,"Y","N")</x:f>
        <x:v>Y</x:v>
      </x:c>
      <x:c r="X154" s="1"/>
      <x:c r="Y154" s="1"/>
      <x:c r="Z154" s="1"/>
      <x:c r="AA154" s="1"/>
      <x:c r="AB154" s="1"/>
      <x:c r="AC154" s="1"/>
      <x:c r="AD154" s="1"/>
    </x:row>
    <x:row r="155">
      <x:c r="A155" s="1">
        <x:v>154</x:v>
      </x:c>
      <x:c r="B155" t="str">
        <x:v>W</x:v>
      </x:c>
      <x:c r="C155" t="str">
        <x:v>W</x:v>
      </x:c>
      <x:c r="D155" t="str">
        <x:v>B</x:v>
      </x:c>
      <x:c r="E155" t="str">
        <x:v>W</x:v>
      </x:c>
      <x:c r="F155" t="str">
        <x:v>B</x:v>
      </x:c>
      <x:c r="G155" t="str">
        <x:v>B</x:v>
      </x:c>
      <x:c r="H155" t="str">
        <x:v>B</x:v>
      </x:c>
      <x:c r="I155" t="str">
        <x:v>W</x:v>
      </x:c>
      <x:c r="J155" t="str">
        <x:v>B</x:v>
      </x:c>
      <x:c r="K155" t="str">
        <x:v>B</x:v>
      </x:c>
      <x:c r="L155" t="str">
        <x:v>W</x:v>
      </x:c>
      <x:c r="M155" t="str">
        <x:v>B</x:v>
      </x:c>
      <x:c r="N155" t="str">
        <x:v>B</x:v>
      </x:c>
      <x:c r="O155" t="str">
        <x:v>B</x:v>
      </x:c>
      <x:c r="P155" t="str">
        <x:v>B</x:v>
      </x:c>
      <x:c r="Q155" t="str">
        <x:v>B</x:v>
      </x:c>
      <x:c r="R155" t="str">
        <x:v>B</x:v>
      </x:c>
      <x:c r="S155" t="str">
        <x:v>B</x:v>
      </x:c>
      <x:c r="T155" t="str">
        <x:v>W</x:v>
      </x:c>
      <x:c r="U155" t="str">
        <x:v>B</x:v>
      </x:c>
      <x:c r="V155" t="n">
        <x:f>COUNTIF(B155:U155,"W")</x:f>
        <x:v>6</x:v>
      </x:c>
      <x:c r="W155" s="5" t="str">
        <x:f>IF(COUNTIF(B155:D155,"W")&gt;0,"Y","N")</x:f>
        <x:v>Y</x:v>
      </x:c>
      <x:c r="X155" s="1"/>
      <x:c r="Y155" s="1"/>
      <x:c r="Z155" s="1"/>
      <x:c r="AA155" s="1"/>
      <x:c r="AB155" s="1"/>
      <x:c r="AC155" s="1"/>
      <x:c r="AD155" s="1"/>
    </x:row>
    <x:row r="156">
      <x:c r="A156" s="1">
        <x:v>155</x:v>
      </x:c>
      <x:c r="B156" t="str">
        <x:v>B</x:v>
      </x:c>
      <x:c r="C156" t="str">
        <x:v>B</x:v>
      </x:c>
      <x:c r="D156" t="str">
        <x:v>B</x:v>
      </x:c>
      <x:c r="E156" t="str">
        <x:v>W</x:v>
      </x:c>
      <x:c r="F156" t="str">
        <x:v>B</x:v>
      </x:c>
      <x:c r="G156" t="str">
        <x:v>W</x:v>
      </x:c>
      <x:c r="H156" t="str">
        <x:v>B</x:v>
      </x:c>
      <x:c r="I156" t="str">
        <x:v>B</x:v>
      </x:c>
      <x:c r="J156" t="str">
        <x:v>B</x:v>
      </x:c>
      <x:c r="K156" t="str">
        <x:v>B</x:v>
      </x:c>
      <x:c r="L156" t="str">
        <x:v>B</x:v>
      </x:c>
      <x:c r="M156" t="str">
        <x:v>W</x:v>
      </x:c>
      <x:c r="N156" t="str">
        <x:v>B</x:v>
      </x:c>
      <x:c r="O156" t="str">
        <x:v>W</x:v>
      </x:c>
      <x:c r="P156" t="str">
        <x:v>B</x:v>
      </x:c>
      <x:c r="Q156" t="str">
        <x:v>B</x:v>
      </x:c>
      <x:c r="R156" t="str">
        <x:v>W</x:v>
      </x:c>
      <x:c r="S156" t="str">
        <x:v>W</x:v>
      </x:c>
      <x:c r="T156" t="str">
        <x:v>W</x:v>
      </x:c>
      <x:c r="U156" t="str">
        <x:v>B</x:v>
      </x:c>
      <x:c r="V156" t="n">
        <x:f>COUNTIF(B156:U156,"W")</x:f>
        <x:v>7</x:v>
      </x:c>
      <x:c r="W156" s="5" t="str">
        <x:f>IF(COUNTIF(B156:D156,"W")&gt;0,"Y","N")</x:f>
        <x:v>N</x:v>
      </x:c>
      <x:c r="X156" s="1"/>
      <x:c r="Y156" s="1"/>
      <x:c r="Z156" s="1"/>
      <x:c r="AA156" s="1"/>
      <x:c r="AB156" s="1"/>
      <x:c r="AC156" s="1"/>
      <x:c r="AD156" s="1"/>
    </x:row>
    <x:row r="157">
      <x:c r="A157" s="1">
        <x:v>156</x:v>
      </x:c>
      <x:c r="B157" t="str">
        <x:v>W</x:v>
      </x:c>
      <x:c r="C157" t="str">
        <x:v>B</x:v>
      </x:c>
      <x:c r="D157" t="str">
        <x:v>W</x:v>
      </x:c>
      <x:c r="E157" t="str">
        <x:v>B</x:v>
      </x:c>
      <x:c r="F157" t="str">
        <x:v>B</x:v>
      </x:c>
      <x:c r="G157" t="str">
        <x:v>B</x:v>
      </x:c>
      <x:c r="H157" t="str">
        <x:v>W</x:v>
      </x:c>
      <x:c r="I157" t="str">
        <x:v>W</x:v>
      </x:c>
      <x:c r="J157" t="str">
        <x:v>B</x:v>
      </x:c>
      <x:c r="K157" t="str">
        <x:v>B</x:v>
      </x:c>
      <x:c r="L157" t="str">
        <x:v>B</x:v>
      </x:c>
      <x:c r="M157" t="str">
        <x:v>W</x:v>
      </x:c>
      <x:c r="N157" t="str">
        <x:v>B</x:v>
      </x:c>
      <x:c r="O157" t="str">
        <x:v>B</x:v>
      </x:c>
      <x:c r="P157" t="str">
        <x:v>B</x:v>
      </x:c>
      <x:c r="Q157" t="str">
        <x:v>B</x:v>
      </x:c>
      <x:c r="R157" t="str">
        <x:v>B</x:v>
      </x:c>
      <x:c r="S157" t="str">
        <x:v>B</x:v>
      </x:c>
      <x:c r="T157" t="str">
        <x:v>B</x:v>
      </x:c>
      <x:c r="U157" t="str">
        <x:v>B</x:v>
      </x:c>
      <x:c r="V157" t="n">
        <x:f>COUNTIF(B157:U157,"W")</x:f>
        <x:v>5</x:v>
      </x:c>
      <x:c r="W157" s="5" t="str">
        <x:f>IF(COUNTIF(B157:D157,"W")&gt;0,"Y","N")</x:f>
        <x:v>Y</x:v>
      </x:c>
      <x:c r="X157" s="1"/>
      <x:c r="Y157" s="1"/>
      <x:c r="Z157" s="1"/>
      <x:c r="AA157" s="1"/>
      <x:c r="AB157" s="1"/>
      <x:c r="AC157" s="1"/>
      <x:c r="AD157" s="1"/>
    </x:row>
    <x:row r="158">
      <x:c r="A158" s="1">
        <x:v>157</x:v>
      </x:c>
      <x:c r="B158" t="str">
        <x:v>B</x:v>
      </x:c>
      <x:c r="C158" t="str">
        <x:v>B</x:v>
      </x:c>
      <x:c r="D158" t="str">
        <x:v>W</x:v>
      </x:c>
      <x:c r="E158" t="str">
        <x:v>B</x:v>
      </x:c>
      <x:c r="F158" t="str">
        <x:v>B</x:v>
      </x:c>
      <x:c r="G158" t="str">
        <x:v>B</x:v>
      </x:c>
      <x:c r="H158" t="str">
        <x:v>B</x:v>
      </x:c>
      <x:c r="I158" t="str">
        <x:v>B</x:v>
      </x:c>
      <x:c r="J158" t="str">
        <x:v>B</x:v>
      </x:c>
      <x:c r="K158" t="str">
        <x:v>B</x:v>
      </x:c>
      <x:c r="L158" t="str">
        <x:v>B</x:v>
      </x:c>
      <x:c r="M158" t="str">
        <x:v>W</x:v>
      </x:c>
      <x:c r="N158" t="str">
        <x:v>B</x:v>
      </x:c>
      <x:c r="O158" t="str">
        <x:v>B</x:v>
      </x:c>
      <x:c r="P158" t="str">
        <x:v>W</x:v>
      </x:c>
      <x:c r="Q158" t="str">
        <x:v>W</x:v>
      </x:c>
      <x:c r="R158" t="str">
        <x:v>B</x:v>
      </x:c>
      <x:c r="S158" t="str">
        <x:v>B</x:v>
      </x:c>
      <x:c r="T158" t="str">
        <x:v>W</x:v>
      </x:c>
      <x:c r="U158" t="str">
        <x:v>B</x:v>
      </x:c>
      <x:c r="V158" t="n">
        <x:f>COUNTIF(B158:U158,"W")</x:f>
        <x:v>5</x:v>
      </x:c>
      <x:c r="W158" s="5" t="str">
        <x:f>IF(COUNTIF(B158:D158,"W")&gt;0,"Y","N")</x:f>
        <x:v>Y</x:v>
      </x:c>
      <x:c r="X158" s="1"/>
      <x:c r="Y158" s="1"/>
      <x:c r="Z158" s="1"/>
      <x:c r="AA158" s="1"/>
      <x:c r="AB158" s="1"/>
      <x:c r="AC158" s="1"/>
      <x:c r="AD158" s="1"/>
    </x:row>
    <x:row r="159">
      <x:c r="A159" s="1">
        <x:v>158</x:v>
      </x:c>
      <x:c r="B159" t="str">
        <x:v>B</x:v>
      </x:c>
      <x:c r="C159" t="str">
        <x:v>B</x:v>
      </x:c>
      <x:c r="D159" t="str">
        <x:v>W</x:v>
      </x:c>
      <x:c r="E159" t="str">
        <x:v>W</x:v>
      </x:c>
      <x:c r="F159" t="str">
        <x:v>B</x:v>
      </x:c>
      <x:c r="G159" t="str">
        <x:v>W</x:v>
      </x:c>
      <x:c r="H159" t="str">
        <x:v>B</x:v>
      </x:c>
      <x:c r="I159" t="str">
        <x:v>B</x:v>
      </x:c>
      <x:c r="J159" t="str">
        <x:v>W</x:v>
      </x:c>
      <x:c r="K159" t="str">
        <x:v>W</x:v>
      </x:c>
      <x:c r="L159" t="str">
        <x:v>W</x:v>
      </x:c>
      <x:c r="M159" t="str">
        <x:v>B</x:v>
      </x:c>
      <x:c r="N159" t="str">
        <x:v>W</x:v>
      </x:c>
      <x:c r="O159" t="str">
        <x:v>W</x:v>
      </x:c>
      <x:c r="P159" t="str">
        <x:v>B</x:v>
      </x:c>
      <x:c r="Q159" t="str">
        <x:v>B</x:v>
      </x:c>
      <x:c r="R159" t="str">
        <x:v>B</x:v>
      </x:c>
      <x:c r="S159" t="str">
        <x:v>B</x:v>
      </x:c>
      <x:c r="T159" t="str">
        <x:v>B</x:v>
      </x:c>
      <x:c r="U159" t="str">
        <x:v>B</x:v>
      </x:c>
      <x:c r="V159" t="n">
        <x:f>COUNTIF(B159:U159,"W")</x:f>
        <x:v>8</x:v>
      </x:c>
      <x:c r="W159" s="5" t="str">
        <x:f>IF(COUNTIF(B159:D159,"W")&gt;0,"Y","N")</x:f>
        <x:v>Y</x:v>
      </x:c>
      <x:c r="X159" s="1"/>
      <x:c r="Y159" s="1"/>
      <x:c r="Z159" s="1"/>
      <x:c r="AA159" s="1"/>
      <x:c r="AB159" s="1"/>
      <x:c r="AC159" s="1"/>
      <x:c r="AD159" s="1"/>
    </x:row>
    <x:row r="160">
      <x:c r="A160" s="1">
        <x:v>159</x:v>
      </x:c>
      <x:c r="B160" t="str">
        <x:v>B</x:v>
      </x:c>
      <x:c r="C160" t="str">
        <x:v>B</x:v>
      </x:c>
      <x:c r="D160" t="str">
        <x:v>B</x:v>
      </x:c>
      <x:c r="E160" t="str">
        <x:v>B</x:v>
      </x:c>
      <x:c r="F160" t="str">
        <x:v>W</x:v>
      </x:c>
      <x:c r="G160" t="str">
        <x:v>B</x:v>
      </x:c>
      <x:c r="H160" t="str">
        <x:v>B</x:v>
      </x:c>
      <x:c r="I160" t="str">
        <x:v>B</x:v>
      </x:c>
      <x:c r="J160" t="str">
        <x:v>W</x:v>
      </x:c>
      <x:c r="K160" t="str">
        <x:v>W</x:v>
      </x:c>
      <x:c r="L160" t="str">
        <x:v>B</x:v>
      </x:c>
      <x:c r="M160" t="str">
        <x:v>W</x:v>
      </x:c>
      <x:c r="N160" t="str">
        <x:v>W</x:v>
      </x:c>
      <x:c r="O160" t="str">
        <x:v>W</x:v>
      </x:c>
      <x:c r="P160" t="str">
        <x:v>B</x:v>
      </x:c>
      <x:c r="Q160" t="str">
        <x:v>B</x:v>
      </x:c>
      <x:c r="R160" t="str">
        <x:v>W</x:v>
      </x:c>
      <x:c r="S160" t="str">
        <x:v>B</x:v>
      </x:c>
      <x:c r="T160" t="str">
        <x:v>B</x:v>
      </x:c>
      <x:c r="U160" t="str">
        <x:v>W</x:v>
      </x:c>
      <x:c r="V160" t="n">
        <x:f>COUNTIF(B160:U160,"W")</x:f>
        <x:v>8</x:v>
      </x:c>
      <x:c r="W160" s="5" t="str">
        <x:f>IF(COUNTIF(B160:D160,"W")&gt;0,"Y","N")</x:f>
        <x:v>N</x:v>
      </x:c>
      <x:c r="X160" s="1"/>
      <x:c r="Y160" s="1"/>
      <x:c r="Z160" s="1"/>
      <x:c r="AA160" s="1"/>
      <x:c r="AB160" s="1"/>
      <x:c r="AC160" s="1"/>
      <x:c r="AD160" s="1"/>
    </x:row>
    <x:row r="161">
      <x:c r="A161" s="1">
        <x:v>160</x:v>
      </x:c>
      <x:c r="B161" t="str">
        <x:v>W</x:v>
      </x:c>
      <x:c r="C161" t="str">
        <x:v>W</x:v>
      </x:c>
      <x:c r="D161" t="str">
        <x:v>B</x:v>
      </x:c>
      <x:c r="E161" t="str">
        <x:v>B</x:v>
      </x:c>
      <x:c r="F161" t="str">
        <x:v>W</x:v>
      </x:c>
      <x:c r="G161" t="str">
        <x:v>B</x:v>
      </x:c>
      <x:c r="H161" t="str">
        <x:v>W</x:v>
      </x:c>
      <x:c r="I161" t="str">
        <x:v>B</x:v>
      </x:c>
      <x:c r="J161" t="str">
        <x:v>W</x:v>
      </x:c>
      <x:c r="K161" t="str">
        <x:v>W</x:v>
      </x:c>
      <x:c r="L161" t="str">
        <x:v>W</x:v>
      </x:c>
      <x:c r="M161" t="str">
        <x:v>B</x:v>
      </x:c>
      <x:c r="N161" t="str">
        <x:v>W</x:v>
      </x:c>
      <x:c r="O161" t="str">
        <x:v>B</x:v>
      </x:c>
      <x:c r="P161" t="str">
        <x:v>W</x:v>
      </x:c>
      <x:c r="Q161" t="str">
        <x:v>W</x:v>
      </x:c>
      <x:c r="R161" t="str">
        <x:v>B</x:v>
      </x:c>
      <x:c r="S161" t="str">
        <x:v>W</x:v>
      </x:c>
      <x:c r="T161" t="str">
        <x:v>B</x:v>
      </x:c>
      <x:c r="U161" t="str">
        <x:v>B</x:v>
      </x:c>
      <x:c r="V161" t="n">
        <x:f>COUNTIF(B161:U161,"W")</x:f>
        <x:v>11</x:v>
      </x:c>
      <x:c r="W161" s="5" t="str">
        <x:f>IF(COUNTIF(B161:D161,"W")&gt;0,"Y","N")</x:f>
        <x:v>Y</x:v>
      </x:c>
      <x:c r="X161" s="1"/>
      <x:c r="Y161" s="1"/>
      <x:c r="Z161" s="1"/>
      <x:c r="AA161" s="1"/>
      <x:c r="AB161" s="1"/>
      <x:c r="AC161" s="1"/>
      <x:c r="AD161" s="1"/>
    </x:row>
    <x:row r="162">
      <x:c r="A162" s="1">
        <x:v>161</x:v>
      </x:c>
      <x:c r="B162" t="str">
        <x:v>B</x:v>
      </x:c>
      <x:c r="C162" t="str">
        <x:v>B</x:v>
      </x:c>
      <x:c r="D162" t="str">
        <x:v>B</x:v>
      </x:c>
      <x:c r="E162" t="str">
        <x:v>B</x:v>
      </x:c>
      <x:c r="F162" t="str">
        <x:v>W</x:v>
      </x:c>
      <x:c r="G162" t="str">
        <x:v>W</x:v>
      </x:c>
      <x:c r="H162" t="str">
        <x:v>W</x:v>
      </x:c>
      <x:c r="I162" t="str">
        <x:v>B</x:v>
      </x:c>
      <x:c r="J162" t="str">
        <x:v>B</x:v>
      </x:c>
      <x:c r="K162" t="str">
        <x:v>B</x:v>
      </x:c>
      <x:c r="L162" t="str">
        <x:v>B</x:v>
      </x:c>
      <x:c r="M162" t="str">
        <x:v>B</x:v>
      </x:c>
      <x:c r="N162" t="str">
        <x:v>B</x:v>
      </x:c>
      <x:c r="O162" t="str">
        <x:v>B</x:v>
      </x:c>
      <x:c r="P162" t="str">
        <x:v>B</x:v>
      </x:c>
      <x:c r="Q162" t="str">
        <x:v>B</x:v>
      </x:c>
      <x:c r="R162" t="str">
        <x:v>B</x:v>
      </x:c>
      <x:c r="S162" t="str">
        <x:v>W</x:v>
      </x:c>
      <x:c r="T162" t="str">
        <x:v>B</x:v>
      </x:c>
      <x:c r="U162" t="str">
        <x:v>B</x:v>
      </x:c>
      <x:c r="V162" t="n">
        <x:f>COUNTIF(B162:U162,"W")</x:f>
        <x:v>4</x:v>
      </x:c>
      <x:c r="W162" s="5" t="str">
        <x:f>IF(COUNTIF(B162:D162,"W")&gt;0,"Y","N")</x:f>
        <x:v>N</x:v>
      </x:c>
      <x:c r="X162" s="1"/>
      <x:c r="Y162" s="1"/>
      <x:c r="Z162" s="1"/>
      <x:c r="AA162" s="1"/>
      <x:c r="AB162" s="1"/>
      <x:c r="AC162" s="1"/>
      <x:c r="AD162" s="1"/>
    </x:row>
    <x:row r="163">
      <x:c r="A163" s="1">
        <x:v>162</x:v>
      </x:c>
      <x:c r="B163" t="str">
        <x:v>B</x:v>
      </x:c>
      <x:c r="C163" t="str">
        <x:v>W</x:v>
      </x:c>
      <x:c r="D163" t="str">
        <x:v>B</x:v>
      </x:c>
      <x:c r="E163" t="str">
        <x:v>B</x:v>
      </x:c>
      <x:c r="F163" t="str">
        <x:v>W</x:v>
      </x:c>
      <x:c r="G163" t="str">
        <x:v>B</x:v>
      </x:c>
      <x:c r="H163" t="str">
        <x:v>W</x:v>
      </x:c>
      <x:c r="I163" t="str">
        <x:v>B</x:v>
      </x:c>
      <x:c r="J163" t="str">
        <x:v>B</x:v>
      </x:c>
      <x:c r="K163" t="str">
        <x:v>B</x:v>
      </x:c>
      <x:c r="L163" t="str">
        <x:v>B</x:v>
      </x:c>
      <x:c r="M163" t="str">
        <x:v>B</x:v>
      </x:c>
      <x:c r="N163" t="str">
        <x:v>W</x:v>
      </x:c>
      <x:c r="O163" t="str">
        <x:v>W</x:v>
      </x:c>
      <x:c r="P163" t="str">
        <x:v>W</x:v>
      </x:c>
      <x:c r="Q163" t="str">
        <x:v>W</x:v>
      </x:c>
      <x:c r="R163" t="str">
        <x:v>W</x:v>
      </x:c>
      <x:c r="S163" t="str">
        <x:v>W</x:v>
      </x:c>
      <x:c r="T163" t="str">
        <x:v>B</x:v>
      </x:c>
      <x:c r="U163" t="str">
        <x:v>B</x:v>
      </x:c>
      <x:c r="V163" t="n">
        <x:f>COUNTIF(B163:U163,"W")</x:f>
        <x:v>9</x:v>
      </x:c>
      <x:c r="W163" s="5" t="str">
        <x:f>IF(COUNTIF(B163:D163,"W")&gt;0,"Y","N")</x:f>
        <x:v>Y</x:v>
      </x:c>
      <x:c r="X163" s="1"/>
      <x:c r="Y163" s="1"/>
      <x:c r="Z163" s="1"/>
      <x:c r="AA163" s="1"/>
      <x:c r="AB163" s="1"/>
      <x:c r="AC163" s="1"/>
      <x:c r="AD163" s="1"/>
    </x:row>
    <x:row r="164">
      <x:c r="A164" s="1">
        <x:v>163</x:v>
      </x:c>
      <x:c r="B164" t="str">
        <x:v>B</x:v>
      </x:c>
      <x:c r="C164" t="str">
        <x:v>W</x:v>
      </x:c>
      <x:c r="D164" t="str">
        <x:v>B</x:v>
      </x:c>
      <x:c r="E164" t="str">
        <x:v>B</x:v>
      </x:c>
      <x:c r="F164" t="str">
        <x:v>W</x:v>
      </x:c>
      <x:c r="G164" t="str">
        <x:v>B</x:v>
      </x:c>
      <x:c r="H164" t="str">
        <x:v>W</x:v>
      </x:c>
      <x:c r="I164" t="str">
        <x:v>B</x:v>
      </x:c>
      <x:c r="J164" t="str">
        <x:v>W</x:v>
      </x:c>
      <x:c r="K164" t="str">
        <x:v>B</x:v>
      </x:c>
      <x:c r="L164" t="str">
        <x:v>B</x:v>
      </x:c>
      <x:c r="M164" t="str">
        <x:v>B</x:v>
      </x:c>
      <x:c r="N164" t="str">
        <x:v>B</x:v>
      </x:c>
      <x:c r="O164" t="str">
        <x:v>W</x:v>
      </x:c>
      <x:c r="P164" t="str">
        <x:v>B</x:v>
      </x:c>
      <x:c r="Q164" t="str">
        <x:v>W</x:v>
      </x:c>
      <x:c r="R164" t="str">
        <x:v>B</x:v>
      </x:c>
      <x:c r="S164" t="str">
        <x:v>W</x:v>
      </x:c>
      <x:c r="T164" t="str">
        <x:v>B</x:v>
      </x:c>
      <x:c r="U164" t="str">
        <x:v>W</x:v>
      </x:c>
      <x:c r="V164" t="n">
        <x:f>COUNTIF(B164:U164,"W")</x:f>
        <x:v>8</x:v>
      </x:c>
      <x:c r="W164" s="5" t="str">
        <x:f>IF(COUNTIF(B164:D164,"W")&gt;0,"Y","N")</x:f>
        <x:v>Y</x:v>
      </x:c>
      <x:c r="X164" s="1"/>
      <x:c r="Y164" s="1"/>
      <x:c r="Z164" s="1"/>
      <x:c r="AA164" s="1"/>
      <x:c r="AB164" s="1"/>
      <x:c r="AC164" s="1"/>
      <x:c r="AD164" s="1"/>
    </x:row>
    <x:row r="165">
      <x:c r="A165" s="1">
        <x:v>164</x:v>
      </x:c>
      <x:c r="B165" t="str">
        <x:v>B</x:v>
      </x:c>
      <x:c r="C165" t="str">
        <x:v>B</x:v>
      </x:c>
      <x:c r="D165" t="str">
        <x:v>W</x:v>
      </x:c>
      <x:c r="E165" t="str">
        <x:v>W</x:v>
      </x:c>
      <x:c r="F165" t="str">
        <x:v>W</x:v>
      </x:c>
      <x:c r="G165" t="str">
        <x:v>B</x:v>
      </x:c>
      <x:c r="H165" t="str">
        <x:v>B</x:v>
      </x:c>
      <x:c r="I165" t="str">
        <x:v>B</x:v>
      </x:c>
      <x:c r="J165" t="str">
        <x:v>B</x:v>
      </x:c>
      <x:c r="K165" t="str">
        <x:v>B</x:v>
      </x:c>
      <x:c r="L165" t="str">
        <x:v>W</x:v>
      </x:c>
      <x:c r="M165" t="str">
        <x:v>B</x:v>
      </x:c>
      <x:c r="N165" t="str">
        <x:v>W</x:v>
      </x:c>
      <x:c r="O165" t="str">
        <x:v>B</x:v>
      </x:c>
      <x:c r="P165" t="str">
        <x:v>B</x:v>
      </x:c>
      <x:c r="Q165" t="str">
        <x:v>W</x:v>
      </x:c>
      <x:c r="R165" t="str">
        <x:v>B</x:v>
      </x:c>
      <x:c r="S165" t="str">
        <x:v>B</x:v>
      </x:c>
      <x:c r="T165" t="str">
        <x:v>B</x:v>
      </x:c>
      <x:c r="U165" t="str">
        <x:v>W</x:v>
      </x:c>
      <x:c r="V165" t="n">
        <x:f>COUNTIF(B165:U165,"W")</x:f>
        <x:v>7</x:v>
      </x:c>
      <x:c r="W165" s="5" t="str">
        <x:f>IF(COUNTIF(B165:D165,"W")&gt;0,"Y","N")</x:f>
        <x:v>Y</x:v>
      </x:c>
      <x:c r="X165" s="1"/>
      <x:c r="Y165" s="1"/>
      <x:c r="Z165" s="1"/>
      <x:c r="AA165" s="1"/>
      <x:c r="AB165" s="1"/>
      <x:c r="AC165" s="1"/>
      <x:c r="AD165" s="1"/>
    </x:row>
    <x:row r="166">
      <x:c r="A166" s="1">
        <x:v>165</x:v>
      </x:c>
      <x:c r="B166" t="str">
        <x:v>B</x:v>
      </x:c>
      <x:c r="C166" t="str">
        <x:v>B</x:v>
      </x:c>
      <x:c r="D166" t="str">
        <x:v>B</x:v>
      </x:c>
      <x:c r="E166" t="str">
        <x:v>B</x:v>
      </x:c>
      <x:c r="F166" t="str">
        <x:v>B</x:v>
      </x:c>
      <x:c r="G166" t="str">
        <x:v>W</x:v>
      </x:c>
      <x:c r="H166" t="str">
        <x:v>B</x:v>
      </x:c>
      <x:c r="I166" t="str">
        <x:v>W</x:v>
      </x:c>
      <x:c r="J166" t="str">
        <x:v>W</x:v>
      </x:c>
      <x:c r="K166" t="str">
        <x:v>B</x:v>
      </x:c>
      <x:c r="L166" t="str">
        <x:v>B</x:v>
      </x:c>
      <x:c r="M166" t="str">
        <x:v>B</x:v>
      </x:c>
      <x:c r="N166" t="str">
        <x:v>B</x:v>
      </x:c>
      <x:c r="O166" t="str">
        <x:v>B</x:v>
      </x:c>
      <x:c r="P166" t="str">
        <x:v>W</x:v>
      </x:c>
      <x:c r="Q166" t="str">
        <x:v>B</x:v>
      </x:c>
      <x:c r="R166" t="str">
        <x:v>B</x:v>
      </x:c>
      <x:c r="S166" t="str">
        <x:v>B</x:v>
      </x:c>
      <x:c r="T166" t="str">
        <x:v>B</x:v>
      </x:c>
      <x:c r="U166" t="str">
        <x:v>W</x:v>
      </x:c>
      <x:c r="V166" t="n">
        <x:f>COUNTIF(B166:U166,"W")</x:f>
        <x:v>5</x:v>
      </x:c>
      <x:c r="W166" s="5" t="str">
        <x:f>IF(COUNTIF(B166:D166,"W")&gt;0,"Y","N")</x:f>
        <x:v>N</x:v>
      </x:c>
      <x:c r="X166" s="1"/>
      <x:c r="Y166" s="1"/>
      <x:c r="Z166" s="1"/>
      <x:c r="AA166" s="1"/>
      <x:c r="AB166" s="1"/>
      <x:c r="AC166" s="1"/>
      <x:c r="AD166" s="1"/>
    </x:row>
    <x:row r="167">
      <x:c r="A167" s="1">
        <x:v>166</x:v>
      </x:c>
      <x:c r="B167" t="str">
        <x:v>W</x:v>
      </x:c>
      <x:c r="C167" t="str">
        <x:v>W</x:v>
      </x:c>
      <x:c r="D167" t="str">
        <x:v>B</x:v>
      </x:c>
      <x:c r="E167" t="str">
        <x:v>B</x:v>
      </x:c>
      <x:c r="F167" t="str">
        <x:v>W</x:v>
      </x:c>
      <x:c r="G167" t="str">
        <x:v>W</x:v>
      </x:c>
      <x:c r="H167" t="str">
        <x:v>B</x:v>
      </x:c>
      <x:c r="I167" t="str">
        <x:v>B</x:v>
      </x:c>
      <x:c r="J167" t="str">
        <x:v>W</x:v>
      </x:c>
      <x:c r="K167" t="str">
        <x:v>B</x:v>
      </x:c>
      <x:c r="L167" t="str">
        <x:v>W</x:v>
      </x:c>
      <x:c r="M167" t="str">
        <x:v>B</x:v>
      </x:c>
      <x:c r="N167" t="str">
        <x:v>B</x:v>
      </x:c>
      <x:c r="O167" t="str">
        <x:v>W</x:v>
      </x:c>
      <x:c r="P167" t="str">
        <x:v>B</x:v>
      </x:c>
      <x:c r="Q167" t="str">
        <x:v>B</x:v>
      </x:c>
      <x:c r="R167" t="str">
        <x:v>B</x:v>
      </x:c>
      <x:c r="S167" t="str">
        <x:v>W</x:v>
      </x:c>
      <x:c r="T167" t="str">
        <x:v>W</x:v>
      </x:c>
      <x:c r="U167" t="str">
        <x:v>B</x:v>
      </x:c>
      <x:c r="V167" t="n">
        <x:f>COUNTIF(B167:U167,"W")</x:f>
        <x:v>9</x:v>
      </x:c>
      <x:c r="W167" s="5" t="str">
        <x:f>IF(COUNTIF(B167:D167,"W")&gt;0,"Y","N")</x:f>
        <x:v>Y</x:v>
      </x:c>
      <x:c r="X167" s="1"/>
      <x:c r="Y167" s="1"/>
      <x:c r="Z167" s="1"/>
      <x:c r="AA167" s="1"/>
      <x:c r="AB167" s="1"/>
      <x:c r="AC167" s="1"/>
      <x:c r="AD167" s="1"/>
    </x:row>
    <x:row r="168">
      <x:c r="A168" s="1">
        <x:v>167</x:v>
      </x:c>
      <x:c r="B168" t="str">
        <x:v>B</x:v>
      </x:c>
      <x:c r="C168" t="str">
        <x:v>B</x:v>
      </x:c>
      <x:c r="D168" t="str">
        <x:v>B</x:v>
      </x:c>
      <x:c r="E168" t="str">
        <x:v>B</x:v>
      </x:c>
      <x:c r="F168" t="str">
        <x:v>B</x:v>
      </x:c>
      <x:c r="G168" t="str">
        <x:v>B</x:v>
      </x:c>
      <x:c r="H168" t="str">
        <x:v>B</x:v>
      </x:c>
      <x:c r="I168" t="str">
        <x:v>W</x:v>
      </x:c>
      <x:c r="J168" t="str">
        <x:v>B</x:v>
      </x:c>
      <x:c r="K168" t="str">
        <x:v>W</x:v>
      </x:c>
      <x:c r="L168" t="str">
        <x:v>B</x:v>
      </x:c>
      <x:c r="M168" t="str">
        <x:v>B</x:v>
      </x:c>
      <x:c r="N168" t="str">
        <x:v>W</x:v>
      </x:c>
      <x:c r="O168" t="str">
        <x:v>B</x:v>
      </x:c>
      <x:c r="P168" t="str">
        <x:v>B</x:v>
      </x:c>
      <x:c r="Q168" t="str">
        <x:v>B</x:v>
      </x:c>
      <x:c r="R168" t="str">
        <x:v>B</x:v>
      </x:c>
      <x:c r="S168" t="str">
        <x:v>B</x:v>
      </x:c>
      <x:c r="T168" t="str">
        <x:v>B</x:v>
      </x:c>
      <x:c r="U168" t="str">
        <x:v>B</x:v>
      </x:c>
      <x:c r="V168" t="n">
        <x:f>COUNTIF(B168:U168,"W")</x:f>
        <x:v>3</x:v>
      </x:c>
      <x:c r="W168" s="5" t="str">
        <x:f>IF(COUNTIF(B168:D168,"W")&gt;0,"Y","N")</x:f>
        <x:v>N</x:v>
      </x:c>
      <x:c r="X168" s="1"/>
      <x:c r="Y168" s="1"/>
      <x:c r="Z168" s="1"/>
      <x:c r="AA168" s="1"/>
      <x:c r="AB168" s="1"/>
      <x:c r="AC168" s="1"/>
      <x:c r="AD168" s="1"/>
    </x:row>
    <x:row r="169">
      <x:c r="A169" s="1">
        <x:v>168</x:v>
      </x:c>
      <x:c r="B169" t="str">
        <x:v>W</x:v>
      </x:c>
      <x:c r="C169" t="str">
        <x:v>B</x:v>
      </x:c>
      <x:c r="D169" t="str">
        <x:v>W</x:v>
      </x:c>
      <x:c r="E169" t="str">
        <x:v>B</x:v>
      </x:c>
      <x:c r="F169" t="str">
        <x:v>W</x:v>
      </x:c>
      <x:c r="G169" t="str">
        <x:v>W</x:v>
      </x:c>
      <x:c r="H169" t="str">
        <x:v>W</x:v>
      </x:c>
      <x:c r="I169" t="str">
        <x:v>W</x:v>
      </x:c>
      <x:c r="J169" t="str">
        <x:v>W</x:v>
      </x:c>
      <x:c r="K169" t="str">
        <x:v>W</x:v>
      </x:c>
      <x:c r="L169" t="str">
        <x:v>B</x:v>
      </x:c>
      <x:c r="M169" t="str">
        <x:v>B</x:v>
      </x:c>
      <x:c r="N169" t="str">
        <x:v>B</x:v>
      </x:c>
      <x:c r="O169" t="str">
        <x:v>B</x:v>
      </x:c>
      <x:c r="P169" t="str">
        <x:v>B</x:v>
      </x:c>
      <x:c r="Q169" t="str">
        <x:v>B</x:v>
      </x:c>
      <x:c r="R169" t="str">
        <x:v>W</x:v>
      </x:c>
      <x:c r="S169" t="str">
        <x:v>B</x:v>
      </x:c>
      <x:c r="T169" t="str">
        <x:v>W</x:v>
      </x:c>
      <x:c r="U169" t="str">
        <x:v>B</x:v>
      </x:c>
      <x:c r="V169" t="n">
        <x:f>COUNTIF(B169:U169,"W")</x:f>
        <x:v>10</x:v>
      </x:c>
      <x:c r="W169" s="5" t="str">
        <x:f>IF(COUNTIF(B169:D169,"W")&gt;0,"Y","N")</x:f>
        <x:v>Y</x:v>
      </x:c>
      <x:c r="X169" s="1"/>
      <x:c r="Y169" s="1"/>
      <x:c r="Z169" s="1"/>
      <x:c r="AA169" s="1"/>
      <x:c r="AB169" s="1"/>
      <x:c r="AC169" s="1"/>
      <x:c r="AD169" s="1"/>
    </x:row>
    <x:row r="170">
      <x:c r="A170" s="1">
        <x:v>169</x:v>
      </x:c>
      <x:c r="B170" t="str">
        <x:v>B</x:v>
      </x:c>
      <x:c r="C170" t="str">
        <x:v>W</x:v>
      </x:c>
      <x:c r="D170" t="str">
        <x:v>W</x:v>
      </x:c>
      <x:c r="E170" t="str">
        <x:v>B</x:v>
      </x:c>
      <x:c r="F170" t="str">
        <x:v>W</x:v>
      </x:c>
      <x:c r="G170" t="str">
        <x:v>W</x:v>
      </x:c>
      <x:c r="H170" t="str">
        <x:v>B</x:v>
      </x:c>
      <x:c r="I170" t="str">
        <x:v>W</x:v>
      </x:c>
      <x:c r="J170" t="str">
        <x:v>W</x:v>
      </x:c>
      <x:c r="K170" t="str">
        <x:v>B</x:v>
      </x:c>
      <x:c r="L170" t="str">
        <x:v>W</x:v>
      </x:c>
      <x:c r="M170" t="str">
        <x:v>B</x:v>
      </x:c>
      <x:c r="N170" t="str">
        <x:v>W</x:v>
      </x:c>
      <x:c r="O170" t="str">
        <x:v>B</x:v>
      </x:c>
      <x:c r="P170" t="str">
        <x:v>B</x:v>
      </x:c>
      <x:c r="Q170" t="str">
        <x:v>B</x:v>
      </x:c>
      <x:c r="R170" t="str">
        <x:v>W</x:v>
      </x:c>
      <x:c r="S170" t="str">
        <x:v>W</x:v>
      </x:c>
      <x:c r="T170" t="str">
        <x:v>W</x:v>
      </x:c>
      <x:c r="U170" t="str">
        <x:v>W</x:v>
      </x:c>
      <x:c r="V170" t="n">
        <x:f>COUNTIF(B170:U170,"W")</x:f>
        <x:v>12</x:v>
      </x:c>
      <x:c r="W170" s="5" t="str">
        <x:f>IF(COUNTIF(B170:D170,"W")&gt;0,"Y","N")</x:f>
        <x:v>Y</x:v>
      </x:c>
      <x:c r="X170" s="1"/>
      <x:c r="Y170" s="1"/>
      <x:c r="Z170" s="1"/>
      <x:c r="AA170" s="1"/>
      <x:c r="AB170" s="1"/>
      <x:c r="AC170" s="1"/>
      <x:c r="AD170" s="1"/>
    </x:row>
    <x:row r="171">
      <x:c r="A171" s="1">
        <x:v>170</x:v>
      </x:c>
      <x:c r="B171" t="str">
        <x:v>W</x:v>
      </x:c>
      <x:c r="C171" t="str">
        <x:v>B</x:v>
      </x:c>
      <x:c r="D171" t="str">
        <x:v>W</x:v>
      </x:c>
      <x:c r="E171" t="str">
        <x:v>B</x:v>
      </x:c>
      <x:c r="F171" t="str">
        <x:v>B</x:v>
      </x:c>
      <x:c r="G171" t="str">
        <x:v>W</x:v>
      </x:c>
      <x:c r="H171" t="str">
        <x:v>B</x:v>
      </x:c>
      <x:c r="I171" t="str">
        <x:v>B</x:v>
      </x:c>
      <x:c r="J171" t="str">
        <x:v>W</x:v>
      </x:c>
      <x:c r="K171" t="str">
        <x:v>B</x:v>
      </x:c>
      <x:c r="L171" t="str">
        <x:v>B</x:v>
      </x:c>
      <x:c r="M171" t="str">
        <x:v>B</x:v>
      </x:c>
      <x:c r="N171" t="str">
        <x:v>B</x:v>
      </x:c>
      <x:c r="O171" t="str">
        <x:v>W</x:v>
      </x:c>
      <x:c r="P171" t="str">
        <x:v>W</x:v>
      </x:c>
      <x:c r="Q171" t="str">
        <x:v>B</x:v>
      </x:c>
      <x:c r="R171" t="str">
        <x:v>B</x:v>
      </x:c>
      <x:c r="S171" t="str">
        <x:v>B</x:v>
      </x:c>
      <x:c r="T171" t="str">
        <x:v>W</x:v>
      </x:c>
      <x:c r="U171" t="str">
        <x:v>B</x:v>
      </x:c>
      <x:c r="V171" t="n">
        <x:f>COUNTIF(B171:U171,"W")</x:f>
        <x:v>7</x:v>
      </x:c>
      <x:c r="W171" s="5" t="str">
        <x:f>IF(COUNTIF(B171:D171,"W")&gt;0,"Y","N")</x:f>
        <x:v>Y</x:v>
      </x:c>
      <x:c r="X171" s="1"/>
      <x:c r="Y171" s="1"/>
      <x:c r="Z171" s="1"/>
      <x:c r="AA171" s="1"/>
      <x:c r="AB171" s="1"/>
      <x:c r="AC171" s="1"/>
      <x:c r="AD171" s="1"/>
    </x:row>
    <x:row r="172">
      <x:c r="A172" s="1">
        <x:v>171</x:v>
      </x:c>
      <x:c r="B172" t="str">
        <x:v>B</x:v>
      </x:c>
      <x:c r="C172" t="str">
        <x:v>B</x:v>
      </x:c>
      <x:c r="D172" t="str">
        <x:v>B</x:v>
      </x:c>
      <x:c r="E172" t="str">
        <x:v>B</x:v>
      </x:c>
      <x:c r="F172" t="str">
        <x:v>W</x:v>
      </x:c>
      <x:c r="G172" t="str">
        <x:v>B</x:v>
      </x:c>
      <x:c r="H172" t="str">
        <x:v>W</x:v>
      </x:c>
      <x:c r="I172" t="str">
        <x:v>B</x:v>
      </x:c>
      <x:c r="J172" t="str">
        <x:v>W</x:v>
      </x:c>
      <x:c r="K172" t="str">
        <x:v>W</x:v>
      </x:c>
      <x:c r="L172" t="str">
        <x:v>B</x:v>
      </x:c>
      <x:c r="M172" t="str">
        <x:v>B</x:v>
      </x:c>
      <x:c r="N172" t="str">
        <x:v>B</x:v>
      </x:c>
      <x:c r="O172" t="str">
        <x:v>W</x:v>
      </x:c>
      <x:c r="P172" t="str">
        <x:v>W</x:v>
      </x:c>
      <x:c r="Q172" t="str">
        <x:v>B</x:v>
      </x:c>
      <x:c r="R172" t="str">
        <x:v>B</x:v>
      </x:c>
      <x:c r="S172" t="str">
        <x:v>B</x:v>
      </x:c>
      <x:c r="T172" t="str">
        <x:v>B</x:v>
      </x:c>
      <x:c r="U172" t="str">
        <x:v>B</x:v>
      </x:c>
      <x:c r="V172" t="n">
        <x:f>COUNTIF(B172:U172,"W")</x:f>
        <x:v>6</x:v>
      </x:c>
      <x:c r="W172" s="5" t="str">
        <x:f>IF(COUNTIF(B172:D172,"W")&gt;0,"Y","N")</x:f>
        <x:v>N</x:v>
      </x:c>
      <x:c r="X172" s="1"/>
      <x:c r="Y172" s="1"/>
      <x:c r="Z172" s="1"/>
      <x:c r="AA172" s="1"/>
      <x:c r="AB172" s="1"/>
      <x:c r="AC172" s="1"/>
      <x:c r="AD172" s="1"/>
    </x:row>
    <x:row r="173">
      <x:c r="A173" s="1">
        <x:v>172</x:v>
      </x:c>
      <x:c r="B173" t="str">
        <x:v>B</x:v>
      </x:c>
      <x:c r="C173" t="str">
        <x:v>B</x:v>
      </x:c>
      <x:c r="D173" t="str">
        <x:v>B</x:v>
      </x:c>
      <x:c r="E173" t="str">
        <x:v>B</x:v>
      </x:c>
      <x:c r="F173" t="str">
        <x:v>B</x:v>
      </x:c>
      <x:c r="G173" t="str">
        <x:v>W</x:v>
      </x:c>
      <x:c r="H173" t="str">
        <x:v>B</x:v>
      </x:c>
      <x:c r="I173" t="str">
        <x:v>W</x:v>
      </x:c>
      <x:c r="J173" t="str">
        <x:v>B</x:v>
      </x:c>
      <x:c r="K173" t="str">
        <x:v>B</x:v>
      </x:c>
      <x:c r="L173" t="str">
        <x:v>B</x:v>
      </x:c>
      <x:c r="M173" t="str">
        <x:v>W</x:v>
      </x:c>
      <x:c r="N173" t="str">
        <x:v>B</x:v>
      </x:c>
      <x:c r="O173" t="str">
        <x:v>B</x:v>
      </x:c>
      <x:c r="P173" t="str">
        <x:v>W</x:v>
      </x:c>
      <x:c r="Q173" t="str">
        <x:v>B</x:v>
      </x:c>
      <x:c r="R173" t="str">
        <x:v>B</x:v>
      </x:c>
      <x:c r="S173" t="str">
        <x:v>W</x:v>
      </x:c>
      <x:c r="T173" t="str">
        <x:v>W</x:v>
      </x:c>
      <x:c r="U173" t="str">
        <x:v>B</x:v>
      </x:c>
      <x:c r="V173" t="n">
        <x:f>COUNTIF(B173:U173,"W")</x:f>
        <x:v>6</x:v>
      </x:c>
      <x:c r="W173" s="5" t="str">
        <x:f>IF(COUNTIF(B173:D173,"W")&gt;0,"Y","N")</x:f>
        <x:v>N</x:v>
      </x:c>
      <x:c r="X173" s="1"/>
      <x:c r="Y173" s="1"/>
      <x:c r="Z173" s="1"/>
      <x:c r="AA173" s="1"/>
      <x:c r="AB173" s="1"/>
      <x:c r="AC173" s="1"/>
      <x:c r="AD173" s="1"/>
    </x:row>
    <x:row r="174">
      <x:c r="A174" s="1">
        <x:v>173</x:v>
      </x:c>
      <x:c r="B174" t="str">
        <x:v>W</x:v>
      </x:c>
      <x:c r="C174" t="str">
        <x:v>W</x:v>
      </x:c>
      <x:c r="D174" t="str">
        <x:v>W</x:v>
      </x:c>
      <x:c r="E174" t="str">
        <x:v>B</x:v>
      </x:c>
      <x:c r="F174" t="str">
        <x:v>B</x:v>
      </x:c>
      <x:c r="G174" t="str">
        <x:v>B</x:v>
      </x:c>
      <x:c r="H174" t="str">
        <x:v>B</x:v>
      </x:c>
      <x:c r="I174" t="str">
        <x:v>W</x:v>
      </x:c>
      <x:c r="J174" t="str">
        <x:v>B</x:v>
      </x:c>
      <x:c r="K174" t="str">
        <x:v>B</x:v>
      </x:c>
      <x:c r="L174" t="str">
        <x:v>W</x:v>
      </x:c>
      <x:c r="M174" t="str">
        <x:v>B</x:v>
      </x:c>
      <x:c r="N174" t="str">
        <x:v>B</x:v>
      </x:c>
      <x:c r="O174" t="str">
        <x:v>B</x:v>
      </x:c>
      <x:c r="P174" t="str">
        <x:v>W</x:v>
      </x:c>
      <x:c r="Q174" t="str">
        <x:v>B</x:v>
      </x:c>
      <x:c r="R174" t="str">
        <x:v>B</x:v>
      </x:c>
      <x:c r="S174" t="str">
        <x:v>B</x:v>
      </x:c>
      <x:c r="T174" t="str">
        <x:v>W</x:v>
      </x:c>
      <x:c r="U174" t="str">
        <x:v>B</x:v>
      </x:c>
      <x:c r="V174" t="n">
        <x:f>COUNTIF(B174:U174,"W")</x:f>
        <x:v>7</x:v>
      </x:c>
      <x:c r="W174" s="5" t="str">
        <x:f>IF(COUNTIF(B174:D174,"W")&gt;0,"Y","N")</x:f>
        <x:v>Y</x:v>
      </x:c>
      <x:c r="X174" s="1"/>
      <x:c r="Y174" s="1"/>
      <x:c r="Z174" s="1"/>
      <x:c r="AA174" s="1"/>
      <x:c r="AB174" s="1"/>
      <x:c r="AC174" s="1"/>
      <x:c r="AD174" s="1"/>
    </x:row>
    <x:row r="175">
      <x:c r="A175" s="1">
        <x:v>174</x:v>
      </x:c>
      <x:c r="B175" t="str">
        <x:v>W</x:v>
      </x:c>
      <x:c r="C175" t="str">
        <x:v>B</x:v>
      </x:c>
      <x:c r="D175" t="str">
        <x:v>W</x:v>
      </x:c>
      <x:c r="E175" t="str">
        <x:v>B</x:v>
      </x:c>
      <x:c r="F175" t="str">
        <x:v>B</x:v>
      </x:c>
      <x:c r="G175" t="str">
        <x:v>B</x:v>
      </x:c>
      <x:c r="H175" t="str">
        <x:v>B</x:v>
      </x:c>
      <x:c r="I175" t="str">
        <x:v>B</x:v>
      </x:c>
      <x:c r="J175" t="str">
        <x:v>B</x:v>
      </x:c>
      <x:c r="K175" t="str">
        <x:v>W</x:v>
      </x:c>
      <x:c r="L175" t="str">
        <x:v>B</x:v>
      </x:c>
      <x:c r="M175" t="str">
        <x:v>B</x:v>
      </x:c>
      <x:c r="N175" t="str">
        <x:v>B</x:v>
      </x:c>
      <x:c r="O175" t="str">
        <x:v>B</x:v>
      </x:c>
      <x:c r="P175" t="str">
        <x:v>W</x:v>
      </x:c>
      <x:c r="Q175" t="str">
        <x:v>B</x:v>
      </x:c>
      <x:c r="R175" t="str">
        <x:v>W</x:v>
      </x:c>
      <x:c r="S175" t="str">
        <x:v>W</x:v>
      </x:c>
      <x:c r="T175" t="str">
        <x:v>W</x:v>
      </x:c>
      <x:c r="U175" t="str">
        <x:v>W</x:v>
      </x:c>
      <x:c r="V175" t="n">
        <x:f>COUNTIF(B175:U175,"W")</x:f>
        <x:v>8</x:v>
      </x:c>
      <x:c r="W175" s="5" t="str">
        <x:f>IF(COUNTIF(B175:D175,"W")&gt;0,"Y","N")</x:f>
        <x:v>Y</x:v>
      </x:c>
      <x:c r="X175" s="1"/>
      <x:c r="Y175" s="1"/>
      <x:c r="Z175" s="1"/>
      <x:c r="AA175" s="1"/>
      <x:c r="AB175" s="1"/>
      <x:c r="AC175" s="1"/>
      <x:c r="AD175" s="1"/>
    </x:row>
    <x:row r="176">
      <x:c r="A176" s="1">
        <x:v>175</x:v>
      </x:c>
      <x:c r="B176" t="str">
        <x:v>B</x:v>
      </x:c>
      <x:c r="C176" t="str">
        <x:v>W</x:v>
      </x:c>
      <x:c r="D176" t="str">
        <x:v>W</x:v>
      </x:c>
      <x:c r="E176" t="str">
        <x:v>W</x:v>
      </x:c>
      <x:c r="F176" t="str">
        <x:v>W</x:v>
      </x:c>
      <x:c r="G176" t="str">
        <x:v>W</x:v>
      </x:c>
      <x:c r="H176" t="str">
        <x:v>B</x:v>
      </x:c>
      <x:c r="I176" t="str">
        <x:v>B</x:v>
      </x:c>
      <x:c r="J176" t="str">
        <x:v>W</x:v>
      </x:c>
      <x:c r="K176" t="str">
        <x:v>W</x:v>
      </x:c>
      <x:c r="L176" t="str">
        <x:v>B</x:v>
      </x:c>
      <x:c r="M176" t="str">
        <x:v>B</x:v>
      </x:c>
      <x:c r="N176" t="str">
        <x:v>W</x:v>
      </x:c>
      <x:c r="O176" t="str">
        <x:v>B</x:v>
      </x:c>
      <x:c r="P176" t="str">
        <x:v>B</x:v>
      </x:c>
      <x:c r="Q176" t="str">
        <x:v>B</x:v>
      </x:c>
      <x:c r="R176" t="str">
        <x:v>B</x:v>
      </x:c>
      <x:c r="S176" t="str">
        <x:v>B</x:v>
      </x:c>
      <x:c r="T176" t="str">
        <x:v>B</x:v>
      </x:c>
      <x:c r="U176" t="str">
        <x:v>W</x:v>
      </x:c>
      <x:c r="V176" t="n">
        <x:f>COUNTIF(B176:U176,"W")</x:f>
        <x:v>9</x:v>
      </x:c>
      <x:c r="W176" s="5" t="str">
        <x:f>IF(COUNTIF(B176:D176,"W")&gt;0,"Y","N")</x:f>
        <x:v>Y</x:v>
      </x:c>
      <x:c r="X176" s="1"/>
      <x:c r="Y176" s="1"/>
      <x:c r="Z176" s="1"/>
      <x:c r="AA176" s="1"/>
      <x:c r="AB176" s="1"/>
      <x:c r="AC176" s="1"/>
      <x:c r="AD176" s="1"/>
    </x:row>
    <x:row r="177">
      <x:c r="A177" s="1">
        <x:v>176</x:v>
      </x:c>
      <x:c r="B177" t="str">
        <x:v>B</x:v>
      </x:c>
      <x:c r="C177" t="str">
        <x:v>B</x:v>
      </x:c>
      <x:c r="D177" t="str">
        <x:v>W</x:v>
      </x:c>
      <x:c r="E177" t="str">
        <x:v>B</x:v>
      </x:c>
      <x:c r="F177" t="str">
        <x:v>B</x:v>
      </x:c>
      <x:c r="G177" t="str">
        <x:v>W</x:v>
      </x:c>
      <x:c r="H177" t="str">
        <x:v>B</x:v>
      </x:c>
      <x:c r="I177" t="str">
        <x:v>W</x:v>
      </x:c>
      <x:c r="J177" t="str">
        <x:v>W</x:v>
      </x:c>
      <x:c r="K177" t="str">
        <x:v>B</x:v>
      </x:c>
      <x:c r="L177" t="str">
        <x:v>W</x:v>
      </x:c>
      <x:c r="M177" t="str">
        <x:v>B</x:v>
      </x:c>
      <x:c r="N177" t="str">
        <x:v>B</x:v>
      </x:c>
      <x:c r="O177" t="str">
        <x:v>W</x:v>
      </x:c>
      <x:c r="P177" t="str">
        <x:v>B</x:v>
      </x:c>
      <x:c r="Q177" t="str">
        <x:v>W</x:v>
      </x:c>
      <x:c r="R177" t="str">
        <x:v>B</x:v>
      </x:c>
      <x:c r="S177" t="str">
        <x:v>W</x:v>
      </x:c>
      <x:c r="T177" t="str">
        <x:v>B</x:v>
      </x:c>
      <x:c r="U177" t="str">
        <x:v>B</x:v>
      </x:c>
      <x:c r="V177" t="n">
        <x:f>COUNTIF(B177:U177,"W")</x:f>
        <x:v>8</x:v>
      </x:c>
      <x:c r="W177" s="5" t="str">
        <x:f>IF(COUNTIF(B177:D177,"W")&gt;0,"Y","N")</x:f>
        <x:v>Y</x:v>
      </x:c>
      <x:c r="X177" s="1"/>
      <x:c r="Y177" s="1"/>
      <x:c r="Z177" s="1"/>
      <x:c r="AA177" s="1"/>
      <x:c r="AB177" s="1"/>
      <x:c r="AC177" s="1"/>
      <x:c r="AD177" s="1"/>
    </x:row>
    <x:row r="178">
      <x:c r="A178" s="1">
        <x:v>177</x:v>
      </x:c>
      <x:c r="B178" t="str">
        <x:v>W</x:v>
      </x:c>
      <x:c r="C178" t="str">
        <x:v>W</x:v>
      </x:c>
      <x:c r="D178" t="str">
        <x:v>W</x:v>
      </x:c>
      <x:c r="E178" t="str">
        <x:v>B</x:v>
      </x:c>
      <x:c r="F178" t="str">
        <x:v>B</x:v>
      </x:c>
      <x:c r="G178" t="str">
        <x:v>W</x:v>
      </x:c>
      <x:c r="H178" t="str">
        <x:v>B</x:v>
      </x:c>
      <x:c r="I178" t="str">
        <x:v>W</x:v>
      </x:c>
      <x:c r="J178" t="str">
        <x:v>W</x:v>
      </x:c>
      <x:c r="K178" t="str">
        <x:v>W</x:v>
      </x:c>
      <x:c r="L178" t="str">
        <x:v>B</x:v>
      </x:c>
      <x:c r="M178" t="str">
        <x:v>B</x:v>
      </x:c>
      <x:c r="N178" t="str">
        <x:v>W</x:v>
      </x:c>
      <x:c r="O178" t="str">
        <x:v>B</x:v>
      </x:c>
      <x:c r="P178" t="str">
        <x:v>W</x:v>
      </x:c>
      <x:c r="Q178" t="str">
        <x:v>B</x:v>
      </x:c>
      <x:c r="R178" t="str">
        <x:v>W</x:v>
      </x:c>
      <x:c r="S178" t="str">
        <x:v>W</x:v>
      </x:c>
      <x:c r="T178" t="str">
        <x:v>B</x:v>
      </x:c>
      <x:c r="U178" t="str">
        <x:v>W</x:v>
      </x:c>
      <x:c r="V178" t="n">
        <x:f>COUNTIF(B178:U178,"W")</x:f>
        <x:v>12</x:v>
      </x:c>
      <x:c r="W178" s="5" t="str">
        <x:f>IF(COUNTIF(B178:D178,"W")&gt;0,"Y","N")</x:f>
        <x:v>Y</x:v>
      </x:c>
      <x:c r="X178" s="1"/>
      <x:c r="Y178" s="1"/>
      <x:c r="Z178" s="1"/>
      <x:c r="AA178" s="1"/>
      <x:c r="AB178" s="1"/>
      <x:c r="AC178" s="1"/>
      <x:c r="AD178" s="1"/>
    </x:row>
    <x:row r="179">
      <x:c r="A179" s="1">
        <x:v>178</x:v>
      </x:c>
      <x:c r="B179" t="str">
        <x:v>B</x:v>
      </x:c>
      <x:c r="C179" t="str">
        <x:v>B</x:v>
      </x:c>
      <x:c r="D179" t="str">
        <x:v>B</x:v>
      </x:c>
      <x:c r="E179" t="str">
        <x:v>B</x:v>
      </x:c>
      <x:c r="F179" t="str">
        <x:v>B</x:v>
      </x:c>
      <x:c r="G179" t="str">
        <x:v>B</x:v>
      </x:c>
      <x:c r="H179" t="str">
        <x:v>B</x:v>
      </x:c>
      <x:c r="I179" t="str">
        <x:v>W</x:v>
      </x:c>
      <x:c r="J179" t="str">
        <x:v>W</x:v>
      </x:c>
      <x:c r="K179" t="str">
        <x:v>B</x:v>
      </x:c>
      <x:c r="L179" t="str">
        <x:v>B</x:v>
      </x:c>
      <x:c r="M179" t="str">
        <x:v>W</x:v>
      </x:c>
      <x:c r="N179" t="str">
        <x:v>B</x:v>
      </x:c>
      <x:c r="O179" t="str">
        <x:v>B</x:v>
      </x:c>
      <x:c r="P179" t="str">
        <x:v>W</x:v>
      </x:c>
      <x:c r="Q179" t="str">
        <x:v>W</x:v>
      </x:c>
      <x:c r="R179" t="str">
        <x:v>W</x:v>
      </x:c>
      <x:c r="S179" t="str">
        <x:v>W</x:v>
      </x:c>
      <x:c r="T179" t="str">
        <x:v>W</x:v>
      </x:c>
      <x:c r="U179" t="str">
        <x:v>B</x:v>
      </x:c>
      <x:c r="V179" t="n">
        <x:f>COUNTIF(B179:U179,"W")</x:f>
        <x:v>8</x:v>
      </x:c>
      <x:c r="W179" s="5" t="str">
        <x:f>IF(COUNTIF(B179:D179,"W")&gt;0,"Y","N")</x:f>
        <x:v>N</x:v>
      </x:c>
      <x:c r="X179" s="1"/>
      <x:c r="Y179" s="1"/>
      <x:c r="Z179" s="1"/>
      <x:c r="AA179" s="1"/>
      <x:c r="AB179" s="1"/>
      <x:c r="AC179" s="1"/>
      <x:c r="AD179" s="1"/>
    </x:row>
    <x:row r="180">
      <x:c r="A180" s="1">
        <x:v>179</x:v>
      </x:c>
      <x:c r="B180" t="str">
        <x:v>W</x:v>
      </x:c>
      <x:c r="C180" t="str">
        <x:v>B</x:v>
      </x:c>
      <x:c r="D180" t="str">
        <x:v>B</x:v>
      </x:c>
      <x:c r="E180" t="str">
        <x:v>B</x:v>
      </x:c>
      <x:c r="F180" t="str">
        <x:v>B</x:v>
      </x:c>
      <x:c r="G180" t="str">
        <x:v>B</x:v>
      </x:c>
      <x:c r="H180" t="str">
        <x:v>B</x:v>
      </x:c>
      <x:c r="I180" t="str">
        <x:v>B</x:v>
      </x:c>
      <x:c r="J180" t="str">
        <x:v>W</x:v>
      </x:c>
      <x:c r="K180" t="str">
        <x:v>W</x:v>
      </x:c>
      <x:c r="L180" t="str">
        <x:v>B</x:v>
      </x:c>
      <x:c r="M180" t="str">
        <x:v>W</x:v>
      </x:c>
      <x:c r="N180" t="str">
        <x:v>B</x:v>
      </x:c>
      <x:c r="O180" t="str">
        <x:v>W</x:v>
      </x:c>
      <x:c r="P180" t="str">
        <x:v>B</x:v>
      </x:c>
      <x:c r="Q180" t="str">
        <x:v>B</x:v>
      </x:c>
      <x:c r="R180" t="str">
        <x:v>B</x:v>
      </x:c>
      <x:c r="S180" t="str">
        <x:v>B</x:v>
      </x:c>
      <x:c r="T180" t="str">
        <x:v>B</x:v>
      </x:c>
      <x:c r="U180" t="str">
        <x:v>B</x:v>
      </x:c>
      <x:c r="V180" t="n">
        <x:f>COUNTIF(B180:U180,"W")</x:f>
        <x:v>5</x:v>
      </x:c>
      <x:c r="W180" s="5" t="str">
        <x:f>IF(COUNTIF(B180:D180,"W")&gt;0,"Y","N")</x:f>
        <x:v>Y</x:v>
      </x:c>
      <x:c r="X180" s="1"/>
      <x:c r="Y180" s="1"/>
      <x:c r="Z180" s="1"/>
      <x:c r="AA180" s="1"/>
      <x:c r="AB180" s="1"/>
      <x:c r="AC180" s="1"/>
      <x:c r="AD180" s="1"/>
    </x:row>
    <x:row r="181">
      <x:c r="A181" s="1">
        <x:v>180</x:v>
      </x:c>
      <x:c r="B181" t="str">
        <x:v>W</x:v>
      </x:c>
      <x:c r="C181" t="str">
        <x:v>W</x:v>
      </x:c>
      <x:c r="D181" t="str">
        <x:v>W</x:v>
      </x:c>
      <x:c r="E181" t="str">
        <x:v>B</x:v>
      </x:c>
      <x:c r="F181" t="str">
        <x:v>B</x:v>
      </x:c>
      <x:c r="G181" t="str">
        <x:v>B</x:v>
      </x:c>
      <x:c r="H181" t="str">
        <x:v>W</x:v>
      </x:c>
      <x:c r="I181" t="str">
        <x:v>B</x:v>
      </x:c>
      <x:c r="J181" t="str">
        <x:v>B</x:v>
      </x:c>
      <x:c r="K181" t="str">
        <x:v>W</x:v>
      </x:c>
      <x:c r="L181" t="str">
        <x:v>W</x:v>
      </x:c>
      <x:c r="M181" t="str">
        <x:v>W</x:v>
      </x:c>
      <x:c r="N181" t="str">
        <x:v>B</x:v>
      </x:c>
      <x:c r="O181" t="str">
        <x:v>B</x:v>
      </x:c>
      <x:c r="P181" t="str">
        <x:v>B</x:v>
      </x:c>
      <x:c r="Q181" t="str">
        <x:v>B</x:v>
      </x:c>
      <x:c r="R181" t="str">
        <x:v>W</x:v>
      </x:c>
      <x:c r="S181" t="str">
        <x:v>B</x:v>
      </x:c>
      <x:c r="T181" t="str">
        <x:v>B</x:v>
      </x:c>
      <x:c r="U181" t="str">
        <x:v>W</x:v>
      </x:c>
      <x:c r="V181" t="n">
        <x:f>COUNTIF(B181:U181,"W")</x:f>
        <x:v>9</x:v>
      </x:c>
      <x:c r="W181" s="5" t="str">
        <x:f>IF(COUNTIF(B181:D181,"W")&gt;0,"Y","N")</x:f>
        <x:v>Y</x:v>
      </x:c>
      <x:c r="X181" s="1"/>
      <x:c r="Y181" s="1"/>
      <x:c r="Z181" s="1"/>
      <x:c r="AA181" s="1"/>
      <x:c r="AB181" s="1"/>
      <x:c r="AC181" s="1"/>
      <x:c r="AD181" s="1"/>
    </x:row>
    <x:row r="182">
      <x:c r="A182" s="1">
        <x:v>181</x:v>
      </x:c>
      <x:c r="B182" t="str">
        <x:v>B</x:v>
      </x:c>
      <x:c r="C182" t="str">
        <x:v>B</x:v>
      </x:c>
      <x:c r="D182" t="str">
        <x:v>B</x:v>
      </x:c>
      <x:c r="E182" t="str">
        <x:v>B</x:v>
      </x:c>
      <x:c r="F182" t="str">
        <x:v>B</x:v>
      </x:c>
      <x:c r="G182" t="str">
        <x:v>W</x:v>
      </x:c>
      <x:c r="H182" t="str">
        <x:v>B</x:v>
      </x:c>
      <x:c r="I182" t="str">
        <x:v>W</x:v>
      </x:c>
      <x:c r="J182" t="str">
        <x:v>W</x:v>
      </x:c>
      <x:c r="K182" t="str">
        <x:v>W</x:v>
      </x:c>
      <x:c r="L182" t="str">
        <x:v>B</x:v>
      </x:c>
      <x:c r="M182" t="str">
        <x:v>B</x:v>
      </x:c>
      <x:c r="N182" t="str">
        <x:v>B</x:v>
      </x:c>
      <x:c r="O182" t="str">
        <x:v>W</x:v>
      </x:c>
      <x:c r="P182" t="str">
        <x:v>B</x:v>
      </x:c>
      <x:c r="Q182" t="str">
        <x:v>W</x:v>
      </x:c>
      <x:c r="R182" t="str">
        <x:v>W</x:v>
      </x:c>
      <x:c r="S182" t="str">
        <x:v>W</x:v>
      </x:c>
      <x:c r="T182" t="str">
        <x:v>B</x:v>
      </x:c>
      <x:c r="U182" t="str">
        <x:v>W</x:v>
      </x:c>
      <x:c r="V182" t="n">
        <x:f>COUNTIF(B182:U182,"W")</x:f>
        <x:v>9</x:v>
      </x:c>
      <x:c r="W182" s="5" t="str">
        <x:f>IF(COUNTIF(B182:D182,"W")&gt;0,"Y","N")</x:f>
        <x:v>N</x:v>
      </x:c>
      <x:c r="X182" s="1"/>
      <x:c r="Y182" s="1"/>
      <x:c r="Z182" s="1"/>
      <x:c r="AA182" s="1"/>
      <x:c r="AB182" s="1"/>
      <x:c r="AC182" s="1"/>
      <x:c r="AD182" s="1"/>
    </x:row>
    <x:row r="183">
      <x:c r="A183" s="1">
        <x:v>182</x:v>
      </x:c>
      <x:c r="B183" t="str">
        <x:v>B</x:v>
      </x:c>
      <x:c r="C183" t="str">
        <x:v>B</x:v>
      </x:c>
      <x:c r="D183" t="str">
        <x:v>W</x:v>
      </x:c>
      <x:c r="E183" t="str">
        <x:v>W</x:v>
      </x:c>
      <x:c r="F183" t="str">
        <x:v>W</x:v>
      </x:c>
      <x:c r="G183" t="str">
        <x:v>B</x:v>
      </x:c>
      <x:c r="H183" t="str">
        <x:v>B</x:v>
      </x:c>
      <x:c r="I183" t="str">
        <x:v>B</x:v>
      </x:c>
      <x:c r="J183" t="str">
        <x:v>W</x:v>
      </x:c>
      <x:c r="K183" t="str">
        <x:v>W</x:v>
      </x:c>
      <x:c r="L183" t="str">
        <x:v>B</x:v>
      </x:c>
      <x:c r="M183" t="str">
        <x:v>B</x:v>
      </x:c>
      <x:c r="N183" t="str">
        <x:v>B</x:v>
      </x:c>
      <x:c r="O183" t="str">
        <x:v>W</x:v>
      </x:c>
      <x:c r="P183" t="str">
        <x:v>B</x:v>
      </x:c>
      <x:c r="Q183" t="str">
        <x:v>W</x:v>
      </x:c>
      <x:c r="R183" t="str">
        <x:v>W</x:v>
      </x:c>
      <x:c r="S183" t="str">
        <x:v>W</x:v>
      </x:c>
      <x:c r="T183" t="str">
        <x:v>W</x:v>
      </x:c>
      <x:c r="U183" t="str">
        <x:v>B</x:v>
      </x:c>
      <x:c r="V183" t="n">
        <x:f>COUNTIF(B183:U183,"W")</x:f>
        <x:v>10</x:v>
      </x:c>
      <x:c r="W183" s="5" t="str">
        <x:f>IF(COUNTIF(B183:D183,"W")&gt;0,"Y","N")</x:f>
        <x:v>Y</x:v>
      </x:c>
      <x:c r="X183" s="1"/>
      <x:c r="Y183" s="1"/>
      <x:c r="Z183" s="1"/>
      <x:c r="AA183" s="1"/>
      <x:c r="AB183" s="1"/>
      <x:c r="AC183" s="1"/>
      <x:c r="AD183" s="1"/>
    </x:row>
    <x:row r="184">
      <x:c r="A184" s="1">
        <x:v>183</x:v>
      </x:c>
      <x:c r="B184" t="str">
        <x:v>B</x:v>
      </x:c>
      <x:c r="C184" t="str">
        <x:v>B</x:v>
      </x:c>
      <x:c r="D184" t="str">
        <x:v>W</x:v>
      </x:c>
      <x:c r="E184" t="str">
        <x:v>W</x:v>
      </x:c>
      <x:c r="F184" t="str">
        <x:v>B</x:v>
      </x:c>
      <x:c r="G184" t="str">
        <x:v>B</x:v>
      </x:c>
      <x:c r="H184" t="str">
        <x:v>B</x:v>
      </x:c>
      <x:c r="I184" t="str">
        <x:v>W</x:v>
      </x:c>
      <x:c r="J184" t="str">
        <x:v>B</x:v>
      </x:c>
      <x:c r="K184" t="str">
        <x:v>B</x:v>
      </x:c>
      <x:c r="L184" t="str">
        <x:v>W</x:v>
      </x:c>
      <x:c r="M184" t="str">
        <x:v>W</x:v>
      </x:c>
      <x:c r="N184" t="str">
        <x:v>B</x:v>
      </x:c>
      <x:c r="O184" t="str">
        <x:v>B</x:v>
      </x:c>
      <x:c r="P184" t="str">
        <x:v>B</x:v>
      </x:c>
      <x:c r="Q184" t="str">
        <x:v>B</x:v>
      </x:c>
      <x:c r="R184" t="str">
        <x:v>B</x:v>
      </x:c>
      <x:c r="S184" t="str">
        <x:v>B</x:v>
      </x:c>
      <x:c r="T184" t="str">
        <x:v>B</x:v>
      </x:c>
      <x:c r="U184" t="str">
        <x:v>B</x:v>
      </x:c>
      <x:c r="V184" t="n">
        <x:f>COUNTIF(B184:U184,"W")</x:f>
        <x:v>5</x:v>
      </x:c>
      <x:c r="W184" s="5" t="str">
        <x:f>IF(COUNTIF(B184:D184,"W")&gt;0,"Y","N")</x:f>
        <x:v>Y</x:v>
      </x:c>
      <x:c r="X184" s="1"/>
      <x:c r="Y184" s="1"/>
      <x:c r="Z184" s="1"/>
      <x:c r="AA184" s="1"/>
      <x:c r="AB184" s="1"/>
      <x:c r="AC184" s="1"/>
      <x:c r="AD184" s="1"/>
    </x:row>
    <x:row r="185">
      <x:c r="A185" s="1">
        <x:v>184</x:v>
      </x:c>
      <x:c r="B185" t="str">
        <x:v>B</x:v>
      </x:c>
      <x:c r="C185" t="str">
        <x:v>W</x:v>
      </x:c>
      <x:c r="D185" t="str">
        <x:v>W</x:v>
      </x:c>
      <x:c r="E185" t="str">
        <x:v>B</x:v>
      </x:c>
      <x:c r="F185" t="str">
        <x:v>B</x:v>
      </x:c>
      <x:c r="G185" t="str">
        <x:v>W</x:v>
      </x:c>
      <x:c r="H185" t="str">
        <x:v>B</x:v>
      </x:c>
      <x:c r="I185" t="str">
        <x:v>W</x:v>
      </x:c>
      <x:c r="J185" t="str">
        <x:v>B</x:v>
      </x:c>
      <x:c r="K185" t="str">
        <x:v>W</x:v>
      </x:c>
      <x:c r="L185" t="str">
        <x:v>W</x:v>
      </x:c>
      <x:c r="M185" t="str">
        <x:v>B</x:v>
      </x:c>
      <x:c r="N185" t="str">
        <x:v>B</x:v>
      </x:c>
      <x:c r="O185" t="str">
        <x:v>W</x:v>
      </x:c>
      <x:c r="P185" t="str">
        <x:v>B</x:v>
      </x:c>
      <x:c r="Q185" t="str">
        <x:v>W</x:v>
      </x:c>
      <x:c r="R185" t="str">
        <x:v>B</x:v>
      </x:c>
      <x:c r="S185" t="str">
        <x:v>B</x:v>
      </x:c>
      <x:c r="T185" t="str">
        <x:v>B</x:v>
      </x:c>
      <x:c r="U185" t="str">
        <x:v>B</x:v>
      </x:c>
      <x:c r="V185" t="n">
        <x:f>COUNTIF(B185:U185,"W")</x:f>
        <x:v>8</x:v>
      </x:c>
      <x:c r="W185" s="5" t="str">
        <x:f>IF(COUNTIF(B185:D185,"W")&gt;0,"Y","N")</x:f>
        <x:v>Y</x:v>
      </x:c>
      <x:c r="X185" s="1"/>
      <x:c r="Y185" s="1"/>
      <x:c r="Z185" s="1"/>
      <x:c r="AA185" s="1"/>
      <x:c r="AB185" s="1"/>
      <x:c r="AC185" s="1"/>
      <x:c r="AD185" s="1"/>
    </x:row>
    <x:row r="186">
      <x:c r="A186" s="1">
        <x:v>185</x:v>
      </x:c>
      <x:c r="B186" t="str">
        <x:v>W</x:v>
      </x:c>
      <x:c r="C186" t="str">
        <x:v>W</x:v>
      </x:c>
      <x:c r="D186" t="str">
        <x:v>B</x:v>
      </x:c>
      <x:c r="E186" t="str">
        <x:v>B</x:v>
      </x:c>
      <x:c r="F186" t="str">
        <x:v>B</x:v>
      </x:c>
      <x:c r="G186" t="str">
        <x:v>B</x:v>
      </x:c>
      <x:c r="H186" t="str">
        <x:v>W</x:v>
      </x:c>
      <x:c r="I186" t="str">
        <x:v>W</x:v>
      </x:c>
      <x:c r="J186" t="str">
        <x:v>B</x:v>
      </x:c>
      <x:c r="K186" t="str">
        <x:v>W</x:v>
      </x:c>
      <x:c r="L186" t="str">
        <x:v>B</x:v>
      </x:c>
      <x:c r="M186" t="str">
        <x:v>B</x:v>
      </x:c>
      <x:c r="N186" t="str">
        <x:v>B</x:v>
      </x:c>
      <x:c r="O186" t="str">
        <x:v>B</x:v>
      </x:c>
      <x:c r="P186" t="str">
        <x:v>W</x:v>
      </x:c>
      <x:c r="Q186" t="str">
        <x:v>B</x:v>
      </x:c>
      <x:c r="R186" t="str">
        <x:v>W</x:v>
      </x:c>
      <x:c r="S186" t="str">
        <x:v>B</x:v>
      </x:c>
      <x:c r="T186" t="str">
        <x:v>B</x:v>
      </x:c>
      <x:c r="U186" t="str">
        <x:v>W</x:v>
      </x:c>
      <x:c r="V186" t="n">
        <x:f>COUNTIF(B186:U186,"W")</x:f>
        <x:v>8</x:v>
      </x:c>
      <x:c r="W186" s="5" t="str">
        <x:f>IF(COUNTIF(B186:D186,"W")&gt;0,"Y","N")</x:f>
        <x:v>Y</x:v>
      </x:c>
      <x:c r="X186" s="1"/>
      <x:c r="Y186" s="1"/>
      <x:c r="Z186" s="1"/>
      <x:c r="AA186" s="1"/>
      <x:c r="AB186" s="1"/>
      <x:c r="AC186" s="1"/>
      <x:c r="AD186" s="1"/>
    </x:row>
    <x:row r="187">
      <x:c r="A187" s="1">
        <x:v>186</x:v>
      </x:c>
      <x:c r="B187" t="str">
        <x:v>B</x:v>
      </x:c>
      <x:c r="C187" t="str">
        <x:v>W</x:v>
      </x:c>
      <x:c r="D187" t="str">
        <x:v>B</x:v>
      </x:c>
      <x:c r="E187" t="str">
        <x:v>W</x:v>
      </x:c>
      <x:c r="F187" t="str">
        <x:v>W</x:v>
      </x:c>
      <x:c r="G187" t="str">
        <x:v>B</x:v>
      </x:c>
      <x:c r="H187" t="str">
        <x:v>B</x:v>
      </x:c>
      <x:c r="I187" t="str">
        <x:v>B</x:v>
      </x:c>
      <x:c r="J187" t="str">
        <x:v>B</x:v>
      </x:c>
      <x:c r="K187" t="str">
        <x:v>B</x:v>
      </x:c>
      <x:c r="L187" t="str">
        <x:v>B</x:v>
      </x:c>
      <x:c r="M187" t="str">
        <x:v>B</x:v>
      </x:c>
      <x:c r="N187" t="str">
        <x:v>W</x:v>
      </x:c>
      <x:c r="O187" t="str">
        <x:v>B</x:v>
      </x:c>
      <x:c r="P187" t="str">
        <x:v>W</x:v>
      </x:c>
      <x:c r="Q187" t="str">
        <x:v>W</x:v>
      </x:c>
      <x:c r="R187" t="str">
        <x:v>B</x:v>
      </x:c>
      <x:c r="S187" t="str">
        <x:v>B</x:v>
      </x:c>
      <x:c r="T187" t="str">
        <x:v>B</x:v>
      </x:c>
      <x:c r="U187" t="str">
        <x:v>W</x:v>
      </x:c>
      <x:c r="V187" t="n">
        <x:f>COUNTIF(B187:U187,"W")</x:f>
        <x:v>7</x:v>
      </x:c>
      <x:c r="W187" s="5" t="str">
        <x:f>IF(COUNTIF(B187:D187,"W")&gt;0,"Y","N")</x:f>
        <x:v>Y</x:v>
      </x:c>
      <x:c r="X187" s="1"/>
      <x:c r="Y187" s="1"/>
      <x:c r="Z187" s="1"/>
      <x:c r="AA187" s="1"/>
      <x:c r="AB187" s="1"/>
      <x:c r="AC187" s="1"/>
      <x:c r="AD187" s="1"/>
    </x:row>
    <x:row r="188">
      <x:c r="A188" s="1">
        <x:v>187</x:v>
      </x:c>
      <x:c r="B188" t="str">
        <x:v>B</x:v>
      </x:c>
      <x:c r="C188" t="str">
        <x:v>W</x:v>
      </x:c>
      <x:c r="D188" t="str">
        <x:v>W</x:v>
      </x:c>
      <x:c r="E188" t="str">
        <x:v>B</x:v>
      </x:c>
      <x:c r="F188" t="str">
        <x:v>B</x:v>
      </x:c>
      <x:c r="G188" t="str">
        <x:v>B</x:v>
      </x:c>
      <x:c r="H188" t="str">
        <x:v>B</x:v>
      </x:c>
      <x:c r="I188" t="str">
        <x:v>B</x:v>
      </x:c>
      <x:c r="J188" t="str">
        <x:v>B</x:v>
      </x:c>
      <x:c r="K188" t="str">
        <x:v>W</x:v>
      </x:c>
      <x:c r="L188" t="str">
        <x:v>B</x:v>
      </x:c>
      <x:c r="M188" t="str">
        <x:v>W</x:v>
      </x:c>
      <x:c r="N188" t="str">
        <x:v>W</x:v>
      </x:c>
      <x:c r="O188" t="str">
        <x:v>W</x:v>
      </x:c>
      <x:c r="P188" t="str">
        <x:v>B</x:v>
      </x:c>
      <x:c r="Q188" t="str">
        <x:v>W</x:v>
      </x:c>
      <x:c r="R188" t="str">
        <x:v>B</x:v>
      </x:c>
      <x:c r="S188" t="str">
        <x:v>B</x:v>
      </x:c>
      <x:c r="T188" t="str">
        <x:v>W</x:v>
      </x:c>
      <x:c r="U188" t="str">
        <x:v>B</x:v>
      </x:c>
      <x:c r="V188" t="n">
        <x:f>COUNTIF(B188:U188,"W")</x:f>
        <x:v>8</x:v>
      </x:c>
      <x:c r="W188" s="5" t="str">
        <x:f>IF(COUNTIF(B188:D188,"W")&gt;0,"Y","N")</x:f>
        <x:v>Y</x:v>
      </x:c>
      <x:c r="X188" s="1"/>
      <x:c r="Y188" s="1"/>
      <x:c r="Z188" s="1"/>
      <x:c r="AA188" s="1"/>
      <x:c r="AB188" s="1"/>
      <x:c r="AC188" s="1"/>
      <x:c r="AD188" s="1"/>
    </x:row>
    <x:row r="189">
      <x:c r="A189" s="1">
        <x:v>188</x:v>
      </x:c>
      <x:c r="B189" t="str">
        <x:v>B</x:v>
      </x:c>
      <x:c r="C189" t="str">
        <x:v>B</x:v>
      </x:c>
      <x:c r="D189" t="str">
        <x:v>W</x:v>
      </x:c>
      <x:c r="E189" t="str">
        <x:v>B</x:v>
      </x:c>
      <x:c r="F189" t="str">
        <x:v>B</x:v>
      </x:c>
      <x:c r="G189" t="str">
        <x:v>W</x:v>
      </x:c>
      <x:c r="H189" t="str">
        <x:v>W</x:v>
      </x:c>
      <x:c r="I189" t="str">
        <x:v>B</x:v>
      </x:c>
      <x:c r="J189" t="str">
        <x:v>W</x:v>
      </x:c>
      <x:c r="K189" t="str">
        <x:v>B</x:v>
      </x:c>
      <x:c r="L189" t="str">
        <x:v>W</x:v>
      </x:c>
      <x:c r="M189" t="str">
        <x:v>B</x:v>
      </x:c>
      <x:c r="N189" t="str">
        <x:v>W</x:v>
      </x:c>
      <x:c r="O189" t="str">
        <x:v>W</x:v>
      </x:c>
      <x:c r="P189" t="str">
        <x:v>B</x:v>
      </x:c>
      <x:c r="Q189" t="str">
        <x:v>W</x:v>
      </x:c>
      <x:c r="R189" t="str">
        <x:v>W</x:v>
      </x:c>
      <x:c r="S189" t="str">
        <x:v>W</x:v>
      </x:c>
      <x:c r="T189" t="str">
        <x:v>B</x:v>
      </x:c>
      <x:c r="U189" t="str">
        <x:v>W</x:v>
      </x:c>
      <x:c r="V189" t="n">
        <x:f>COUNTIF(B189:U189,"W")</x:f>
        <x:v>11</x:v>
      </x:c>
      <x:c r="W189" s="5" t="str">
        <x:f>IF(COUNTIF(B189:D189,"W")&gt;0,"Y","N")</x:f>
        <x:v>Y</x:v>
      </x:c>
      <x:c r="X189" s="1"/>
      <x:c r="Y189" s="1"/>
      <x:c r="Z189" s="1"/>
      <x:c r="AA189" s="1"/>
      <x:c r="AB189" s="1"/>
      <x:c r="AC189" s="1"/>
      <x:c r="AD189" s="1"/>
    </x:row>
    <x:row r="190">
      <x:c r="A190" s="1">
        <x:v>189</x:v>
      </x:c>
      <x:c r="B190" t="str">
        <x:v>W</x:v>
      </x:c>
      <x:c r="C190" t="str">
        <x:v>B</x:v>
      </x:c>
      <x:c r="D190" t="str">
        <x:v>B</x:v>
      </x:c>
      <x:c r="E190" t="str">
        <x:v>B</x:v>
      </x:c>
      <x:c r="F190" t="str">
        <x:v>W</x:v>
      </x:c>
      <x:c r="G190" t="str">
        <x:v>W</x:v>
      </x:c>
      <x:c r="H190" t="str">
        <x:v>B</x:v>
      </x:c>
      <x:c r="I190" t="str">
        <x:v>B</x:v>
      </x:c>
      <x:c r="J190" t="str">
        <x:v>W</x:v>
      </x:c>
      <x:c r="K190" t="str">
        <x:v>B</x:v>
      </x:c>
      <x:c r="L190" t="str">
        <x:v>B</x:v>
      </x:c>
      <x:c r="M190" t="str">
        <x:v>B</x:v>
      </x:c>
      <x:c r="N190" t="str">
        <x:v>W</x:v>
      </x:c>
      <x:c r="O190" t="str">
        <x:v>W</x:v>
      </x:c>
      <x:c r="P190" t="str">
        <x:v>W</x:v>
      </x:c>
      <x:c r="Q190" t="str">
        <x:v>B</x:v>
      </x:c>
      <x:c r="R190" t="str">
        <x:v>W</x:v>
      </x:c>
      <x:c r="S190" t="str">
        <x:v>W</x:v>
      </x:c>
      <x:c r="T190" t="str">
        <x:v>B</x:v>
      </x:c>
      <x:c r="U190" t="str">
        <x:v>B</x:v>
      </x:c>
      <x:c r="V190" t="n">
        <x:f>COUNTIF(B190:U190,"W")</x:f>
        <x:v>9</x:v>
      </x:c>
      <x:c r="W190" s="5" t="str">
        <x:f>IF(COUNTIF(B190:D190,"W")&gt;0,"Y","N")</x:f>
        <x:v>Y</x:v>
      </x:c>
      <x:c r="X190" s="1"/>
      <x:c r="Y190" s="1"/>
      <x:c r="Z190" s="1"/>
      <x:c r="AA190" s="1"/>
      <x:c r="AB190" s="1"/>
      <x:c r="AC190" s="1"/>
      <x:c r="AD190" s="1"/>
    </x:row>
    <x:row r="191">
      <x:c r="A191" s="1">
        <x:v>190</x:v>
      </x:c>
      <x:c r="B191" t="str">
        <x:v>B</x:v>
      </x:c>
      <x:c r="C191" t="str">
        <x:v>W</x:v>
      </x:c>
      <x:c r="D191" t="str">
        <x:v>W</x:v>
      </x:c>
      <x:c r="E191" t="str">
        <x:v>W</x:v>
      </x:c>
      <x:c r="F191" t="str">
        <x:v>B</x:v>
      </x:c>
      <x:c r="G191" t="str">
        <x:v>W</x:v>
      </x:c>
      <x:c r="H191" t="str">
        <x:v>B</x:v>
      </x:c>
      <x:c r="I191" t="str">
        <x:v>B</x:v>
      </x:c>
      <x:c r="J191" t="str">
        <x:v>B</x:v>
      </x:c>
      <x:c r="K191" t="str">
        <x:v>W</x:v>
      </x:c>
      <x:c r="L191" t="str">
        <x:v>B</x:v>
      </x:c>
      <x:c r="M191" t="str">
        <x:v>W</x:v>
      </x:c>
      <x:c r="N191" t="str">
        <x:v>B</x:v>
      </x:c>
      <x:c r="O191" t="str">
        <x:v>B</x:v>
      </x:c>
      <x:c r="P191" t="str">
        <x:v>B</x:v>
      </x:c>
      <x:c r="Q191" t="str">
        <x:v>B</x:v>
      </x:c>
      <x:c r="R191" t="str">
        <x:v>B</x:v>
      </x:c>
      <x:c r="S191" t="str">
        <x:v>W</x:v>
      </x:c>
      <x:c r="T191" t="str">
        <x:v>B</x:v>
      </x:c>
      <x:c r="U191" t="str">
        <x:v>B</x:v>
      </x:c>
      <x:c r="V191" t="n">
        <x:f>COUNTIF(B191:U191,"W")</x:f>
        <x:v>7</x:v>
      </x:c>
      <x:c r="W191" s="5" t="str">
        <x:f>IF(COUNTIF(B191:D191,"W")&gt;0,"Y","N")</x:f>
        <x:v>Y</x:v>
      </x:c>
      <x:c r="X191" s="1"/>
      <x:c r="Y191" s="1"/>
      <x:c r="Z191" s="1"/>
      <x:c r="AA191" s="1"/>
      <x:c r="AB191" s="1"/>
      <x:c r="AC191" s="1"/>
      <x:c r="AD191" s="1"/>
    </x:row>
    <x:row r="192">
      <x:c r="A192" s="1">
        <x:v>191</x:v>
      </x:c>
      <x:c r="B192" t="str">
        <x:v>B</x:v>
      </x:c>
      <x:c r="C192" t="str">
        <x:v>B</x:v>
      </x:c>
      <x:c r="D192" t="str">
        <x:v>B</x:v>
      </x:c>
      <x:c r="E192" t="str">
        <x:v>B</x:v>
      </x:c>
      <x:c r="F192" t="str">
        <x:v>B</x:v>
      </x:c>
      <x:c r="G192" t="str">
        <x:v>W</x:v>
      </x:c>
      <x:c r="H192" t="str">
        <x:v>B</x:v>
      </x:c>
      <x:c r="I192" t="str">
        <x:v>B</x:v>
      </x:c>
      <x:c r="J192" t="str">
        <x:v>W</x:v>
      </x:c>
      <x:c r="K192" t="str">
        <x:v>B</x:v>
      </x:c>
      <x:c r="L192" t="str">
        <x:v>B</x:v>
      </x:c>
      <x:c r="M192" t="str">
        <x:v>W</x:v>
      </x:c>
      <x:c r="N192" t="str">
        <x:v>B</x:v>
      </x:c>
      <x:c r="O192" t="str">
        <x:v>B</x:v>
      </x:c>
      <x:c r="P192" t="str">
        <x:v>W</x:v>
      </x:c>
      <x:c r="Q192" t="str">
        <x:v>B</x:v>
      </x:c>
      <x:c r="R192" t="str">
        <x:v>B</x:v>
      </x:c>
      <x:c r="S192" t="str">
        <x:v>B</x:v>
      </x:c>
      <x:c r="T192" t="str">
        <x:v>W</x:v>
      </x:c>
      <x:c r="U192" t="str">
        <x:v>B</x:v>
      </x:c>
      <x:c r="V192" t="n">
        <x:f>COUNTIF(B192:U192,"W")</x:f>
        <x:v>5</x:v>
      </x:c>
      <x:c r="W192" s="5" t="str">
        <x:f>IF(COUNTIF(B192:D192,"W")&gt;0,"Y","N")</x:f>
        <x:v>N</x:v>
      </x:c>
      <x:c r="X192" s="1"/>
      <x:c r="Y192" s="1"/>
      <x:c r="Z192" s="1"/>
      <x:c r="AA192" s="1"/>
      <x:c r="AB192" s="1"/>
      <x:c r="AC192" s="1"/>
      <x:c r="AD192" s="1"/>
    </x:row>
    <x:row r="193">
      <x:c r="A193" s="1">
        <x:v>192</x:v>
      </x:c>
      <x:c r="B193" t="str">
        <x:v>B</x:v>
      </x:c>
      <x:c r="C193" t="str">
        <x:v>B</x:v>
      </x:c>
      <x:c r="D193" t="str">
        <x:v>W</x:v>
      </x:c>
      <x:c r="E193" t="str">
        <x:v>B</x:v>
      </x:c>
      <x:c r="F193" t="str">
        <x:v>B</x:v>
      </x:c>
      <x:c r="G193" t="str">
        <x:v>W</x:v>
      </x:c>
      <x:c r="H193" t="str">
        <x:v>W</x:v>
      </x:c>
      <x:c r="I193" t="str">
        <x:v>W</x:v>
      </x:c>
      <x:c r="J193" t="str">
        <x:v>B</x:v>
      </x:c>
      <x:c r="K193" t="str">
        <x:v>W</x:v>
      </x:c>
      <x:c r="L193" t="str">
        <x:v>W</x:v>
      </x:c>
      <x:c r="M193" t="str">
        <x:v>W</x:v>
      </x:c>
      <x:c r="N193" t="str">
        <x:v>B</x:v>
      </x:c>
      <x:c r="O193" t="str">
        <x:v>B</x:v>
      </x:c>
      <x:c r="P193" t="str">
        <x:v>W</x:v>
      </x:c>
      <x:c r="Q193" t="str">
        <x:v>B</x:v>
      </x:c>
      <x:c r="R193" t="str">
        <x:v>W</x:v>
      </x:c>
      <x:c r="S193" t="str">
        <x:v>B</x:v>
      </x:c>
      <x:c r="T193" t="str">
        <x:v>B</x:v>
      </x:c>
      <x:c r="U193" t="str">
        <x:v>B</x:v>
      </x:c>
      <x:c r="V193" t="n">
        <x:f>COUNTIF(B193:U193,"W")</x:f>
        <x:v>9</x:v>
      </x:c>
      <x:c r="W193" s="5" t="str">
        <x:f>IF(COUNTIF(B193:D193,"W")&gt;0,"Y","N")</x:f>
        <x:v>Y</x:v>
      </x:c>
      <x:c r="X193" s="1"/>
      <x:c r="Y193" s="1"/>
      <x:c r="Z193" s="1"/>
      <x:c r="AA193" s="1"/>
      <x:c r="AB193" s="1"/>
      <x:c r="AC193" s="1"/>
      <x:c r="AD193" s="1"/>
    </x:row>
    <x:row r="194">
      <x:c r="A194" s="1">
        <x:v>193</x:v>
      </x:c>
      <x:c r="B194" t="str">
        <x:v>B</x:v>
      </x:c>
      <x:c r="C194" t="str">
        <x:v>W</x:v>
      </x:c>
      <x:c r="D194" t="str">
        <x:v>B</x:v>
      </x:c>
      <x:c r="E194" t="str">
        <x:v>W</x:v>
      </x:c>
      <x:c r="F194" t="str">
        <x:v>B</x:v>
      </x:c>
      <x:c r="G194" t="str">
        <x:v>B</x:v>
      </x:c>
      <x:c r="H194" t="str">
        <x:v>B</x:v>
      </x:c>
      <x:c r="I194" t="str">
        <x:v>W</x:v>
      </x:c>
      <x:c r="J194" t="str">
        <x:v>B</x:v>
      </x:c>
      <x:c r="K194" t="str">
        <x:v>B</x:v>
      </x:c>
      <x:c r="L194" t="str">
        <x:v>W</x:v>
      </x:c>
      <x:c r="M194" t="str">
        <x:v>B</x:v>
      </x:c>
      <x:c r="N194" t="str">
        <x:v>B</x:v>
      </x:c>
      <x:c r="O194" t="str">
        <x:v>W</x:v>
      </x:c>
      <x:c r="P194" t="str">
        <x:v>B</x:v>
      </x:c>
      <x:c r="Q194" t="str">
        <x:v>W</x:v>
      </x:c>
      <x:c r="R194" t="str">
        <x:v>B</x:v>
      </x:c>
      <x:c r="S194" t="str">
        <x:v>W</x:v>
      </x:c>
      <x:c r="T194" t="str">
        <x:v>B</x:v>
      </x:c>
      <x:c r="U194" t="str">
        <x:v>B</x:v>
      </x:c>
      <x:c r="V194" t="n">
        <x:f>COUNTIF(B194:U194,"W")</x:f>
        <x:v>7</x:v>
      </x:c>
      <x:c r="W194" s="5" t="str">
        <x:f>IF(COUNTIF(B194:D194,"W")&gt;0,"Y","N")</x:f>
        <x:v>Y</x:v>
      </x:c>
      <x:c r="X194" s="1"/>
      <x:c r="Y194" s="1"/>
      <x:c r="Z194" s="1"/>
      <x:c r="AA194" s="1"/>
      <x:c r="AB194" s="1"/>
      <x:c r="AC194" s="1"/>
      <x:c r="AD194" s="1"/>
    </x:row>
    <x:row r="195">
      <x:c r="A195" s="1">
        <x:v>194</x:v>
      </x:c>
      <x:c r="B195" t="str">
        <x:v>W</x:v>
      </x:c>
      <x:c r="C195" t="str">
        <x:v>B</x:v>
      </x:c>
      <x:c r="D195" t="str">
        <x:v>B</x:v>
      </x:c>
      <x:c r="E195" t="str">
        <x:v>B</x:v>
      </x:c>
      <x:c r="F195" t="str">
        <x:v>B</x:v>
      </x:c>
      <x:c r="G195" t="str">
        <x:v>W</x:v>
      </x:c>
      <x:c r="H195" t="str">
        <x:v>W</x:v>
      </x:c>
      <x:c r="I195" t="str">
        <x:v>B</x:v>
      </x:c>
      <x:c r="J195" t="str">
        <x:v>W</x:v>
      </x:c>
      <x:c r="K195" t="str">
        <x:v>B</x:v>
      </x:c>
      <x:c r="L195" t="str">
        <x:v>B</x:v>
      </x:c>
      <x:c r="M195" t="str">
        <x:v>W</x:v>
      </x:c>
      <x:c r="N195" t="str">
        <x:v>B</x:v>
      </x:c>
      <x:c r="O195" t="str">
        <x:v>B</x:v>
      </x:c>
      <x:c r="P195" t="str">
        <x:v>B</x:v>
      </x:c>
      <x:c r="Q195" t="str">
        <x:v>B</x:v>
      </x:c>
      <x:c r="R195" t="str">
        <x:v>W</x:v>
      </x:c>
      <x:c r="S195" t="str">
        <x:v>B</x:v>
      </x:c>
      <x:c r="T195" t="str">
        <x:v>W</x:v>
      </x:c>
      <x:c r="U195" t="str">
        <x:v>B</x:v>
      </x:c>
      <x:c r="V195" t="n">
        <x:f>COUNTIF(B195:U195,"W")</x:f>
        <x:v>7</x:v>
      </x:c>
      <x:c r="W195" s="5" t="str">
        <x:f>IF(COUNTIF(B195:D195,"W")&gt;0,"Y","N")</x:f>
        <x:v>Y</x:v>
      </x:c>
      <x:c r="X195" s="1"/>
      <x:c r="Y195" s="1"/>
      <x:c r="Z195" s="1"/>
      <x:c r="AA195" s="1"/>
      <x:c r="AB195" s="1"/>
      <x:c r="AC195" s="1"/>
      <x:c r="AD195" s="1"/>
    </x:row>
    <x:row r="196">
      <x:c r="A196" s="1">
        <x:v>195</x:v>
      </x:c>
      <x:c r="B196" t="str">
        <x:v>B</x:v>
      </x:c>
      <x:c r="C196" t="str">
        <x:v>B</x:v>
      </x:c>
      <x:c r="D196" t="str">
        <x:v>W</x:v>
      </x:c>
      <x:c r="E196" t="str">
        <x:v>B</x:v>
      </x:c>
      <x:c r="F196" t="str">
        <x:v>B</x:v>
      </x:c>
      <x:c r="G196" t="str">
        <x:v>B</x:v>
      </x:c>
      <x:c r="H196" t="str">
        <x:v>B</x:v>
      </x:c>
      <x:c r="I196" t="str">
        <x:v>B</x:v>
      </x:c>
      <x:c r="J196" t="str">
        <x:v>W</x:v>
      </x:c>
      <x:c r="K196" t="str">
        <x:v>W</x:v>
      </x:c>
      <x:c r="L196" t="str">
        <x:v>B</x:v>
      </x:c>
      <x:c r="M196" t="str">
        <x:v>B</x:v>
      </x:c>
      <x:c r="N196" t="str">
        <x:v>B</x:v>
      </x:c>
      <x:c r="O196" t="str">
        <x:v>B</x:v>
      </x:c>
      <x:c r="P196" t="str">
        <x:v>B</x:v>
      </x:c>
      <x:c r="Q196" t="str">
        <x:v>W</x:v>
      </x:c>
      <x:c r="R196" t="str">
        <x:v>B</x:v>
      </x:c>
      <x:c r="S196" t="str">
        <x:v>W</x:v>
      </x:c>
      <x:c r="T196" t="str">
        <x:v>B</x:v>
      </x:c>
      <x:c r="U196" t="str">
        <x:v>W</x:v>
      </x:c>
      <x:c r="V196" t="n">
        <x:f>COUNTIF(B196:U196,"W")</x:f>
        <x:v>6</x:v>
      </x:c>
      <x:c r="W196" s="5" t="str">
        <x:f>IF(COUNTIF(B196:D196,"W")&gt;0,"Y","N")</x:f>
        <x:v>Y</x:v>
      </x:c>
      <x:c r="X196" s="1"/>
      <x:c r="Y196" s="1"/>
      <x:c r="Z196" s="1"/>
      <x:c r="AA196" s="1"/>
      <x:c r="AB196" s="1"/>
      <x:c r="AC196" s="1"/>
      <x:c r="AD196" s="1"/>
    </x:row>
    <x:row r="197">
      <x:c r="A197" s="1">
        <x:v>196</x:v>
      </x:c>
      <x:c r="B197" t="str">
        <x:v>B</x:v>
      </x:c>
      <x:c r="C197" t="str">
        <x:v>B</x:v>
      </x:c>
      <x:c r="D197" t="str">
        <x:v>B</x:v>
      </x:c>
      <x:c r="E197" t="str">
        <x:v>B</x:v>
      </x:c>
      <x:c r="F197" t="str">
        <x:v>B</x:v>
      </x:c>
      <x:c r="G197" t="str">
        <x:v>B</x:v>
      </x:c>
      <x:c r="H197" t="str">
        <x:v>W</x:v>
      </x:c>
      <x:c r="I197" t="str">
        <x:v>B</x:v>
      </x:c>
      <x:c r="J197" t="str">
        <x:v>W</x:v>
      </x:c>
      <x:c r="K197" t="str">
        <x:v>W</x:v>
      </x:c>
      <x:c r="L197" t="str">
        <x:v>W</x:v>
      </x:c>
      <x:c r="M197" t="str">
        <x:v>B</x:v>
      </x:c>
      <x:c r="N197" t="str">
        <x:v>B</x:v>
      </x:c>
      <x:c r="O197" t="str">
        <x:v>W</x:v>
      </x:c>
      <x:c r="P197" t="str">
        <x:v>W</x:v>
      </x:c>
      <x:c r="Q197" t="str">
        <x:v>W</x:v>
      </x:c>
      <x:c r="R197" t="str">
        <x:v>B</x:v>
      </x:c>
      <x:c r="S197" t="str">
        <x:v>B</x:v>
      </x:c>
      <x:c r="T197" t="str">
        <x:v>B</x:v>
      </x:c>
      <x:c r="U197" t="str">
        <x:v>B</x:v>
      </x:c>
      <x:c r="V197" t="n">
        <x:f>COUNTIF(B197:U197,"W")</x:f>
        <x:v>7</x:v>
      </x:c>
      <x:c r="W197" s="5" t="str">
        <x:f>IF(COUNTIF(B197:D197,"W")&gt;0,"Y","N")</x:f>
        <x:v>N</x:v>
      </x:c>
      <x:c r="X197" s="1"/>
      <x:c r="Y197" s="1"/>
      <x:c r="Z197" s="1"/>
      <x:c r="AA197" s="1"/>
      <x:c r="AB197" s="1"/>
      <x:c r="AC197" s="1"/>
      <x:c r="AD197" s="1"/>
    </x:row>
    <x:row r="198">
      <x:c r="A198" s="1">
        <x:v>197</x:v>
      </x:c>
      <x:c r="B198" t="str">
        <x:v>W</x:v>
      </x:c>
      <x:c r="C198" t="str">
        <x:v>W</x:v>
      </x:c>
      <x:c r="D198" t="str">
        <x:v>B</x:v>
      </x:c>
      <x:c r="E198" t="str">
        <x:v>W</x:v>
      </x:c>
      <x:c r="F198" t="str">
        <x:v>B</x:v>
      </x:c>
      <x:c r="G198" t="str">
        <x:v>W</x:v>
      </x:c>
      <x:c r="H198" t="str">
        <x:v>B</x:v>
      </x:c>
      <x:c r="I198" t="str">
        <x:v>W</x:v>
      </x:c>
      <x:c r="J198" t="str">
        <x:v>W</x:v>
      </x:c>
      <x:c r="K198" t="str">
        <x:v>W</x:v>
      </x:c>
      <x:c r="L198" t="str">
        <x:v>B</x:v>
      </x:c>
      <x:c r="M198" t="str">
        <x:v>B</x:v>
      </x:c>
      <x:c r="N198" t="str">
        <x:v>W</x:v>
      </x:c>
      <x:c r="O198" t="str">
        <x:v>B</x:v>
      </x:c>
      <x:c r="P198" t="str">
        <x:v>W</x:v>
      </x:c>
      <x:c r="Q198" t="str">
        <x:v>B</x:v>
      </x:c>
      <x:c r="R198" t="str">
        <x:v>W</x:v>
      </x:c>
      <x:c r="S198" t="str">
        <x:v>B</x:v>
      </x:c>
      <x:c r="T198" t="str">
        <x:v>B</x:v>
      </x:c>
      <x:c r="U198" t="str">
        <x:v>W</x:v>
      </x:c>
      <x:c r="V198" t="n">
        <x:f>COUNTIF(B198:U198,"W")</x:f>
        <x:v>11</x:v>
      </x:c>
      <x:c r="W198" s="5" t="str">
        <x:f>IF(COUNTIF(B198:D198,"W")&gt;0,"Y","N")</x:f>
        <x:v>Y</x:v>
      </x:c>
      <x:c r="X198" s="1"/>
      <x:c r="Y198" s="1"/>
      <x:c r="Z198" s="1"/>
      <x:c r="AA198" s="1"/>
      <x:c r="AB198" s="1"/>
      <x:c r="AC198" s="1"/>
      <x:c r="AD198" s="1"/>
    </x:row>
    <x:row r="199">
      <x:c r="A199" s="1">
        <x:v>198</x:v>
      </x:c>
      <x:c r="B199" t="str">
        <x:v>B</x:v>
      </x:c>
      <x:c r="C199" t="str">
        <x:v>B</x:v>
      </x:c>
      <x:c r="D199" t="str">
        <x:v>B</x:v>
      </x:c>
      <x:c r="E199" t="str">
        <x:v>W</x:v>
      </x:c>
      <x:c r="F199" t="str">
        <x:v>B</x:v>
      </x:c>
      <x:c r="G199" t="str">
        <x:v>B</x:v>
      </x:c>
      <x:c r="H199" t="str">
        <x:v>B</x:v>
      </x:c>
      <x:c r="I199" t="str">
        <x:v>B</x:v>
      </x:c>
      <x:c r="J199" t="str">
        <x:v>W</x:v>
      </x:c>
      <x:c r="K199" t="str">
        <x:v>B</x:v>
      </x:c>
      <x:c r="L199" t="str">
        <x:v>W</x:v>
      </x:c>
      <x:c r="M199" t="str">
        <x:v>B</x:v>
      </x:c>
      <x:c r="N199" t="str">
        <x:v>B</x:v>
      </x:c>
      <x:c r="O199" t="str">
        <x:v>B</x:v>
      </x:c>
      <x:c r="P199" t="str">
        <x:v>B</x:v>
      </x:c>
      <x:c r="Q199" t="str">
        <x:v>B</x:v>
      </x:c>
      <x:c r="R199" t="str">
        <x:v>B</x:v>
      </x:c>
      <x:c r="S199" t="str">
        <x:v>B</x:v>
      </x:c>
      <x:c r="T199" t="str">
        <x:v>B</x:v>
      </x:c>
      <x:c r="U199" t="str">
        <x:v>B</x:v>
      </x:c>
      <x:c r="V199" t="n">
        <x:f>COUNTIF(B199:U199,"W")</x:f>
        <x:v>3</x:v>
      </x:c>
      <x:c r="W199" s="5" t="str">
        <x:f>IF(COUNTIF(B199:D199,"W")&gt;0,"Y","N")</x:f>
        <x:v>N</x:v>
      </x:c>
      <x:c r="X199" s="1"/>
      <x:c r="Y199" s="1"/>
      <x:c r="Z199" s="1"/>
      <x:c r="AA199" s="1"/>
      <x:c r="AB199" s="1"/>
      <x:c r="AC199" s="1"/>
      <x:c r="AD199" s="1"/>
    </x:row>
    <x:row r="200">
      <x:c r="A200" s="1">
        <x:v>199</x:v>
      </x:c>
      <x:c r="B200" t="str">
        <x:v>B</x:v>
      </x:c>
      <x:c r="C200" t="str">
        <x:v>W</x:v>
      </x:c>
      <x:c r="D200" t="str">
        <x:v>W</x:v>
      </x:c>
      <x:c r="E200" t="str">
        <x:v>W</x:v>
      </x:c>
      <x:c r="F200" t="str">
        <x:v>B</x:v>
      </x:c>
      <x:c r="G200" t="str">
        <x:v>W</x:v>
      </x:c>
      <x:c r="H200" t="str">
        <x:v>W</x:v>
      </x:c>
      <x:c r="I200" t="str">
        <x:v>B</x:v>
      </x:c>
      <x:c r="J200" t="str">
        <x:v>B</x:v>
      </x:c>
      <x:c r="K200" t="str">
        <x:v>W</x:v>
      </x:c>
      <x:c r="L200" t="str">
        <x:v>W</x:v>
      </x:c>
      <x:c r="M200" t="str">
        <x:v>B</x:v>
      </x:c>
      <x:c r="N200" t="str">
        <x:v>W</x:v>
      </x:c>
      <x:c r="O200" t="str">
        <x:v>B</x:v>
      </x:c>
      <x:c r="P200" t="str">
        <x:v>B</x:v>
      </x:c>
      <x:c r="Q200" t="str">
        <x:v>W</x:v>
      </x:c>
      <x:c r="R200" t="str">
        <x:v>B</x:v>
      </x:c>
      <x:c r="S200" t="str">
        <x:v>W</x:v>
      </x:c>
      <x:c r="T200" t="str">
        <x:v>B</x:v>
      </x:c>
      <x:c r="U200" t="str">
        <x:v>B</x:v>
      </x:c>
      <x:c r="V200" t="n">
        <x:f>COUNTIF(B200:U200,"W")</x:f>
        <x:v>10</x:v>
      </x:c>
      <x:c r="W200" s="5" t="str">
        <x:f>IF(COUNTIF(B200:D200,"W")&gt;0,"Y","N")</x:f>
        <x:v>Y</x:v>
      </x:c>
      <x:c r="X200" s="1"/>
      <x:c r="Y200" s="1"/>
      <x:c r="Z200" s="1"/>
      <x:c r="AA200" s="1"/>
      <x:c r="AB200" s="1"/>
      <x:c r="AC200" s="1"/>
      <x:c r="AD200" s="1"/>
    </x:row>
    <x:row r="201">
      <x:c r="A201" s="1">
        <x:v>200</x:v>
      </x:c>
      <x:c r="B201" t="str">
        <x:v>B</x:v>
      </x:c>
      <x:c r="C201" t="str">
        <x:v>W</x:v>
      </x:c>
      <x:c r="D201" t="str">
        <x:v>B</x:v>
      </x:c>
      <x:c r="E201" t="str">
        <x:v>W</x:v>
      </x:c>
      <x:c r="F201" t="str">
        <x:v>W</x:v>
      </x:c>
      <x:c r="G201" t="str">
        <x:v>W</x:v>
      </x:c>
      <x:c r="H201" t="str">
        <x:v>W</x:v>
      </x:c>
      <x:c r="I201" t="str">
        <x:v>B</x:v>
      </x:c>
      <x:c r="J201" t="str">
        <x:v>W</x:v>
      </x:c>
      <x:c r="K201" t="str">
        <x:v>W</x:v>
      </x:c>
      <x:c r="L201" t="str">
        <x:v>W</x:v>
      </x:c>
      <x:c r="M201" t="str">
        <x:v>B</x:v>
      </x:c>
      <x:c r="N201" t="str">
        <x:v>B</x:v>
      </x:c>
      <x:c r="O201" t="str">
        <x:v>B</x:v>
      </x:c>
      <x:c r="P201" t="str">
        <x:v>W</x:v>
      </x:c>
      <x:c r="Q201" t="str">
        <x:v>B</x:v>
      </x:c>
      <x:c r="R201" t="str">
        <x:v>W</x:v>
      </x:c>
      <x:c r="S201" t="str">
        <x:v>W</x:v>
      </x:c>
      <x:c r="T201" t="str">
        <x:v>B</x:v>
      </x:c>
      <x:c r="U201" t="str">
        <x:v>B</x:v>
      </x:c>
      <x:c r="V201" t="n">
        <x:f>COUNTIF(B201:U201,"W")</x:f>
        <x:v>11</x:v>
      </x:c>
      <x:c r="W201" s="5" t="str">
        <x:f>IF(COUNTIF(B201:D201,"W")&gt;0,"Y","N")</x:f>
        <x:v>Y</x:v>
      </x:c>
      <x:c r="X201" s="1"/>
      <x:c r="Y201" s="1"/>
      <x:c r="Z201" s="1"/>
      <x:c r="AA201" s="1"/>
      <x:c r="AB201" s="1"/>
      <x:c r="AC201" s="1"/>
      <x:c r="AD201" s="1"/>
    </x:row>
    <x:row r="202">
      <x:c r="A202" s="1">
        <x:v>201</x:v>
      </x:c>
      <x:c r="B202" t="str">
        <x:v>B</x:v>
      </x:c>
      <x:c r="C202" t="str">
        <x:v>B</x:v>
      </x:c>
      <x:c r="D202" t="str">
        <x:v>W</x:v>
      </x:c>
      <x:c r="E202" t="str">
        <x:v>B</x:v>
      </x:c>
      <x:c r="F202" t="str">
        <x:v>B</x:v>
      </x:c>
      <x:c r="G202" t="str">
        <x:v>B</x:v>
      </x:c>
      <x:c r="H202" t="str">
        <x:v>B</x:v>
      </x:c>
      <x:c r="I202" t="str">
        <x:v>B</x:v>
      </x:c>
      <x:c r="J202" t="str">
        <x:v>B</x:v>
      </x:c>
      <x:c r="K202" t="str">
        <x:v>B</x:v>
      </x:c>
      <x:c r="L202" t="str">
        <x:v>B</x:v>
      </x:c>
      <x:c r="M202" t="str">
        <x:v>W</x:v>
      </x:c>
      <x:c r="N202" t="str">
        <x:v>W</x:v>
      </x:c>
      <x:c r="O202" t="str">
        <x:v>B</x:v>
      </x:c>
      <x:c r="P202" t="str">
        <x:v>W</x:v>
      </x:c>
      <x:c r="Q202" t="str">
        <x:v>W</x:v>
      </x:c>
      <x:c r="R202" t="str">
        <x:v>B</x:v>
      </x:c>
      <x:c r="S202" t="str">
        <x:v>B</x:v>
      </x:c>
      <x:c r="T202" t="str">
        <x:v>B</x:v>
      </x:c>
      <x:c r="U202" t="str">
        <x:v>W</x:v>
      </x:c>
      <x:c r="V202" t="n">
        <x:f>COUNTIF(B202:U202,"W")</x:f>
        <x:v>6</x:v>
      </x:c>
      <x:c r="W202" s="5" t="str">
        <x:f>IF(COUNTIF(B202:D202,"W")&gt;0,"Y","N")</x:f>
        <x:v>Y</x:v>
      </x:c>
      <x:c r="X202" s="1"/>
      <x:c r="Y202" s="1"/>
      <x:c r="Z202" s="1"/>
      <x:c r="AA202" s="1"/>
      <x:c r="AB202" s="1"/>
      <x:c r="AC202" s="1"/>
      <x:c r="AD202" s="1"/>
    </x:row>
    <x:row r="203">
      <x:c r="A203" s="1">
        <x:v>202</x:v>
      </x:c>
      <x:c r="B203" t="str">
        <x:v>B</x:v>
      </x:c>
      <x:c r="C203" t="str">
        <x:v>B</x:v>
      </x:c>
      <x:c r="D203" t="str">
        <x:v>B</x:v>
      </x:c>
      <x:c r="E203" t="str">
        <x:v>B</x:v>
      </x:c>
      <x:c r="F203" t="str">
        <x:v>W</x:v>
      </x:c>
      <x:c r="G203" t="str">
        <x:v>W</x:v>
      </x:c>
      <x:c r="H203" t="str">
        <x:v>B</x:v>
      </x:c>
      <x:c r="I203" t="str">
        <x:v>W</x:v>
      </x:c>
      <x:c r="J203" t="str">
        <x:v>W</x:v>
      </x:c>
      <x:c r="K203" t="str">
        <x:v>W</x:v>
      </x:c>
      <x:c r="L203" t="str">
        <x:v>B</x:v>
      </x:c>
      <x:c r="M203" t="str">
        <x:v>B</x:v>
      </x:c>
      <x:c r="N203" t="str">
        <x:v>W</x:v>
      </x:c>
      <x:c r="O203" t="str">
        <x:v>W</x:v>
      </x:c>
      <x:c r="P203" t="str">
        <x:v>W</x:v>
      </x:c>
      <x:c r="Q203" t="str">
        <x:v>B</x:v>
      </x:c>
      <x:c r="R203" t="str">
        <x:v>B</x:v>
      </x:c>
      <x:c r="S203" t="str">
        <x:v>W</x:v>
      </x:c>
      <x:c r="T203" t="str">
        <x:v>W</x:v>
      </x:c>
      <x:c r="U203" t="str">
        <x:v>B</x:v>
      </x:c>
      <x:c r="V203" t="n">
        <x:f>COUNTIF(B203:U203,"W")</x:f>
        <x:v>10</x:v>
      </x:c>
      <x:c r="W203" s="5" t="str">
        <x:f>IF(COUNTIF(B203:D203,"W")&gt;0,"Y","N")</x:f>
        <x:v>N</x:v>
      </x:c>
      <x:c r="X203" s="1"/>
      <x:c r="Y203" s="1"/>
      <x:c r="Z203" s="1"/>
      <x:c r="AA203" s="1"/>
      <x:c r="AB203" s="1"/>
      <x:c r="AC203" s="1"/>
      <x:c r="AD203" s="1"/>
    </x:row>
    <x:row r="204">
      <x:c r="A204" s="1">
        <x:v>203</x:v>
      </x:c>
      <x:c r="B204" t="str">
        <x:v>W</x:v>
      </x:c>
      <x:c r="C204" t="str">
        <x:v>B</x:v>
      </x:c>
      <x:c r="D204" t="str">
        <x:v>B</x:v>
      </x:c>
      <x:c r="E204" t="str">
        <x:v>W</x:v>
      </x:c>
      <x:c r="F204" t="str">
        <x:v>B</x:v>
      </x:c>
      <x:c r="G204" t="str">
        <x:v>B</x:v>
      </x:c>
      <x:c r="H204" t="str">
        <x:v>B</x:v>
      </x:c>
      <x:c r="I204" t="str">
        <x:v>W</x:v>
      </x:c>
      <x:c r="J204" t="str">
        <x:v>B</x:v>
      </x:c>
      <x:c r="K204" t="str">
        <x:v>B</x:v>
      </x:c>
      <x:c r="L204" t="str">
        <x:v>W</x:v>
      </x:c>
      <x:c r="M204" t="str">
        <x:v>W</x:v>
      </x:c>
      <x:c r="N204" t="str">
        <x:v>W</x:v>
      </x:c>
      <x:c r="O204" t="str">
        <x:v>B</x:v>
      </x:c>
      <x:c r="P204" t="str">
        <x:v>B</x:v>
      </x:c>
      <x:c r="Q204" t="str">
        <x:v>B</x:v>
      </x:c>
      <x:c r="R204" t="str">
        <x:v>W</x:v>
      </x:c>
      <x:c r="S204" t="str">
        <x:v>B</x:v>
      </x:c>
      <x:c r="T204" t="str">
        <x:v>W</x:v>
      </x:c>
      <x:c r="U204" t="str">
        <x:v>W</x:v>
      </x:c>
      <x:c r="V204" t="n">
        <x:f>COUNTIF(B204:U204,"W")</x:f>
        <x:v>9</x:v>
      </x:c>
      <x:c r="W204" s="5" t="str">
        <x:f>IF(COUNTIF(B204:D204,"W")&gt;0,"Y","N")</x:f>
        <x:v>Y</x:v>
      </x:c>
      <x:c r="X204" s="1"/>
      <x:c r="Y204" s="1"/>
      <x:c r="Z204" s="1"/>
      <x:c r="AA204" s="1"/>
      <x:c r="AB204" s="1"/>
      <x:c r="AC204" s="1"/>
      <x:c r="AD204" s="1"/>
    </x:row>
    <x:row r="205">
      <x:c r="A205" s="1">
        <x:v>204</x:v>
      </x:c>
      <x:c r="B205" t="str">
        <x:v>B</x:v>
      </x:c>
      <x:c r="C205" t="str">
        <x:v>B</x:v>
      </x:c>
      <x:c r="D205" t="str">
        <x:v>B</x:v>
      </x:c>
      <x:c r="E205" t="str">
        <x:v>W</x:v>
      </x:c>
      <x:c r="F205" t="str">
        <x:v>W</x:v>
      </x:c>
      <x:c r="G205" t="str">
        <x:v>B</x:v>
      </x:c>
      <x:c r="H205" t="str">
        <x:v>B</x:v>
      </x:c>
      <x:c r="I205" t="str">
        <x:v>B</x:v>
      </x:c>
      <x:c r="J205" t="str">
        <x:v>B</x:v>
      </x:c>
      <x:c r="K205" t="str">
        <x:v>B</x:v>
      </x:c>
      <x:c r="L205" t="str">
        <x:v>B</x:v>
      </x:c>
      <x:c r="M205" t="str">
        <x:v>B</x:v>
      </x:c>
      <x:c r="N205" t="str">
        <x:v>W</x:v>
      </x:c>
      <x:c r="O205" t="str">
        <x:v>B</x:v>
      </x:c>
      <x:c r="P205" t="str">
        <x:v>B</x:v>
      </x:c>
      <x:c r="Q205" t="str">
        <x:v>B</x:v>
      </x:c>
      <x:c r="R205" t="str">
        <x:v>B</x:v>
      </x:c>
      <x:c r="S205" t="str">
        <x:v>B</x:v>
      </x:c>
      <x:c r="T205" t="str">
        <x:v>B</x:v>
      </x:c>
      <x:c r="U205" t="str">
        <x:v>W</x:v>
      </x:c>
      <x:c r="V205" t="n">
        <x:f>COUNTIF(B205:U205,"W")</x:f>
        <x:v>4</x:v>
      </x:c>
      <x:c r="W205" s="5" t="str">
        <x:f>IF(COUNTIF(B205:D205,"W")&gt;0,"Y","N")</x:f>
        <x:v>N</x:v>
      </x:c>
      <x:c r="X205" s="1"/>
      <x:c r="Y205" s="1"/>
      <x:c r="Z205" s="1"/>
      <x:c r="AA205" s="1"/>
      <x:c r="AB205" s="1"/>
      <x:c r="AC205" s="1"/>
      <x:c r="AD205" s="1"/>
    </x:row>
    <x:row r="206">
      <x:c r="A206" s="1">
        <x:v>205</x:v>
      </x:c>
      <x:c r="B206" t="str">
        <x:v>W</x:v>
      </x:c>
      <x:c r="C206" t="str">
        <x:v>W</x:v>
      </x:c>
      <x:c r="D206" t="str">
        <x:v>B</x:v>
      </x:c>
      <x:c r="E206" t="str">
        <x:v>W</x:v>
      </x:c>
      <x:c r="F206" t="str">
        <x:v>W</x:v>
      </x:c>
      <x:c r="G206" t="str">
        <x:v>W</x:v>
      </x:c>
      <x:c r="H206" t="str">
        <x:v>W</x:v>
      </x:c>
      <x:c r="I206" t="str">
        <x:v>B</x:v>
      </x:c>
      <x:c r="J206" t="str">
        <x:v>W</x:v>
      </x:c>
      <x:c r="K206" t="str">
        <x:v>W</x:v>
      </x:c>
      <x:c r="L206" t="str">
        <x:v>W</x:v>
      </x:c>
      <x:c r="M206" t="str">
        <x:v>B</x:v>
      </x:c>
      <x:c r="N206" t="str">
        <x:v>W</x:v>
      </x:c>
      <x:c r="O206" t="str">
        <x:v>B</x:v>
      </x:c>
      <x:c r="P206" t="str">
        <x:v>B</x:v>
      </x:c>
      <x:c r="Q206" t="str">
        <x:v>W</x:v>
      </x:c>
      <x:c r="R206" t="str">
        <x:v>W</x:v>
      </x:c>
      <x:c r="S206" t="str">
        <x:v>W</x:v>
      </x:c>
      <x:c r="T206" t="str">
        <x:v>W</x:v>
      </x:c>
      <x:c r="U206" t="str">
        <x:v>B</x:v>
      </x:c>
      <x:c r="V206" t="n">
        <x:f>COUNTIF(B206:U206,"W")</x:f>
        <x:v>14</x:v>
      </x:c>
      <x:c r="W206" s="5" t="str">
        <x:f>IF(COUNTIF(B206:D206,"W")&gt;0,"Y","N")</x:f>
        <x:v>Y</x:v>
      </x:c>
      <x:c r="X206" s="1"/>
      <x:c r="Y206" s="1"/>
      <x:c r="Z206" s="1"/>
      <x:c r="AA206" s="1"/>
      <x:c r="AB206" s="1"/>
      <x:c r="AC206" s="1"/>
      <x:c r="AD206" s="1"/>
    </x:row>
    <x:row r="207">
      <x:c r="A207" s="1">
        <x:v>206</x:v>
      </x:c>
      <x:c r="B207" t="str">
        <x:v>B</x:v>
      </x:c>
      <x:c r="C207" t="str">
        <x:v>B</x:v>
      </x:c>
      <x:c r="D207" t="str">
        <x:v>B</x:v>
      </x:c>
      <x:c r="E207" t="str">
        <x:v>B</x:v>
      </x:c>
      <x:c r="F207" t="str">
        <x:v>B</x:v>
      </x:c>
      <x:c r="G207" t="str">
        <x:v>B</x:v>
      </x:c>
      <x:c r="H207" t="str">
        <x:v>B</x:v>
      </x:c>
      <x:c r="I207" t="str">
        <x:v>W</x:v>
      </x:c>
      <x:c r="J207" t="str">
        <x:v>W</x:v>
      </x:c>
      <x:c r="K207" t="str">
        <x:v>W</x:v>
      </x:c>
      <x:c r="L207" t="str">
        <x:v>B</x:v>
      </x:c>
      <x:c r="M207" t="str">
        <x:v>B</x:v>
      </x:c>
      <x:c r="N207" t="str">
        <x:v>B</x:v>
      </x:c>
      <x:c r="O207" t="str">
        <x:v>W</x:v>
      </x:c>
      <x:c r="P207" t="str">
        <x:v>W</x:v>
      </x:c>
      <x:c r="Q207" t="str">
        <x:v>W</x:v>
      </x:c>
      <x:c r="R207" t="str">
        <x:v>W</x:v>
      </x:c>
      <x:c r="S207" t="str">
        <x:v>B</x:v>
      </x:c>
      <x:c r="T207" t="str">
        <x:v>W</x:v>
      </x:c>
      <x:c r="U207" t="str">
        <x:v>W</x:v>
      </x:c>
      <x:c r="V207" t="n">
        <x:f>COUNTIF(B207:U207,"W")</x:f>
        <x:v>9</x:v>
      </x:c>
      <x:c r="W207" s="5" t="str">
        <x:f>IF(COUNTIF(B207:D207,"W")&gt;0,"Y","N")</x:f>
        <x:v>N</x:v>
      </x:c>
      <x:c r="X207" s="1"/>
      <x:c r="Y207" s="1"/>
      <x:c r="Z207" s="1"/>
      <x:c r="AA207" s="1"/>
      <x:c r="AB207" s="1"/>
      <x:c r="AC207" s="1"/>
      <x:c r="AD207" s="1"/>
    </x:row>
    <x:row r="208">
      <x:c r="A208" s="1">
        <x:v>207</x:v>
      </x:c>
      <x:c r="B208" t="str">
        <x:v>B</x:v>
      </x:c>
      <x:c r="C208" t="str">
        <x:v>W</x:v>
      </x:c>
      <x:c r="D208" t="str">
        <x:v>B</x:v>
      </x:c>
      <x:c r="E208" t="str">
        <x:v>W</x:v>
      </x:c>
      <x:c r="F208" t="str">
        <x:v>W</x:v>
      </x:c>
      <x:c r="G208" t="str">
        <x:v>B</x:v>
      </x:c>
      <x:c r="H208" t="str">
        <x:v>W</x:v>
      </x:c>
      <x:c r="I208" t="str">
        <x:v>B</x:v>
      </x:c>
      <x:c r="J208" t="str">
        <x:v>B</x:v>
      </x:c>
      <x:c r="K208" t="str">
        <x:v>B</x:v>
      </x:c>
      <x:c r="L208" t="str">
        <x:v>B</x:v>
      </x:c>
      <x:c r="M208" t="str">
        <x:v>B</x:v>
      </x:c>
      <x:c r="N208" t="str">
        <x:v>B</x:v>
      </x:c>
      <x:c r="O208" t="str">
        <x:v>B</x:v>
      </x:c>
      <x:c r="P208" t="str">
        <x:v>W</x:v>
      </x:c>
      <x:c r="Q208" t="str">
        <x:v>B</x:v>
      </x:c>
      <x:c r="R208" t="str">
        <x:v>B</x:v>
      </x:c>
      <x:c r="S208" t="str">
        <x:v>B</x:v>
      </x:c>
      <x:c r="T208" t="str">
        <x:v>B</x:v>
      </x:c>
      <x:c r="U208" t="str">
        <x:v>W</x:v>
      </x:c>
      <x:c r="V208" t="n">
        <x:f>COUNTIF(B208:U208,"W")</x:f>
        <x:v>6</x:v>
      </x:c>
      <x:c r="W208" s="5" t="str">
        <x:f>IF(COUNTIF(B208:D208,"W")&gt;0,"Y","N")</x:f>
        <x:v>Y</x:v>
      </x:c>
      <x:c r="X208" s="1"/>
      <x:c r="Y208" s="1"/>
      <x:c r="Z208" s="1"/>
      <x:c r="AA208" s="1"/>
      <x:c r="AB208" s="1"/>
      <x:c r="AC208" s="1"/>
      <x:c r="AD208" s="1"/>
    </x:row>
    <x:row r="209">
      <x:c r="A209" s="1">
        <x:v>208</x:v>
      </x:c>
      <x:c r="B209" t="str">
        <x:v>W</x:v>
      </x:c>
      <x:c r="C209" t="str">
        <x:v>B</x:v>
      </x:c>
      <x:c r="D209" t="str">
        <x:v>W</x:v>
      </x:c>
      <x:c r="E209" t="str">
        <x:v>B</x:v>
      </x:c>
      <x:c r="F209" t="str">
        <x:v>B</x:v>
      </x:c>
      <x:c r="G209" t="str">
        <x:v>W</x:v>
      </x:c>
      <x:c r="H209" t="str">
        <x:v>B</x:v>
      </x:c>
      <x:c r="I209" t="str">
        <x:v>W</x:v>
      </x:c>
      <x:c r="J209" t="str">
        <x:v>W</x:v>
      </x:c>
      <x:c r="K209" t="str">
        <x:v>W</x:v>
      </x:c>
      <x:c r="L209" t="str">
        <x:v>W</x:v>
      </x:c>
      <x:c r="M209" t="str">
        <x:v>B</x:v>
      </x:c>
      <x:c r="N209" t="str">
        <x:v>B</x:v>
      </x:c>
      <x:c r="O209" t="str">
        <x:v>B</x:v>
      </x:c>
      <x:c r="P209" t="str">
        <x:v>W</x:v>
      </x:c>
      <x:c r="Q209" t="str">
        <x:v>B</x:v>
      </x:c>
      <x:c r="R209" t="str">
        <x:v>B</x:v>
      </x:c>
      <x:c r="S209" t="str">
        <x:v>B</x:v>
      </x:c>
      <x:c r="T209" t="str">
        <x:v>B</x:v>
      </x:c>
      <x:c r="U209" t="str">
        <x:v>B</x:v>
      </x:c>
      <x:c r="V209" t="n">
        <x:f>COUNTIF(B209:U209,"W")</x:f>
        <x:v>8</x:v>
      </x:c>
      <x:c r="W209" s="5" t="str">
        <x:f>IF(COUNTIF(B209:D209,"W")&gt;0,"Y","N")</x:f>
        <x:v>Y</x:v>
      </x:c>
      <x:c r="X209" s="1"/>
      <x:c r="Y209" s="1"/>
      <x:c r="Z209" s="1"/>
      <x:c r="AA209" s="1"/>
      <x:c r="AB209" s="1"/>
      <x:c r="AC209" s="1"/>
      <x:c r="AD209" s="1"/>
    </x:row>
    <x:row r="210">
      <x:c r="A210" s="1">
        <x:v>209</x:v>
      </x:c>
      <x:c r="B210" t="str">
        <x:v>B</x:v>
      </x:c>
      <x:c r="C210" t="str">
        <x:v>B</x:v>
      </x:c>
      <x:c r="D210" t="str">
        <x:v>W</x:v>
      </x:c>
      <x:c r="E210" t="str">
        <x:v>W</x:v>
      </x:c>
      <x:c r="F210" t="str">
        <x:v>W</x:v>
      </x:c>
      <x:c r="G210" t="str">
        <x:v>W</x:v>
      </x:c>
      <x:c r="H210" t="str">
        <x:v>B</x:v>
      </x:c>
      <x:c r="I210" t="str">
        <x:v>W</x:v>
      </x:c>
      <x:c r="J210" t="str">
        <x:v>B</x:v>
      </x:c>
      <x:c r="K210" t="str">
        <x:v>B</x:v>
      </x:c>
      <x:c r="L210" t="str">
        <x:v>B</x:v>
      </x:c>
      <x:c r="M210" t="str">
        <x:v>B</x:v>
      </x:c>
      <x:c r="N210" t="str">
        <x:v>B</x:v>
      </x:c>
      <x:c r="O210" t="str">
        <x:v>B</x:v>
      </x:c>
      <x:c r="P210" t="str">
        <x:v>W</x:v>
      </x:c>
      <x:c r="Q210" t="str">
        <x:v>B</x:v>
      </x:c>
      <x:c r="R210" t="str">
        <x:v>W</x:v>
      </x:c>
      <x:c r="S210" t="str">
        <x:v>B</x:v>
      </x:c>
      <x:c r="T210" t="str">
        <x:v>W</x:v>
      </x:c>
      <x:c r="U210" t="str">
        <x:v>B</x:v>
      </x:c>
      <x:c r="V210" t="n">
        <x:f>COUNTIF(B210:U210,"W")</x:f>
        <x:v>8</x:v>
      </x:c>
      <x:c r="W210" s="5" t="str">
        <x:f>IF(COUNTIF(B210:D210,"W")&gt;0,"Y","N")</x:f>
        <x:v>Y</x:v>
      </x:c>
      <x:c r="X210" s="1"/>
      <x:c r="Y210" s="1"/>
      <x:c r="Z210" s="1"/>
      <x:c r="AA210" s="1"/>
      <x:c r="AB210" s="1"/>
      <x:c r="AC210" s="1"/>
      <x:c r="AD210" s="1"/>
    </x:row>
    <x:row r="211">
      <x:c r="A211" s="1">
        <x:v>210</x:v>
      </x:c>
      <x:c r="B211" t="str">
        <x:v>B</x:v>
      </x:c>
      <x:c r="C211" t="str">
        <x:v>W</x:v>
      </x:c>
      <x:c r="D211" t="str">
        <x:v>W</x:v>
      </x:c>
      <x:c r="E211" t="str">
        <x:v>W</x:v>
      </x:c>
      <x:c r="F211" t="str">
        <x:v>B</x:v>
      </x:c>
      <x:c r="G211" t="str">
        <x:v>W</x:v>
      </x:c>
      <x:c r="H211" t="str">
        <x:v>W</x:v>
      </x:c>
      <x:c r="I211" t="str">
        <x:v>W</x:v>
      </x:c>
      <x:c r="J211" t="str">
        <x:v>W</x:v>
      </x:c>
      <x:c r="K211" t="str">
        <x:v>B</x:v>
      </x:c>
      <x:c r="L211" t="str">
        <x:v>W</x:v>
      </x:c>
      <x:c r="M211" t="str">
        <x:v>W</x:v>
      </x:c>
      <x:c r="N211" t="str">
        <x:v>B</x:v>
      </x:c>
      <x:c r="O211" t="str">
        <x:v>W</x:v>
      </x:c>
      <x:c r="P211" t="str">
        <x:v>W</x:v>
      </x:c>
      <x:c r="Q211" t="str">
        <x:v>B</x:v>
      </x:c>
      <x:c r="R211" t="str">
        <x:v>W</x:v>
      </x:c>
      <x:c r="S211" t="str">
        <x:v>W</x:v>
      </x:c>
      <x:c r="T211" t="str">
        <x:v>W</x:v>
      </x:c>
      <x:c r="U211" t="str">
        <x:v>W</x:v>
      </x:c>
      <x:c r="V211" t="n">
        <x:f>COUNTIF(B211:U211,"W")</x:f>
        <x:v>15</x:v>
      </x:c>
      <x:c r="W211" s="5" t="str">
        <x:f>IF(COUNTIF(B211:D211,"W")&gt;0,"Y","N")</x:f>
        <x:v>Y</x:v>
      </x:c>
      <x:c r="X211" s="1"/>
      <x:c r="Y211" s="1"/>
      <x:c r="Z211" s="1"/>
      <x:c r="AA211" s="1"/>
      <x:c r="AB211" s="1"/>
      <x:c r="AC211" s="1"/>
      <x:c r="AD211" s="1"/>
    </x:row>
    <x:row r="212">
      <x:c r="A212" s="1">
        <x:v>211</x:v>
      </x:c>
      <x:c r="B212" t="str">
        <x:v>B</x:v>
      </x:c>
      <x:c r="C212" t="str">
        <x:v>W</x:v>
      </x:c>
      <x:c r="D212" t="str">
        <x:v>W</x:v>
      </x:c>
      <x:c r="E212" t="str">
        <x:v>W</x:v>
      </x:c>
      <x:c r="F212" t="str">
        <x:v>W</x:v>
      </x:c>
      <x:c r="G212" t="str">
        <x:v>W</x:v>
      </x:c>
      <x:c r="H212" t="str">
        <x:v>W</x:v>
      </x:c>
      <x:c r="I212" t="str">
        <x:v>W</x:v>
      </x:c>
      <x:c r="J212" t="str">
        <x:v>W</x:v>
      </x:c>
      <x:c r="K212" t="str">
        <x:v>B</x:v>
      </x:c>
      <x:c r="L212" t="str">
        <x:v>B</x:v>
      </x:c>
      <x:c r="M212" t="str">
        <x:v>B</x:v>
      </x:c>
      <x:c r="N212" t="str">
        <x:v>B</x:v>
      </x:c>
      <x:c r="O212" t="str">
        <x:v>W</x:v>
      </x:c>
      <x:c r="P212" t="str">
        <x:v>B</x:v>
      </x:c>
      <x:c r="Q212" t="str">
        <x:v>W</x:v>
      </x:c>
      <x:c r="R212" t="str">
        <x:v>W</x:v>
      </x:c>
      <x:c r="S212" t="str">
        <x:v>W</x:v>
      </x:c>
      <x:c r="T212" t="str">
        <x:v>W</x:v>
      </x:c>
      <x:c r="U212" t="str">
        <x:v>W</x:v>
      </x:c>
      <x:c r="V212" t="n">
        <x:f>COUNTIF(B212:U212,"W")</x:f>
        <x:v>14</x:v>
      </x:c>
      <x:c r="W212" s="5" t="str">
        <x:f>IF(COUNTIF(B212:D212,"W")&gt;0,"Y","N")</x:f>
        <x:v>Y</x:v>
      </x:c>
      <x:c r="X212" s="1"/>
      <x:c r="Y212" s="1"/>
      <x:c r="Z212" s="1"/>
      <x:c r="AA212" s="1"/>
      <x:c r="AB212" s="1"/>
      <x:c r="AC212" s="1"/>
      <x:c r="AD212" s="1"/>
    </x:row>
    <x:row r="213">
      <x:c r="A213" s="1">
        <x:v>212</x:v>
      </x:c>
      <x:c r="B213" t="str">
        <x:v>W</x:v>
      </x:c>
      <x:c r="C213" t="str">
        <x:v>W</x:v>
      </x:c>
      <x:c r="D213" t="str">
        <x:v>W</x:v>
      </x:c>
      <x:c r="E213" t="str">
        <x:v>W</x:v>
      </x:c>
      <x:c r="F213" t="str">
        <x:v>B</x:v>
      </x:c>
      <x:c r="G213" t="str">
        <x:v>B</x:v>
      </x:c>
      <x:c r="H213" t="str">
        <x:v>W</x:v>
      </x:c>
      <x:c r="I213" t="str">
        <x:v>B</x:v>
      </x:c>
      <x:c r="J213" t="str">
        <x:v>B</x:v>
      </x:c>
      <x:c r="K213" t="str">
        <x:v>B</x:v>
      </x:c>
      <x:c r="L213" t="str">
        <x:v>B</x:v>
      </x:c>
      <x:c r="M213" t="str">
        <x:v>B</x:v>
      </x:c>
      <x:c r="N213" t="str">
        <x:v>W</x:v>
      </x:c>
      <x:c r="O213" t="str">
        <x:v>W</x:v>
      </x:c>
      <x:c r="P213" t="str">
        <x:v>W</x:v>
      </x:c>
      <x:c r="Q213" t="str">
        <x:v>B</x:v>
      </x:c>
      <x:c r="R213" t="str">
        <x:v>B</x:v>
      </x:c>
      <x:c r="S213" t="str">
        <x:v>W</x:v>
      </x:c>
      <x:c r="T213" t="str">
        <x:v>B</x:v>
      </x:c>
      <x:c r="U213" t="str">
        <x:v>W</x:v>
      </x:c>
      <x:c r="V213" t="n">
        <x:f>COUNTIF(B213:U213,"W")</x:f>
        <x:v>10</x:v>
      </x:c>
      <x:c r="W213" s="5" t="str">
        <x:f>IF(COUNTIF(B213:D213,"W")&gt;0,"Y","N")</x:f>
        <x:v>Y</x:v>
      </x:c>
      <x:c r="X213" s="1"/>
      <x:c r="Y213" s="1"/>
      <x:c r="Z213" s="1"/>
      <x:c r="AA213" s="1"/>
      <x:c r="AB213" s="1"/>
      <x:c r="AC213" s="1"/>
      <x:c r="AD213" s="1"/>
    </x:row>
    <x:row r="214">
      <x:c r="A214" s="1">
        <x:v>213</x:v>
      </x:c>
      <x:c r="B214" t="str">
        <x:v>W</x:v>
      </x:c>
      <x:c r="C214" t="str">
        <x:v>W</x:v>
      </x:c>
      <x:c r="D214" t="str">
        <x:v>B</x:v>
      </x:c>
      <x:c r="E214" t="str">
        <x:v>B</x:v>
      </x:c>
      <x:c r="F214" t="str">
        <x:v>B</x:v>
      </x:c>
      <x:c r="G214" t="str">
        <x:v>W</x:v>
      </x:c>
      <x:c r="H214" t="str">
        <x:v>B</x:v>
      </x:c>
      <x:c r="I214" t="str">
        <x:v>B</x:v>
      </x:c>
      <x:c r="J214" t="str">
        <x:v>W</x:v>
      </x:c>
      <x:c r="K214" t="str">
        <x:v>W</x:v>
      </x:c>
      <x:c r="L214" t="str">
        <x:v>W</x:v>
      </x:c>
      <x:c r="M214" t="str">
        <x:v>B</x:v>
      </x:c>
      <x:c r="N214" t="str">
        <x:v>W</x:v>
      </x:c>
      <x:c r="O214" t="str">
        <x:v>W</x:v>
      </x:c>
      <x:c r="P214" t="str">
        <x:v>B</x:v>
      </x:c>
      <x:c r="Q214" t="str">
        <x:v>W</x:v>
      </x:c>
      <x:c r="R214" t="str">
        <x:v>W</x:v>
      </x:c>
      <x:c r="S214" t="str">
        <x:v>W</x:v>
      </x:c>
      <x:c r="T214" t="str">
        <x:v>B</x:v>
      </x:c>
      <x:c r="U214" t="str">
        <x:v>W</x:v>
      </x:c>
      <x:c r="V214" t="n">
        <x:f>COUNTIF(B214:U214,"W")</x:f>
        <x:v>12</x:v>
      </x:c>
      <x:c r="W214" s="5" t="str">
        <x:f>IF(COUNTIF(B214:D214,"W")&gt;0,"Y","N")</x:f>
        <x:v>Y</x:v>
      </x:c>
      <x:c r="X214" s="1"/>
      <x:c r="Y214" s="1"/>
      <x:c r="Z214" s="1"/>
      <x:c r="AA214" s="1"/>
      <x:c r="AB214" s="1"/>
      <x:c r="AC214" s="1"/>
      <x:c r="AD214" s="1"/>
    </x:row>
    <x:row r="215">
      <x:c r="A215" s="1">
        <x:v>214</x:v>
      </x:c>
      <x:c r="B215" t="str">
        <x:v>B</x:v>
      </x:c>
      <x:c r="C215" t="str">
        <x:v>W</x:v>
      </x:c>
      <x:c r="D215" t="str">
        <x:v>W</x:v>
      </x:c>
      <x:c r="E215" t="str">
        <x:v>B</x:v>
      </x:c>
      <x:c r="F215" t="str">
        <x:v>W</x:v>
      </x:c>
      <x:c r="G215" t="str">
        <x:v>B</x:v>
      </x:c>
      <x:c r="H215" t="str">
        <x:v>W</x:v>
      </x:c>
      <x:c r="I215" t="str">
        <x:v>B</x:v>
      </x:c>
      <x:c r="J215" t="str">
        <x:v>B</x:v>
      </x:c>
      <x:c r="K215" t="str">
        <x:v>W</x:v>
      </x:c>
      <x:c r="L215" t="str">
        <x:v>B</x:v>
      </x:c>
      <x:c r="M215" t="str">
        <x:v>B</x:v>
      </x:c>
      <x:c r="N215" t="str">
        <x:v>B</x:v>
      </x:c>
      <x:c r="O215" t="str">
        <x:v>W</x:v>
      </x:c>
      <x:c r="P215" t="str">
        <x:v>B</x:v>
      </x:c>
      <x:c r="Q215" t="str">
        <x:v>B</x:v>
      </x:c>
      <x:c r="R215" t="str">
        <x:v>B</x:v>
      </x:c>
      <x:c r="S215" t="str">
        <x:v>B</x:v>
      </x:c>
      <x:c r="T215" t="str">
        <x:v>B</x:v>
      </x:c>
      <x:c r="U215" t="str">
        <x:v>B</x:v>
      </x:c>
      <x:c r="V215" t="n">
        <x:f>COUNTIF(B215:U215,"W")</x:f>
        <x:v>6</x:v>
      </x:c>
      <x:c r="W215" s="5" t="str">
        <x:f>IF(COUNTIF(B215:D215,"W")&gt;0,"Y","N")</x:f>
        <x:v>Y</x:v>
      </x:c>
      <x:c r="X215" s="1"/>
      <x:c r="Y215" s="1"/>
      <x:c r="Z215" s="1"/>
      <x:c r="AA215" s="1"/>
      <x:c r="AB215" s="1"/>
      <x:c r="AC215" s="1"/>
      <x:c r="AD215" s="1"/>
    </x:row>
    <x:row r="216">
      <x:c r="A216" s="1">
        <x:v>215</x:v>
      </x:c>
      <x:c r="B216" t="str">
        <x:v>B</x:v>
      </x:c>
      <x:c r="C216" t="str">
        <x:v>W</x:v>
      </x:c>
      <x:c r="D216" t="str">
        <x:v>B</x:v>
      </x:c>
      <x:c r="E216" t="str">
        <x:v>W</x:v>
      </x:c>
      <x:c r="F216" t="str">
        <x:v>B</x:v>
      </x:c>
      <x:c r="G216" t="str">
        <x:v>B</x:v>
      </x:c>
      <x:c r="H216" t="str">
        <x:v>B</x:v>
      </x:c>
      <x:c r="I216" t="str">
        <x:v>W</x:v>
      </x:c>
      <x:c r="J216" t="str">
        <x:v>B</x:v>
      </x:c>
      <x:c r="K216" t="str">
        <x:v>B</x:v>
      </x:c>
      <x:c r="L216" t="str">
        <x:v>W</x:v>
      </x:c>
      <x:c r="M216" t="str">
        <x:v>B</x:v>
      </x:c>
      <x:c r="N216" t="str">
        <x:v>B</x:v>
      </x:c>
      <x:c r="O216" t="str">
        <x:v>B</x:v>
      </x:c>
      <x:c r="P216" t="str">
        <x:v>B</x:v>
      </x:c>
      <x:c r="Q216" t="str">
        <x:v>B</x:v>
      </x:c>
      <x:c r="R216" t="str">
        <x:v>W</x:v>
      </x:c>
      <x:c r="S216" t="str">
        <x:v>W</x:v>
      </x:c>
      <x:c r="T216" t="str">
        <x:v>W</x:v>
      </x:c>
      <x:c r="U216" t="str">
        <x:v>W</x:v>
      </x:c>
      <x:c r="V216" t="n">
        <x:f>COUNTIF(B216:U216,"W")</x:f>
        <x:v>8</x:v>
      </x:c>
      <x:c r="W216" s="5" t="str">
        <x:f>IF(COUNTIF(B216:D216,"W")&gt;0,"Y","N")</x:f>
        <x:v>Y</x:v>
      </x:c>
      <x:c r="X216" s="1"/>
      <x:c r="Y216" s="1"/>
      <x:c r="Z216" s="1"/>
      <x:c r="AA216" s="1"/>
      <x:c r="AB216" s="1"/>
      <x:c r="AC216" s="1"/>
      <x:c r="AD216" s="1"/>
    </x:row>
    <x:row r="217">
      <x:c r="A217" s="1">
        <x:v>216</x:v>
      </x:c>
      <x:c r="B217" t="str">
        <x:v>W</x:v>
      </x:c>
      <x:c r="C217" t="str">
        <x:v>B</x:v>
      </x:c>
      <x:c r="D217" t="str">
        <x:v>B</x:v>
      </x:c>
      <x:c r="E217" t="str">
        <x:v>W</x:v>
      </x:c>
      <x:c r="F217" t="str">
        <x:v>W</x:v>
      </x:c>
      <x:c r="G217" t="str">
        <x:v>B</x:v>
      </x:c>
      <x:c r="H217" t="str">
        <x:v>B</x:v>
      </x:c>
      <x:c r="I217" t="str">
        <x:v>B</x:v>
      </x:c>
      <x:c r="J217" t="str">
        <x:v>B</x:v>
      </x:c>
      <x:c r="K217" t="str">
        <x:v>B</x:v>
      </x:c>
      <x:c r="L217" t="str">
        <x:v>B</x:v>
      </x:c>
      <x:c r="M217" t="str">
        <x:v>B</x:v>
      </x:c>
      <x:c r="N217" t="str">
        <x:v>B</x:v>
      </x:c>
      <x:c r="O217" t="str">
        <x:v>W</x:v>
      </x:c>
      <x:c r="P217" t="str">
        <x:v>W</x:v>
      </x:c>
      <x:c r="Q217" t="str">
        <x:v>B</x:v>
      </x:c>
      <x:c r="R217" t="str">
        <x:v>W</x:v>
      </x:c>
      <x:c r="S217" t="str">
        <x:v>B</x:v>
      </x:c>
      <x:c r="T217" t="str">
        <x:v>B</x:v>
      </x:c>
      <x:c r="U217" t="str">
        <x:v>W</x:v>
      </x:c>
      <x:c r="V217" t="n">
        <x:f>COUNTIF(B217:U217,"W")</x:f>
        <x:v>7</x:v>
      </x:c>
      <x:c r="W217" s="5" t="str">
        <x:f>IF(COUNTIF(B217:D217,"W")&gt;0,"Y","N")</x:f>
        <x:v>Y</x:v>
      </x:c>
      <x:c r="X217" s="1"/>
      <x:c r="Y217" s="1"/>
      <x:c r="Z217" s="1"/>
      <x:c r="AA217" s="1"/>
      <x:c r="AB217" s="1"/>
      <x:c r="AC217" s="1"/>
      <x:c r="AD217" s="1"/>
    </x:row>
    <x:row r="218">
      <x:c r="A218" s="1">
        <x:v>217</x:v>
      </x:c>
      <x:c r="B218" t="str">
        <x:v>B</x:v>
      </x:c>
      <x:c r="C218" t="str">
        <x:v>B</x:v>
      </x:c>
      <x:c r="D218" t="str">
        <x:v>B</x:v>
      </x:c>
      <x:c r="E218" t="str">
        <x:v>B</x:v>
      </x:c>
      <x:c r="F218" t="str">
        <x:v>B</x:v>
      </x:c>
      <x:c r="G218" t="str">
        <x:v>W</x:v>
      </x:c>
      <x:c r="H218" t="str">
        <x:v>B</x:v>
      </x:c>
      <x:c r="I218" t="str">
        <x:v>W</x:v>
      </x:c>
      <x:c r="J218" t="str">
        <x:v>W</x:v>
      </x:c>
      <x:c r="K218" t="str">
        <x:v>B</x:v>
      </x:c>
      <x:c r="L218" t="str">
        <x:v>B</x:v>
      </x:c>
      <x:c r="M218" t="str">
        <x:v>W</x:v>
      </x:c>
      <x:c r="N218" t="str">
        <x:v>B</x:v>
      </x:c>
      <x:c r="O218" t="str">
        <x:v>B</x:v>
      </x:c>
      <x:c r="P218" t="str">
        <x:v>B</x:v>
      </x:c>
      <x:c r="Q218" t="str">
        <x:v>B</x:v>
      </x:c>
      <x:c r="R218" t="str">
        <x:v>W</x:v>
      </x:c>
      <x:c r="S218" t="str">
        <x:v>B</x:v>
      </x:c>
      <x:c r="T218" t="str">
        <x:v>B</x:v>
      </x:c>
      <x:c r="U218" t="str">
        <x:v>B</x:v>
      </x:c>
      <x:c r="V218" t="n">
        <x:f>COUNTIF(B218:U218,"W")</x:f>
        <x:v>5</x:v>
      </x:c>
      <x:c r="W218" s="5" t="str">
        <x:f>IF(COUNTIF(B218:D218,"W")&gt;0,"Y","N")</x:f>
        <x:v>N</x:v>
      </x:c>
      <x:c r="X218" s="1"/>
      <x:c r="Y218" s="1"/>
      <x:c r="Z218" s="1"/>
      <x:c r="AA218" s="1"/>
      <x:c r="AB218" s="1"/>
      <x:c r="AC218" s="1"/>
      <x:c r="AD218" s="1"/>
    </x:row>
    <x:row r="219">
      <x:c r="A219" s="1">
        <x:v>218</x:v>
      </x:c>
      <x:c r="B219" t="str">
        <x:v>B</x:v>
      </x:c>
      <x:c r="C219" t="str">
        <x:v>W</x:v>
      </x:c>
      <x:c r="D219" t="str">
        <x:v>B</x:v>
      </x:c>
      <x:c r="E219" t="str">
        <x:v>B</x:v>
      </x:c>
      <x:c r="F219" t="str">
        <x:v>W</x:v>
      </x:c>
      <x:c r="G219" t="str">
        <x:v>W</x:v>
      </x:c>
      <x:c r="H219" t="str">
        <x:v>B</x:v>
      </x:c>
      <x:c r="I219" t="str">
        <x:v>B</x:v>
      </x:c>
      <x:c r="J219" t="str">
        <x:v>W</x:v>
      </x:c>
      <x:c r="K219" t="str">
        <x:v>B</x:v>
      </x:c>
      <x:c r="L219" t="str">
        <x:v>W</x:v>
      </x:c>
      <x:c r="M219" t="str">
        <x:v>B</x:v>
      </x:c>
      <x:c r="N219" t="str">
        <x:v>W</x:v>
      </x:c>
      <x:c r="O219" t="str">
        <x:v>B</x:v>
      </x:c>
      <x:c r="P219" t="str">
        <x:v>B</x:v>
      </x:c>
      <x:c r="Q219" t="str">
        <x:v>W</x:v>
      </x:c>
      <x:c r="R219" t="str">
        <x:v>W</x:v>
      </x:c>
      <x:c r="S219" t="str">
        <x:v>B</x:v>
      </x:c>
      <x:c r="T219" t="str">
        <x:v>B</x:v>
      </x:c>
      <x:c r="U219" t="str">
        <x:v>B</x:v>
      </x:c>
      <x:c r="V219" t="n">
        <x:f>COUNTIF(B219:U219,"W")</x:f>
        <x:v>8</x:v>
      </x:c>
      <x:c r="W219" s="5" t="str">
        <x:f>IF(COUNTIF(B219:D219,"W")&gt;0,"Y","N")</x:f>
        <x:v>Y</x:v>
      </x:c>
      <x:c r="X219" s="1"/>
      <x:c r="Y219" s="1"/>
      <x:c r="Z219" s="1"/>
      <x:c r="AA219" s="1"/>
      <x:c r="AB219" s="1"/>
      <x:c r="AC219" s="1"/>
      <x:c r="AD219" s="1"/>
    </x:row>
    <x:row r="220">
      <x:c r="A220" s="1">
        <x:v>219</x:v>
      </x:c>
      <x:c r="B220" t="str">
        <x:v>B</x:v>
      </x:c>
      <x:c r="C220" t="str">
        <x:v>B</x:v>
      </x:c>
      <x:c r="D220" t="str">
        <x:v>B</x:v>
      </x:c>
      <x:c r="E220" t="str">
        <x:v>W</x:v>
      </x:c>
      <x:c r="F220" t="str">
        <x:v>W</x:v>
      </x:c>
      <x:c r="G220" t="str">
        <x:v>B</x:v>
      </x:c>
      <x:c r="H220" t="str">
        <x:v>B</x:v>
      </x:c>
      <x:c r="I220" t="str">
        <x:v>W</x:v>
      </x:c>
      <x:c r="J220" t="str">
        <x:v>W</x:v>
      </x:c>
      <x:c r="K220" t="str">
        <x:v>B</x:v>
      </x:c>
      <x:c r="L220" t="str">
        <x:v>W</x:v>
      </x:c>
      <x:c r="M220" t="str">
        <x:v>B</x:v>
      </x:c>
      <x:c r="N220" t="str">
        <x:v>W</x:v>
      </x:c>
      <x:c r="O220" t="str">
        <x:v>B</x:v>
      </x:c>
      <x:c r="P220" t="str">
        <x:v>W</x:v>
      </x:c>
      <x:c r="Q220" t="str">
        <x:v>W</x:v>
      </x:c>
      <x:c r="R220" t="str">
        <x:v>B</x:v>
      </x:c>
      <x:c r="S220" t="str">
        <x:v>B</x:v>
      </x:c>
      <x:c r="T220" t="str">
        <x:v>B</x:v>
      </x:c>
      <x:c r="U220" t="str">
        <x:v>W</x:v>
      </x:c>
      <x:c r="V220" t="n">
        <x:f>COUNTIF(B220:U220,"W")</x:f>
        <x:v>9</x:v>
      </x:c>
      <x:c r="W220" s="5" t="str">
        <x:f>IF(COUNTIF(B220:D220,"W")&gt;0,"Y","N")</x:f>
        <x:v>N</x:v>
      </x:c>
      <x:c r="X220" s="1"/>
      <x:c r="Y220" s="1"/>
      <x:c r="Z220" s="1"/>
      <x:c r="AA220" s="1"/>
      <x:c r="AB220" s="1"/>
      <x:c r="AC220" s="1"/>
      <x:c r="AD220" s="1"/>
    </x:row>
    <x:row r="221">
      <x:c r="A221" s="1">
        <x:v>220</x:v>
      </x:c>
      <x:c r="B221" t="str">
        <x:v>W</x:v>
      </x:c>
      <x:c r="C221" t="str">
        <x:v>B</x:v>
      </x:c>
      <x:c r="D221" t="str">
        <x:v>B</x:v>
      </x:c>
      <x:c r="E221" t="str">
        <x:v>W</x:v>
      </x:c>
      <x:c r="F221" t="str">
        <x:v>W</x:v>
      </x:c>
      <x:c r="G221" t="str">
        <x:v>B</x:v>
      </x:c>
      <x:c r="H221" t="str">
        <x:v>B</x:v>
      </x:c>
      <x:c r="I221" t="str">
        <x:v>B</x:v>
      </x:c>
      <x:c r="J221" t="str">
        <x:v>B</x:v>
      </x:c>
      <x:c r="K221" t="str">
        <x:v>B</x:v>
      </x:c>
      <x:c r="L221" t="str">
        <x:v>W</x:v>
      </x:c>
      <x:c r="M221" t="str">
        <x:v>W</x:v>
      </x:c>
      <x:c r="N221" t="str">
        <x:v>B</x:v>
      </x:c>
      <x:c r="O221" t="str">
        <x:v>W</x:v>
      </x:c>
      <x:c r="P221" t="str">
        <x:v>B</x:v>
      </x:c>
      <x:c r="Q221" t="str">
        <x:v>B</x:v>
      </x:c>
      <x:c r="R221" t="str">
        <x:v>B</x:v>
      </x:c>
      <x:c r="S221" t="str">
        <x:v>B</x:v>
      </x:c>
      <x:c r="T221" t="str">
        <x:v>B</x:v>
      </x:c>
      <x:c r="U221" t="str">
        <x:v>B</x:v>
      </x:c>
      <x:c r="V221" t="n">
        <x:f>COUNTIF(B221:U221,"W")</x:f>
        <x:v>6</x:v>
      </x:c>
      <x:c r="W221" s="5" t="str">
        <x:f>IF(COUNTIF(B221:D221,"W")&gt;0,"Y","N")</x:f>
        <x:v>Y</x:v>
      </x:c>
      <x:c r="X221" s="1"/>
      <x:c r="Y221" s="1"/>
      <x:c r="Z221" s="1"/>
      <x:c r="AA221" s="1"/>
      <x:c r="AB221" s="1"/>
      <x:c r="AC221" s="1"/>
      <x:c r="AD221" s="1"/>
    </x:row>
    <x:row r="222">
      <x:c r="A222" s="1">
        <x:v>221</x:v>
      </x:c>
      <x:c r="B222" t="str">
        <x:v>W</x:v>
      </x:c>
      <x:c r="C222" t="str">
        <x:v>W</x:v>
      </x:c>
      <x:c r="D222" t="str">
        <x:v>B</x:v>
      </x:c>
      <x:c r="E222" t="str">
        <x:v>B</x:v>
      </x:c>
      <x:c r="F222" t="str">
        <x:v>W</x:v>
      </x:c>
      <x:c r="G222" t="str">
        <x:v>W</x:v>
      </x:c>
      <x:c r="H222" t="str">
        <x:v>W</x:v>
      </x:c>
      <x:c r="I222" t="str">
        <x:v>B</x:v>
      </x:c>
      <x:c r="J222" t="str">
        <x:v>B</x:v>
      </x:c>
      <x:c r="K222" t="str">
        <x:v>W</x:v>
      </x:c>
      <x:c r="L222" t="str">
        <x:v>W</x:v>
      </x:c>
      <x:c r="M222" t="str">
        <x:v>B</x:v>
      </x:c>
      <x:c r="N222" t="str">
        <x:v>B</x:v>
      </x:c>
      <x:c r="O222" t="str">
        <x:v>B</x:v>
      </x:c>
      <x:c r="P222" t="str">
        <x:v>W</x:v>
      </x:c>
      <x:c r="Q222" t="str">
        <x:v>B</x:v>
      </x:c>
      <x:c r="R222" t="str">
        <x:v>B</x:v>
      </x:c>
      <x:c r="S222" t="str">
        <x:v>W</x:v>
      </x:c>
      <x:c r="T222" t="str">
        <x:v>B</x:v>
      </x:c>
      <x:c r="U222" t="str">
        <x:v>B</x:v>
      </x:c>
      <x:c r="V222" t="n">
        <x:f>COUNTIF(B222:U222,"W")</x:f>
        <x:v>9</x:v>
      </x:c>
      <x:c r="W222" s="5" t="str">
        <x:f>IF(COUNTIF(B222:D222,"W")&gt;0,"Y","N")</x:f>
        <x:v>Y</x:v>
      </x:c>
      <x:c r="X222" s="1"/>
      <x:c r="Y222" s="1"/>
      <x:c r="Z222" s="1"/>
      <x:c r="AA222" s="1"/>
      <x:c r="AB222" s="1"/>
      <x:c r="AC222" s="1"/>
      <x:c r="AD222" s="1"/>
    </x:row>
    <x:row r="223">
      <x:c r="A223" s="1">
        <x:v>222</x:v>
      </x:c>
      <x:c r="B223" t="str">
        <x:v>W</x:v>
      </x:c>
      <x:c r="C223" t="str">
        <x:v>W</x:v>
      </x:c>
      <x:c r="D223" t="str">
        <x:v>W</x:v>
      </x:c>
      <x:c r="E223" t="str">
        <x:v>W</x:v>
      </x:c>
      <x:c r="F223" t="str">
        <x:v>B</x:v>
      </x:c>
      <x:c r="G223" t="str">
        <x:v>B</x:v>
      </x:c>
      <x:c r="H223" t="str">
        <x:v>B</x:v>
      </x:c>
      <x:c r="I223" t="str">
        <x:v>B</x:v>
      </x:c>
      <x:c r="J223" t="str">
        <x:v>W</x:v>
      </x:c>
      <x:c r="K223" t="str">
        <x:v>B</x:v>
      </x:c>
      <x:c r="L223" t="str">
        <x:v>W</x:v>
      </x:c>
      <x:c r="M223" t="str">
        <x:v>B</x:v>
      </x:c>
      <x:c r="N223" t="str">
        <x:v>B</x:v>
      </x:c>
      <x:c r="O223" t="str">
        <x:v>B</x:v>
      </x:c>
      <x:c r="P223" t="str">
        <x:v>W</x:v>
      </x:c>
      <x:c r="Q223" t="str">
        <x:v>B</x:v>
      </x:c>
      <x:c r="R223" t="str">
        <x:v>B</x:v>
      </x:c>
      <x:c r="S223" t="str">
        <x:v>B</x:v>
      </x:c>
      <x:c r="T223" t="str">
        <x:v>B</x:v>
      </x:c>
      <x:c r="U223" t="str">
        <x:v>W</x:v>
      </x:c>
      <x:c r="V223" t="n">
        <x:f>COUNTIF(B223:U223,"W")</x:f>
        <x:v>8</x:v>
      </x:c>
      <x:c r="W223" s="5" t="str">
        <x:f>IF(COUNTIF(B223:D223,"W")&gt;0,"Y","N")</x:f>
        <x:v>Y</x:v>
      </x:c>
      <x:c r="X223" s="1"/>
      <x:c r="Y223" s="1"/>
      <x:c r="Z223" s="1"/>
      <x:c r="AA223" s="1"/>
      <x:c r="AB223" s="1"/>
      <x:c r="AC223" s="1"/>
      <x:c r="AD223" s="1"/>
    </x:row>
    <x:row r="224">
      <x:c r="A224" s="1">
        <x:v>223</x:v>
      </x:c>
      <x:c r="B224" t="str">
        <x:v>B</x:v>
      </x:c>
      <x:c r="C224" t="str">
        <x:v>B</x:v>
      </x:c>
      <x:c r="D224" t="str">
        <x:v>W</x:v>
      </x:c>
      <x:c r="E224" t="str">
        <x:v>B</x:v>
      </x:c>
      <x:c r="F224" t="str">
        <x:v>W</x:v>
      </x:c>
      <x:c r="G224" t="str">
        <x:v>W</x:v>
      </x:c>
      <x:c r="H224" t="str">
        <x:v>B</x:v>
      </x:c>
      <x:c r="I224" t="str">
        <x:v>B</x:v>
      </x:c>
      <x:c r="J224" t="str">
        <x:v>W</x:v>
      </x:c>
      <x:c r="K224" t="str">
        <x:v>W</x:v>
      </x:c>
      <x:c r="L224" t="str">
        <x:v>W</x:v>
      </x:c>
      <x:c r="M224" t="str">
        <x:v>B</x:v>
      </x:c>
      <x:c r="N224" t="str">
        <x:v>W</x:v>
      </x:c>
      <x:c r="O224" t="str">
        <x:v>B</x:v>
      </x:c>
      <x:c r="P224" t="str">
        <x:v>B</x:v>
      </x:c>
      <x:c r="Q224" t="str">
        <x:v>W</x:v>
      </x:c>
      <x:c r="R224" t="str">
        <x:v>W</x:v>
      </x:c>
      <x:c r="S224" t="str">
        <x:v>W</x:v>
      </x:c>
      <x:c r="T224" t="str">
        <x:v>W</x:v>
      </x:c>
      <x:c r="U224" t="str">
        <x:v>B</x:v>
      </x:c>
      <x:c r="V224" t="n">
        <x:f>COUNTIF(B224:U224,"W")</x:f>
        <x:v>11</x:v>
      </x:c>
      <x:c r="W224" s="5" t="str">
        <x:f>IF(COUNTIF(B224:D224,"W")&gt;0,"Y","N")</x:f>
        <x:v>Y</x:v>
      </x:c>
      <x:c r="X224" s="1"/>
      <x:c r="Y224" s="1"/>
      <x:c r="Z224" s="1"/>
      <x:c r="AA224" s="1"/>
      <x:c r="AB224" s="1"/>
      <x:c r="AC224" s="1"/>
      <x:c r="AD224" s="1"/>
    </x:row>
    <x:row r="225">
      <x:c r="A225" s="1">
        <x:v>224</x:v>
      </x:c>
      <x:c r="B225" t="str">
        <x:v>B</x:v>
      </x:c>
      <x:c r="C225" t="str">
        <x:v>B</x:v>
      </x:c>
      <x:c r="D225" t="str">
        <x:v>B</x:v>
      </x:c>
      <x:c r="E225" t="str">
        <x:v>B</x:v>
      </x:c>
      <x:c r="F225" t="str">
        <x:v>B</x:v>
      </x:c>
      <x:c r="G225" t="str">
        <x:v>W</x:v>
      </x:c>
      <x:c r="H225" t="str">
        <x:v>B</x:v>
      </x:c>
      <x:c r="I225" t="str">
        <x:v>W</x:v>
      </x:c>
      <x:c r="J225" t="str">
        <x:v>B</x:v>
      </x:c>
      <x:c r="K225" t="str">
        <x:v>B</x:v>
      </x:c>
      <x:c r="L225" t="str">
        <x:v>W</x:v>
      </x:c>
      <x:c r="M225" t="str">
        <x:v>W</x:v>
      </x:c>
      <x:c r="N225" t="str">
        <x:v>W</x:v>
      </x:c>
      <x:c r="O225" t="str">
        <x:v>B</x:v>
      </x:c>
      <x:c r="P225" t="str">
        <x:v>W</x:v>
      </x:c>
      <x:c r="Q225" t="str">
        <x:v>B</x:v>
      </x:c>
      <x:c r="R225" t="str">
        <x:v>W</x:v>
      </x:c>
      <x:c r="S225" t="str">
        <x:v>W</x:v>
      </x:c>
      <x:c r="T225" t="str">
        <x:v>B</x:v>
      </x:c>
      <x:c r="U225" t="str">
        <x:v>B</x:v>
      </x:c>
      <x:c r="V225" t="n">
        <x:f>COUNTIF(B225:U225,"W")</x:f>
        <x:v>8</x:v>
      </x:c>
      <x:c r="W225" s="5" t="str">
        <x:f>IF(COUNTIF(B225:D225,"W")&gt;0,"Y","N")</x:f>
        <x:v>N</x:v>
      </x:c>
      <x:c r="X225" s="1"/>
      <x:c r="Y225" s="1"/>
      <x:c r="Z225" s="1"/>
      <x:c r="AA225" s="1"/>
      <x:c r="AB225" s="1"/>
      <x:c r="AC225" s="1"/>
      <x:c r="AD225" s="1"/>
    </x:row>
    <x:row r="226">
      <x:c r="A226" s="1">
        <x:v>225</x:v>
      </x:c>
      <x:c r="B226" t="str">
        <x:v>W</x:v>
      </x:c>
      <x:c r="C226" t="str">
        <x:v>W</x:v>
      </x:c>
      <x:c r="D226" t="str">
        <x:v>B</x:v>
      </x:c>
      <x:c r="E226" t="str">
        <x:v>W</x:v>
      </x:c>
      <x:c r="F226" t="str">
        <x:v>W</x:v>
      </x:c>
      <x:c r="G226" t="str">
        <x:v>B</x:v>
      </x:c>
      <x:c r="H226" t="str">
        <x:v>W</x:v>
      </x:c>
      <x:c r="I226" t="str">
        <x:v>W</x:v>
      </x:c>
      <x:c r="J226" t="str">
        <x:v>B</x:v>
      </x:c>
      <x:c r="K226" t="str">
        <x:v>W</x:v>
      </x:c>
      <x:c r="L226" t="str">
        <x:v>W</x:v>
      </x:c>
      <x:c r="M226" t="str">
        <x:v>W</x:v>
      </x:c>
      <x:c r="N226" t="str">
        <x:v>B</x:v>
      </x:c>
      <x:c r="O226" t="str">
        <x:v>B</x:v>
      </x:c>
      <x:c r="P226" t="str">
        <x:v>W</x:v>
      </x:c>
      <x:c r="Q226" t="str">
        <x:v>B</x:v>
      </x:c>
      <x:c r="R226" t="str">
        <x:v>B</x:v>
      </x:c>
      <x:c r="S226" t="str">
        <x:v>W</x:v>
      </x:c>
      <x:c r="T226" t="str">
        <x:v>W</x:v>
      </x:c>
      <x:c r="U226" t="str">
        <x:v>B</x:v>
      </x:c>
      <x:c r="V226" t="n">
        <x:f>COUNTIF(B226:U226,"W")</x:f>
        <x:v>12</x:v>
      </x:c>
      <x:c r="W226" s="5" t="str">
        <x:f>IF(COUNTIF(B226:D226,"W")&gt;0,"Y","N")</x:f>
        <x:v>Y</x:v>
      </x:c>
      <x:c r="X226" s="1"/>
      <x:c r="Y226" s="1"/>
      <x:c r="Z226" s="1"/>
      <x:c r="AA226" s="1"/>
      <x:c r="AB226" s="1"/>
      <x:c r="AC226" s="1"/>
      <x:c r="AD226" s="1"/>
    </x:row>
    <x:row r="227">
      <x:c r="A227" s="1">
        <x:v>226</x:v>
      </x:c>
      <x:c r="B227" t="str">
        <x:v>W</x:v>
      </x:c>
      <x:c r="C227" t="str">
        <x:v>B</x:v>
      </x:c>
      <x:c r="D227" t="str">
        <x:v>W</x:v>
      </x:c>
      <x:c r="E227" t="str">
        <x:v>B</x:v>
      </x:c>
      <x:c r="F227" t="str">
        <x:v>B</x:v>
      </x:c>
      <x:c r="G227" t="str">
        <x:v>W</x:v>
      </x:c>
      <x:c r="H227" t="str">
        <x:v>B</x:v>
      </x:c>
      <x:c r="I227" t="str">
        <x:v>B</x:v>
      </x:c>
      <x:c r="J227" t="str">
        <x:v>W</x:v>
      </x:c>
      <x:c r="K227" t="str">
        <x:v>W</x:v>
      </x:c>
      <x:c r="L227" t="str">
        <x:v>W</x:v>
      </x:c>
      <x:c r="M227" t="str">
        <x:v>B</x:v>
      </x:c>
      <x:c r="N227" t="str">
        <x:v>B</x:v>
      </x:c>
      <x:c r="O227" t="str">
        <x:v>B</x:v>
      </x:c>
      <x:c r="P227" t="str">
        <x:v>B</x:v>
      </x:c>
      <x:c r="Q227" t="str">
        <x:v>B</x:v>
      </x:c>
      <x:c r="R227" t="str">
        <x:v>B</x:v>
      </x:c>
      <x:c r="S227" t="str">
        <x:v>B</x:v>
      </x:c>
      <x:c r="T227" t="str">
        <x:v>B</x:v>
      </x:c>
      <x:c r="U227" t="str">
        <x:v>B</x:v>
      </x:c>
      <x:c r="V227" t="n">
        <x:f>COUNTIF(B227:U227,"W")</x:f>
        <x:v>6</x:v>
      </x:c>
      <x:c r="W227" s="5" t="str">
        <x:f>IF(COUNTIF(B227:D227,"W")&gt;0,"Y","N")</x:f>
        <x:v>Y</x:v>
      </x:c>
      <x:c r="X227" s="1"/>
      <x:c r="Y227" s="1"/>
      <x:c r="Z227" s="1"/>
      <x:c r="AA227" s="1"/>
      <x:c r="AB227" s="1"/>
      <x:c r="AC227" s="1"/>
      <x:c r="AD227" s="1"/>
    </x:row>
    <x:row r="228">
      <x:c r="A228" s="1">
        <x:v>227</x:v>
      </x:c>
      <x:c r="B228" t="str">
        <x:v>B</x:v>
      </x:c>
      <x:c r="C228" t="str">
        <x:v>W</x:v>
      </x:c>
      <x:c r="D228" t="str">
        <x:v>B</x:v>
      </x:c>
      <x:c r="E228" t="str">
        <x:v>W</x:v>
      </x:c>
      <x:c r="F228" t="str">
        <x:v>B</x:v>
      </x:c>
      <x:c r="G228" t="str">
        <x:v>W</x:v>
      </x:c>
      <x:c r="H228" t="str">
        <x:v>B</x:v>
      </x:c>
      <x:c r="I228" t="str">
        <x:v>B</x:v>
      </x:c>
      <x:c r="J228" t="str">
        <x:v>W</x:v>
      </x:c>
      <x:c r="K228" t="str">
        <x:v>B</x:v>
      </x:c>
      <x:c r="L228" t="str">
        <x:v>W</x:v>
      </x:c>
      <x:c r="M228" t="str">
        <x:v>B</x:v>
      </x:c>
      <x:c r="N228" t="str">
        <x:v>B</x:v>
      </x:c>
      <x:c r="O228" t="str">
        <x:v>W</x:v>
      </x:c>
      <x:c r="P228" t="str">
        <x:v>B</x:v>
      </x:c>
      <x:c r="Q228" t="str">
        <x:v>B</x:v>
      </x:c>
      <x:c r="R228" t="str">
        <x:v>W</x:v>
      </x:c>
      <x:c r="S228" t="str">
        <x:v>B</x:v>
      </x:c>
      <x:c r="T228" t="str">
        <x:v>W</x:v>
      </x:c>
      <x:c r="U228" t="str">
        <x:v>B</x:v>
      </x:c>
      <x:c r="V228" t="n">
        <x:f>COUNTIF(B228:U228,"W")</x:f>
        <x:v>8</x:v>
      </x:c>
      <x:c r="W228" s="5" t="str">
        <x:f>IF(COUNTIF(B228:D228,"W")&gt;0,"Y","N")</x:f>
        <x:v>Y</x:v>
      </x:c>
      <x:c r="X228" s="1"/>
      <x:c r="Y228" s="1"/>
      <x:c r="Z228" s="1"/>
      <x:c r="AA228" s="1"/>
      <x:c r="AB228" s="1"/>
      <x:c r="AC228" s="1"/>
      <x:c r="AD228" s="1"/>
    </x:row>
    <x:row r="229">
      <x:c r="A229" s="1">
        <x:v>228</x:v>
      </x:c>
      <x:c r="B229" t="str">
        <x:v>B</x:v>
      </x:c>
      <x:c r="C229" t="str">
        <x:v>W</x:v>
      </x:c>
      <x:c r="D229" t="str">
        <x:v>B</x:v>
      </x:c>
      <x:c r="E229" t="str">
        <x:v>B</x:v>
      </x:c>
      <x:c r="F229" t="str">
        <x:v>W</x:v>
      </x:c>
      <x:c r="G229" t="str">
        <x:v>B</x:v>
      </x:c>
      <x:c r="H229" t="str">
        <x:v>W</x:v>
      </x:c>
      <x:c r="I229" t="str">
        <x:v>B</x:v>
      </x:c>
      <x:c r="J229" t="str">
        <x:v>W</x:v>
      </x:c>
      <x:c r="K229" t="str">
        <x:v>B</x:v>
      </x:c>
      <x:c r="L229" t="str">
        <x:v>W</x:v>
      </x:c>
      <x:c r="M229" t="str">
        <x:v>B</x:v>
      </x:c>
      <x:c r="N229" t="str">
        <x:v>W</x:v>
      </x:c>
      <x:c r="O229" t="str">
        <x:v>B</x:v>
      </x:c>
      <x:c r="P229" t="str">
        <x:v>B</x:v>
      </x:c>
      <x:c r="Q229" t="str">
        <x:v>B</x:v>
      </x:c>
      <x:c r="R229" t="str">
        <x:v>B</x:v>
      </x:c>
      <x:c r="S229" t="str">
        <x:v>W</x:v>
      </x:c>
      <x:c r="T229" t="str">
        <x:v>B</x:v>
      </x:c>
      <x:c r="U229" t="str">
        <x:v>W</x:v>
      </x:c>
      <x:c r="V229" t="n">
        <x:f>COUNTIF(B229:U229,"W")</x:f>
        <x:v>8</x:v>
      </x:c>
      <x:c r="W229" s="5" t="str">
        <x:f>IF(COUNTIF(B229:D229,"W")&gt;0,"Y","N")</x:f>
        <x:v>Y</x:v>
      </x:c>
      <x:c r="X229" s="1"/>
      <x:c r="Y229" s="1"/>
      <x:c r="Z229" s="1"/>
      <x:c r="AA229" s="1"/>
      <x:c r="AB229" s="1"/>
      <x:c r="AC229" s="1"/>
      <x:c r="AD229" s="1"/>
    </x:row>
    <x:row r="230">
      <x:c r="A230" s="1">
        <x:v>229</x:v>
      </x:c>
      <x:c r="B230" t="str">
        <x:v>B</x:v>
      </x:c>
      <x:c r="C230" t="str">
        <x:v>B</x:v>
      </x:c>
      <x:c r="D230" t="str">
        <x:v>B</x:v>
      </x:c>
      <x:c r="E230" t="str">
        <x:v>B</x:v>
      </x:c>
      <x:c r="F230" t="str">
        <x:v>B</x:v>
      </x:c>
      <x:c r="G230" t="str">
        <x:v>W</x:v>
      </x:c>
      <x:c r="H230" t="str">
        <x:v>B</x:v>
      </x:c>
      <x:c r="I230" t="str">
        <x:v>W</x:v>
      </x:c>
      <x:c r="J230" t="str">
        <x:v>B</x:v>
      </x:c>
      <x:c r="K230" t="str">
        <x:v>B</x:v>
      </x:c>
      <x:c r="L230" t="str">
        <x:v>W</x:v>
      </x:c>
      <x:c r="M230" t="str">
        <x:v>W</x:v>
      </x:c>
      <x:c r="N230" t="str">
        <x:v>W</x:v>
      </x:c>
      <x:c r="O230" t="str">
        <x:v>B</x:v>
      </x:c>
      <x:c r="P230" t="str">
        <x:v>W</x:v>
      </x:c>
      <x:c r="Q230" t="str">
        <x:v>W</x:v>
      </x:c>
      <x:c r="R230" t="str">
        <x:v>W</x:v>
      </x:c>
      <x:c r="S230" t="str">
        <x:v>W</x:v>
      </x:c>
      <x:c r="T230" t="str">
        <x:v>B</x:v>
      </x:c>
      <x:c r="U230" t="str">
        <x:v>W</x:v>
      </x:c>
      <x:c r="V230" t="n">
        <x:f>COUNTIF(B230:U230,"W")</x:f>
        <x:v>10</x:v>
      </x:c>
      <x:c r="W230" s="5" t="str">
        <x:f>IF(COUNTIF(B230:D230,"W")&gt;0,"Y","N")</x:f>
        <x:v>N</x:v>
      </x:c>
      <x:c r="X230" s="1"/>
      <x:c r="Y230" s="1"/>
      <x:c r="Z230" s="1"/>
      <x:c r="AA230" s="1"/>
      <x:c r="AB230" s="1"/>
      <x:c r="AC230" s="1"/>
      <x:c r="AD230" s="1"/>
    </x:row>
    <x:row r="231">
      <x:c r="A231" s="1">
        <x:v>230</x:v>
      </x:c>
      <x:c r="B231" t="str">
        <x:v>B</x:v>
      </x:c>
      <x:c r="C231" t="str">
        <x:v>B</x:v>
      </x:c>
      <x:c r="D231" t="str">
        <x:v>B</x:v>
      </x:c>
      <x:c r="E231" t="str">
        <x:v>B</x:v>
      </x:c>
      <x:c r="F231" t="str">
        <x:v>B</x:v>
      </x:c>
      <x:c r="G231" t="str">
        <x:v>W</x:v>
      </x:c>
      <x:c r="H231" t="str">
        <x:v>W</x:v>
      </x:c>
      <x:c r="I231" t="str">
        <x:v>B</x:v>
      </x:c>
      <x:c r="J231" t="str">
        <x:v>W</x:v>
      </x:c>
      <x:c r="K231" t="str">
        <x:v>B</x:v>
      </x:c>
      <x:c r="L231" t="str">
        <x:v>W</x:v>
      </x:c>
      <x:c r="M231" t="str">
        <x:v>B</x:v>
      </x:c>
      <x:c r="N231" t="str">
        <x:v>W</x:v>
      </x:c>
      <x:c r="O231" t="str">
        <x:v>W</x:v>
      </x:c>
      <x:c r="P231" t="str">
        <x:v>W</x:v>
      </x:c>
      <x:c r="Q231" t="str">
        <x:v>B</x:v>
      </x:c>
      <x:c r="R231" t="str">
        <x:v>B</x:v>
      </x:c>
      <x:c r="S231" t="str">
        <x:v>B</x:v>
      </x:c>
      <x:c r="T231" t="str">
        <x:v>W</x:v>
      </x:c>
      <x:c r="U231" t="str">
        <x:v>B</x:v>
      </x:c>
      <x:c r="V231" t="n">
        <x:f>COUNTIF(B231:U231,"W")</x:f>
        <x:v>8</x:v>
      </x:c>
      <x:c r="W231" s="5" t="str">
        <x:f>IF(COUNTIF(B231:D231,"W")&gt;0,"Y","N")</x:f>
        <x:v>N</x:v>
      </x:c>
      <x:c r="X231" s="1"/>
      <x:c r="Y231" s="1"/>
      <x:c r="Z231" s="1"/>
      <x:c r="AA231" s="1"/>
      <x:c r="AB231" s="1"/>
      <x:c r="AC231" s="1"/>
      <x:c r="AD231" s="1"/>
    </x:row>
    <x:row r="232">
      <x:c r="A232" s="1">
        <x:v>231</x:v>
      </x:c>
      <x:c r="B232" t="str">
        <x:v>W</x:v>
      </x:c>
      <x:c r="C232" t="str">
        <x:v>W</x:v>
      </x:c>
      <x:c r="D232" t="str">
        <x:v>B</x:v>
      </x:c>
      <x:c r="E232" t="str">
        <x:v>W</x:v>
      </x:c>
      <x:c r="F232" t="str">
        <x:v>B</x:v>
      </x:c>
      <x:c r="G232" t="str">
        <x:v>B</x:v>
      </x:c>
      <x:c r="H232" t="str">
        <x:v>B</x:v>
      </x:c>
      <x:c r="I232" t="str">
        <x:v>B</x:v>
      </x:c>
      <x:c r="J232" t="str">
        <x:v>W</x:v>
      </x:c>
      <x:c r="K232" t="str">
        <x:v>B</x:v>
      </x:c>
      <x:c r="L232" t="str">
        <x:v>W</x:v>
      </x:c>
      <x:c r="M232" t="str">
        <x:v>B</x:v>
      </x:c>
      <x:c r="N232" t="str">
        <x:v>W</x:v>
      </x:c>
      <x:c r="O232" t="str">
        <x:v>B</x:v>
      </x:c>
      <x:c r="P232" t="str">
        <x:v>B</x:v>
      </x:c>
      <x:c r="Q232" t="str">
        <x:v>B</x:v>
      </x:c>
      <x:c r="R232" t="str">
        <x:v>B</x:v>
      </x:c>
      <x:c r="S232" t="str">
        <x:v>W</x:v>
      </x:c>
      <x:c r="T232" t="str">
        <x:v>W</x:v>
      </x:c>
      <x:c r="U232" t="str">
        <x:v>B</x:v>
      </x:c>
      <x:c r="V232" t="n">
        <x:f>COUNTIF(B232:U232,"W")</x:f>
        <x:v>8</x:v>
      </x:c>
      <x:c r="W232" s="5" t="str">
        <x:f>IF(COUNTIF(B232:D232,"W")&gt;0,"Y","N")</x:f>
        <x:v>Y</x:v>
      </x:c>
      <x:c r="X232" s="1"/>
      <x:c r="Y232" s="1"/>
      <x:c r="Z232" s="1"/>
      <x:c r="AA232" s="1"/>
      <x:c r="AB232" s="1"/>
      <x:c r="AC232" s="1"/>
      <x:c r="AD232" s="1"/>
    </x:row>
    <x:row r="233">
      <x:c r="A233" s="1">
        <x:v>232</x:v>
      </x:c>
      <x:c r="B233" t="str">
        <x:v>B</x:v>
      </x:c>
      <x:c r="C233" t="str">
        <x:v>W</x:v>
      </x:c>
      <x:c r="D233" t="str">
        <x:v>W</x:v>
      </x:c>
      <x:c r="E233" t="str">
        <x:v>W</x:v>
      </x:c>
      <x:c r="F233" t="str">
        <x:v>B</x:v>
      </x:c>
      <x:c r="G233" t="str">
        <x:v>B</x:v>
      </x:c>
      <x:c r="H233" t="str">
        <x:v>W</x:v>
      </x:c>
      <x:c r="I233" t="str">
        <x:v>B</x:v>
      </x:c>
      <x:c r="J233" t="str">
        <x:v>B</x:v>
      </x:c>
      <x:c r="K233" t="str">
        <x:v>W</x:v>
      </x:c>
      <x:c r="L233" t="str">
        <x:v>B</x:v>
      </x:c>
      <x:c r="M233" t="str">
        <x:v>W</x:v>
      </x:c>
      <x:c r="N233" t="str">
        <x:v>W</x:v>
      </x:c>
      <x:c r="O233" t="str">
        <x:v>W</x:v>
      </x:c>
      <x:c r="P233" t="str">
        <x:v>B</x:v>
      </x:c>
      <x:c r="Q233" t="str">
        <x:v>B</x:v>
      </x:c>
      <x:c r="R233" t="str">
        <x:v>B</x:v>
      </x:c>
      <x:c r="S233" t="str">
        <x:v>B</x:v>
      </x:c>
      <x:c r="T233" t="str">
        <x:v>B</x:v>
      </x:c>
      <x:c r="U233" t="str">
        <x:v>B</x:v>
      </x:c>
      <x:c r="V233" t="n">
        <x:f>COUNTIF(B233:U233,"W")</x:f>
        <x:v>8</x:v>
      </x:c>
      <x:c r="W233" s="5" t="str">
        <x:f>IF(COUNTIF(B233:D233,"W")&gt;0,"Y","N")</x:f>
        <x:v>Y</x:v>
      </x:c>
      <x:c r="X233" s="1"/>
      <x:c r="Y233" s="1"/>
      <x:c r="Z233" s="1"/>
      <x:c r="AA233" s="1"/>
      <x:c r="AB233" s="1"/>
      <x:c r="AC233" s="1"/>
      <x:c r="AD233" s="1"/>
    </x:row>
    <x:row r="234">
      <x:c r="A234" s="1">
        <x:v>233</x:v>
      </x:c>
      <x:c r="B234" t="str">
        <x:v>W</x:v>
      </x:c>
      <x:c r="C234" t="str">
        <x:v>W</x:v>
      </x:c>
      <x:c r="D234" t="str">
        <x:v>W</x:v>
      </x:c>
      <x:c r="E234" t="str">
        <x:v>B</x:v>
      </x:c>
      <x:c r="F234" t="str">
        <x:v>B</x:v>
      </x:c>
      <x:c r="G234" t="str">
        <x:v>B</x:v>
      </x:c>
      <x:c r="H234" t="str">
        <x:v>W</x:v>
      </x:c>
      <x:c r="I234" t="str">
        <x:v>B</x:v>
      </x:c>
      <x:c r="J234" t="str">
        <x:v>B</x:v>
      </x:c>
      <x:c r="K234" t="str">
        <x:v>B</x:v>
      </x:c>
      <x:c r="L234" t="str">
        <x:v>B</x:v>
      </x:c>
      <x:c r="M234" t="str">
        <x:v>W</x:v>
      </x:c>
      <x:c r="N234" t="str">
        <x:v>B</x:v>
      </x:c>
      <x:c r="O234" t="str">
        <x:v>W</x:v>
      </x:c>
      <x:c r="P234" t="str">
        <x:v>B</x:v>
      </x:c>
      <x:c r="Q234" t="str">
        <x:v>B</x:v>
      </x:c>
      <x:c r="R234" t="str">
        <x:v>W</x:v>
      </x:c>
      <x:c r="S234" t="str">
        <x:v>W</x:v>
      </x:c>
      <x:c r="T234" t="str">
        <x:v>B</x:v>
      </x:c>
      <x:c r="U234" t="str">
        <x:v>W</x:v>
      </x:c>
      <x:c r="V234" t="n">
        <x:f>COUNTIF(B234:U234,"W")</x:f>
        <x:v>9</x:v>
      </x:c>
      <x:c r="W234" s="5" t="str">
        <x:f>IF(COUNTIF(B234:D234,"W")&gt;0,"Y","N")</x:f>
        <x:v>Y</x:v>
      </x:c>
      <x:c r="X234" s="1"/>
      <x:c r="Y234" s="1"/>
      <x:c r="Z234" s="1"/>
      <x:c r="AA234" s="1"/>
      <x:c r="AB234" s="1"/>
      <x:c r="AC234" s="1"/>
      <x:c r="AD234" s="1"/>
    </x:row>
    <x:row r="235">
      <x:c r="A235" s="1">
        <x:v>234</x:v>
      </x:c>
      <x:c r="B235" t="str">
        <x:v>B</x:v>
      </x:c>
      <x:c r="C235" t="str">
        <x:v>B</x:v>
      </x:c>
      <x:c r="D235" t="str">
        <x:v>B</x:v>
      </x:c>
      <x:c r="E235" t="str">
        <x:v>W</x:v>
      </x:c>
      <x:c r="F235" t="str">
        <x:v>B</x:v>
      </x:c>
      <x:c r="G235" t="str">
        <x:v>W</x:v>
      </x:c>
      <x:c r="H235" t="str">
        <x:v>B</x:v>
      </x:c>
      <x:c r="I235" t="str">
        <x:v>W</x:v>
      </x:c>
      <x:c r="J235" t="str">
        <x:v>W</x:v>
      </x:c>
      <x:c r="K235" t="str">
        <x:v>B</x:v>
      </x:c>
      <x:c r="L235" t="str">
        <x:v>B</x:v>
      </x:c>
      <x:c r="M235" t="str">
        <x:v>B</x:v>
      </x:c>
      <x:c r="N235" t="str">
        <x:v>B</x:v>
      </x:c>
      <x:c r="O235" t="str">
        <x:v>W</x:v>
      </x:c>
      <x:c r="P235" t="str">
        <x:v>B</x:v>
      </x:c>
      <x:c r="Q235" t="str">
        <x:v>B</x:v>
      </x:c>
      <x:c r="R235" t="str">
        <x:v>B</x:v>
      </x:c>
      <x:c r="S235" t="str">
        <x:v>B</x:v>
      </x:c>
      <x:c r="T235" t="str">
        <x:v>B</x:v>
      </x:c>
      <x:c r="U235" t="str">
        <x:v>W</x:v>
      </x:c>
      <x:c r="V235" t="n">
        <x:f>COUNTIF(B235:U235,"W")</x:f>
        <x:v>6</x:v>
      </x:c>
      <x:c r="W235" s="5" t="str">
        <x:f>IF(COUNTIF(B235:D235,"W")&gt;0,"Y","N")</x:f>
        <x:v>N</x:v>
      </x:c>
      <x:c r="X235" s="1"/>
      <x:c r="Y235" s="1"/>
      <x:c r="Z235" s="1"/>
      <x:c r="AA235" s="1"/>
      <x:c r="AB235" s="1"/>
      <x:c r="AC235" s="1"/>
      <x:c r="AD235" s="1"/>
    </x:row>
    <x:row r="236">
      <x:c r="A236" s="1">
        <x:v>235</x:v>
      </x:c>
      <x:c r="B236" t="str">
        <x:v>B</x:v>
      </x:c>
      <x:c r="C236" t="str">
        <x:v>W</x:v>
      </x:c>
      <x:c r="D236" t="str">
        <x:v>B</x:v>
      </x:c>
      <x:c r="E236" t="str">
        <x:v>B</x:v>
      </x:c>
      <x:c r="F236" t="str">
        <x:v>B</x:v>
      </x:c>
      <x:c r="G236" t="str">
        <x:v>B</x:v>
      </x:c>
      <x:c r="H236" t="str">
        <x:v>B</x:v>
      </x:c>
      <x:c r="I236" t="str">
        <x:v>B</x:v>
      </x:c>
      <x:c r="J236" t="str">
        <x:v>B</x:v>
      </x:c>
      <x:c r="K236" t="str">
        <x:v>B</x:v>
      </x:c>
      <x:c r="L236" t="str">
        <x:v>B</x:v>
      </x:c>
      <x:c r="M236" t="str">
        <x:v>W</x:v>
      </x:c>
      <x:c r="N236" t="str">
        <x:v>B</x:v>
      </x:c>
      <x:c r="O236" t="str">
        <x:v>W</x:v>
      </x:c>
      <x:c r="P236" t="str">
        <x:v>B</x:v>
      </x:c>
      <x:c r="Q236" t="str">
        <x:v>B</x:v>
      </x:c>
      <x:c r="R236" t="str">
        <x:v>B</x:v>
      </x:c>
      <x:c r="S236" t="str">
        <x:v>B</x:v>
      </x:c>
      <x:c r="T236" t="str">
        <x:v>B</x:v>
      </x:c>
      <x:c r="U236" t="str">
        <x:v>B</x:v>
      </x:c>
      <x:c r="V236" t="n">
        <x:f>COUNTIF(B236:U236,"W")</x:f>
        <x:v>3</x:v>
      </x:c>
      <x:c r="W236" s="5" t="str">
        <x:f>IF(COUNTIF(B236:D236,"W")&gt;0,"Y","N")</x:f>
        <x:v>Y</x:v>
      </x:c>
      <x:c r="X236" s="1"/>
      <x:c r="Y236" s="1"/>
      <x:c r="Z236" s="1"/>
      <x:c r="AA236" s="1"/>
      <x:c r="AB236" s="1"/>
      <x:c r="AC236" s="1"/>
      <x:c r="AD236" s="1"/>
    </x:row>
    <x:row r="237">
      <x:c r="A237" s="1">
        <x:v>236</x:v>
      </x:c>
      <x:c r="B237" t="str">
        <x:v>W</x:v>
      </x:c>
      <x:c r="C237" t="str">
        <x:v>W</x:v>
      </x:c>
      <x:c r="D237" t="str">
        <x:v>B</x:v>
      </x:c>
      <x:c r="E237" t="str">
        <x:v>W</x:v>
      </x:c>
      <x:c r="F237" t="str">
        <x:v>W</x:v>
      </x:c>
      <x:c r="G237" t="str">
        <x:v>B</x:v>
      </x:c>
      <x:c r="H237" t="str">
        <x:v>W</x:v>
      </x:c>
      <x:c r="I237" t="str">
        <x:v>W</x:v>
      </x:c>
      <x:c r="J237" t="str">
        <x:v>B</x:v>
      </x:c>
      <x:c r="K237" t="str">
        <x:v>B</x:v>
      </x:c>
      <x:c r="L237" t="str">
        <x:v>B</x:v>
      </x:c>
      <x:c r="M237" t="str">
        <x:v>B</x:v>
      </x:c>
      <x:c r="N237" t="str">
        <x:v>B</x:v>
      </x:c>
      <x:c r="O237" t="str">
        <x:v>B</x:v>
      </x:c>
      <x:c r="P237" t="str">
        <x:v>W</x:v>
      </x:c>
      <x:c r="Q237" t="str">
        <x:v>W</x:v>
      </x:c>
      <x:c r="R237" t="str">
        <x:v>W</x:v>
      </x:c>
      <x:c r="S237" t="str">
        <x:v>W</x:v>
      </x:c>
      <x:c r="T237" t="str">
        <x:v>W</x:v>
      </x:c>
      <x:c r="U237" t="str">
        <x:v>B</x:v>
      </x:c>
      <x:c r="V237" t="n">
        <x:f>COUNTIF(B237:U237,"W")</x:f>
        <x:v>11</x:v>
      </x:c>
      <x:c r="W237" s="5" t="str">
        <x:f>IF(COUNTIF(B237:D237,"W")&gt;0,"Y","N")</x:f>
        <x:v>Y</x:v>
      </x:c>
      <x:c r="X237" s="1"/>
      <x:c r="Y237" s="1"/>
      <x:c r="Z237" s="1"/>
      <x:c r="AA237" s="1"/>
      <x:c r="AB237" s="1"/>
      <x:c r="AC237" s="1"/>
      <x:c r="AD237" s="1"/>
    </x:row>
    <x:row r="238">
      <x:c r="A238" s="1">
        <x:v>237</x:v>
      </x:c>
      <x:c r="B238" t="str">
        <x:v>B</x:v>
      </x:c>
      <x:c r="C238" t="str">
        <x:v>W</x:v>
      </x:c>
      <x:c r="D238" t="str">
        <x:v>W</x:v>
      </x:c>
      <x:c r="E238" t="str">
        <x:v>W</x:v>
      </x:c>
      <x:c r="F238" t="str">
        <x:v>B</x:v>
      </x:c>
      <x:c r="G238" t="str">
        <x:v>B</x:v>
      </x:c>
      <x:c r="H238" t="str">
        <x:v>W</x:v>
      </x:c>
      <x:c r="I238" t="str">
        <x:v>B</x:v>
      </x:c>
      <x:c r="J238" t="str">
        <x:v>B</x:v>
      </x:c>
      <x:c r="K238" t="str">
        <x:v>B</x:v>
      </x:c>
      <x:c r="L238" t="str">
        <x:v>W</x:v>
      </x:c>
      <x:c r="M238" t="str">
        <x:v>B</x:v>
      </x:c>
      <x:c r="N238" t="str">
        <x:v>W</x:v>
      </x:c>
      <x:c r="O238" t="str">
        <x:v>W</x:v>
      </x:c>
      <x:c r="P238" t="str">
        <x:v>B</x:v>
      </x:c>
      <x:c r="Q238" t="str">
        <x:v>B</x:v>
      </x:c>
      <x:c r="R238" t="str">
        <x:v>B</x:v>
      </x:c>
      <x:c r="S238" t="str">
        <x:v>B</x:v>
      </x:c>
      <x:c r="T238" t="str">
        <x:v>W</x:v>
      </x:c>
      <x:c r="U238" t="str">
        <x:v>B</x:v>
      </x:c>
      <x:c r="V238" t="n">
        <x:f>COUNTIF(B238:U238,"W")</x:f>
        <x:v>8</x:v>
      </x:c>
      <x:c r="W238" s="5" t="str">
        <x:f>IF(COUNTIF(B238:D238,"W")&gt;0,"Y","N")</x:f>
        <x:v>Y</x:v>
      </x:c>
      <x:c r="X238" s="1"/>
      <x:c r="Y238" s="1"/>
      <x:c r="Z238" s="1"/>
      <x:c r="AA238" s="1"/>
      <x:c r="AB238" s="1"/>
      <x:c r="AC238" s="1"/>
      <x:c r="AD238" s="1"/>
    </x:row>
    <x:row r="239">
      <x:c r="A239" s="1">
        <x:v>238</x:v>
      </x:c>
      <x:c r="B239" t="str">
        <x:v>W</x:v>
      </x:c>
      <x:c r="C239" t="str">
        <x:v>B</x:v>
      </x:c>
      <x:c r="D239" t="str">
        <x:v>B</x:v>
      </x:c>
      <x:c r="E239" t="str">
        <x:v>W</x:v>
      </x:c>
      <x:c r="F239" t="str">
        <x:v>W</x:v>
      </x:c>
      <x:c r="G239" t="str">
        <x:v>B</x:v>
      </x:c>
      <x:c r="H239" t="str">
        <x:v>W</x:v>
      </x:c>
      <x:c r="I239" t="str">
        <x:v>B</x:v>
      </x:c>
      <x:c r="J239" t="str">
        <x:v>W</x:v>
      </x:c>
      <x:c r="K239" t="str">
        <x:v>W</x:v>
      </x:c>
      <x:c r="L239" t="str">
        <x:v>B</x:v>
      </x:c>
      <x:c r="M239" t="str">
        <x:v>B</x:v>
      </x:c>
      <x:c r="N239" t="str">
        <x:v>B</x:v>
      </x:c>
      <x:c r="O239" t="str">
        <x:v>B</x:v>
      </x:c>
      <x:c r="P239" t="str">
        <x:v>B</x:v>
      </x:c>
      <x:c r="Q239" t="str">
        <x:v>W</x:v>
      </x:c>
      <x:c r="R239" t="str">
        <x:v>W</x:v>
      </x:c>
      <x:c r="S239" t="str">
        <x:v>B</x:v>
      </x:c>
      <x:c r="T239" t="str">
        <x:v>B</x:v>
      </x:c>
      <x:c r="U239" t="str">
        <x:v>B</x:v>
      </x:c>
      <x:c r="V239" t="n">
        <x:f>COUNTIF(B239:U239,"W")</x:f>
        <x:v>8</x:v>
      </x:c>
      <x:c r="W239" s="5" t="str">
        <x:f>IF(COUNTIF(B239:D239,"W")&gt;0,"Y","N")</x:f>
        <x:v>Y</x:v>
      </x:c>
      <x:c r="X239" s="1"/>
      <x:c r="Y239" s="1"/>
      <x:c r="Z239" s="1"/>
      <x:c r="AA239" s="1"/>
      <x:c r="AB239" s="1"/>
      <x:c r="AC239" s="1"/>
      <x:c r="AD239" s="1"/>
    </x:row>
    <x:row r="240">
      <x:c r="A240" s="1">
        <x:v>239</x:v>
      </x:c>
      <x:c r="B240" t="str">
        <x:v>B</x:v>
      </x:c>
      <x:c r="C240" t="str">
        <x:v>W</x:v>
      </x:c>
      <x:c r="D240" t="str">
        <x:v>B</x:v>
      </x:c>
      <x:c r="E240" t="str">
        <x:v>B</x:v>
      </x:c>
      <x:c r="F240" t="str">
        <x:v>W</x:v>
      </x:c>
      <x:c r="G240" t="str">
        <x:v>B</x:v>
      </x:c>
      <x:c r="H240" t="str">
        <x:v>W</x:v>
      </x:c>
      <x:c r="I240" t="str">
        <x:v>B</x:v>
      </x:c>
      <x:c r="J240" t="str">
        <x:v>B</x:v>
      </x:c>
      <x:c r="K240" t="str">
        <x:v>B</x:v>
      </x:c>
      <x:c r="L240" t="str">
        <x:v>W</x:v>
      </x:c>
      <x:c r="M240" t="str">
        <x:v>W</x:v>
      </x:c>
      <x:c r="N240" t="str">
        <x:v>W</x:v>
      </x:c>
      <x:c r="O240" t="str">
        <x:v>W</x:v>
      </x:c>
      <x:c r="P240" t="str">
        <x:v>B</x:v>
      </x:c>
      <x:c r="Q240" t="str">
        <x:v>W</x:v>
      </x:c>
      <x:c r="R240" t="str">
        <x:v>B</x:v>
      </x:c>
      <x:c r="S240" t="str">
        <x:v>W</x:v>
      </x:c>
      <x:c r="T240" t="str">
        <x:v>B</x:v>
      </x:c>
      <x:c r="U240" t="str">
        <x:v>W</x:v>
      </x:c>
      <x:c r="V240" t="n">
        <x:f>COUNTIF(B240:U240,"W")</x:f>
        <x:v>10</x:v>
      </x:c>
      <x:c r="W240" s="5" t="str">
        <x:f>IF(COUNTIF(B240:D240,"W")&gt;0,"Y","N")</x:f>
        <x:v>Y</x:v>
      </x:c>
      <x:c r="X240" s="1"/>
      <x:c r="Y240" s="1"/>
      <x:c r="Z240" s="1"/>
      <x:c r="AA240" s="1"/>
      <x:c r="AB240" s="1"/>
      <x:c r="AC240" s="1"/>
      <x:c r="AD240" s="1"/>
    </x:row>
    <x:row r="241">
      <x:c r="A241" s="1">
        <x:v>240</x:v>
      </x:c>
      <x:c r="B241" t="str">
        <x:v>B</x:v>
      </x:c>
      <x:c r="C241" t="str">
        <x:v>W</x:v>
      </x:c>
      <x:c r="D241" t="str">
        <x:v>B</x:v>
      </x:c>
      <x:c r="E241" t="str">
        <x:v>B</x:v>
      </x:c>
      <x:c r="F241" t="str">
        <x:v>B</x:v>
      </x:c>
      <x:c r="G241" t="str">
        <x:v>B</x:v>
      </x:c>
      <x:c r="H241" t="str">
        <x:v>W</x:v>
      </x:c>
      <x:c r="I241" t="str">
        <x:v>B</x:v>
      </x:c>
      <x:c r="J241" t="str">
        <x:v>B</x:v>
      </x:c>
      <x:c r="K241" t="str">
        <x:v>B</x:v>
      </x:c>
      <x:c r="L241" t="str">
        <x:v>B</x:v>
      </x:c>
      <x:c r="M241" t="str">
        <x:v>W</x:v>
      </x:c>
      <x:c r="N241" t="str">
        <x:v>B</x:v>
      </x:c>
      <x:c r="O241" t="str">
        <x:v>W</x:v>
      </x:c>
      <x:c r="P241" t="str">
        <x:v>B</x:v>
      </x:c>
      <x:c r="Q241" t="str">
        <x:v>B</x:v>
      </x:c>
      <x:c r="R241" t="str">
        <x:v>B</x:v>
      </x:c>
      <x:c r="S241" t="str">
        <x:v>W</x:v>
      </x:c>
      <x:c r="T241" t="str">
        <x:v>B</x:v>
      </x:c>
      <x:c r="U241" t="str">
        <x:v>W</x:v>
      </x:c>
      <x:c r="V241" t="n">
        <x:f>COUNTIF(B241:U241,"W")</x:f>
        <x:v>6</x:v>
      </x:c>
      <x:c r="W241" s="5" t="str">
        <x:f>IF(COUNTIF(B241:D241,"W")&gt;0,"Y","N")</x:f>
        <x:v>Y</x:v>
      </x:c>
      <x:c r="X241" s="1"/>
      <x:c r="Y241" s="1"/>
      <x:c r="Z241" s="1"/>
      <x:c r="AA241" s="1"/>
      <x:c r="AB241" s="1"/>
      <x:c r="AC241" s="1"/>
      <x:c r="AD241" s="1"/>
    </x:row>
    <x:row r="242">
      <x:c r="A242" s="1">
        <x:v>241</x:v>
      </x:c>
      <x:c r="B242" t="str">
        <x:v>B</x:v>
      </x:c>
      <x:c r="C242" t="str">
        <x:v>B</x:v>
      </x:c>
      <x:c r="D242" t="str">
        <x:v>W</x:v>
      </x:c>
      <x:c r="E242" t="str">
        <x:v>B</x:v>
      </x:c>
      <x:c r="F242" t="str">
        <x:v>B</x:v>
      </x:c>
      <x:c r="G242" t="str">
        <x:v>B</x:v>
      </x:c>
      <x:c r="H242" t="str">
        <x:v>B</x:v>
      </x:c>
      <x:c r="I242" t="str">
        <x:v>B</x:v>
      </x:c>
      <x:c r="J242" t="str">
        <x:v>B</x:v>
      </x:c>
      <x:c r="K242" t="str">
        <x:v>B</x:v>
      </x:c>
      <x:c r="L242" t="str">
        <x:v>W</x:v>
      </x:c>
      <x:c r="M242" t="str">
        <x:v>B</x:v>
      </x:c>
      <x:c r="N242" t="str">
        <x:v>B</x:v>
      </x:c>
      <x:c r="O242" t="str">
        <x:v>W</x:v>
      </x:c>
      <x:c r="P242" t="str">
        <x:v>B</x:v>
      </x:c>
      <x:c r="Q242" t="str">
        <x:v>B</x:v>
      </x:c>
      <x:c r="R242" t="str">
        <x:v>B</x:v>
      </x:c>
      <x:c r="S242" t="str">
        <x:v>B</x:v>
      </x:c>
      <x:c r="T242" t="str">
        <x:v>B</x:v>
      </x:c>
      <x:c r="U242" t="str">
        <x:v>B</x:v>
      </x:c>
      <x:c r="V242" t="n">
        <x:f>COUNTIF(B242:U242,"W")</x:f>
        <x:v>3</x:v>
      </x:c>
      <x:c r="W242" s="5" t="str">
        <x:f>IF(COUNTIF(B242:D242,"W")&gt;0,"Y","N")</x:f>
        <x:v>Y</x:v>
      </x:c>
      <x:c r="X242" s="1"/>
      <x:c r="Y242" s="1"/>
      <x:c r="Z242" s="1"/>
      <x:c r="AA242" s="1"/>
      <x:c r="AB242" s="1"/>
      <x:c r="AC242" s="1"/>
      <x:c r="AD242" s="1"/>
    </x:row>
    <x:row r="243">
      <x:c r="A243" s="1">
        <x:v>242</x:v>
      </x:c>
      <x:c r="B243" t="str">
        <x:v>W</x:v>
      </x:c>
      <x:c r="C243" t="str">
        <x:v>W</x:v>
      </x:c>
      <x:c r="D243" t="str">
        <x:v>W</x:v>
      </x:c>
      <x:c r="E243" t="str">
        <x:v>B</x:v>
      </x:c>
      <x:c r="F243" t="str">
        <x:v>B</x:v>
      </x:c>
      <x:c r="G243" t="str">
        <x:v>B</x:v>
      </x:c>
      <x:c r="H243" t="str">
        <x:v>B</x:v>
      </x:c>
      <x:c r="I243" t="str">
        <x:v>W</x:v>
      </x:c>
      <x:c r="J243" t="str">
        <x:v>B</x:v>
      </x:c>
      <x:c r="K243" t="str">
        <x:v>B</x:v>
      </x:c>
      <x:c r="L243" t="str">
        <x:v>B</x:v>
      </x:c>
      <x:c r="M243" t="str">
        <x:v>B</x:v>
      </x:c>
      <x:c r="N243" t="str">
        <x:v>B</x:v>
      </x:c>
      <x:c r="O243" t="str">
        <x:v>B</x:v>
      </x:c>
      <x:c r="P243" t="str">
        <x:v>W</x:v>
      </x:c>
      <x:c r="Q243" t="str">
        <x:v>W</x:v>
      </x:c>
      <x:c r="R243" t="str">
        <x:v>W</x:v>
      </x:c>
      <x:c r="S243" t="str">
        <x:v>B</x:v>
      </x:c>
      <x:c r="T243" t="str">
        <x:v>B</x:v>
      </x:c>
      <x:c r="U243" t="str">
        <x:v>W</x:v>
      </x:c>
      <x:c r="V243" t="n">
        <x:f>COUNTIF(B243:U243,"W")</x:f>
        <x:v>8</x:v>
      </x:c>
      <x:c r="W243" s="5" t="str">
        <x:f>IF(COUNTIF(B243:D243,"W")&gt;0,"Y","N")</x:f>
        <x:v>Y</x:v>
      </x:c>
      <x:c r="X243" s="1"/>
      <x:c r="Y243" s="1"/>
      <x:c r="Z243" s="1"/>
      <x:c r="AA243" s="1"/>
      <x:c r="AB243" s="1"/>
      <x:c r="AC243" s="1"/>
      <x:c r="AD243" s="1"/>
    </x:row>
    <x:row r="244">
      <x:c r="A244" s="1">
        <x:v>243</x:v>
      </x:c>
      <x:c r="B244" t="str">
        <x:v>B</x:v>
      </x:c>
      <x:c r="C244" t="str">
        <x:v>B</x:v>
      </x:c>
      <x:c r="D244" t="str">
        <x:v>B</x:v>
      </x:c>
      <x:c r="E244" t="str">
        <x:v>B</x:v>
      </x:c>
      <x:c r="F244" t="str">
        <x:v>B</x:v>
      </x:c>
      <x:c r="G244" t="str">
        <x:v>B</x:v>
      </x:c>
      <x:c r="H244" t="str">
        <x:v>B</x:v>
      </x:c>
      <x:c r="I244" t="str">
        <x:v>B</x:v>
      </x:c>
      <x:c r="J244" t="str">
        <x:v>W</x:v>
      </x:c>
      <x:c r="K244" t="str">
        <x:v>B</x:v>
      </x:c>
      <x:c r="L244" t="str">
        <x:v>B</x:v>
      </x:c>
      <x:c r="M244" t="str">
        <x:v>B</x:v>
      </x:c>
      <x:c r="N244" t="str">
        <x:v>W</x:v>
      </x:c>
      <x:c r="O244" t="str">
        <x:v>B</x:v>
      </x:c>
      <x:c r="P244" t="str">
        <x:v>B</x:v>
      </x:c>
      <x:c r="Q244" t="str">
        <x:v>W</x:v>
      </x:c>
      <x:c r="R244" t="str">
        <x:v>B</x:v>
      </x:c>
      <x:c r="S244" t="str">
        <x:v>W</x:v>
      </x:c>
      <x:c r="T244" t="str">
        <x:v>B</x:v>
      </x:c>
      <x:c r="U244" t="str">
        <x:v>B</x:v>
      </x:c>
      <x:c r="V244" t="n">
        <x:f>COUNTIF(B244:U244,"W")</x:f>
        <x:v>4</x:v>
      </x:c>
      <x:c r="W244" s="5" t="str">
        <x:f>IF(COUNTIF(B244:D244,"W")&gt;0,"Y","N")</x:f>
        <x:v>N</x:v>
      </x:c>
      <x:c r="X244" s="1"/>
      <x:c r="Y244" s="1"/>
      <x:c r="Z244" s="1"/>
      <x:c r="AA244" s="1"/>
      <x:c r="AB244" s="1"/>
      <x:c r="AC244" s="1"/>
      <x:c r="AD244" s="1"/>
    </x:row>
    <x:row r="245">
      <x:c r="A245" s="1">
        <x:v>244</x:v>
      </x:c>
      <x:c r="B245" t="str">
        <x:v>B</x:v>
      </x:c>
      <x:c r="C245" t="str">
        <x:v>B</x:v>
      </x:c>
      <x:c r="D245" t="str">
        <x:v>B</x:v>
      </x:c>
      <x:c r="E245" t="str">
        <x:v>B</x:v>
      </x:c>
      <x:c r="F245" t="str">
        <x:v>W</x:v>
      </x:c>
      <x:c r="G245" t="str">
        <x:v>B</x:v>
      </x:c>
      <x:c r="H245" t="str">
        <x:v>B</x:v>
      </x:c>
      <x:c r="I245" t="str">
        <x:v>W</x:v>
      </x:c>
      <x:c r="J245" t="str">
        <x:v>W</x:v>
      </x:c>
      <x:c r="K245" t="str">
        <x:v>W</x:v>
      </x:c>
      <x:c r="L245" t="str">
        <x:v>B</x:v>
      </x:c>
      <x:c r="M245" t="str">
        <x:v>W</x:v>
      </x:c>
      <x:c r="N245" t="str">
        <x:v>W</x:v>
      </x:c>
      <x:c r="O245" t="str">
        <x:v>B</x:v>
      </x:c>
      <x:c r="P245" t="str">
        <x:v>B</x:v>
      </x:c>
      <x:c r="Q245" t="str">
        <x:v>B</x:v>
      </x:c>
      <x:c r="R245" t="str">
        <x:v>B</x:v>
      </x:c>
      <x:c r="S245" t="str">
        <x:v>B</x:v>
      </x:c>
      <x:c r="T245" t="str">
        <x:v>B</x:v>
      </x:c>
      <x:c r="U245" t="str">
        <x:v>B</x:v>
      </x:c>
      <x:c r="V245" t="n">
        <x:f>COUNTIF(B245:U245,"W")</x:f>
        <x:v>6</x:v>
      </x:c>
      <x:c r="W245" s="5" t="str">
        <x:f>IF(COUNTIF(B245:D245,"W")&gt;0,"Y","N")</x:f>
        <x:v>N</x:v>
      </x:c>
      <x:c r="X245" s="1"/>
      <x:c r="Y245" s="1"/>
      <x:c r="Z245" s="1"/>
      <x:c r="AA245" s="1"/>
      <x:c r="AB245" s="1"/>
      <x:c r="AC245" s="1"/>
      <x:c r="AD245" s="1"/>
    </x:row>
    <x:row r="246">
      <x:c r="A246" s="1">
        <x:v>245</x:v>
      </x:c>
      <x:c r="B246" t="str">
        <x:v>B</x:v>
      </x:c>
      <x:c r="C246" t="str">
        <x:v>B</x:v>
      </x:c>
      <x:c r="D246" t="str">
        <x:v>B</x:v>
      </x:c>
      <x:c r="E246" t="str">
        <x:v>W</x:v>
      </x:c>
      <x:c r="F246" t="str">
        <x:v>W</x:v>
      </x:c>
      <x:c r="G246" t="str">
        <x:v>B</x:v>
      </x:c>
      <x:c r="H246" t="str">
        <x:v>W</x:v>
      </x:c>
      <x:c r="I246" t="str">
        <x:v>B</x:v>
      </x:c>
      <x:c r="J246" t="str">
        <x:v>B</x:v>
      </x:c>
      <x:c r="K246" t="str">
        <x:v>B</x:v>
      </x:c>
      <x:c r="L246" t="str">
        <x:v>W</x:v>
      </x:c>
      <x:c r="M246" t="str">
        <x:v>W</x:v>
      </x:c>
      <x:c r="N246" t="str">
        <x:v>W</x:v>
      </x:c>
      <x:c r="O246" t="str">
        <x:v>B</x:v>
      </x:c>
      <x:c r="P246" t="str">
        <x:v>B</x:v>
      </x:c>
      <x:c r="Q246" t="str">
        <x:v>W</x:v>
      </x:c>
      <x:c r="R246" t="str">
        <x:v>B</x:v>
      </x:c>
      <x:c r="S246" t="str">
        <x:v>B</x:v>
      </x:c>
      <x:c r="T246" t="str">
        <x:v>B</x:v>
      </x:c>
      <x:c r="U246" t="str">
        <x:v>B</x:v>
      </x:c>
      <x:c r="V246" t="n">
        <x:f>COUNTIF(B246:U246,"W")</x:f>
        <x:v>7</x:v>
      </x:c>
      <x:c r="W246" s="5" t="str">
        <x:f>IF(COUNTIF(B246:D246,"W")&gt;0,"Y","N")</x:f>
        <x:v>N</x:v>
      </x:c>
      <x:c r="X246" s="1"/>
      <x:c r="Y246" s="1"/>
      <x:c r="Z246" s="1"/>
      <x:c r="AA246" s="1"/>
      <x:c r="AB246" s="1"/>
      <x:c r="AC246" s="1"/>
      <x:c r="AD246" s="1"/>
    </x:row>
    <x:row r="247">
      <x:c r="A247" s="1">
        <x:v>246</x:v>
      </x:c>
      <x:c r="B247" t="str">
        <x:v>W</x:v>
      </x:c>
      <x:c r="C247" t="str">
        <x:v>W</x:v>
      </x:c>
      <x:c r="D247" t="str">
        <x:v>B</x:v>
      </x:c>
      <x:c r="E247" t="str">
        <x:v>B</x:v>
      </x:c>
      <x:c r="F247" t="str">
        <x:v>W</x:v>
      </x:c>
      <x:c r="G247" t="str">
        <x:v>B</x:v>
      </x:c>
      <x:c r="H247" t="str">
        <x:v>W</x:v>
      </x:c>
      <x:c r="I247" t="str">
        <x:v>B</x:v>
      </x:c>
      <x:c r="J247" t="str">
        <x:v>B</x:v>
      </x:c>
      <x:c r="K247" t="str">
        <x:v>B</x:v>
      </x:c>
      <x:c r="L247" t="str">
        <x:v>W</x:v>
      </x:c>
      <x:c r="M247" t="str">
        <x:v>W</x:v>
      </x:c>
      <x:c r="N247" t="str">
        <x:v>B</x:v>
      </x:c>
      <x:c r="O247" t="str">
        <x:v>W</x:v>
      </x:c>
      <x:c r="P247" t="str">
        <x:v>W</x:v>
      </x:c>
      <x:c r="Q247" t="str">
        <x:v>W</x:v>
      </x:c>
      <x:c r="R247" t="str">
        <x:v>B</x:v>
      </x:c>
      <x:c r="S247" t="str">
        <x:v>W</x:v>
      </x:c>
      <x:c r="T247" t="str">
        <x:v>B</x:v>
      </x:c>
      <x:c r="U247" t="str">
        <x:v>B</x:v>
      </x:c>
      <x:c r="V247" t="n">
        <x:f>COUNTIF(B247:U247,"W")</x:f>
        <x:v>10</x:v>
      </x:c>
      <x:c r="W247" s="5" t="str">
        <x:f>IF(COUNTIF(B247:D247,"W")&gt;0,"Y","N")</x:f>
        <x:v>Y</x:v>
      </x:c>
      <x:c r="X247" s="1"/>
      <x:c r="Y247" s="1"/>
      <x:c r="Z247" s="1"/>
      <x:c r="AA247" s="1"/>
      <x:c r="AB247" s="1"/>
      <x:c r="AC247" s="1"/>
      <x:c r="AD247" s="1"/>
    </x:row>
    <x:row r="248">
      <x:c r="A248" s="1">
        <x:v>247</x:v>
      </x:c>
      <x:c r="B248" t="str">
        <x:v>B</x:v>
      </x:c>
      <x:c r="C248" t="str">
        <x:v>B</x:v>
      </x:c>
      <x:c r="D248" t="str">
        <x:v>W</x:v>
      </x:c>
      <x:c r="E248" t="str">
        <x:v>B</x:v>
      </x:c>
      <x:c r="F248" t="str">
        <x:v>W</x:v>
      </x:c>
      <x:c r="G248" t="str">
        <x:v>B</x:v>
      </x:c>
      <x:c r="H248" t="str">
        <x:v>W</x:v>
      </x:c>
      <x:c r="I248" t="str">
        <x:v>W</x:v>
      </x:c>
      <x:c r="J248" t="str">
        <x:v>B</x:v>
      </x:c>
      <x:c r="K248" t="str">
        <x:v>B</x:v>
      </x:c>
      <x:c r="L248" t="str">
        <x:v>B</x:v>
      </x:c>
      <x:c r="M248" t="str">
        <x:v>B</x:v>
      </x:c>
      <x:c r="N248" t="str">
        <x:v>B</x:v>
      </x:c>
      <x:c r="O248" t="str">
        <x:v>B</x:v>
      </x:c>
      <x:c r="P248" t="str">
        <x:v>W</x:v>
      </x:c>
      <x:c r="Q248" t="str">
        <x:v>W</x:v>
      </x:c>
      <x:c r="R248" t="str">
        <x:v>B</x:v>
      </x:c>
      <x:c r="S248" t="str">
        <x:v>B</x:v>
      </x:c>
      <x:c r="T248" t="str">
        <x:v>W</x:v>
      </x:c>
      <x:c r="U248" t="str">
        <x:v>W</x:v>
      </x:c>
      <x:c r="V248" t="n">
        <x:f>COUNTIF(B248:U248,"W")</x:f>
        <x:v>8</x:v>
      </x:c>
      <x:c r="W248" s="5" t="str">
        <x:f>IF(COUNTIF(B248:D248,"W")&gt;0,"Y","N")</x:f>
        <x:v>Y</x:v>
      </x:c>
      <x:c r="X248" s="1"/>
      <x:c r="Y248" s="1"/>
      <x:c r="Z248" s="1"/>
      <x:c r="AA248" s="1"/>
      <x:c r="AB248" s="1"/>
      <x:c r="AC248" s="1"/>
      <x:c r="AD248" s="1"/>
    </x:row>
    <x:row r="249">
      <x:c r="A249" s="1">
        <x:v>248</x:v>
      </x:c>
      <x:c r="B249" t="str">
        <x:v>B</x:v>
      </x:c>
      <x:c r="C249" t="str">
        <x:v>W</x:v>
      </x:c>
      <x:c r="D249" t="str">
        <x:v>W</x:v>
      </x:c>
      <x:c r="E249" t="str">
        <x:v>B</x:v>
      </x:c>
      <x:c r="F249" t="str">
        <x:v>B</x:v>
      </x:c>
      <x:c r="G249" t="str">
        <x:v>B</x:v>
      </x:c>
      <x:c r="H249" t="str">
        <x:v>B</x:v>
      </x:c>
      <x:c r="I249" t="str">
        <x:v>W</x:v>
      </x:c>
      <x:c r="J249" t="str">
        <x:v>W</x:v>
      </x:c>
      <x:c r="K249" t="str">
        <x:v>B</x:v>
      </x:c>
      <x:c r="L249" t="str">
        <x:v>B</x:v>
      </x:c>
      <x:c r="M249" t="str">
        <x:v>B</x:v>
      </x:c>
      <x:c r="N249" t="str">
        <x:v>B</x:v>
      </x:c>
      <x:c r="O249" t="str">
        <x:v>B</x:v>
      </x:c>
      <x:c r="P249" t="str">
        <x:v>W</x:v>
      </x:c>
      <x:c r="Q249" t="str">
        <x:v>B</x:v>
      </x:c>
      <x:c r="R249" t="str">
        <x:v>W</x:v>
      </x:c>
      <x:c r="S249" t="str">
        <x:v>B</x:v>
      </x:c>
      <x:c r="T249" t="str">
        <x:v>B</x:v>
      </x:c>
      <x:c r="U249" t="str">
        <x:v>W</x:v>
      </x:c>
      <x:c r="V249" t="n">
        <x:f>COUNTIF(B249:U249,"W")</x:f>
        <x:v>7</x:v>
      </x:c>
      <x:c r="W249" s="5" t="str">
        <x:f>IF(COUNTIF(B249:D249,"W")&gt;0,"Y","N")</x:f>
        <x:v>Y</x:v>
      </x:c>
      <x:c r="X249" s="1"/>
      <x:c r="Y249" s="1"/>
      <x:c r="Z249" s="1"/>
      <x:c r="AA249" s="1"/>
      <x:c r="AB249" s="1"/>
      <x:c r="AC249" s="1"/>
      <x:c r="AD249" s="1"/>
    </x:row>
    <x:row r="250">
      <x:c r="A250" s="1">
        <x:v>249</x:v>
      </x:c>
      <x:c r="B250" t="str">
        <x:v>W</x:v>
      </x:c>
      <x:c r="C250" t="str">
        <x:v>B</x:v>
      </x:c>
      <x:c r="D250" t="str">
        <x:v>B</x:v>
      </x:c>
      <x:c r="E250" t="str">
        <x:v>B</x:v>
      </x:c>
      <x:c r="F250" t="str">
        <x:v>B</x:v>
      </x:c>
      <x:c r="G250" t="str">
        <x:v>W</x:v>
      </x:c>
      <x:c r="H250" t="str">
        <x:v>W</x:v>
      </x:c>
      <x:c r="I250" t="str">
        <x:v>B</x:v>
      </x:c>
      <x:c r="J250" t="str">
        <x:v>W</x:v>
      </x:c>
      <x:c r="K250" t="str">
        <x:v>B</x:v>
      </x:c>
      <x:c r="L250" t="str">
        <x:v>B</x:v>
      </x:c>
      <x:c r="M250" t="str">
        <x:v>W</x:v>
      </x:c>
      <x:c r="N250" t="str">
        <x:v>W</x:v>
      </x:c>
      <x:c r="O250" t="str">
        <x:v>B</x:v>
      </x:c>
      <x:c r="P250" t="str">
        <x:v>B</x:v>
      </x:c>
      <x:c r="Q250" t="str">
        <x:v>B</x:v>
      </x:c>
      <x:c r="R250" t="str">
        <x:v>B</x:v>
      </x:c>
      <x:c r="S250" t="str">
        <x:v>W</x:v>
      </x:c>
      <x:c r="T250" t="str">
        <x:v>B</x:v>
      </x:c>
      <x:c r="U250" t="str">
        <x:v>B</x:v>
      </x:c>
      <x:c r="V250" t="n">
        <x:f>COUNTIF(B250:U250,"W")</x:f>
        <x:v>7</x:v>
      </x:c>
      <x:c r="W250" s="5" t="str">
        <x:f>IF(COUNTIF(B250:D250,"W")&gt;0,"Y","N")</x:f>
        <x:v>Y</x:v>
      </x:c>
      <x:c r="X250" s="1"/>
      <x:c r="Y250" s="1"/>
      <x:c r="Z250" s="1"/>
      <x:c r="AA250" s="1"/>
      <x:c r="AB250" s="1"/>
      <x:c r="AC250" s="1"/>
      <x:c r="AD250" s="1"/>
    </x:row>
    <x:row r="251">
      <x:c r="A251" s="1">
        <x:v>250</x:v>
      </x:c>
      <x:c r="B251" t="str">
        <x:v>B</x:v>
      </x:c>
      <x:c r="C251" t="str">
        <x:v>B</x:v>
      </x:c>
      <x:c r="D251" t="str">
        <x:v>W</x:v>
      </x:c>
      <x:c r="E251" t="str">
        <x:v>B</x:v>
      </x:c>
      <x:c r="F251" t="str">
        <x:v>B</x:v>
      </x:c>
      <x:c r="G251" t="str">
        <x:v>W</x:v>
      </x:c>
      <x:c r="H251" t="str">
        <x:v>W</x:v>
      </x:c>
      <x:c r="I251" t="str">
        <x:v>B</x:v>
      </x:c>
      <x:c r="J251" t="str">
        <x:v>W</x:v>
      </x:c>
      <x:c r="K251" t="str">
        <x:v>B</x:v>
      </x:c>
      <x:c r="L251" t="str">
        <x:v>B</x:v>
      </x:c>
      <x:c r="M251" t="str">
        <x:v>W</x:v>
      </x:c>
      <x:c r="N251" t="str">
        <x:v>B</x:v>
      </x:c>
      <x:c r="O251" t="str">
        <x:v>B</x:v>
      </x:c>
      <x:c r="P251" t="str">
        <x:v>W</x:v>
      </x:c>
      <x:c r="Q251" t="str">
        <x:v>W</x:v>
      </x:c>
      <x:c r="R251" t="str">
        <x:v>W</x:v>
      </x:c>
      <x:c r="S251" t="str">
        <x:v>B</x:v>
      </x:c>
      <x:c r="T251" t="str">
        <x:v>B</x:v>
      </x:c>
      <x:c r="U251" t="str">
        <x:v>B</x:v>
      </x:c>
      <x:c r="V251" t="n">
        <x:f>COUNTIF(B251:U251,"W")</x:f>
        <x:v>8</x:v>
      </x:c>
      <x:c r="W251" s="5" t="str">
        <x:f>IF(COUNTIF(B251:D251,"W")&gt;0,"Y","N")</x:f>
        <x:v>Y</x:v>
      </x:c>
      <x:c r="X251" s="1"/>
      <x:c r="Y251" s="1"/>
      <x:c r="Z251" s="1"/>
      <x:c r="AA251" s="1"/>
      <x:c r="AB251" s="1"/>
      <x:c r="AC251" s="1"/>
      <x:c r="AD251" s="1"/>
    </x:row>
    <x:row r="252">
      <x:c r="A252" s="1">
        <x:v>251</x:v>
      </x:c>
      <x:c r="B252" t="str">
        <x:v>B</x:v>
      </x:c>
      <x:c r="C252" t="str">
        <x:v>W</x:v>
      </x:c>
      <x:c r="D252" t="str">
        <x:v>B</x:v>
      </x:c>
      <x:c r="E252" t="str">
        <x:v>W</x:v>
      </x:c>
      <x:c r="F252" t="str">
        <x:v>B</x:v>
      </x:c>
      <x:c r="G252" t="str">
        <x:v>B</x:v>
      </x:c>
      <x:c r="H252" t="str">
        <x:v>W</x:v>
      </x:c>
      <x:c r="I252" t="str">
        <x:v>W</x:v>
      </x:c>
      <x:c r="J252" t="str">
        <x:v>B</x:v>
      </x:c>
      <x:c r="K252" t="str">
        <x:v>W</x:v>
      </x:c>
      <x:c r="L252" t="str">
        <x:v>W</x:v>
      </x:c>
      <x:c r="M252" t="str">
        <x:v>W</x:v>
      </x:c>
      <x:c r="N252" t="str">
        <x:v>B</x:v>
      </x:c>
      <x:c r="O252" t="str">
        <x:v>W</x:v>
      </x:c>
      <x:c r="P252" t="str">
        <x:v>W</x:v>
      </x:c>
      <x:c r="Q252" t="str">
        <x:v>B</x:v>
      </x:c>
      <x:c r="R252" t="str">
        <x:v>B</x:v>
      </x:c>
      <x:c r="S252" t="str">
        <x:v>B</x:v>
      </x:c>
      <x:c r="T252" t="str">
        <x:v>B</x:v>
      </x:c>
      <x:c r="U252" t="str">
        <x:v>W</x:v>
      </x:c>
      <x:c r="V252" t="n">
        <x:f>COUNTIF(B252:U252,"W")</x:f>
        <x:v>10</x:v>
      </x:c>
      <x:c r="W252" s="5" t="str">
        <x:f>IF(COUNTIF(B252:D252,"W")&gt;0,"Y","N")</x:f>
        <x:v>Y</x:v>
      </x:c>
      <x:c r="X252" s="1"/>
      <x:c r="Y252" s="1"/>
      <x:c r="Z252" s="1"/>
      <x:c r="AA252" s="1"/>
      <x:c r="AB252" s="1"/>
      <x:c r="AC252" s="1"/>
      <x:c r="AD252" s="1"/>
    </x:row>
    <x:row r="253">
      <x:c r="A253" s="1">
        <x:v>252</x:v>
      </x:c>
      <x:c r="B253" t="str">
        <x:v>B</x:v>
      </x:c>
      <x:c r="C253" t="str">
        <x:v>W</x:v>
      </x:c>
      <x:c r="D253" t="str">
        <x:v>B</x:v>
      </x:c>
      <x:c r="E253" t="str">
        <x:v>B</x:v>
      </x:c>
      <x:c r="F253" t="str">
        <x:v>W</x:v>
      </x:c>
      <x:c r="G253" t="str">
        <x:v>B</x:v>
      </x:c>
      <x:c r="H253" t="str">
        <x:v>B</x:v>
      </x:c>
      <x:c r="I253" t="str">
        <x:v>W</x:v>
      </x:c>
      <x:c r="J253" t="str">
        <x:v>B</x:v>
      </x:c>
      <x:c r="K253" t="str">
        <x:v>B</x:v>
      </x:c>
      <x:c r="L253" t="str">
        <x:v>W</x:v>
      </x:c>
      <x:c r="M253" t="str">
        <x:v>B</x:v>
      </x:c>
      <x:c r="N253" t="str">
        <x:v>W</x:v>
      </x:c>
      <x:c r="O253" t="str">
        <x:v>W</x:v>
      </x:c>
      <x:c r="P253" t="str">
        <x:v>W</x:v>
      </x:c>
      <x:c r="Q253" t="str">
        <x:v>W</x:v>
      </x:c>
      <x:c r="R253" t="str">
        <x:v>B</x:v>
      </x:c>
      <x:c r="S253" t="str">
        <x:v>W</x:v>
      </x:c>
      <x:c r="T253" t="str">
        <x:v>W</x:v>
      </x:c>
      <x:c r="U253" t="str">
        <x:v>B</x:v>
      </x:c>
      <x:c r="V253" t="n">
        <x:f>COUNTIF(B253:U253,"W")</x:f>
        <x:v>10</x:v>
      </x:c>
      <x:c r="W253" s="5" t="str">
        <x:f>IF(COUNTIF(B253:D253,"W")&gt;0,"Y","N")</x:f>
        <x:v>Y</x:v>
      </x:c>
      <x:c r="X253" s="1"/>
      <x:c r="Y253" s="1"/>
      <x:c r="Z253" s="1"/>
      <x:c r="AA253" s="1"/>
      <x:c r="AB253" s="1"/>
      <x:c r="AC253" s="1"/>
      <x:c r="AD253" s="1"/>
    </x:row>
    <x:row r="254">
      <x:c r="A254" s="1">
        <x:v>253</x:v>
      </x:c>
      <x:c r="B254" t="str">
        <x:v>B</x:v>
      </x:c>
      <x:c r="C254" t="str">
        <x:v>W</x:v>
      </x:c>
      <x:c r="D254" t="str">
        <x:v>B</x:v>
      </x:c>
      <x:c r="E254" t="str">
        <x:v>B</x:v>
      </x:c>
      <x:c r="F254" t="str">
        <x:v>B</x:v>
      </x:c>
      <x:c r="G254" t="str">
        <x:v>B</x:v>
      </x:c>
      <x:c r="H254" t="str">
        <x:v>B</x:v>
      </x:c>
      <x:c r="I254" t="str">
        <x:v>W</x:v>
      </x:c>
      <x:c r="J254" t="str">
        <x:v>B</x:v>
      </x:c>
      <x:c r="K254" t="str">
        <x:v>B</x:v>
      </x:c>
      <x:c r="L254" t="str">
        <x:v>B</x:v>
      </x:c>
      <x:c r="M254" t="str">
        <x:v>W</x:v>
      </x:c>
      <x:c r="N254" t="str">
        <x:v>W</x:v>
      </x:c>
      <x:c r="O254" t="str">
        <x:v>B</x:v>
      </x:c>
      <x:c r="P254" t="str">
        <x:v>B</x:v>
      </x:c>
      <x:c r="Q254" t="str">
        <x:v>W</x:v>
      </x:c>
      <x:c r="R254" t="str">
        <x:v>B</x:v>
      </x:c>
      <x:c r="S254" t="str">
        <x:v>W</x:v>
      </x:c>
      <x:c r="T254" t="str">
        <x:v>W</x:v>
      </x:c>
      <x:c r="U254" t="str">
        <x:v>W</x:v>
      </x:c>
      <x:c r="V254" t="n">
        <x:f>COUNTIF(B254:U254,"W")</x:f>
        <x:v>8</x:v>
      </x:c>
      <x:c r="W254" s="5" t="str">
        <x:f>IF(COUNTIF(B254:D254,"W")&gt;0,"Y","N")</x:f>
        <x:v>Y</x:v>
      </x:c>
      <x:c r="X254" s="1"/>
      <x:c r="Y254" s="1"/>
      <x:c r="Z254" s="1"/>
      <x:c r="AA254" s="1"/>
      <x:c r="AB254" s="1"/>
      <x:c r="AC254" s="1"/>
      <x:c r="AD254" s="1"/>
    </x:row>
    <x:row r="255">
      <x:c r="A255" s="1">
        <x:v>254</x:v>
      </x:c>
      <x:c r="B255" t="str">
        <x:v>B</x:v>
      </x:c>
      <x:c r="C255" t="str">
        <x:v>W</x:v>
      </x:c>
      <x:c r="D255" t="str">
        <x:v>B</x:v>
      </x:c>
      <x:c r="E255" t="str">
        <x:v>W</x:v>
      </x:c>
      <x:c r="F255" t="str">
        <x:v>W</x:v>
      </x:c>
      <x:c r="G255" t="str">
        <x:v>W</x:v>
      </x:c>
      <x:c r="H255" t="str">
        <x:v>B</x:v>
      </x:c>
      <x:c r="I255" t="str">
        <x:v>B</x:v>
      </x:c>
      <x:c r="J255" t="str">
        <x:v>B</x:v>
      </x:c>
      <x:c r="K255" t="str">
        <x:v>W</x:v>
      </x:c>
      <x:c r="L255" t="str">
        <x:v>B</x:v>
      </x:c>
      <x:c r="M255" t="str">
        <x:v>B</x:v>
      </x:c>
      <x:c r="N255" t="str">
        <x:v>B</x:v>
      </x:c>
      <x:c r="O255" t="str">
        <x:v>B</x:v>
      </x:c>
      <x:c r="P255" t="str">
        <x:v>B</x:v>
      </x:c>
      <x:c r="Q255" t="str">
        <x:v>B</x:v>
      </x:c>
      <x:c r="R255" t="str">
        <x:v>B</x:v>
      </x:c>
      <x:c r="S255" t="str">
        <x:v>B</x:v>
      </x:c>
      <x:c r="T255" t="str">
        <x:v>W</x:v>
      </x:c>
      <x:c r="U255" t="str">
        <x:v>B</x:v>
      </x:c>
      <x:c r="V255" t="n">
        <x:f>COUNTIF(B255:U255,"W")</x:f>
        <x:v>6</x:v>
      </x:c>
      <x:c r="W255" s="5" t="str">
        <x:f>IF(COUNTIF(B255:D255,"W")&gt;0,"Y","N")</x:f>
        <x:v>Y</x:v>
      </x:c>
      <x:c r="X255" s="1"/>
      <x:c r="Y255" s="1"/>
      <x:c r="Z255" s="1"/>
      <x:c r="AA255" s="1"/>
      <x:c r="AB255" s="1"/>
      <x:c r="AC255" s="1"/>
      <x:c r="AD255" s="1"/>
    </x:row>
    <x:row r="256">
      <x:c r="A256" s="1">
        <x:v>255</x:v>
      </x:c>
      <x:c r="B256" t="str">
        <x:v>B</x:v>
      </x:c>
      <x:c r="C256" t="str">
        <x:v>B</x:v>
      </x:c>
      <x:c r="D256" t="str">
        <x:v>W</x:v>
      </x:c>
      <x:c r="E256" t="str">
        <x:v>W</x:v>
      </x:c>
      <x:c r="F256" t="str">
        <x:v>B</x:v>
      </x:c>
      <x:c r="G256" t="str">
        <x:v>W</x:v>
      </x:c>
      <x:c r="H256" t="str">
        <x:v>W</x:v>
      </x:c>
      <x:c r="I256" t="str">
        <x:v>B</x:v>
      </x:c>
      <x:c r="J256" t="str">
        <x:v>W</x:v>
      </x:c>
      <x:c r="K256" t="str">
        <x:v>W</x:v>
      </x:c>
      <x:c r="L256" t="str">
        <x:v>W</x:v>
      </x:c>
      <x:c r="M256" t="str">
        <x:v>B</x:v>
      </x:c>
      <x:c r="N256" t="str">
        <x:v>W</x:v>
      </x:c>
      <x:c r="O256" t="str">
        <x:v>B</x:v>
      </x:c>
      <x:c r="P256" t="str">
        <x:v>B</x:v>
      </x:c>
      <x:c r="Q256" t="str">
        <x:v>W</x:v>
      </x:c>
      <x:c r="R256" t="str">
        <x:v>W</x:v>
      </x:c>
      <x:c r="S256" t="str">
        <x:v>B</x:v>
      </x:c>
      <x:c r="T256" t="str">
        <x:v>W</x:v>
      </x:c>
      <x:c r="U256" t="str">
        <x:v>W</x:v>
      </x:c>
      <x:c r="V256" t="n">
        <x:f>COUNTIF(B256:U256,"W")</x:f>
        <x:v>12</x:v>
      </x:c>
      <x:c r="W256" s="5" t="str">
        <x:f>IF(COUNTIF(B256:D256,"W")&gt;0,"Y","N")</x:f>
        <x:v>Y</x:v>
      </x:c>
      <x:c r="X256" s="1"/>
      <x:c r="Y256" s="1"/>
      <x:c r="Z256" s="1"/>
      <x:c r="AA256" s="1"/>
      <x:c r="AB256" s="1"/>
      <x:c r="AC256" s="1"/>
      <x:c r="AD256" s="1"/>
    </x:row>
    <x:row r="257">
      <x:c r="A257" s="1">
        <x:v>256</x:v>
      </x:c>
      <x:c r="B257" t="str">
        <x:v>B</x:v>
      </x:c>
      <x:c r="C257" t="str">
        <x:v>W</x:v>
      </x:c>
      <x:c r="D257" t="str">
        <x:v>B</x:v>
      </x:c>
      <x:c r="E257" t="str">
        <x:v>W</x:v>
      </x:c>
      <x:c r="F257" t="str">
        <x:v>B</x:v>
      </x:c>
      <x:c r="G257" t="str">
        <x:v>B</x:v>
      </x:c>
      <x:c r="H257" t="str">
        <x:v>B</x:v>
      </x:c>
      <x:c r="I257" t="str">
        <x:v>B</x:v>
      </x:c>
      <x:c r="J257" t="str">
        <x:v>B</x:v>
      </x:c>
      <x:c r="K257" t="str">
        <x:v>W</x:v>
      </x:c>
      <x:c r="L257" t="str">
        <x:v>B</x:v>
      </x:c>
      <x:c r="M257" t="str">
        <x:v>W</x:v>
      </x:c>
      <x:c r="N257" t="str">
        <x:v>B</x:v>
      </x:c>
      <x:c r="O257" t="str">
        <x:v>B</x:v>
      </x:c>
      <x:c r="P257" t="str">
        <x:v>B</x:v>
      </x:c>
      <x:c r="Q257" t="str">
        <x:v>W</x:v>
      </x:c>
      <x:c r="R257" t="str">
        <x:v>B</x:v>
      </x:c>
      <x:c r="S257" t="str">
        <x:v>B</x:v>
      </x:c>
      <x:c r="T257" t="str">
        <x:v>B</x:v>
      </x:c>
      <x:c r="U257" t="str">
        <x:v>W</x:v>
      </x:c>
      <x:c r="V257" t="n">
        <x:f>COUNTIF(B257:U257,"W")</x:f>
        <x:v>6</x:v>
      </x:c>
      <x:c r="W257" s="5" t="str">
        <x:f>IF(COUNTIF(B257:D257,"W")&gt;0,"Y","N")</x:f>
        <x:v>Y</x:v>
      </x:c>
      <x:c r="X257" s="1"/>
      <x:c r="Y257" s="1"/>
      <x:c r="Z257" s="1"/>
      <x:c r="AA257" s="1"/>
      <x:c r="AB257" s="1"/>
      <x:c r="AC257" s="1"/>
      <x:c r="AD257" s="1"/>
    </x:row>
    <x:row r="258">
      <x:c r="A258" s="1">
        <x:v>257</x:v>
      </x:c>
      <x:c r="B258" t="str">
        <x:v>B</x:v>
      </x:c>
      <x:c r="C258" t="str">
        <x:v>B</x:v>
      </x:c>
      <x:c r="D258" t="str">
        <x:v>B</x:v>
      </x:c>
      <x:c r="E258" t="str">
        <x:v>W</x:v>
      </x:c>
      <x:c r="F258" t="str">
        <x:v>W</x:v>
      </x:c>
      <x:c r="G258" t="str">
        <x:v>B</x:v>
      </x:c>
      <x:c r="H258" t="str">
        <x:v>W</x:v>
      </x:c>
      <x:c r="I258" t="str">
        <x:v>B</x:v>
      </x:c>
      <x:c r="J258" t="str">
        <x:v>B</x:v>
      </x:c>
      <x:c r="K258" t="str">
        <x:v>B</x:v>
      </x:c>
      <x:c r="L258" t="str">
        <x:v>W</x:v>
      </x:c>
      <x:c r="M258" t="str">
        <x:v>W</x:v>
      </x:c>
      <x:c r="N258" t="str">
        <x:v>W</x:v>
      </x:c>
      <x:c r="O258" t="str">
        <x:v>B</x:v>
      </x:c>
      <x:c r="P258" t="str">
        <x:v>B</x:v>
      </x:c>
      <x:c r="Q258" t="str">
        <x:v>W</x:v>
      </x:c>
      <x:c r="R258" t="str">
        <x:v>W</x:v>
      </x:c>
      <x:c r="S258" t="str">
        <x:v>B</x:v>
      </x:c>
      <x:c r="T258" t="str">
        <x:v>B</x:v>
      </x:c>
      <x:c r="U258" t="str">
        <x:v>W</x:v>
      </x:c>
      <x:c r="V258" t="n">
        <x:f>COUNTIF(B258:U258,"W")</x:f>
        <x:v>9</x:v>
      </x:c>
      <x:c r="W258" s="5" t="str">
        <x:f>IF(COUNTIF(B258:D258,"W")&gt;0,"Y","N")</x:f>
        <x:v>N</x:v>
      </x:c>
      <x:c r="X258" s="1"/>
      <x:c r="Y258" s="1"/>
      <x:c r="Z258" s="1"/>
      <x:c r="AA258" s="1"/>
      <x:c r="AB258" s="1"/>
      <x:c r="AC258" s="1"/>
      <x:c r="AD258" s="1"/>
    </x:row>
    <x:row r="259">
      <x:c r="A259" s="1">
        <x:v>258</x:v>
      </x:c>
      <x:c r="B259" t="str">
        <x:v>W</x:v>
      </x:c>
      <x:c r="C259" t="str">
        <x:v>B</x:v>
      </x:c>
      <x:c r="D259" t="str">
        <x:v>W</x:v>
      </x:c>
      <x:c r="E259" t="str">
        <x:v>B</x:v>
      </x:c>
      <x:c r="F259" t="str">
        <x:v>B</x:v>
      </x:c>
      <x:c r="G259" t="str">
        <x:v>W</x:v>
      </x:c>
      <x:c r="H259" t="str">
        <x:v>W</x:v>
      </x:c>
      <x:c r="I259" t="str">
        <x:v>W</x:v>
      </x:c>
      <x:c r="J259" t="str">
        <x:v>W</x:v>
      </x:c>
      <x:c r="K259" t="str">
        <x:v>B</x:v>
      </x:c>
      <x:c r="L259" t="str">
        <x:v>W</x:v>
      </x:c>
      <x:c r="M259" t="str">
        <x:v>W</x:v>
      </x:c>
      <x:c r="N259" t="str">
        <x:v>B</x:v>
      </x:c>
      <x:c r="O259" t="str">
        <x:v>W</x:v>
      </x:c>
      <x:c r="P259" t="str">
        <x:v>W</x:v>
      </x:c>
      <x:c r="Q259" t="str">
        <x:v>B</x:v>
      </x:c>
      <x:c r="R259" t="str">
        <x:v>W</x:v>
      </x:c>
      <x:c r="S259" t="str">
        <x:v>B</x:v>
      </x:c>
      <x:c r="T259" t="str">
        <x:v>W</x:v>
      </x:c>
      <x:c r="U259" t="str">
        <x:v>B</x:v>
      </x:c>
      <x:c r="V259" t="n">
        <x:f>COUNTIF(B259:U259,"W")</x:f>
        <x:v>12</x:v>
      </x:c>
      <x:c r="W259" s="5" t="str">
        <x:f>IF(COUNTIF(B259:D259,"W")&gt;0,"Y","N")</x:f>
        <x:v>Y</x:v>
      </x:c>
      <x:c r="X259" s="1"/>
      <x:c r="Y259" s="1"/>
      <x:c r="Z259" s="1"/>
      <x:c r="AA259" s="1"/>
      <x:c r="AB259" s="1"/>
      <x:c r="AC259" s="1"/>
      <x:c r="AD259" s="1"/>
    </x:row>
    <x:row r="260">
      <x:c r="A260" s="1">
        <x:v>259</x:v>
      </x:c>
      <x:c r="B260" t="str">
        <x:v>W</x:v>
      </x:c>
      <x:c r="C260" t="str">
        <x:v>W</x:v>
      </x:c>
      <x:c r="D260" t="str">
        <x:v>W</x:v>
      </x:c>
      <x:c r="E260" t="str">
        <x:v>B</x:v>
      </x:c>
      <x:c r="F260" t="str">
        <x:v>B</x:v>
      </x:c>
      <x:c r="G260" t="str">
        <x:v>B</x:v>
      </x:c>
      <x:c r="H260" t="str">
        <x:v>W</x:v>
      </x:c>
      <x:c r="I260" t="str">
        <x:v>W</x:v>
      </x:c>
      <x:c r="J260" t="str">
        <x:v>W</x:v>
      </x:c>
      <x:c r="K260" t="str">
        <x:v>W</x:v>
      </x:c>
      <x:c r="L260" t="str">
        <x:v>W</x:v>
      </x:c>
      <x:c r="M260" t="str">
        <x:v>B</x:v>
      </x:c>
      <x:c r="N260" t="str">
        <x:v>W</x:v>
      </x:c>
      <x:c r="O260" t="str">
        <x:v>B</x:v>
      </x:c>
      <x:c r="P260" t="str">
        <x:v>B</x:v>
      </x:c>
      <x:c r="Q260" t="str">
        <x:v>W</x:v>
      </x:c>
      <x:c r="R260" t="str">
        <x:v>W</x:v>
      </x:c>
      <x:c r="S260" t="str">
        <x:v>W</x:v>
      </x:c>
      <x:c r="T260" t="str">
        <x:v>B</x:v>
      </x:c>
      <x:c r="U260" t="str">
        <x:v>W</x:v>
      </x:c>
      <x:c r="V260" t="n">
        <x:f>COUNTIF(B260:U260,"W")</x:f>
        <x:v>13</x:v>
      </x:c>
      <x:c r="W260" s="5" t="str">
        <x:f>IF(COUNTIF(B260:D260,"W")&gt;0,"Y","N")</x:f>
        <x:v>Y</x:v>
      </x:c>
      <x:c r="X260" s="1"/>
      <x:c r="Y260" s="1"/>
      <x:c r="Z260" s="1"/>
      <x:c r="AA260" s="1"/>
      <x:c r="AB260" s="1"/>
      <x:c r="AC260" s="1"/>
      <x:c r="AD260" s="1"/>
    </x:row>
    <x:row r="261">
      <x:c r="A261" s="1">
        <x:v>260</x:v>
      </x:c>
      <x:c r="B261" t="str">
        <x:v>B</x:v>
      </x:c>
      <x:c r="C261" t="str">
        <x:v>B</x:v>
      </x:c>
      <x:c r="D261" t="str">
        <x:v>B</x:v>
      </x:c>
      <x:c r="E261" t="str">
        <x:v>W</x:v>
      </x:c>
      <x:c r="F261" t="str">
        <x:v>W</x:v>
      </x:c>
      <x:c r="G261" t="str">
        <x:v>B</x:v>
      </x:c>
      <x:c r="H261" t="str">
        <x:v>B</x:v>
      </x:c>
      <x:c r="I261" t="str">
        <x:v>B</x:v>
      </x:c>
      <x:c r="J261" t="str">
        <x:v>B</x:v>
      </x:c>
      <x:c r="K261" t="str">
        <x:v>B</x:v>
      </x:c>
      <x:c r="L261" t="str">
        <x:v>W</x:v>
      </x:c>
      <x:c r="M261" t="str">
        <x:v>B</x:v>
      </x:c>
      <x:c r="N261" t="str">
        <x:v>B</x:v>
      </x:c>
      <x:c r="O261" t="str">
        <x:v>B</x:v>
      </x:c>
      <x:c r="P261" t="str">
        <x:v>B</x:v>
      </x:c>
      <x:c r="Q261" t="str">
        <x:v>W</x:v>
      </x:c>
      <x:c r="R261" t="str">
        <x:v>W</x:v>
      </x:c>
      <x:c r="S261" t="str">
        <x:v>W</x:v>
      </x:c>
      <x:c r="T261" t="str">
        <x:v>W</x:v>
      </x:c>
      <x:c r="U261" t="str">
        <x:v>W</x:v>
      </x:c>
      <x:c r="V261" t="n">
        <x:f>COUNTIF(B261:U261,"W")</x:f>
        <x:v>8</x:v>
      </x:c>
      <x:c r="W261" s="5" t="str">
        <x:f>IF(COUNTIF(B261:D261,"W")&gt;0,"Y","N")</x:f>
        <x:v>N</x:v>
      </x:c>
      <x:c r="X261" s="1"/>
      <x:c r="Y261" s="1"/>
      <x:c r="Z261" s="1"/>
      <x:c r="AA261" s="1"/>
      <x:c r="AB261" s="1"/>
      <x:c r="AC261" s="1"/>
      <x:c r="AD261" s="1"/>
    </x:row>
    <x:row r="262">
      <x:c r="A262" s="1">
        <x:v>261</x:v>
      </x:c>
      <x:c r="B262" t="str">
        <x:v>W</x:v>
      </x:c>
      <x:c r="C262" t="str">
        <x:v>W</x:v>
      </x:c>
      <x:c r="D262" t="str">
        <x:v>B</x:v>
      </x:c>
      <x:c r="E262" t="str">
        <x:v>W</x:v>
      </x:c>
      <x:c r="F262" t="str">
        <x:v>B</x:v>
      </x:c>
      <x:c r="G262" t="str">
        <x:v>B</x:v>
      </x:c>
      <x:c r="H262" t="str">
        <x:v>B</x:v>
      </x:c>
      <x:c r="I262" t="str">
        <x:v>B</x:v>
      </x:c>
      <x:c r="J262" t="str">
        <x:v>W</x:v>
      </x:c>
      <x:c r="K262" t="str">
        <x:v>W</x:v>
      </x:c>
      <x:c r="L262" t="str">
        <x:v>W</x:v>
      </x:c>
      <x:c r="M262" t="str">
        <x:v>W</x:v>
      </x:c>
      <x:c r="N262" t="str">
        <x:v>B</x:v>
      </x:c>
      <x:c r="O262" t="str">
        <x:v>W</x:v>
      </x:c>
      <x:c r="P262" t="str">
        <x:v>W</x:v>
      </x:c>
      <x:c r="Q262" t="str">
        <x:v>B</x:v>
      </x:c>
      <x:c r="R262" t="str">
        <x:v>B</x:v>
      </x:c>
      <x:c r="S262" t="str">
        <x:v>B</x:v>
      </x:c>
      <x:c r="T262" t="str">
        <x:v>W</x:v>
      </x:c>
      <x:c r="U262" t="str">
        <x:v>B</x:v>
      </x:c>
      <x:c r="V262" t="n">
        <x:f>COUNTIF(B262:U262,"W")</x:f>
        <x:v>10</x:v>
      </x:c>
      <x:c r="W262" s="5" t="str">
        <x:f>IF(COUNTIF(B262:D262,"W")&gt;0,"Y","N")</x:f>
        <x:v>Y</x:v>
      </x:c>
      <x:c r="X262" s="1"/>
      <x:c r="Y262" s="1"/>
      <x:c r="Z262" s="1"/>
      <x:c r="AA262" s="1"/>
      <x:c r="AB262" s="1"/>
      <x:c r="AC262" s="1"/>
      <x:c r="AD262" s="1"/>
    </x:row>
    <x:row r="263">
      <x:c r="A263" s="1">
        <x:v>262</x:v>
      </x:c>
      <x:c r="B263" t="str">
        <x:v>W</x:v>
      </x:c>
      <x:c r="C263" t="str">
        <x:v>W</x:v>
      </x:c>
      <x:c r="D263" t="str">
        <x:v>B</x:v>
      </x:c>
      <x:c r="E263" t="str">
        <x:v>B</x:v>
      </x:c>
      <x:c r="F263" t="str">
        <x:v>W</x:v>
      </x:c>
      <x:c r="G263" t="str">
        <x:v>B</x:v>
      </x:c>
      <x:c r="H263" t="str">
        <x:v>B</x:v>
      </x:c>
      <x:c r="I263" t="str">
        <x:v>B</x:v>
      </x:c>
      <x:c r="J263" t="str">
        <x:v>B</x:v>
      </x:c>
      <x:c r="K263" t="str">
        <x:v>W</x:v>
      </x:c>
      <x:c r="L263" t="str">
        <x:v>W</x:v>
      </x:c>
      <x:c r="M263" t="str">
        <x:v>W</x:v>
      </x:c>
      <x:c r="N263" t="str">
        <x:v>B</x:v>
      </x:c>
      <x:c r="O263" t="str">
        <x:v>B</x:v>
      </x:c>
      <x:c r="P263" t="str">
        <x:v>W</x:v>
      </x:c>
      <x:c r="Q263" t="str">
        <x:v>B</x:v>
      </x:c>
      <x:c r="R263" t="str">
        <x:v>B</x:v>
      </x:c>
      <x:c r="S263" t="str">
        <x:v>W</x:v>
      </x:c>
      <x:c r="T263" t="str">
        <x:v>B</x:v>
      </x:c>
      <x:c r="U263" t="str">
        <x:v>W</x:v>
      </x:c>
      <x:c r="V263" t="n">
        <x:f>COUNTIF(B263:U263,"W")</x:f>
        <x:v>9</x:v>
      </x:c>
      <x:c r="W263" s="5" t="str">
        <x:f>IF(COUNTIF(B263:D263,"W")&gt;0,"Y","N")</x:f>
        <x:v>Y</x:v>
      </x:c>
      <x:c r="X263" s="1"/>
      <x:c r="Y263" s="1"/>
      <x:c r="Z263" s="1"/>
      <x:c r="AA263" s="1"/>
      <x:c r="AB263" s="1"/>
      <x:c r="AC263" s="1"/>
      <x:c r="AD263" s="1"/>
    </x:row>
    <x:row r="264">
      <x:c r="A264" s="1">
        <x:v>263</x:v>
      </x:c>
      <x:c r="B264" t="str">
        <x:v>B</x:v>
      </x:c>
      <x:c r="C264" t="str">
        <x:v>B</x:v>
      </x:c>
      <x:c r="D264" t="str">
        <x:v>W</x:v>
      </x:c>
      <x:c r="E264" t="str">
        <x:v>B</x:v>
      </x:c>
      <x:c r="F264" t="str">
        <x:v>B</x:v>
      </x:c>
      <x:c r="G264" t="str">
        <x:v>W</x:v>
      </x:c>
      <x:c r="H264" t="str">
        <x:v>W</x:v>
      </x:c>
      <x:c r="I264" t="str">
        <x:v>W</x:v>
      </x:c>
      <x:c r="J264" t="str">
        <x:v>W</x:v>
      </x:c>
      <x:c r="K264" t="str">
        <x:v>W</x:v>
      </x:c>
      <x:c r="L264" t="str">
        <x:v>B</x:v>
      </x:c>
      <x:c r="M264" t="str">
        <x:v>W</x:v>
      </x:c>
      <x:c r="N264" t="str">
        <x:v>W</x:v>
      </x:c>
      <x:c r="O264" t="str">
        <x:v>B</x:v>
      </x:c>
      <x:c r="P264" t="str">
        <x:v>B</x:v>
      </x:c>
      <x:c r="Q264" t="str">
        <x:v>B</x:v>
      </x:c>
      <x:c r="R264" t="str">
        <x:v>W</x:v>
      </x:c>
      <x:c r="S264" t="str">
        <x:v>B</x:v>
      </x:c>
      <x:c r="T264" t="str">
        <x:v>W</x:v>
      </x:c>
      <x:c r="U264" t="str">
        <x:v>B</x:v>
      </x:c>
      <x:c r="V264" t="n">
        <x:f>COUNTIF(B264:U264,"W")</x:f>
        <x:v>10</x:v>
      </x:c>
      <x:c r="W264" s="5" t="str">
        <x:f>IF(COUNTIF(B264:D264,"W")&gt;0,"Y","N")</x:f>
        <x:v>Y</x:v>
      </x:c>
      <x:c r="X264" s="1"/>
      <x:c r="Y264" s="1"/>
      <x:c r="Z264" s="1"/>
      <x:c r="AA264" s="1"/>
      <x:c r="AB264" s="1"/>
      <x:c r="AC264" s="1"/>
      <x:c r="AD264" s="1"/>
    </x:row>
    <x:row r="265">
      <x:c r="A265" s="1">
        <x:v>264</x:v>
      </x:c>
      <x:c r="B265" t="str">
        <x:v>B</x:v>
      </x:c>
      <x:c r="C265" t="str">
        <x:v>W</x:v>
      </x:c>
      <x:c r="D265" t="str">
        <x:v>W</x:v>
      </x:c>
      <x:c r="E265" t="str">
        <x:v>W</x:v>
      </x:c>
      <x:c r="F265" t="str">
        <x:v>W</x:v>
      </x:c>
      <x:c r="G265" t="str">
        <x:v>B</x:v>
      </x:c>
      <x:c r="H265" t="str">
        <x:v>B</x:v>
      </x:c>
      <x:c r="I265" t="str">
        <x:v>W</x:v>
      </x:c>
      <x:c r="J265" t="str">
        <x:v>B</x:v>
      </x:c>
      <x:c r="K265" t="str">
        <x:v>B</x:v>
      </x:c>
      <x:c r="L265" t="str">
        <x:v>B</x:v>
      </x:c>
      <x:c r="M265" t="str">
        <x:v>W</x:v>
      </x:c>
      <x:c r="N265" t="str">
        <x:v>W</x:v>
      </x:c>
      <x:c r="O265" t="str">
        <x:v>W</x:v>
      </x:c>
      <x:c r="P265" t="str">
        <x:v>B</x:v>
      </x:c>
      <x:c r="Q265" t="str">
        <x:v>B</x:v>
      </x:c>
      <x:c r="R265" t="str">
        <x:v>B</x:v>
      </x:c>
      <x:c r="S265" t="str">
        <x:v>B</x:v>
      </x:c>
      <x:c r="T265" t="str">
        <x:v>B</x:v>
      </x:c>
      <x:c r="U265" t="str">
        <x:v>B</x:v>
      </x:c>
      <x:c r="V265" t="n">
        <x:f>COUNTIF(B265:U265,"W")</x:f>
        <x:v>8</x:v>
      </x:c>
      <x:c r="W265" s="5" t="str">
        <x:f>IF(COUNTIF(B265:D265,"W")&gt;0,"Y","N")</x:f>
        <x:v>Y</x:v>
      </x:c>
      <x:c r="X265" s="1"/>
      <x:c r="Y265" s="1"/>
      <x:c r="Z265" s="1"/>
      <x:c r="AA265" s="1"/>
      <x:c r="AB265" s="1"/>
      <x:c r="AC265" s="1"/>
      <x:c r="AD265" s="1"/>
    </x:row>
    <x:row r="266">
      <x:c r="A266" s="1">
        <x:v>265</x:v>
      </x:c>
      <x:c r="B266" t="str">
        <x:v>B</x:v>
      </x:c>
      <x:c r="C266" t="str">
        <x:v>B</x:v>
      </x:c>
      <x:c r="D266" t="str">
        <x:v>W</x:v>
      </x:c>
      <x:c r="E266" t="str">
        <x:v>W</x:v>
      </x:c>
      <x:c r="F266" t="str">
        <x:v>B</x:v>
      </x:c>
      <x:c r="G266" t="str">
        <x:v>W</x:v>
      </x:c>
      <x:c r="H266" t="str">
        <x:v>W</x:v>
      </x:c>
      <x:c r="I266" t="str">
        <x:v>B</x:v>
      </x:c>
      <x:c r="J266" t="str">
        <x:v>B</x:v>
      </x:c>
      <x:c r="K266" t="str">
        <x:v>B</x:v>
      </x:c>
      <x:c r="L266" t="str">
        <x:v>W</x:v>
      </x:c>
      <x:c r="M266" t="str">
        <x:v>B</x:v>
      </x:c>
      <x:c r="N266" t="str">
        <x:v>B</x:v>
      </x:c>
      <x:c r="O266" t="str">
        <x:v>W</x:v>
      </x:c>
      <x:c r="P266" t="str">
        <x:v>B</x:v>
      </x:c>
      <x:c r="Q266" t="str">
        <x:v>W</x:v>
      </x:c>
      <x:c r="R266" t="str">
        <x:v>B</x:v>
      </x:c>
      <x:c r="S266" t="str">
        <x:v>W</x:v>
      </x:c>
      <x:c r="T266" t="str">
        <x:v>W</x:v>
      </x:c>
      <x:c r="U266" t="str">
        <x:v>B</x:v>
      </x:c>
      <x:c r="V266" t="n">
        <x:f>COUNTIF(B266:U266,"W")</x:f>
        <x:v>9</x:v>
      </x:c>
      <x:c r="W266" s="5" t="str">
        <x:f>IF(COUNTIF(B266:D266,"W")&gt;0,"Y","N")</x:f>
        <x:v>Y</x:v>
      </x:c>
      <x:c r="X266" s="1"/>
      <x:c r="Y266" s="1"/>
      <x:c r="Z266" s="1"/>
      <x:c r="AA266" s="1"/>
      <x:c r="AB266" s="1"/>
      <x:c r="AC266" s="1"/>
      <x:c r="AD266" s="1"/>
    </x:row>
    <x:row r="267">
      <x:c r="A267" s="1">
        <x:v>266</x:v>
      </x:c>
      <x:c r="B267" t="str">
        <x:v>B</x:v>
      </x:c>
      <x:c r="C267" t="str">
        <x:v>W</x:v>
      </x:c>
      <x:c r="D267" t="str">
        <x:v>B</x:v>
      </x:c>
      <x:c r="E267" t="str">
        <x:v>B</x:v>
      </x:c>
      <x:c r="F267" t="str">
        <x:v>W</x:v>
      </x:c>
      <x:c r="G267" t="str">
        <x:v>W</x:v>
      </x:c>
      <x:c r="H267" t="str">
        <x:v>B</x:v>
      </x:c>
      <x:c r="I267" t="str">
        <x:v>W</x:v>
      </x:c>
      <x:c r="J267" t="str">
        <x:v>B</x:v>
      </x:c>
      <x:c r="K267" t="str">
        <x:v>B</x:v>
      </x:c>
      <x:c r="L267" t="str">
        <x:v>B</x:v>
      </x:c>
      <x:c r="M267" t="str">
        <x:v>B</x:v>
      </x:c>
      <x:c r="N267" t="str">
        <x:v>W</x:v>
      </x:c>
      <x:c r="O267" t="str">
        <x:v>B</x:v>
      </x:c>
      <x:c r="P267" t="str">
        <x:v>W</x:v>
      </x:c>
      <x:c r="Q267" t="str">
        <x:v>B</x:v>
      </x:c>
      <x:c r="R267" t="str">
        <x:v>B</x:v>
      </x:c>
      <x:c r="S267" t="str">
        <x:v>W</x:v>
      </x:c>
      <x:c r="T267" t="str">
        <x:v>B</x:v>
      </x:c>
      <x:c r="U267" t="str">
        <x:v>B</x:v>
      </x:c>
      <x:c r="V267" t="n">
        <x:f>COUNTIF(B267:U267,"W")</x:f>
        <x:v>7</x:v>
      </x:c>
      <x:c r="W267" s="5" t="str">
        <x:f>IF(COUNTIF(B267:D267,"W")&gt;0,"Y","N")</x:f>
        <x:v>Y</x:v>
      </x:c>
      <x:c r="X267" s="1"/>
      <x:c r="Y267" s="1"/>
      <x:c r="Z267" s="1"/>
      <x:c r="AA267" s="1"/>
      <x:c r="AB267" s="1"/>
      <x:c r="AC267" s="1"/>
      <x:c r="AD267" s="1"/>
    </x:row>
    <x:row r="268">
      <x:c r="A268" s="1">
        <x:v>267</x:v>
      </x:c>
      <x:c r="B268" t="str">
        <x:v>B</x:v>
      </x:c>
      <x:c r="C268" t="str">
        <x:v>B</x:v>
      </x:c>
      <x:c r="D268" t="str">
        <x:v>B</x:v>
      </x:c>
      <x:c r="E268" t="str">
        <x:v>W</x:v>
      </x:c>
      <x:c r="F268" t="str">
        <x:v>B</x:v>
      </x:c>
      <x:c r="G268" t="str">
        <x:v>B</x:v>
      </x:c>
      <x:c r="H268" t="str">
        <x:v>B</x:v>
      </x:c>
      <x:c r="I268" t="str">
        <x:v>B</x:v>
      </x:c>
      <x:c r="J268" t="str">
        <x:v>W</x:v>
      </x:c>
      <x:c r="K268" t="str">
        <x:v>B</x:v>
      </x:c>
      <x:c r="L268" t="str">
        <x:v>B</x:v>
      </x:c>
      <x:c r="M268" t="str">
        <x:v>B</x:v>
      </x:c>
      <x:c r="N268" t="str">
        <x:v>B</x:v>
      </x:c>
      <x:c r="O268" t="str">
        <x:v>B</x:v>
      </x:c>
      <x:c r="P268" t="str">
        <x:v>B</x:v>
      </x:c>
      <x:c r="Q268" t="str">
        <x:v>B</x:v>
      </x:c>
      <x:c r="R268" t="str">
        <x:v>B</x:v>
      </x:c>
      <x:c r="S268" t="str">
        <x:v>W</x:v>
      </x:c>
      <x:c r="T268" t="str">
        <x:v>B</x:v>
      </x:c>
      <x:c r="U268" t="str">
        <x:v>B</x:v>
      </x:c>
      <x:c r="V268" t="n">
        <x:f>COUNTIF(B268:U268,"W")</x:f>
        <x:v>3</x:v>
      </x:c>
      <x:c r="W268" s="5" t="str">
        <x:f>IF(COUNTIF(B268:D268,"W")&gt;0,"Y","N")</x:f>
        <x:v>N</x:v>
      </x:c>
      <x:c r="X268" s="1"/>
      <x:c r="Y268" s="1"/>
      <x:c r="Z268" s="1"/>
      <x:c r="AA268" s="1"/>
      <x:c r="AB268" s="1"/>
      <x:c r="AC268" s="1"/>
      <x:c r="AD268" s="1"/>
    </x:row>
    <x:row r="269">
      <x:c r="A269" s="1">
        <x:v>268</x:v>
      </x:c>
      <x:c r="B269" t="str">
        <x:v>W</x:v>
      </x:c>
      <x:c r="C269" t="str">
        <x:v>B</x:v>
      </x:c>
      <x:c r="D269" t="str">
        <x:v>W</x:v>
      </x:c>
      <x:c r="E269" t="str">
        <x:v>B</x:v>
      </x:c>
      <x:c r="F269" t="str">
        <x:v>B</x:v>
      </x:c>
      <x:c r="G269" t="str">
        <x:v>B</x:v>
      </x:c>
      <x:c r="H269" t="str">
        <x:v>B</x:v>
      </x:c>
      <x:c r="I269" t="str">
        <x:v>B</x:v>
      </x:c>
      <x:c r="J269" t="str">
        <x:v>B</x:v>
      </x:c>
      <x:c r="K269" t="str">
        <x:v>B</x:v>
      </x:c>
      <x:c r="L269" t="str">
        <x:v>W</x:v>
      </x:c>
      <x:c r="M269" t="str">
        <x:v>B</x:v>
      </x:c>
      <x:c r="N269" t="str">
        <x:v>B</x:v>
      </x:c>
      <x:c r="O269" t="str">
        <x:v>B</x:v>
      </x:c>
      <x:c r="P269" t="str">
        <x:v>W</x:v>
      </x:c>
      <x:c r="Q269" t="str">
        <x:v>W</x:v>
      </x:c>
      <x:c r="R269" t="str">
        <x:v>W</x:v>
      </x:c>
      <x:c r="S269" t="str">
        <x:v>W</x:v>
      </x:c>
      <x:c r="T269" t="str">
        <x:v>B</x:v>
      </x:c>
      <x:c r="U269" t="str">
        <x:v>B</x:v>
      </x:c>
      <x:c r="V269" t="n">
        <x:f>COUNTIF(B269:U269,"W")</x:f>
        <x:v>7</x:v>
      </x:c>
      <x:c r="W269" s="5" t="str">
        <x:f>IF(COUNTIF(B269:D269,"W")&gt;0,"Y","N")</x:f>
        <x:v>Y</x:v>
      </x:c>
      <x:c r="X269" s="1"/>
      <x:c r="Y269" s="1"/>
      <x:c r="Z269" s="1"/>
      <x:c r="AA269" s="1"/>
      <x:c r="AB269" s="1"/>
      <x:c r="AC269" s="1"/>
      <x:c r="AD269" s="1"/>
    </x:row>
    <x:row r="270">
      <x:c r="A270" s="1">
        <x:v>269</x:v>
      </x:c>
      <x:c r="B270" t="str">
        <x:v>W</x:v>
      </x:c>
      <x:c r="C270" t="str">
        <x:v>W</x:v>
      </x:c>
      <x:c r="D270" t="str">
        <x:v>B</x:v>
      </x:c>
      <x:c r="E270" t="str">
        <x:v>W</x:v>
      </x:c>
      <x:c r="F270" t="str">
        <x:v>B</x:v>
      </x:c>
      <x:c r="G270" t="str">
        <x:v>B</x:v>
      </x:c>
      <x:c r="H270" t="str">
        <x:v>B</x:v>
      </x:c>
      <x:c r="I270" t="str">
        <x:v>W</x:v>
      </x:c>
      <x:c r="J270" t="str">
        <x:v>B</x:v>
      </x:c>
      <x:c r="K270" t="str">
        <x:v>B</x:v>
      </x:c>
      <x:c r="L270" t="str">
        <x:v>W</x:v>
      </x:c>
      <x:c r="M270" t="str">
        <x:v>B</x:v>
      </x:c>
      <x:c r="N270" t="str">
        <x:v>B</x:v>
      </x:c>
      <x:c r="O270" t="str">
        <x:v>B</x:v>
      </x:c>
      <x:c r="P270" t="str">
        <x:v>W</x:v>
      </x:c>
      <x:c r="Q270" t="str">
        <x:v>B</x:v>
      </x:c>
      <x:c r="R270" t="str">
        <x:v>B</x:v>
      </x:c>
      <x:c r="S270" t="str">
        <x:v>B</x:v>
      </x:c>
      <x:c r="T270" t="str">
        <x:v>B</x:v>
      </x:c>
      <x:c r="U270" t="str">
        <x:v>B</x:v>
      </x:c>
      <x:c r="V270" t="n">
        <x:f>COUNTIF(B270:U270,"W")</x:f>
        <x:v>6</x:v>
      </x:c>
      <x:c r="W270" s="5" t="str">
        <x:f>IF(COUNTIF(B270:D270,"W")&gt;0,"Y","N")</x:f>
        <x:v>Y</x:v>
      </x:c>
      <x:c r="X270" s="1"/>
      <x:c r="Y270" s="1"/>
      <x:c r="Z270" s="1"/>
      <x:c r="AA270" s="1"/>
      <x:c r="AB270" s="1"/>
      <x:c r="AC270" s="1"/>
      <x:c r="AD270" s="1"/>
    </x:row>
    <x:row r="271">
      <x:c r="A271" s="1">
        <x:v>270</x:v>
      </x:c>
      <x:c r="B271" t="str">
        <x:v>W</x:v>
      </x:c>
      <x:c r="C271" t="str">
        <x:v>B</x:v>
      </x:c>
      <x:c r="D271" t="str">
        <x:v>B</x:v>
      </x:c>
      <x:c r="E271" t="str">
        <x:v>W</x:v>
      </x:c>
      <x:c r="F271" t="str">
        <x:v>B</x:v>
      </x:c>
      <x:c r="G271" t="str">
        <x:v>B</x:v>
      </x:c>
      <x:c r="H271" t="str">
        <x:v>B</x:v>
      </x:c>
      <x:c r="I271" t="str">
        <x:v>B</x:v>
      </x:c>
      <x:c r="J271" t="str">
        <x:v>W</x:v>
      </x:c>
      <x:c r="K271" t="str">
        <x:v>B</x:v>
      </x:c>
      <x:c r="L271" t="str">
        <x:v>B</x:v>
      </x:c>
      <x:c r="M271" t="str">
        <x:v>B</x:v>
      </x:c>
      <x:c r="N271" t="str">
        <x:v>W</x:v>
      </x:c>
      <x:c r="O271" t="str">
        <x:v>B</x:v>
      </x:c>
      <x:c r="P271" t="str">
        <x:v>B</x:v>
      </x:c>
      <x:c r="Q271" t="str">
        <x:v>B</x:v>
      </x:c>
      <x:c r="R271" t="str">
        <x:v>B</x:v>
      </x:c>
      <x:c r="S271" t="str">
        <x:v>W</x:v>
      </x:c>
      <x:c r="T271" t="str">
        <x:v>B</x:v>
      </x:c>
      <x:c r="U271" t="str">
        <x:v>B</x:v>
      </x:c>
      <x:c r="V271" t="n">
        <x:f>COUNTIF(B271:U271,"W")</x:f>
        <x:v>5</x:v>
      </x:c>
      <x:c r="W271" s="5" t="str">
        <x:f>IF(COUNTIF(B271:D271,"W")&gt;0,"Y","N")</x:f>
        <x:v>Y</x:v>
      </x:c>
      <x:c r="X271" s="1"/>
      <x:c r="Y271" s="1"/>
      <x:c r="Z271" s="1"/>
      <x:c r="AA271" s="1"/>
      <x:c r="AB271" s="1"/>
      <x:c r="AC271" s="1"/>
      <x:c r="AD271" s="1"/>
    </x:row>
    <x:row r="272">
      <x:c r="A272" s="1">
        <x:v>271</x:v>
      </x:c>
      <x:c r="B272" t="str">
        <x:v>B</x:v>
      </x:c>
      <x:c r="C272" t="str">
        <x:v>B</x:v>
      </x:c>
      <x:c r="D272" t="str">
        <x:v>B</x:v>
      </x:c>
      <x:c r="E272" t="str">
        <x:v>W</x:v>
      </x:c>
      <x:c r="F272" t="str">
        <x:v>W</x:v>
      </x:c>
      <x:c r="G272" t="str">
        <x:v>B</x:v>
      </x:c>
      <x:c r="H272" t="str">
        <x:v>B</x:v>
      </x:c>
      <x:c r="I272" t="str">
        <x:v>W</x:v>
      </x:c>
      <x:c r="J272" t="str">
        <x:v>B</x:v>
      </x:c>
      <x:c r="K272" t="str">
        <x:v>B</x:v>
      </x:c>
      <x:c r="L272" t="str">
        <x:v>B</x:v>
      </x:c>
      <x:c r="M272" t="str">
        <x:v>W</x:v>
      </x:c>
      <x:c r="N272" t="str">
        <x:v>B</x:v>
      </x:c>
      <x:c r="O272" t="str">
        <x:v>B</x:v>
      </x:c>
      <x:c r="P272" t="str">
        <x:v>B</x:v>
      </x:c>
      <x:c r="Q272" t="str">
        <x:v>W</x:v>
      </x:c>
      <x:c r="R272" t="str">
        <x:v>B</x:v>
      </x:c>
      <x:c r="S272" t="str">
        <x:v>B</x:v>
      </x:c>
      <x:c r="T272" t="str">
        <x:v>B</x:v>
      </x:c>
      <x:c r="U272" t="str">
        <x:v>W</x:v>
      </x:c>
      <x:c r="V272" t="n">
        <x:f>COUNTIF(B272:U272,"W")</x:f>
        <x:v>6</x:v>
      </x:c>
      <x:c r="W272" s="5" t="str">
        <x:f>IF(COUNTIF(B272:D272,"W")&gt;0,"Y","N")</x:f>
        <x:v>N</x:v>
      </x:c>
      <x:c r="X272" s="1"/>
      <x:c r="Y272" s="1"/>
      <x:c r="Z272" s="1"/>
      <x:c r="AA272" s="1"/>
      <x:c r="AB272" s="1"/>
      <x:c r="AC272" s="1"/>
      <x:c r="AD272" s="1"/>
    </x:row>
    <x:row r="273">
      <x:c r="A273" s="1">
        <x:v>272</x:v>
      </x:c>
      <x:c r="B273" t="str">
        <x:v>B</x:v>
      </x:c>
      <x:c r="C273" t="str">
        <x:v>W</x:v>
      </x:c>
      <x:c r="D273" t="str">
        <x:v>B</x:v>
      </x:c>
      <x:c r="E273" t="str">
        <x:v>W</x:v>
      </x:c>
      <x:c r="F273" t="str">
        <x:v>B</x:v>
      </x:c>
      <x:c r="G273" t="str">
        <x:v>B</x:v>
      </x:c>
      <x:c r="H273" t="str">
        <x:v>W</x:v>
      </x:c>
      <x:c r="I273" t="str">
        <x:v>W</x:v>
      </x:c>
      <x:c r="J273" t="str">
        <x:v>W</x:v>
      </x:c>
      <x:c r="K273" t="str">
        <x:v>B</x:v>
      </x:c>
      <x:c r="L273" t="str">
        <x:v>B</x:v>
      </x:c>
      <x:c r="M273" t="str">
        <x:v>W</x:v>
      </x:c>
      <x:c r="N273" t="str">
        <x:v>W</x:v>
      </x:c>
      <x:c r="O273" t="str">
        <x:v>W</x:v>
      </x:c>
      <x:c r="P273" t="str">
        <x:v>W</x:v>
      </x:c>
      <x:c r="Q273" t="str">
        <x:v>W</x:v>
      </x:c>
      <x:c r="R273" t="str">
        <x:v>B</x:v>
      </x:c>
      <x:c r="S273" t="str">
        <x:v>B</x:v>
      </x:c>
      <x:c r="T273" t="str">
        <x:v>B</x:v>
      </x:c>
      <x:c r="U273" t="str">
        <x:v>W</x:v>
      </x:c>
      <x:c r="V273" t="n">
        <x:f>COUNTIF(B273:U273,"W")</x:f>
        <x:v>11</x:v>
      </x:c>
      <x:c r="W273" s="5" t="str">
        <x:f>IF(COUNTIF(B273:D273,"W")&gt;0,"Y","N")</x:f>
        <x:v>Y</x:v>
      </x:c>
      <x:c r="X273" s="1"/>
      <x:c r="Y273" s="1"/>
      <x:c r="Z273" s="1"/>
      <x:c r="AA273" s="1"/>
      <x:c r="AB273" s="1"/>
      <x:c r="AC273" s="1"/>
      <x:c r="AD273" s="1"/>
    </x:row>
    <x:row r="274">
      <x:c r="A274" s="1">
        <x:v>273</x:v>
      </x:c>
      <x:c r="B274" t="str">
        <x:v>B</x:v>
      </x:c>
      <x:c r="C274" t="str">
        <x:v>B</x:v>
      </x:c>
      <x:c r="D274" t="str">
        <x:v>B</x:v>
      </x:c>
      <x:c r="E274" t="str">
        <x:v>W</x:v>
      </x:c>
      <x:c r="F274" t="str">
        <x:v>B</x:v>
      </x:c>
      <x:c r="G274" t="str">
        <x:v>B</x:v>
      </x:c>
      <x:c r="H274" t="str">
        <x:v>W</x:v>
      </x:c>
      <x:c r="I274" t="str">
        <x:v>B</x:v>
      </x:c>
      <x:c r="J274" t="str">
        <x:v>W</x:v>
      </x:c>
      <x:c r="K274" t="str">
        <x:v>W</x:v>
      </x:c>
      <x:c r="L274" t="str">
        <x:v>B</x:v>
      </x:c>
      <x:c r="M274" t="str">
        <x:v>B</x:v>
      </x:c>
      <x:c r="N274" t="str">
        <x:v>B</x:v>
      </x:c>
      <x:c r="O274" t="str">
        <x:v>B</x:v>
      </x:c>
      <x:c r="P274" t="str">
        <x:v>W</x:v>
      </x:c>
      <x:c r="Q274" t="str">
        <x:v>W</x:v>
      </x:c>
      <x:c r="R274" t="str">
        <x:v>W</x:v>
      </x:c>
      <x:c r="S274" t="str">
        <x:v>W</x:v>
      </x:c>
      <x:c r="T274" t="str">
        <x:v>B</x:v>
      </x:c>
      <x:c r="U274" t="str">
        <x:v>B</x:v>
      </x:c>
      <x:c r="V274" t="n">
        <x:f>COUNTIF(B274:U274,"W")</x:f>
        <x:v>8</x:v>
      </x:c>
      <x:c r="W274" s="5" t="str">
        <x:f>IF(COUNTIF(B274:D274,"W")&gt;0,"Y","N")</x:f>
        <x:v>N</x:v>
      </x:c>
      <x:c r="X274" s="1"/>
      <x:c r="Y274" s="1"/>
      <x:c r="Z274" s="1"/>
      <x:c r="AA274" s="1"/>
      <x:c r="AB274" s="1"/>
      <x:c r="AC274" s="1"/>
      <x:c r="AD274" s="1"/>
    </x:row>
    <x:row r="275">
      <x:c r="A275" s="1">
        <x:v>274</x:v>
      </x:c>
      <x:c r="B275" t="str">
        <x:v>B</x:v>
      </x:c>
      <x:c r="C275" t="str">
        <x:v>B</x:v>
      </x:c>
      <x:c r="D275" t="str">
        <x:v>B</x:v>
      </x:c>
      <x:c r="E275" t="str">
        <x:v>B</x:v>
      </x:c>
      <x:c r="F275" t="str">
        <x:v>W</x:v>
      </x:c>
      <x:c r="G275" t="str">
        <x:v>B</x:v>
      </x:c>
      <x:c r="H275" t="str">
        <x:v>W</x:v>
      </x:c>
      <x:c r="I275" t="str">
        <x:v>B</x:v>
      </x:c>
      <x:c r="J275" t="str">
        <x:v>B</x:v>
      </x:c>
      <x:c r="K275" t="str">
        <x:v>W</x:v>
      </x:c>
      <x:c r="L275" t="str">
        <x:v>W</x:v>
      </x:c>
      <x:c r="M275" t="str">
        <x:v>B</x:v>
      </x:c>
      <x:c r="N275" t="str">
        <x:v>B</x:v>
      </x:c>
      <x:c r="O275" t="str">
        <x:v>B</x:v>
      </x:c>
      <x:c r="P275" t="str">
        <x:v>B</x:v>
      </x:c>
      <x:c r="Q275" t="str">
        <x:v>W</x:v>
      </x:c>
      <x:c r="R275" t="str">
        <x:v>B</x:v>
      </x:c>
      <x:c r="S275" t="str">
        <x:v>W</x:v>
      </x:c>
      <x:c r="T275" t="str">
        <x:v>B</x:v>
      </x:c>
      <x:c r="U275" t="str">
        <x:v>B</x:v>
      </x:c>
      <x:c r="V275" t="n">
        <x:f>COUNTIF(B275:U275,"W")</x:f>
        <x:v>6</x:v>
      </x:c>
      <x:c r="W275" s="5" t="str">
        <x:f>IF(COUNTIF(B275:D275,"W")&gt;0,"Y","N")</x:f>
        <x:v>N</x:v>
      </x:c>
      <x:c r="X275" s="1"/>
      <x:c r="Y275" s="1"/>
      <x:c r="Z275" s="1"/>
      <x:c r="AA275" s="1"/>
      <x:c r="AB275" s="1"/>
      <x:c r="AC275" s="1"/>
      <x:c r="AD275" s="1"/>
    </x:row>
    <x:row r="276">
      <x:c r="A276" s="1">
        <x:v>275</x:v>
      </x:c>
      <x:c r="B276" t="str">
        <x:v>W</x:v>
      </x:c>
      <x:c r="C276" t="str">
        <x:v>B</x:v>
      </x:c>
      <x:c r="D276" t="str">
        <x:v>B</x:v>
      </x:c>
      <x:c r="E276" t="str">
        <x:v>W</x:v>
      </x:c>
      <x:c r="F276" t="str">
        <x:v>B</x:v>
      </x:c>
      <x:c r="G276" t="str">
        <x:v>B</x:v>
      </x:c>
      <x:c r="H276" t="str">
        <x:v>B</x:v>
      </x:c>
      <x:c r="I276" t="str">
        <x:v>B</x:v>
      </x:c>
      <x:c r="J276" t="str">
        <x:v>B</x:v>
      </x:c>
      <x:c r="K276" t="str">
        <x:v>W</x:v>
      </x:c>
      <x:c r="L276" t="str">
        <x:v>B</x:v>
      </x:c>
      <x:c r="M276" t="str">
        <x:v>B</x:v>
      </x:c>
      <x:c r="N276" t="str">
        <x:v>B</x:v>
      </x:c>
      <x:c r="O276" t="str">
        <x:v>B</x:v>
      </x:c>
      <x:c r="P276" t="str">
        <x:v>B</x:v>
      </x:c>
      <x:c r="Q276" t="str">
        <x:v>W</x:v>
      </x:c>
      <x:c r="R276" t="str">
        <x:v>B</x:v>
      </x:c>
      <x:c r="S276" t="str">
        <x:v>B</x:v>
      </x:c>
      <x:c r="T276" t="str">
        <x:v>W</x:v>
      </x:c>
      <x:c r="U276" t="str">
        <x:v>B</x:v>
      </x:c>
      <x:c r="V276" t="n">
        <x:f>COUNTIF(B276:U276,"W")</x:f>
        <x:v>5</x:v>
      </x:c>
      <x:c r="W276" s="5" t="str">
        <x:f>IF(COUNTIF(B276:D276,"W")&gt;0,"Y","N")</x:f>
        <x:v>Y</x:v>
      </x:c>
      <x:c r="X276" s="1"/>
      <x:c r="Y276" s="1"/>
      <x:c r="Z276" s="1"/>
      <x:c r="AA276" s="1"/>
      <x:c r="AB276" s="1"/>
      <x:c r="AC276" s="1"/>
      <x:c r="AD276" s="1"/>
    </x:row>
    <x:row r="277">
      <x:c r="A277" s="1">
        <x:v>276</x:v>
      </x:c>
      <x:c r="B277" t="str">
        <x:v>B</x:v>
      </x:c>
      <x:c r="C277" t="str">
        <x:v>W</x:v>
      </x:c>
      <x:c r="D277" t="str">
        <x:v>W</x:v>
      </x:c>
      <x:c r="E277" t="str">
        <x:v>B</x:v>
      </x:c>
      <x:c r="F277" t="str">
        <x:v>W</x:v>
      </x:c>
      <x:c r="G277" t="str">
        <x:v>B</x:v>
      </x:c>
      <x:c r="H277" t="str">
        <x:v>W</x:v>
      </x:c>
      <x:c r="I277" t="str">
        <x:v>W</x:v>
      </x:c>
      <x:c r="J277" t="str">
        <x:v>W</x:v>
      </x:c>
      <x:c r="K277" t="str">
        <x:v>B</x:v>
      </x:c>
      <x:c r="L277" t="str">
        <x:v>W</x:v>
      </x:c>
      <x:c r="M277" t="str">
        <x:v>B</x:v>
      </x:c>
      <x:c r="N277" t="str">
        <x:v>B</x:v>
      </x:c>
      <x:c r="O277" t="str">
        <x:v>W</x:v>
      </x:c>
      <x:c r="P277" t="str">
        <x:v>B</x:v>
      </x:c>
      <x:c r="Q277" t="str">
        <x:v>W</x:v>
      </x:c>
      <x:c r="R277" t="str">
        <x:v>B</x:v>
      </x:c>
      <x:c r="S277" t="str">
        <x:v>B</x:v>
      </x:c>
      <x:c r="T277" t="str">
        <x:v>W</x:v>
      </x:c>
      <x:c r="U277" t="str">
        <x:v>B</x:v>
      </x:c>
      <x:c r="V277" t="n">
        <x:f>COUNTIF(B277:U277,"W")</x:f>
        <x:v>10</x:v>
      </x:c>
      <x:c r="W277" s="5" t="str">
        <x:f>IF(COUNTIF(B277:D277,"W")&gt;0,"Y","N")</x:f>
        <x:v>Y</x:v>
      </x:c>
      <x:c r="X277" s="1"/>
      <x:c r="Y277" s="1"/>
      <x:c r="Z277" s="1"/>
      <x:c r="AA277" s="1"/>
      <x:c r="AB277" s="1"/>
      <x:c r="AC277" s="1"/>
      <x:c r="AD277" s="1"/>
    </x:row>
    <x:row r="278">
      <x:c r="A278" s="1">
        <x:v>277</x:v>
      </x:c>
      <x:c r="B278" t="str">
        <x:v>W</x:v>
      </x:c>
      <x:c r="C278" t="str">
        <x:v>B</x:v>
      </x:c>
      <x:c r="D278" t="str">
        <x:v>B</x:v>
      </x:c>
      <x:c r="E278" t="str">
        <x:v>B</x:v>
      </x:c>
      <x:c r="F278" t="str">
        <x:v>W</x:v>
      </x:c>
      <x:c r="G278" t="str">
        <x:v>W</x:v>
      </x:c>
      <x:c r="H278" t="str">
        <x:v>W</x:v>
      </x:c>
      <x:c r="I278" t="str">
        <x:v>B</x:v>
      </x:c>
      <x:c r="J278" t="str">
        <x:v>B</x:v>
      </x:c>
      <x:c r="K278" t="str">
        <x:v>B</x:v>
      </x:c>
      <x:c r="L278" t="str">
        <x:v>B</x:v>
      </x:c>
      <x:c r="M278" t="str">
        <x:v>B</x:v>
      </x:c>
      <x:c r="N278" t="str">
        <x:v>W</x:v>
      </x:c>
      <x:c r="O278" t="str">
        <x:v>B</x:v>
      </x:c>
      <x:c r="P278" t="str">
        <x:v>B</x:v>
      </x:c>
      <x:c r="Q278" t="str">
        <x:v>B</x:v>
      </x:c>
      <x:c r="R278" t="str">
        <x:v>B</x:v>
      </x:c>
      <x:c r="S278" t="str">
        <x:v>B</x:v>
      </x:c>
      <x:c r="T278" t="str">
        <x:v>W</x:v>
      </x:c>
      <x:c r="U278" t="str">
        <x:v>B</x:v>
      </x:c>
      <x:c r="V278" t="n">
        <x:f>COUNTIF(B278:U278,"W")</x:f>
        <x:v>6</x:v>
      </x:c>
      <x:c r="W278" s="5" t="str">
        <x:f>IF(COUNTIF(B278:D278,"W")&gt;0,"Y","N")</x:f>
        <x:v>Y</x:v>
      </x:c>
      <x:c r="X278" s="1"/>
      <x:c r="Y278" s="1"/>
      <x:c r="Z278" s="1"/>
      <x:c r="AA278" s="1"/>
      <x:c r="AB278" s="1"/>
      <x:c r="AC278" s="1"/>
      <x:c r="AD278" s="1"/>
    </x:row>
    <x:row r="279">
      <x:c r="A279" s="1">
        <x:v>278</x:v>
      </x:c>
      <x:c r="B279" t="str">
        <x:v>W</x:v>
      </x:c>
      <x:c r="C279" t="str">
        <x:v>W</x:v>
      </x:c>
      <x:c r="D279" t="str">
        <x:v>B</x:v>
      </x:c>
      <x:c r="E279" t="str">
        <x:v>B</x:v>
      </x:c>
      <x:c r="F279" t="str">
        <x:v>B</x:v>
      </x:c>
      <x:c r="G279" t="str">
        <x:v>B</x:v>
      </x:c>
      <x:c r="H279" t="str">
        <x:v>B</x:v>
      </x:c>
      <x:c r="I279" t="str">
        <x:v>B</x:v>
      </x:c>
      <x:c r="J279" t="str">
        <x:v>B</x:v>
      </x:c>
      <x:c r="K279" t="str">
        <x:v>B</x:v>
      </x:c>
      <x:c r="L279" t="str">
        <x:v>W</x:v>
      </x:c>
      <x:c r="M279" t="str">
        <x:v>B</x:v>
      </x:c>
      <x:c r="N279" t="str">
        <x:v>B</x:v>
      </x:c>
      <x:c r="O279" t="str">
        <x:v>B</x:v>
      </x:c>
      <x:c r="P279" t="str">
        <x:v>W</x:v>
      </x:c>
      <x:c r="Q279" t="str">
        <x:v>B</x:v>
      </x:c>
      <x:c r="R279" t="str">
        <x:v>B</x:v>
      </x:c>
      <x:c r="S279" t="str">
        <x:v>B</x:v>
      </x:c>
      <x:c r="T279" t="str">
        <x:v>B</x:v>
      </x:c>
      <x:c r="U279" t="str">
        <x:v>B</x:v>
      </x:c>
      <x:c r="V279" t="n">
        <x:f>COUNTIF(B279:U279,"W")</x:f>
        <x:v>4</x:v>
      </x:c>
      <x:c r="W279" s="5" t="str">
        <x:f>IF(COUNTIF(B279:D279,"W")&gt;0,"Y","N")</x:f>
        <x:v>Y</x:v>
      </x:c>
      <x:c r="X279" s="1"/>
      <x:c r="Y279" s="1"/>
      <x:c r="Z279" s="1"/>
      <x:c r="AA279" s="1"/>
      <x:c r="AB279" s="1"/>
      <x:c r="AC279" s="1"/>
      <x:c r="AD279" s="1"/>
    </x:row>
    <x:row r="280">
      <x:c r="A280" s="1">
        <x:v>279</x:v>
      </x:c>
      <x:c r="B280" t="str">
        <x:v>W</x:v>
      </x:c>
      <x:c r="C280" t="str">
        <x:v>W</x:v>
      </x:c>
      <x:c r="D280" t="str">
        <x:v>W</x:v>
      </x:c>
      <x:c r="E280" t="str">
        <x:v>B</x:v>
      </x:c>
      <x:c r="F280" t="str">
        <x:v>B</x:v>
      </x:c>
      <x:c r="G280" t="str">
        <x:v>B</x:v>
      </x:c>
      <x:c r="H280" t="str">
        <x:v>W</x:v>
      </x:c>
      <x:c r="I280" t="str">
        <x:v>B</x:v>
      </x:c>
      <x:c r="J280" t="str">
        <x:v>B</x:v>
      </x:c>
      <x:c r="K280" t="str">
        <x:v>B</x:v>
      </x:c>
      <x:c r="L280" t="str">
        <x:v>B</x:v>
      </x:c>
      <x:c r="M280" t="str">
        <x:v>B</x:v>
      </x:c>
      <x:c r="N280" t="str">
        <x:v>B</x:v>
      </x:c>
      <x:c r="O280" t="str">
        <x:v>B</x:v>
      </x:c>
      <x:c r="P280" t="str">
        <x:v>B</x:v>
      </x:c>
      <x:c r="Q280" t="str">
        <x:v>B</x:v>
      </x:c>
      <x:c r="R280" t="str">
        <x:v>B</x:v>
      </x:c>
      <x:c r="S280" t="str">
        <x:v>B</x:v>
      </x:c>
      <x:c r="T280" t="str">
        <x:v>B</x:v>
      </x:c>
      <x:c r="U280" t="str">
        <x:v>B</x:v>
      </x:c>
      <x:c r="V280" t="n">
        <x:f>COUNTIF(B280:U280,"W")</x:f>
        <x:v>4</x:v>
      </x:c>
      <x:c r="W280" s="5" t="str">
        <x:f>IF(COUNTIF(B280:D280,"W")&gt;0,"Y","N")</x:f>
        <x:v>Y</x:v>
      </x:c>
      <x:c r="X280" s="1"/>
      <x:c r="Y280" s="1"/>
      <x:c r="Z280" s="1"/>
      <x:c r="AA280" s="1"/>
      <x:c r="AB280" s="1"/>
      <x:c r="AC280" s="1"/>
      <x:c r="AD280" s="1"/>
    </x:row>
    <x:row r="281">
      <x:c r="A281" s="1">
        <x:v>280</x:v>
      </x:c>
      <x:c r="B281" t="str">
        <x:v>B</x:v>
      </x:c>
      <x:c r="C281" t="str">
        <x:v>B</x:v>
      </x:c>
      <x:c r="D281" t="str">
        <x:v>B</x:v>
      </x:c>
      <x:c r="E281" t="str">
        <x:v>B</x:v>
      </x:c>
      <x:c r="F281" t="str">
        <x:v>W</x:v>
      </x:c>
      <x:c r="G281" t="str">
        <x:v>B</x:v>
      </x:c>
      <x:c r="H281" t="str">
        <x:v>B</x:v>
      </x:c>
      <x:c r="I281" t="str">
        <x:v>W</x:v>
      </x:c>
      <x:c r="J281" t="str">
        <x:v>W</x:v>
      </x:c>
      <x:c r="K281" t="str">
        <x:v>B</x:v>
      </x:c>
      <x:c r="L281" t="str">
        <x:v>B</x:v>
      </x:c>
      <x:c r="M281" t="str">
        <x:v>B</x:v>
      </x:c>
      <x:c r="N281" t="str">
        <x:v>W</x:v>
      </x:c>
      <x:c r="O281" t="str">
        <x:v>W</x:v>
      </x:c>
      <x:c r="P281" t="str">
        <x:v>B</x:v>
      </x:c>
      <x:c r="Q281" t="str">
        <x:v>W</x:v>
      </x:c>
      <x:c r="R281" t="str">
        <x:v>B</x:v>
      </x:c>
      <x:c r="S281" t="str">
        <x:v>W</x:v>
      </x:c>
      <x:c r="T281" t="str">
        <x:v>W</x:v>
      </x:c>
      <x:c r="U281" t="str">
        <x:v>W</x:v>
      </x:c>
      <x:c r="V281" t="n">
        <x:f>COUNTIF(B281:U281,"W")</x:f>
        <x:v>9</x:v>
      </x:c>
      <x:c r="W281" s="5" t="str">
        <x:f>IF(COUNTIF(B281:D281,"W")&gt;0,"Y","N")</x:f>
        <x:v>N</x:v>
      </x:c>
      <x:c r="X281" s="1"/>
      <x:c r="Y281" s="1"/>
      <x:c r="Z281" s="1"/>
      <x:c r="AA281" s="1"/>
      <x:c r="AB281" s="1"/>
      <x:c r="AC281" s="1"/>
      <x:c r="AD281" s="1"/>
    </x:row>
    <x:row r="282">
      <x:c r="A282" s="1">
        <x:v>281</x:v>
      </x:c>
      <x:c r="B282" t="str">
        <x:v>B</x:v>
      </x:c>
      <x:c r="C282" t="str">
        <x:v>B</x:v>
      </x:c>
      <x:c r="D282" t="str">
        <x:v>B</x:v>
      </x:c>
      <x:c r="E282" t="str">
        <x:v>B</x:v>
      </x:c>
      <x:c r="F282" t="str">
        <x:v>W</x:v>
      </x:c>
      <x:c r="G282" t="str">
        <x:v>B</x:v>
      </x:c>
      <x:c r="H282" t="str">
        <x:v>B</x:v>
      </x:c>
      <x:c r="I282" t="str">
        <x:v>W</x:v>
      </x:c>
      <x:c r="J282" t="str">
        <x:v>B</x:v>
      </x:c>
      <x:c r="K282" t="str">
        <x:v>B</x:v>
      </x:c>
      <x:c r="L282" t="str">
        <x:v>B</x:v>
      </x:c>
      <x:c r="M282" t="str">
        <x:v>B</x:v>
      </x:c>
      <x:c r="N282" t="str">
        <x:v>W</x:v>
      </x:c>
      <x:c r="O282" t="str">
        <x:v>B</x:v>
      </x:c>
      <x:c r="P282" t="str">
        <x:v>W</x:v>
      </x:c>
      <x:c r="Q282" t="str">
        <x:v>B</x:v>
      </x:c>
      <x:c r="R282" t="str">
        <x:v>B</x:v>
      </x:c>
      <x:c r="S282" t="str">
        <x:v>W</x:v>
      </x:c>
      <x:c r="T282" t="str">
        <x:v>B</x:v>
      </x:c>
      <x:c r="U282" t="str">
        <x:v>B</x:v>
      </x:c>
      <x:c r="V282" t="n">
        <x:f>COUNTIF(B282:U282,"W")</x:f>
        <x:v>5</x:v>
      </x:c>
      <x:c r="W282" s="5" t="str">
        <x:f>IF(COUNTIF(B282:D282,"W")&gt;0,"Y","N")</x:f>
        <x:v>N</x:v>
      </x:c>
      <x:c r="X282" s="1"/>
      <x:c r="Y282" s="1"/>
      <x:c r="Z282" s="1"/>
      <x:c r="AA282" s="1"/>
      <x:c r="AB282" s="1"/>
      <x:c r="AC282" s="1"/>
      <x:c r="AD282" s="1"/>
    </x:row>
    <x:row r="283">
      <x:c r="A283" s="1">
        <x:v>282</x:v>
      </x:c>
      <x:c r="B283" t="str">
        <x:v>W</x:v>
      </x:c>
      <x:c r="C283" t="str">
        <x:v>B</x:v>
      </x:c>
      <x:c r="D283" t="str">
        <x:v>W</x:v>
      </x:c>
      <x:c r="E283" t="str">
        <x:v>B</x:v>
      </x:c>
      <x:c r="F283" t="str">
        <x:v>W</x:v>
      </x:c>
      <x:c r="G283" t="str">
        <x:v>B</x:v>
      </x:c>
      <x:c r="H283" t="str">
        <x:v>W</x:v>
      </x:c>
      <x:c r="I283" t="str">
        <x:v>B</x:v>
      </x:c>
      <x:c r="J283" t="str">
        <x:v>B</x:v>
      </x:c>
      <x:c r="K283" t="str">
        <x:v>B</x:v>
      </x:c>
      <x:c r="L283" t="str">
        <x:v>W</x:v>
      </x:c>
      <x:c r="M283" t="str">
        <x:v>B</x:v>
      </x:c>
      <x:c r="N283" t="str">
        <x:v>B</x:v>
      </x:c>
      <x:c r="O283" t="str">
        <x:v>B</x:v>
      </x:c>
      <x:c r="P283" t="str">
        <x:v>B</x:v>
      </x:c>
      <x:c r="Q283" t="str">
        <x:v>W</x:v>
      </x:c>
      <x:c r="R283" t="str">
        <x:v>B</x:v>
      </x:c>
      <x:c r="S283" t="str">
        <x:v>W</x:v>
      </x:c>
      <x:c r="T283" t="str">
        <x:v>B</x:v>
      </x:c>
      <x:c r="U283" t="str">
        <x:v>B</x:v>
      </x:c>
      <x:c r="V283" t="n">
        <x:f>COUNTIF(B283:U283,"W")</x:f>
        <x:v>7</x:v>
      </x:c>
      <x:c r="W283" s="5" t="str">
        <x:f>IF(COUNTIF(B283:D283,"W")&gt;0,"Y","N")</x:f>
        <x:v>Y</x:v>
      </x:c>
      <x:c r="X283" s="1"/>
      <x:c r="Y283" s="1"/>
      <x:c r="Z283" s="1"/>
      <x:c r="AA283" s="1"/>
      <x:c r="AB283" s="1"/>
      <x:c r="AC283" s="1"/>
      <x:c r="AD283" s="1"/>
    </x:row>
    <x:row r="284">
      <x:c r="A284" s="1">
        <x:v>283</x:v>
      </x:c>
      <x:c r="B284" t="str">
        <x:v>B</x:v>
      </x:c>
      <x:c r="C284" t="str">
        <x:v>B</x:v>
      </x:c>
      <x:c r="D284" t="str">
        <x:v>B</x:v>
      </x:c>
      <x:c r="E284" t="str">
        <x:v>W</x:v>
      </x:c>
      <x:c r="F284" t="str">
        <x:v>W</x:v>
      </x:c>
      <x:c r="G284" t="str">
        <x:v>W</x:v>
      </x:c>
      <x:c r="H284" t="str">
        <x:v>B</x:v>
      </x:c>
      <x:c r="I284" t="str">
        <x:v>W</x:v>
      </x:c>
      <x:c r="J284" t="str">
        <x:v>B</x:v>
      </x:c>
      <x:c r="K284" t="str">
        <x:v>B</x:v>
      </x:c>
      <x:c r="L284" t="str">
        <x:v>B</x:v>
      </x:c>
      <x:c r="M284" t="str">
        <x:v>W</x:v>
      </x:c>
      <x:c r="N284" t="str">
        <x:v>W</x:v>
      </x:c>
      <x:c r="O284" t="str">
        <x:v>B</x:v>
      </x:c>
      <x:c r="P284" t="str">
        <x:v>W</x:v>
      </x:c>
      <x:c r="Q284" t="str">
        <x:v>B</x:v>
      </x:c>
      <x:c r="R284" t="str">
        <x:v>W</x:v>
      </x:c>
      <x:c r="S284" t="str">
        <x:v>W</x:v>
      </x:c>
      <x:c r="T284" t="str">
        <x:v>B</x:v>
      </x:c>
      <x:c r="U284" t="str">
        <x:v>B</x:v>
      </x:c>
      <x:c r="V284" t="n">
        <x:f>COUNTIF(B284:U284,"W")</x:f>
        <x:v>9</x:v>
      </x:c>
      <x:c r="W284" s="5" t="str">
        <x:f>IF(COUNTIF(B284:D284,"W")&gt;0,"Y","N")</x:f>
        <x:v>N</x:v>
      </x:c>
      <x:c r="X284" s="1"/>
      <x:c r="Y284" s="1"/>
      <x:c r="Z284" s="1"/>
      <x:c r="AA284" s="1"/>
      <x:c r="AB284" s="1"/>
      <x:c r="AC284" s="1"/>
      <x:c r="AD284" s="1"/>
    </x:row>
    <x:row r="285">
      <x:c r="A285" s="1">
        <x:v>284</x:v>
      </x:c>
      <x:c r="B285" t="str">
        <x:v>W</x:v>
      </x:c>
      <x:c r="C285" t="str">
        <x:v>W</x:v>
      </x:c>
      <x:c r="D285" t="str">
        <x:v>W</x:v>
      </x:c>
      <x:c r="E285" t="str">
        <x:v>W</x:v>
      </x:c>
      <x:c r="F285" t="str">
        <x:v>W</x:v>
      </x:c>
      <x:c r="G285" t="str">
        <x:v>W</x:v>
      </x:c>
      <x:c r="H285" t="str">
        <x:v>B</x:v>
      </x:c>
      <x:c r="I285" t="str">
        <x:v>B</x:v>
      </x:c>
      <x:c r="J285" t="str">
        <x:v>W</x:v>
      </x:c>
      <x:c r="K285" t="str">
        <x:v>B</x:v>
      </x:c>
      <x:c r="L285" t="str">
        <x:v>B</x:v>
      </x:c>
      <x:c r="M285" t="str">
        <x:v>W</x:v>
      </x:c>
      <x:c r="N285" t="str">
        <x:v>B</x:v>
      </x:c>
      <x:c r="O285" t="str">
        <x:v>W</x:v>
      </x:c>
      <x:c r="P285" t="str">
        <x:v>B</x:v>
      </x:c>
      <x:c r="Q285" t="str">
        <x:v>B</x:v>
      </x:c>
      <x:c r="R285" t="str">
        <x:v>W</x:v>
      </x:c>
      <x:c r="S285" t="str">
        <x:v>B</x:v>
      </x:c>
      <x:c r="T285" t="str">
        <x:v>B</x:v>
      </x:c>
      <x:c r="U285" t="str">
        <x:v>W</x:v>
      </x:c>
      <x:c r="V285" t="n">
        <x:f>COUNTIF(B285:U285,"W")</x:f>
        <x:v>11</x:v>
      </x:c>
      <x:c r="W285" s="5" t="str">
        <x:f>IF(COUNTIF(B285:D285,"W")&gt;0,"Y","N")</x:f>
        <x:v>Y</x:v>
      </x:c>
      <x:c r="X285" s="1"/>
      <x:c r="Y285" s="1"/>
      <x:c r="Z285" s="1"/>
      <x:c r="AA285" s="1"/>
      <x:c r="AB285" s="1"/>
      <x:c r="AC285" s="1"/>
      <x:c r="AD285" s="1"/>
    </x:row>
    <x:row r="286">
      <x:c r="A286" s="1">
        <x:v>285</x:v>
      </x:c>
      <x:c r="B286" t="str">
        <x:v>B</x:v>
      </x:c>
      <x:c r="C286" t="str">
        <x:v>B</x:v>
      </x:c>
      <x:c r="D286" t="str">
        <x:v>B</x:v>
      </x:c>
      <x:c r="E286" t="str">
        <x:v>B</x:v>
      </x:c>
      <x:c r="F286" t="str">
        <x:v>B</x:v>
      </x:c>
      <x:c r="G286" t="str">
        <x:v>B</x:v>
      </x:c>
      <x:c r="H286" t="str">
        <x:v>B</x:v>
      </x:c>
      <x:c r="I286" t="str">
        <x:v>B</x:v>
      </x:c>
      <x:c r="J286" t="str">
        <x:v>B</x:v>
      </x:c>
      <x:c r="K286" t="str">
        <x:v>B</x:v>
      </x:c>
      <x:c r="L286" t="str">
        <x:v>W</x:v>
      </x:c>
      <x:c r="M286" t="str">
        <x:v>B</x:v>
      </x:c>
      <x:c r="N286" t="str">
        <x:v>W</x:v>
      </x:c>
      <x:c r="O286" t="str">
        <x:v>B</x:v>
      </x:c>
      <x:c r="P286" t="str">
        <x:v>W</x:v>
      </x:c>
      <x:c r="Q286" t="str">
        <x:v>W</x:v>
      </x:c>
      <x:c r="R286" t="str">
        <x:v>B</x:v>
      </x:c>
      <x:c r="S286" t="str">
        <x:v>B</x:v>
      </x:c>
      <x:c r="T286" t="str">
        <x:v>B</x:v>
      </x:c>
      <x:c r="U286" t="str">
        <x:v>B</x:v>
      </x:c>
      <x:c r="V286" t="n">
        <x:f>COUNTIF(B286:U286,"W")</x:f>
        <x:v>4</x:v>
      </x:c>
      <x:c r="W286" s="5" t="str">
        <x:f>IF(COUNTIF(B286:D286,"W")&gt;0,"Y","N")</x:f>
        <x:v>N</x:v>
      </x:c>
      <x:c r="X286" s="1"/>
      <x:c r="Y286" s="1"/>
      <x:c r="Z286" s="1"/>
      <x:c r="AA286" s="1"/>
      <x:c r="AB286" s="1"/>
      <x:c r="AC286" s="1"/>
      <x:c r="AD286" s="1"/>
    </x:row>
    <x:row r="287">
      <x:c r="A287" s="1">
        <x:v>286</x:v>
      </x:c>
      <x:c r="B287" t="str">
        <x:v>B</x:v>
      </x:c>
      <x:c r="C287" t="str">
        <x:v>W</x:v>
      </x:c>
      <x:c r="D287" t="str">
        <x:v>B</x:v>
      </x:c>
      <x:c r="E287" t="str">
        <x:v>W</x:v>
      </x:c>
      <x:c r="F287" t="str">
        <x:v>B</x:v>
      </x:c>
      <x:c r="G287" t="str">
        <x:v>B</x:v>
      </x:c>
      <x:c r="H287" t="str">
        <x:v>W</x:v>
      </x:c>
      <x:c r="I287" t="str">
        <x:v>B</x:v>
      </x:c>
      <x:c r="J287" t="str">
        <x:v>B</x:v>
      </x:c>
      <x:c r="K287" t="str">
        <x:v>W</x:v>
      </x:c>
      <x:c r="L287" t="str">
        <x:v>B</x:v>
      </x:c>
      <x:c r="M287" t="str">
        <x:v>W</x:v>
      </x:c>
      <x:c r="N287" t="str">
        <x:v>W</x:v>
      </x:c>
      <x:c r="O287" t="str">
        <x:v>B</x:v>
      </x:c>
      <x:c r="P287" t="str">
        <x:v>W</x:v>
      </x:c>
      <x:c r="Q287" t="str">
        <x:v>W</x:v>
      </x:c>
      <x:c r="R287" t="str">
        <x:v>B</x:v>
      </x:c>
      <x:c r="S287" t="str">
        <x:v>B</x:v>
      </x:c>
      <x:c r="T287" t="str">
        <x:v>W</x:v>
      </x:c>
      <x:c r="U287" t="str">
        <x:v>W</x:v>
      </x:c>
      <x:c r="V287" t="n">
        <x:f>COUNTIF(B287:U287,"W")</x:f>
        <x:v>10</x:v>
      </x:c>
      <x:c r="W287" s="5" t="str">
        <x:f>IF(COUNTIF(B287:D287,"W")&gt;0,"Y","N")</x:f>
        <x:v>Y</x:v>
      </x:c>
      <x:c r="X287" s="1"/>
      <x:c r="Y287" s="1"/>
      <x:c r="Z287" s="1"/>
      <x:c r="AA287" s="1"/>
      <x:c r="AB287" s="1"/>
      <x:c r="AC287" s="1"/>
      <x:c r="AD287" s="1"/>
    </x:row>
    <x:row r="288">
      <x:c r="A288" s="1">
        <x:v>287</x:v>
      </x:c>
      <x:c r="B288" t="str">
        <x:v>W</x:v>
      </x:c>
      <x:c r="C288" t="str">
        <x:v>B</x:v>
      </x:c>
      <x:c r="D288" t="str">
        <x:v>W</x:v>
      </x:c>
      <x:c r="E288" t="str">
        <x:v>B</x:v>
      </x:c>
      <x:c r="F288" t="str">
        <x:v>B</x:v>
      </x:c>
      <x:c r="G288" t="str">
        <x:v>B</x:v>
      </x:c>
      <x:c r="H288" t="str">
        <x:v>B</x:v>
      </x:c>
      <x:c r="I288" t="str">
        <x:v>W</x:v>
      </x:c>
      <x:c r="J288" t="str">
        <x:v>W</x:v>
      </x:c>
      <x:c r="K288" t="str">
        <x:v>B</x:v>
      </x:c>
      <x:c r="L288" t="str">
        <x:v>W</x:v>
      </x:c>
      <x:c r="M288" t="str">
        <x:v>B</x:v>
      </x:c>
      <x:c r="N288" t="str">
        <x:v>W</x:v>
      </x:c>
      <x:c r="O288" t="str">
        <x:v>W</x:v>
      </x:c>
      <x:c r="P288" t="str">
        <x:v>B</x:v>
      </x:c>
      <x:c r="Q288" t="str">
        <x:v>W</x:v>
      </x:c>
      <x:c r="R288" t="str">
        <x:v>B</x:v>
      </x:c>
      <x:c r="S288" t="str">
        <x:v>B</x:v>
      </x:c>
      <x:c r="T288" t="str">
        <x:v>B</x:v>
      </x:c>
      <x:c r="U288" t="str">
        <x:v>W</x:v>
      </x:c>
      <x:c r="V288" t="n">
        <x:f>COUNTIF(B288:U288,"W")</x:f>
        <x:v>9</x:v>
      </x:c>
      <x:c r="W288" s="5" t="str">
        <x:f>IF(COUNTIF(B288:D288,"W")&gt;0,"Y","N")</x:f>
        <x:v>Y</x:v>
      </x:c>
      <x:c r="X288" s="1"/>
      <x:c r="Y288" s="1"/>
      <x:c r="Z288" s="1"/>
      <x:c r="AA288" s="1"/>
      <x:c r="AB288" s="1"/>
      <x:c r="AC288" s="1"/>
      <x:c r="AD288" s="1"/>
    </x:row>
    <x:row r="289">
      <x:c r="A289" s="1">
        <x:v>288</x:v>
      </x:c>
      <x:c r="B289" t="str">
        <x:v>W</x:v>
      </x:c>
      <x:c r="C289" t="str">
        <x:v>W</x:v>
      </x:c>
      <x:c r="D289" t="str">
        <x:v>B</x:v>
      </x:c>
      <x:c r="E289" t="str">
        <x:v>B</x:v>
      </x:c>
      <x:c r="F289" t="str">
        <x:v>W</x:v>
      </x:c>
      <x:c r="G289" t="str">
        <x:v>B</x:v>
      </x:c>
      <x:c r="H289" t="str">
        <x:v>B</x:v>
      </x:c>
      <x:c r="I289" t="str">
        <x:v>W</x:v>
      </x:c>
      <x:c r="J289" t="str">
        <x:v>B</x:v>
      </x:c>
      <x:c r="K289" t="str">
        <x:v>W</x:v>
      </x:c>
      <x:c r="L289" t="str">
        <x:v>W</x:v>
      </x:c>
      <x:c r="M289" t="str">
        <x:v>W</x:v>
      </x:c>
      <x:c r="N289" t="str">
        <x:v>B</x:v>
      </x:c>
      <x:c r="O289" t="str">
        <x:v>W</x:v>
      </x:c>
      <x:c r="P289" t="str">
        <x:v>W</x:v>
      </x:c>
      <x:c r="Q289" t="str">
        <x:v>W</x:v>
      </x:c>
      <x:c r="R289" t="str">
        <x:v>B</x:v>
      </x:c>
      <x:c r="S289" t="str">
        <x:v>W</x:v>
      </x:c>
      <x:c r="T289" t="str">
        <x:v>B</x:v>
      </x:c>
      <x:c r="U289" t="str">
        <x:v>W</x:v>
      </x:c>
      <x:c r="V289" t="n">
        <x:f>COUNTIF(B289:U289,"W")</x:f>
        <x:v>12</x:v>
      </x:c>
      <x:c r="W289" s="5" t="str">
        <x:f>IF(COUNTIF(B289:D289,"W")&gt;0,"Y","N")</x:f>
        <x:v>Y</x:v>
      </x:c>
      <x:c r="X289" s="1"/>
      <x:c r="Y289" s="1"/>
      <x:c r="Z289" s="1"/>
      <x:c r="AA289" s="1"/>
      <x:c r="AB289" s="1"/>
      <x:c r="AC289" s="1"/>
      <x:c r="AD289" s="1"/>
    </x:row>
    <x:row r="290">
      <x:c r="A290" s="1">
        <x:v>289</x:v>
      </x:c>
      <x:c r="B290" t="str">
        <x:v>B</x:v>
      </x:c>
      <x:c r="C290" t="str">
        <x:v>B</x:v>
      </x:c>
      <x:c r="D290" t="str">
        <x:v>W</x:v>
      </x:c>
      <x:c r="E290" t="str">
        <x:v>W</x:v>
      </x:c>
      <x:c r="F290" t="str">
        <x:v>W</x:v>
      </x:c>
      <x:c r="G290" t="str">
        <x:v>W</x:v>
      </x:c>
      <x:c r="H290" t="str">
        <x:v>B</x:v>
      </x:c>
      <x:c r="I290" t="str">
        <x:v>W</x:v>
      </x:c>
      <x:c r="J290" t="str">
        <x:v>B</x:v>
      </x:c>
      <x:c r="K290" t="str">
        <x:v>B</x:v>
      </x:c>
      <x:c r="L290" t="str">
        <x:v>W</x:v>
      </x:c>
      <x:c r="M290" t="str">
        <x:v>B</x:v>
      </x:c>
      <x:c r="N290" t="str">
        <x:v>W</x:v>
      </x:c>
      <x:c r="O290" t="str">
        <x:v>W</x:v>
      </x:c>
      <x:c r="P290" t="str">
        <x:v>B</x:v>
      </x:c>
      <x:c r="Q290" t="str">
        <x:v>B</x:v>
      </x:c>
      <x:c r="R290" t="str">
        <x:v>B</x:v>
      </x:c>
      <x:c r="S290" t="str">
        <x:v>B</x:v>
      </x:c>
      <x:c r="T290" t="str">
        <x:v>B</x:v>
      </x:c>
      <x:c r="U290" t="str">
        <x:v>B</x:v>
      </x:c>
      <x:c r="V290" t="n">
        <x:f>COUNTIF(B290:U290,"W")</x:f>
        <x:v>8</x:v>
      </x:c>
      <x:c r="W290" s="5" t="str">
        <x:f>IF(COUNTIF(B290:D290,"W")&gt;0,"Y","N")</x:f>
        <x:v>Y</x:v>
      </x:c>
      <x:c r="X290" s="1"/>
      <x:c r="Y290" s="1"/>
      <x:c r="Z290" s="1"/>
      <x:c r="AA290" s="1"/>
      <x:c r="AB290" s="1"/>
      <x:c r="AC290" s="1"/>
      <x:c r="AD290" s="1"/>
    </x:row>
    <x:row r="291">
      <x:c r="A291" s="1">
        <x:v>290</x:v>
      </x:c>
      <x:c r="B291" t="str">
        <x:v>B</x:v>
      </x:c>
      <x:c r="C291" t="str">
        <x:v>W</x:v>
      </x:c>
      <x:c r="D291" t="str">
        <x:v>W</x:v>
      </x:c>
      <x:c r="E291" t="str">
        <x:v>W</x:v>
      </x:c>
      <x:c r="F291" t="str">
        <x:v>B</x:v>
      </x:c>
      <x:c r="G291" t="str">
        <x:v>B</x:v>
      </x:c>
      <x:c r="H291" t="str">
        <x:v>B</x:v>
      </x:c>
      <x:c r="I291" t="str">
        <x:v>B</x:v>
      </x:c>
      <x:c r="J291" t="str">
        <x:v>B</x:v>
      </x:c>
      <x:c r="K291" t="str">
        <x:v>B</x:v>
      </x:c>
      <x:c r="L291" t="str">
        <x:v>B</x:v>
      </x:c>
      <x:c r="M291" t="str">
        <x:v>B</x:v>
      </x:c>
      <x:c r="N291" t="str">
        <x:v>W</x:v>
      </x:c>
      <x:c r="O291" t="str">
        <x:v>B</x:v>
      </x:c>
      <x:c r="P291" t="str">
        <x:v>B</x:v>
      </x:c>
      <x:c r="Q291" t="str">
        <x:v>B</x:v>
      </x:c>
      <x:c r="R291" t="str">
        <x:v>B</x:v>
      </x:c>
      <x:c r="S291" t="str">
        <x:v>W</x:v>
      </x:c>
      <x:c r="T291" t="str">
        <x:v>B</x:v>
      </x:c>
      <x:c r="U291" t="str">
        <x:v>B</x:v>
      </x:c>
      <x:c r="V291" t="n">
        <x:f>COUNTIF(B291:U291,"W")</x:f>
        <x:v>5</x:v>
      </x:c>
      <x:c r="W291" s="5" t="str">
        <x:f>IF(COUNTIF(B291:D291,"W")&gt;0,"Y","N")</x:f>
        <x:v>Y</x:v>
      </x:c>
      <x:c r="X291" s="1"/>
      <x:c r="Y291" s="1"/>
      <x:c r="Z291" s="1"/>
      <x:c r="AA291" s="1"/>
      <x:c r="AB291" s="1"/>
      <x:c r="AC291" s="1"/>
      <x:c r="AD291" s="1"/>
    </x:row>
    <x:row r="292">
      <x:c r="A292" s="1">
        <x:v>291</x:v>
      </x:c>
      <x:c r="B292" t="str">
        <x:v>B</x:v>
      </x:c>
      <x:c r="C292" t="str">
        <x:v>W</x:v>
      </x:c>
      <x:c r="D292" t="str">
        <x:v>B</x:v>
      </x:c>
      <x:c r="E292" t="str">
        <x:v>B</x:v>
      </x:c>
      <x:c r="F292" t="str">
        <x:v>B</x:v>
      </x:c>
      <x:c r="G292" t="str">
        <x:v>W</x:v>
      </x:c>
      <x:c r="H292" t="str">
        <x:v>B</x:v>
      </x:c>
      <x:c r="I292" t="str">
        <x:v>B</x:v>
      </x:c>
      <x:c r="J292" t="str">
        <x:v>B</x:v>
      </x:c>
      <x:c r="K292" t="str">
        <x:v>W</x:v>
      </x:c>
      <x:c r="L292" t="str">
        <x:v>W</x:v>
      </x:c>
      <x:c r="M292" t="str">
        <x:v>W</x:v>
      </x:c>
      <x:c r="N292" t="str">
        <x:v>W</x:v>
      </x:c>
      <x:c r="O292" t="str">
        <x:v>B</x:v>
      </x:c>
      <x:c r="P292" t="str">
        <x:v>B</x:v>
      </x:c>
      <x:c r="Q292" t="str">
        <x:v>B</x:v>
      </x:c>
      <x:c r="R292" t="str">
        <x:v>B</x:v>
      </x:c>
      <x:c r="S292" t="str">
        <x:v>W</x:v>
      </x:c>
      <x:c r="T292" t="str">
        <x:v>B</x:v>
      </x:c>
      <x:c r="U292" t="str">
        <x:v>B</x:v>
      </x:c>
      <x:c r="V292" t="n">
        <x:f>COUNTIF(B292:U292,"W")</x:f>
        <x:v>7</x:v>
      </x:c>
      <x:c r="W292" s="5" t="str">
        <x:f>IF(COUNTIF(B292:D292,"W")&gt;0,"Y","N")</x:f>
        <x:v>Y</x:v>
      </x:c>
      <x:c r="X292" s="1"/>
      <x:c r="Y292" s="1"/>
      <x:c r="Z292" s="1"/>
      <x:c r="AA292" s="1"/>
      <x:c r="AB292" s="1"/>
      <x:c r="AC292" s="1"/>
      <x:c r="AD292" s="1"/>
    </x:row>
    <x:row r="293">
      <x:c r="A293" s="1">
        <x:v>292</x:v>
      </x:c>
      <x:c r="B293" t="str">
        <x:v>B</x:v>
      </x:c>
      <x:c r="C293" t="str">
        <x:v>B</x:v>
      </x:c>
      <x:c r="D293" t="str">
        <x:v>B</x:v>
      </x:c>
      <x:c r="E293" t="str">
        <x:v>B</x:v>
      </x:c>
      <x:c r="F293" t="str">
        <x:v>B</x:v>
      </x:c>
      <x:c r="G293" t="str">
        <x:v>B</x:v>
      </x:c>
      <x:c r="H293" t="str">
        <x:v>B</x:v>
      </x:c>
      <x:c r="I293" t="str">
        <x:v>W</x:v>
      </x:c>
      <x:c r="J293" t="str">
        <x:v>B</x:v>
      </x:c>
      <x:c r="K293" t="str">
        <x:v>B</x:v>
      </x:c>
      <x:c r="L293" t="str">
        <x:v>B</x:v>
      </x:c>
      <x:c r="M293" t="str">
        <x:v>B</x:v>
      </x:c>
      <x:c r="N293" t="str">
        <x:v>B</x:v>
      </x:c>
      <x:c r="O293" t="str">
        <x:v>B</x:v>
      </x:c>
      <x:c r="P293" t="str">
        <x:v>B</x:v>
      </x:c>
      <x:c r="Q293" t="str">
        <x:v>W</x:v>
      </x:c>
      <x:c r="R293" t="str">
        <x:v>B</x:v>
      </x:c>
      <x:c r="S293" t="str">
        <x:v>B</x:v>
      </x:c>
      <x:c r="T293" t="str">
        <x:v>W</x:v>
      </x:c>
      <x:c r="U293" t="str">
        <x:v>B</x:v>
      </x:c>
      <x:c r="V293" t="n">
        <x:f>COUNTIF(B293:U293,"W")</x:f>
        <x:v>3</x:v>
      </x:c>
      <x:c r="W293" s="5" t="str">
        <x:f>IF(COUNTIF(B293:D293,"W")&gt;0,"Y","N")</x:f>
        <x:v>N</x:v>
      </x:c>
      <x:c r="X293" s="1"/>
      <x:c r="Y293" s="1"/>
      <x:c r="Z293" s="1"/>
      <x:c r="AA293" s="1"/>
      <x:c r="AB293" s="1"/>
      <x:c r="AC293" s="1"/>
      <x:c r="AD293" s="1"/>
    </x:row>
    <x:row r="294">
      <x:c r="A294" s="1">
        <x:v>293</x:v>
      </x:c>
      <x:c r="B294" t="str">
        <x:v>W</x:v>
      </x:c>
      <x:c r="C294" t="str">
        <x:v>B</x:v>
      </x:c>
      <x:c r="D294" t="str">
        <x:v>W</x:v>
      </x:c>
      <x:c r="E294" t="str">
        <x:v>B</x:v>
      </x:c>
      <x:c r="F294" t="str">
        <x:v>B</x:v>
      </x:c>
      <x:c r="G294" t="str">
        <x:v>B</x:v>
      </x:c>
      <x:c r="H294" t="str">
        <x:v>W</x:v>
      </x:c>
      <x:c r="I294" t="str">
        <x:v>W</x:v>
      </x:c>
      <x:c r="J294" t="str">
        <x:v>B</x:v>
      </x:c>
      <x:c r="K294" t="str">
        <x:v>W</x:v>
      </x:c>
      <x:c r="L294" t="str">
        <x:v>B</x:v>
      </x:c>
      <x:c r="M294" t="str">
        <x:v>W</x:v>
      </x:c>
      <x:c r="N294" t="str">
        <x:v>B</x:v>
      </x:c>
      <x:c r="O294" t="str">
        <x:v>B</x:v>
      </x:c>
      <x:c r="P294" t="str">
        <x:v>W</x:v>
      </x:c>
      <x:c r="Q294" t="str">
        <x:v>W</x:v>
      </x:c>
      <x:c r="R294" t="str">
        <x:v>B</x:v>
      </x:c>
      <x:c r="S294" t="str">
        <x:v>B</x:v>
      </x:c>
      <x:c r="T294" t="str">
        <x:v>W</x:v>
      </x:c>
      <x:c r="U294" t="str">
        <x:v>W</x:v>
      </x:c>
      <x:c r="V294" t="n">
        <x:f>COUNTIF(B294:U294,"W")</x:f>
        <x:v>10</x:v>
      </x:c>
      <x:c r="W294" s="5" t="str">
        <x:f>IF(COUNTIF(B294:D294,"W")&gt;0,"Y","N")</x:f>
        <x:v>Y</x:v>
      </x:c>
      <x:c r="X294" s="1"/>
      <x:c r="Y294" s="1"/>
      <x:c r="Z294" s="1"/>
      <x:c r="AA294" s="1"/>
      <x:c r="AB294" s="1"/>
      <x:c r="AC294" s="1"/>
      <x:c r="AD294" s="1"/>
    </x:row>
    <x:row r="295">
      <x:c r="A295" s="1">
        <x:v>294</x:v>
      </x:c>
      <x:c r="B295" t="str">
        <x:v>B</x:v>
      </x:c>
      <x:c r="C295" t="str">
        <x:v>W</x:v>
      </x:c>
      <x:c r="D295" t="str">
        <x:v>B</x:v>
      </x:c>
      <x:c r="E295" t="str">
        <x:v>W</x:v>
      </x:c>
      <x:c r="F295" t="str">
        <x:v>B</x:v>
      </x:c>
      <x:c r="G295" t="str">
        <x:v>W</x:v>
      </x:c>
      <x:c r="H295" t="str">
        <x:v>W</x:v>
      </x:c>
      <x:c r="I295" t="str">
        <x:v>B</x:v>
      </x:c>
      <x:c r="J295" t="str">
        <x:v>W</x:v>
      </x:c>
      <x:c r="K295" t="str">
        <x:v>B</x:v>
      </x:c>
      <x:c r="L295" t="str">
        <x:v>W</x:v>
      </x:c>
      <x:c r="M295" t="str">
        <x:v>B</x:v>
      </x:c>
      <x:c r="N295" t="str">
        <x:v>B</x:v>
      </x:c>
      <x:c r="O295" t="str">
        <x:v>W</x:v>
      </x:c>
      <x:c r="P295" t="str">
        <x:v>B</x:v>
      </x:c>
      <x:c r="Q295" t="str">
        <x:v>B</x:v>
      </x:c>
      <x:c r="R295" t="str">
        <x:v>B</x:v>
      </x:c>
      <x:c r="S295" t="str">
        <x:v>B</x:v>
      </x:c>
      <x:c r="T295" t="str">
        <x:v>W</x:v>
      </x:c>
      <x:c r="U295" t="str">
        <x:v>B</x:v>
      </x:c>
      <x:c r="V295" t="n">
        <x:f>COUNTIF(B295:U295,"W")</x:f>
        <x:v>8</x:v>
      </x:c>
      <x:c r="W295" s="5" t="str">
        <x:f>IF(COUNTIF(B295:D295,"W")&gt;0,"Y","N")</x:f>
        <x:v>Y</x:v>
      </x:c>
      <x:c r="X295" s="1"/>
      <x:c r="Y295" s="1"/>
      <x:c r="Z295" s="1"/>
      <x:c r="AA295" s="1"/>
      <x:c r="AB295" s="1"/>
      <x:c r="AC295" s="1"/>
      <x:c r="AD295" s="1"/>
    </x:row>
    <x:row r="296">
      <x:c r="A296" s="1">
        <x:v>295</x:v>
      </x:c>
      <x:c r="B296" t="str">
        <x:v>B</x:v>
      </x:c>
      <x:c r="C296" t="str">
        <x:v>B</x:v>
      </x:c>
      <x:c r="D296" t="str">
        <x:v>B</x:v>
      </x:c>
      <x:c r="E296" t="str">
        <x:v>W</x:v>
      </x:c>
      <x:c r="F296" t="str">
        <x:v>B</x:v>
      </x:c>
      <x:c r="G296" t="str">
        <x:v>W</x:v>
      </x:c>
      <x:c r="H296" t="str">
        <x:v>B</x:v>
      </x:c>
      <x:c r="I296" t="str">
        <x:v>B</x:v>
      </x:c>
      <x:c r="J296" t="str">
        <x:v>W</x:v>
      </x:c>
      <x:c r="K296" t="str">
        <x:v>B</x:v>
      </x:c>
      <x:c r="L296" t="str">
        <x:v>B</x:v>
      </x:c>
      <x:c r="M296" t="str">
        <x:v>W</x:v>
      </x:c>
      <x:c r="N296" t="str">
        <x:v>W</x:v>
      </x:c>
      <x:c r="O296" t="str">
        <x:v>B</x:v>
      </x:c>
      <x:c r="P296" t="str">
        <x:v>W</x:v>
      </x:c>
      <x:c r="Q296" t="str">
        <x:v>W</x:v>
      </x:c>
      <x:c r="R296" t="str">
        <x:v>W</x:v>
      </x:c>
      <x:c r="S296" t="str">
        <x:v>W</x:v>
      </x:c>
      <x:c r="T296" t="str">
        <x:v>B</x:v>
      </x:c>
      <x:c r="U296" t="str">
        <x:v>B</x:v>
      </x:c>
      <x:c r="V296" t="n">
        <x:f>COUNTIF(B296:U296,"W")</x:f>
        <x:v>9</x:v>
      </x:c>
      <x:c r="W296" s="5" t="str">
        <x:f>IF(COUNTIF(B296:D296,"W")&gt;0,"Y","N")</x:f>
        <x:v>N</x:v>
      </x:c>
      <x:c r="X296" s="1"/>
      <x:c r="Y296" s="1"/>
      <x:c r="Z296" s="1"/>
      <x:c r="AA296" s="1"/>
      <x:c r="AB296" s="1"/>
      <x:c r="AC296" s="1"/>
      <x:c r="AD296" s="1"/>
    </x:row>
    <x:row r="297">
      <x:c r="A297" s="1">
        <x:v>296</x:v>
      </x:c>
      <x:c r="B297" t="str">
        <x:v>B</x:v>
      </x:c>
      <x:c r="C297" t="str">
        <x:v>B</x:v>
      </x:c>
      <x:c r="D297" t="str">
        <x:v>W</x:v>
      </x:c>
      <x:c r="E297" t="str">
        <x:v>B</x:v>
      </x:c>
      <x:c r="F297" t="str">
        <x:v>W</x:v>
      </x:c>
      <x:c r="G297" t="str">
        <x:v>B</x:v>
      </x:c>
      <x:c r="H297" t="str">
        <x:v>B</x:v>
      </x:c>
      <x:c r="I297" t="str">
        <x:v>B</x:v>
      </x:c>
      <x:c r="J297" t="str">
        <x:v>B</x:v>
      </x:c>
      <x:c r="K297" t="str">
        <x:v>W</x:v>
      </x:c>
      <x:c r="L297" t="str">
        <x:v>W</x:v>
      </x:c>
      <x:c r="M297" t="str">
        <x:v>W</x:v>
      </x:c>
      <x:c r="N297" t="str">
        <x:v>B</x:v>
      </x:c>
      <x:c r="O297" t="str">
        <x:v>W</x:v>
      </x:c>
      <x:c r="P297" t="str">
        <x:v>W</x:v>
      </x:c>
      <x:c r="Q297" t="str">
        <x:v>W</x:v>
      </x:c>
      <x:c r="R297" t="str">
        <x:v>B</x:v>
      </x:c>
      <x:c r="S297" t="str">
        <x:v>W</x:v>
      </x:c>
      <x:c r="T297" t="str">
        <x:v>B</x:v>
      </x:c>
      <x:c r="U297" t="str">
        <x:v>B</x:v>
      </x:c>
      <x:c r="V297" t="n">
        <x:f>COUNTIF(B297:U297,"W")</x:f>
        <x:v>9</x:v>
      </x:c>
      <x:c r="W297" s="5" t="str">
        <x:f>IF(COUNTIF(B297:D297,"W")&gt;0,"Y","N")</x:f>
        <x:v>Y</x:v>
      </x:c>
      <x:c r="X297" s="1"/>
      <x:c r="Y297" s="1"/>
      <x:c r="Z297" s="1"/>
      <x:c r="AA297" s="1"/>
      <x:c r="AB297" s="1"/>
      <x:c r="AC297" s="1"/>
      <x:c r="AD297" s="1"/>
    </x:row>
    <x:row r="298">
      <x:c r="A298" s="1">
        <x:v>297</x:v>
      </x:c>
      <x:c r="B298" t="str">
        <x:v>B</x:v>
      </x:c>
      <x:c r="C298" t="str">
        <x:v>W</x:v>
      </x:c>
      <x:c r="D298" t="str">
        <x:v>W</x:v>
      </x:c>
      <x:c r="E298" t="str">
        <x:v>B</x:v>
      </x:c>
      <x:c r="F298" t="str">
        <x:v>W</x:v>
      </x:c>
      <x:c r="G298" t="str">
        <x:v>W</x:v>
      </x:c>
      <x:c r="H298" t="str">
        <x:v>B</x:v>
      </x:c>
      <x:c r="I298" t="str">
        <x:v>W</x:v>
      </x:c>
      <x:c r="J298" t="str">
        <x:v>B</x:v>
      </x:c>
      <x:c r="K298" t="str">
        <x:v>B</x:v>
      </x:c>
      <x:c r="L298" t="str">
        <x:v>B</x:v>
      </x:c>
      <x:c r="M298" t="str">
        <x:v>B</x:v>
      </x:c>
      <x:c r="N298" t="str">
        <x:v>B</x:v>
      </x:c>
      <x:c r="O298" t="str">
        <x:v>W</x:v>
      </x:c>
      <x:c r="P298" t="str">
        <x:v>B</x:v>
      </x:c>
      <x:c r="Q298" t="str">
        <x:v>B</x:v>
      </x:c>
      <x:c r="R298" t="str">
        <x:v>B</x:v>
      </x:c>
      <x:c r="S298" t="str">
        <x:v>B</x:v>
      </x:c>
      <x:c r="T298" t="str">
        <x:v>W</x:v>
      </x:c>
      <x:c r="U298" t="str">
        <x:v>B</x:v>
      </x:c>
      <x:c r="V298" t="n">
        <x:f>COUNTIF(B298:U298,"W")</x:f>
        <x:v>7</x:v>
      </x:c>
      <x:c r="W298" s="5" t="str">
        <x:f>IF(COUNTIF(B298:D298,"W")&gt;0,"Y","N")</x:f>
        <x:v>Y</x:v>
      </x:c>
      <x:c r="X298" s="1"/>
      <x:c r="Y298" s="1"/>
      <x:c r="Z298" s="1"/>
      <x:c r="AA298" s="1"/>
      <x:c r="AB298" s="1"/>
      <x:c r="AC298" s="1"/>
      <x:c r="AD298" s="1"/>
    </x:row>
    <x:row r="299">
      <x:c r="A299" s="1">
        <x:v>298</x:v>
      </x:c>
      <x:c r="B299" t="str">
        <x:v>W</x:v>
      </x:c>
      <x:c r="C299" t="str">
        <x:v>B</x:v>
      </x:c>
      <x:c r="D299" t="str">
        <x:v>B</x:v>
      </x:c>
      <x:c r="E299" t="str">
        <x:v>B</x:v>
      </x:c>
      <x:c r="F299" t="str">
        <x:v>B</x:v>
      </x:c>
      <x:c r="G299" t="str">
        <x:v>W</x:v>
      </x:c>
      <x:c r="H299" t="str">
        <x:v>B</x:v>
      </x:c>
      <x:c r="I299" t="str">
        <x:v>W</x:v>
      </x:c>
      <x:c r="J299" t="str">
        <x:v>W</x:v>
      </x:c>
      <x:c r="K299" t="str">
        <x:v>W</x:v>
      </x:c>
      <x:c r="L299" t="str">
        <x:v>B</x:v>
      </x:c>
      <x:c r="M299" t="str">
        <x:v>B</x:v>
      </x:c>
      <x:c r="N299" t="str">
        <x:v>B</x:v>
      </x:c>
      <x:c r="O299" t="str">
        <x:v>W</x:v>
      </x:c>
      <x:c r="P299" t="str">
        <x:v>W</x:v>
      </x:c>
      <x:c r="Q299" t="str">
        <x:v>W</x:v>
      </x:c>
      <x:c r="R299" t="str">
        <x:v>B</x:v>
      </x:c>
      <x:c r="S299" t="str">
        <x:v>B</x:v>
      </x:c>
      <x:c r="T299" t="str">
        <x:v>B</x:v>
      </x:c>
      <x:c r="U299" t="str">
        <x:v>B</x:v>
      </x:c>
      <x:c r="V299" t="n">
        <x:f>COUNTIF(B299:U299,"W")</x:f>
        <x:v>8</x:v>
      </x:c>
      <x:c r="W299" s="5" t="str">
        <x:f>IF(COUNTIF(B299:D299,"W")&gt;0,"Y","N")</x:f>
        <x:v>Y</x:v>
      </x:c>
      <x:c r="X299" s="1"/>
      <x:c r="Y299" s="1"/>
      <x:c r="Z299" s="1"/>
      <x:c r="AA299" s="1"/>
      <x:c r="AB299" s="1"/>
      <x:c r="AC299" s="1"/>
      <x:c r="AD299" s="1"/>
    </x:row>
    <x:row r="300">
      <x:c r="A300" s="1">
        <x:v>299</x:v>
      </x:c>
      <x:c r="B300" t="str">
        <x:v>W</x:v>
      </x:c>
      <x:c r="C300" t="str">
        <x:v>B</x:v>
      </x:c>
      <x:c r="D300" t="str">
        <x:v>W</x:v>
      </x:c>
      <x:c r="E300" t="str">
        <x:v>B</x:v>
      </x:c>
      <x:c r="F300" t="str">
        <x:v>B</x:v>
      </x:c>
      <x:c r="G300" t="str">
        <x:v>W</x:v>
      </x:c>
      <x:c r="H300" t="str">
        <x:v>W</x:v>
      </x:c>
      <x:c r="I300" t="str">
        <x:v>B</x:v>
      </x:c>
      <x:c r="J300" t="str">
        <x:v>B</x:v>
      </x:c>
      <x:c r="K300" t="str">
        <x:v>W</x:v>
      </x:c>
      <x:c r="L300" t="str">
        <x:v>B</x:v>
      </x:c>
      <x:c r="M300" t="str">
        <x:v>W</x:v>
      </x:c>
      <x:c r="N300" t="str">
        <x:v>B</x:v>
      </x:c>
      <x:c r="O300" t="str">
        <x:v>B</x:v>
      </x:c>
      <x:c r="P300" t="str">
        <x:v>B</x:v>
      </x:c>
      <x:c r="Q300" t="str">
        <x:v>B</x:v>
      </x:c>
      <x:c r="R300" t="str">
        <x:v>B</x:v>
      </x:c>
      <x:c r="S300" t="str">
        <x:v>B</x:v>
      </x:c>
      <x:c r="T300" t="str">
        <x:v>B</x:v>
      </x:c>
      <x:c r="U300" t="str">
        <x:v>W</x:v>
      </x:c>
      <x:c r="V300" t="n">
        <x:f>COUNTIF(B300:U300,"W")</x:f>
        <x:v>7</x:v>
      </x:c>
      <x:c r="W300" s="5" t="str">
        <x:f>IF(COUNTIF(B300:D300,"W")&gt;0,"Y","N")</x:f>
        <x:v>Y</x:v>
      </x:c>
      <x:c r="X300" s="1"/>
      <x:c r="Y300" s="1"/>
      <x:c r="Z300" s="1"/>
      <x:c r="AA300" s="1"/>
      <x:c r="AB300" s="1"/>
      <x:c r="AC300" s="1"/>
      <x:c r="AD300" s="1"/>
    </x:row>
    <x:row r="301">
      <x:c r="A301" s="1">
        <x:v>300</x:v>
      </x:c>
      <x:c r="B301" t="str">
        <x:v>B</x:v>
      </x:c>
      <x:c r="C301" t="str">
        <x:v>B</x:v>
      </x:c>
      <x:c r="D301" t="str">
        <x:v>B</x:v>
      </x:c>
      <x:c r="E301" t="str">
        <x:v>W</x:v>
      </x:c>
      <x:c r="F301" t="str">
        <x:v>W</x:v>
      </x:c>
      <x:c r="G301" t="str">
        <x:v>B</x:v>
      </x:c>
      <x:c r="H301" t="str">
        <x:v>W</x:v>
      </x:c>
      <x:c r="I301" t="str">
        <x:v>W</x:v>
      </x:c>
      <x:c r="J301" t="str">
        <x:v>B</x:v>
      </x:c>
      <x:c r="K301" t="str">
        <x:v>W</x:v>
      </x:c>
      <x:c r="L301" t="str">
        <x:v>B</x:v>
      </x:c>
      <x:c r="M301" t="str">
        <x:v>B</x:v>
      </x:c>
      <x:c r="N301" t="str">
        <x:v>B</x:v>
      </x:c>
      <x:c r="O301" t="str">
        <x:v>B</x:v>
      </x:c>
      <x:c r="P301" t="str">
        <x:v>B</x:v>
      </x:c>
      <x:c r="Q301" t="str">
        <x:v>W</x:v>
      </x:c>
      <x:c r="R301" t="str">
        <x:v>B</x:v>
      </x:c>
      <x:c r="S301" t="str">
        <x:v>W</x:v>
      </x:c>
      <x:c r="T301" t="str">
        <x:v>B</x:v>
      </x:c>
      <x:c r="U301" t="str">
        <x:v>W</x:v>
      </x:c>
      <x:c r="V301" t="n">
        <x:f>COUNTIF(B301:U301,"W")</x:f>
        <x:v>8</x:v>
      </x:c>
      <x:c r="W301" s="5" t="str">
        <x:f>IF(COUNTIF(B301:D301,"W")&gt;0,"Y","N")</x:f>
        <x:v>N</x:v>
      </x:c>
      <x:c r="X301" s="1"/>
      <x:c r="Y301" s="1"/>
      <x:c r="Z301" s="1"/>
      <x:c r="AA301" s="1"/>
      <x:c r="AB301" s="1"/>
      <x:c r="AC301" s="1"/>
      <x:c r="AD301" s="1"/>
    </x:row>
    <x:row r="302">
      <x:c r="A302" s="1">
        <x:v>301</x:v>
      </x:c>
      <x:c r="B302" t="str">
        <x:v>W</x:v>
      </x:c>
      <x:c r="C302" t="str">
        <x:v>B</x:v>
      </x:c>
      <x:c r="D302" t="str">
        <x:v>B</x:v>
      </x:c>
      <x:c r="E302" t="str">
        <x:v>W</x:v>
      </x:c>
      <x:c r="F302" t="str">
        <x:v>B</x:v>
      </x:c>
      <x:c r="G302" t="str">
        <x:v>B</x:v>
      </x:c>
      <x:c r="H302" t="str">
        <x:v>B</x:v>
      </x:c>
      <x:c r="I302" t="str">
        <x:v>B</x:v>
      </x:c>
      <x:c r="J302" t="str">
        <x:v>W</x:v>
      </x:c>
      <x:c r="K302" t="str">
        <x:v>W</x:v>
      </x:c>
      <x:c r="L302" t="str">
        <x:v>B</x:v>
      </x:c>
      <x:c r="M302" t="str">
        <x:v>B</x:v>
      </x:c>
      <x:c r="N302" t="str">
        <x:v>B</x:v>
      </x:c>
      <x:c r="O302" t="str">
        <x:v>B</x:v>
      </x:c>
      <x:c r="P302" t="str">
        <x:v>B</x:v>
      </x:c>
      <x:c r="Q302" t="str">
        <x:v>W</x:v>
      </x:c>
      <x:c r="R302" t="str">
        <x:v>W</x:v>
      </x:c>
      <x:c r="S302" t="str">
        <x:v>W</x:v>
      </x:c>
      <x:c r="T302" t="str">
        <x:v>B</x:v>
      </x:c>
      <x:c r="U302" t="str">
        <x:v>B</x:v>
      </x:c>
      <x:c r="V302" t="n">
        <x:f>COUNTIF(B302:U302,"W")</x:f>
        <x:v>7</x:v>
      </x:c>
      <x:c r="W302" s="5" t="str">
        <x:f>IF(COUNTIF(B302:D302,"W")&gt;0,"Y","N")</x:f>
        <x:v>Y</x:v>
      </x:c>
      <x:c r="X302" s="1"/>
      <x:c r="Y302" s="1"/>
      <x:c r="Z302" s="1"/>
      <x:c r="AA302" s="1"/>
      <x:c r="AB302" s="1"/>
      <x:c r="AC302" s="1"/>
      <x:c r="AD302" s="1"/>
    </x:row>
    <x:row r="303">
      <x:c r="A303" s="1">
        <x:v>302</x:v>
      </x:c>
      <x:c r="B303" t="str">
        <x:v>B</x:v>
      </x:c>
      <x:c r="C303" t="str">
        <x:v>W</x:v>
      </x:c>
      <x:c r="D303" t="str">
        <x:v>W</x:v>
      </x:c>
      <x:c r="E303" t="str">
        <x:v>B</x:v>
      </x:c>
      <x:c r="F303" t="str">
        <x:v>B</x:v>
      </x:c>
      <x:c r="G303" t="str">
        <x:v>B</x:v>
      </x:c>
      <x:c r="H303" t="str">
        <x:v>B</x:v>
      </x:c>
      <x:c r="I303" t="str">
        <x:v>W</x:v>
      </x:c>
      <x:c r="J303" t="str">
        <x:v>B</x:v>
      </x:c>
      <x:c r="K303" t="str">
        <x:v>B</x:v>
      </x:c>
      <x:c r="L303" t="str">
        <x:v>B</x:v>
      </x:c>
      <x:c r="M303" t="str">
        <x:v>B</x:v>
      </x:c>
      <x:c r="N303" t="str">
        <x:v>W</x:v>
      </x:c>
      <x:c r="O303" t="str">
        <x:v>B</x:v>
      </x:c>
      <x:c r="P303" t="str">
        <x:v>W</x:v>
      </x:c>
      <x:c r="Q303" t="str">
        <x:v>B</x:v>
      </x:c>
      <x:c r="R303" t="str">
        <x:v>B</x:v>
      </x:c>
      <x:c r="S303" t="str">
        <x:v>B</x:v>
      </x:c>
      <x:c r="T303" t="str">
        <x:v>B</x:v>
      </x:c>
      <x:c r="U303" t="str">
        <x:v>B</x:v>
      </x:c>
      <x:c r="V303" t="n">
        <x:f>COUNTIF(B303:U303,"W")</x:f>
        <x:v>5</x:v>
      </x:c>
      <x:c r="W303" s="5" t="str">
        <x:f>IF(COUNTIF(B303:D303,"W")&gt;0,"Y","N")</x:f>
        <x:v>Y</x:v>
      </x:c>
      <x:c r="X303" s="1"/>
      <x:c r="Y303" s="1"/>
      <x:c r="Z303" s="1"/>
      <x:c r="AA303" s="1"/>
      <x:c r="AB303" s="1"/>
      <x:c r="AC303" s="1"/>
      <x:c r="AD303" s="1"/>
    </x:row>
    <x:row r="304">
      <x:c r="A304" s="1">
        <x:v>303</x:v>
      </x:c>
      <x:c r="B304" t="str">
        <x:v>B</x:v>
      </x:c>
      <x:c r="C304" t="str">
        <x:v>B</x:v>
      </x:c>
      <x:c r="D304" t="str">
        <x:v>W</x:v>
      </x:c>
      <x:c r="E304" t="str">
        <x:v>B</x:v>
      </x:c>
      <x:c r="F304" t="str">
        <x:v>B</x:v>
      </x:c>
      <x:c r="G304" t="str">
        <x:v>B</x:v>
      </x:c>
      <x:c r="H304" t="str">
        <x:v>W</x:v>
      </x:c>
      <x:c r="I304" t="str">
        <x:v>B</x:v>
      </x:c>
      <x:c r="J304" t="str">
        <x:v>B</x:v>
      </x:c>
      <x:c r="K304" t="str">
        <x:v>W</x:v>
      </x:c>
      <x:c r="L304" t="str">
        <x:v>W</x:v>
      </x:c>
      <x:c r="M304" t="str">
        <x:v>B</x:v>
      </x:c>
      <x:c r="N304" t="str">
        <x:v>W</x:v>
      </x:c>
      <x:c r="O304" t="str">
        <x:v>B</x:v>
      </x:c>
      <x:c r="P304" t="str">
        <x:v>B</x:v>
      </x:c>
      <x:c r="Q304" t="str">
        <x:v>B</x:v>
      </x:c>
      <x:c r="R304" t="str">
        <x:v>B</x:v>
      </x:c>
      <x:c r="S304" t="str">
        <x:v>W</x:v>
      </x:c>
      <x:c r="T304" t="str">
        <x:v>B</x:v>
      </x:c>
      <x:c r="U304" t="str">
        <x:v>B</x:v>
      </x:c>
      <x:c r="V304" t="n">
        <x:f>COUNTIF(B304:U304,"W")</x:f>
        <x:v>6</x:v>
      </x:c>
      <x:c r="W304" s="5" t="str">
        <x:f>IF(COUNTIF(B304:D304,"W")&gt;0,"Y","N")</x:f>
        <x:v>Y</x:v>
      </x:c>
      <x:c r="X304" s="1"/>
      <x:c r="Y304" s="1"/>
      <x:c r="Z304" s="1"/>
      <x:c r="AA304" s="1"/>
      <x:c r="AB304" s="1"/>
      <x:c r="AC304" s="1"/>
      <x:c r="AD304" s="1"/>
    </x:row>
    <x:row r="305">
      <x:c r="A305" s="1">
        <x:v>304</x:v>
      </x:c>
      <x:c r="B305" t="str">
        <x:v>B</x:v>
      </x:c>
      <x:c r="C305" t="str">
        <x:v>B</x:v>
      </x:c>
      <x:c r="D305" t="str">
        <x:v>B</x:v>
      </x:c>
      <x:c r="E305" t="str">
        <x:v>W</x:v>
      </x:c>
      <x:c r="F305" t="str">
        <x:v>W</x:v>
      </x:c>
      <x:c r="G305" t="str">
        <x:v>B</x:v>
      </x:c>
      <x:c r="H305" t="str">
        <x:v>W</x:v>
      </x:c>
      <x:c r="I305" t="str">
        <x:v>B</x:v>
      </x:c>
      <x:c r="J305" t="str">
        <x:v>B</x:v>
      </x:c>
      <x:c r="K305" t="str">
        <x:v>B</x:v>
      </x:c>
      <x:c r="L305" t="str">
        <x:v>B</x:v>
      </x:c>
      <x:c r="M305" t="str">
        <x:v>W</x:v>
      </x:c>
      <x:c r="N305" t="str">
        <x:v>W</x:v>
      </x:c>
      <x:c r="O305" t="str">
        <x:v>B</x:v>
      </x:c>
      <x:c r="P305" t="str">
        <x:v>B</x:v>
      </x:c>
      <x:c r="Q305" t="str">
        <x:v>B</x:v>
      </x:c>
      <x:c r="R305" t="str">
        <x:v>B</x:v>
      </x:c>
      <x:c r="S305" t="str">
        <x:v>W</x:v>
      </x:c>
      <x:c r="T305" t="str">
        <x:v>W</x:v>
      </x:c>
      <x:c r="U305" t="str">
        <x:v>B</x:v>
      </x:c>
      <x:c r="V305" t="n">
        <x:f>COUNTIF(B305:U305,"W")</x:f>
        <x:v>7</x:v>
      </x:c>
      <x:c r="W305" s="5" t="str">
        <x:f>IF(COUNTIF(B305:D305,"W")&gt;0,"Y","N")</x:f>
        <x:v>N</x:v>
      </x:c>
      <x:c r="X305" s="1"/>
      <x:c r="Y305" s="1"/>
      <x:c r="Z305" s="1"/>
      <x:c r="AA305" s="1"/>
      <x:c r="AB305" s="1"/>
      <x:c r="AC305" s="1"/>
      <x:c r="AD305" s="1"/>
    </x:row>
    <x:row r="306">
      <x:c r="A306" s="1">
        <x:v>305</x:v>
      </x:c>
      <x:c r="B306" t="str">
        <x:v>W</x:v>
      </x:c>
      <x:c r="C306" t="str">
        <x:v>W</x:v>
      </x:c>
      <x:c r="D306" t="str">
        <x:v>B</x:v>
      </x:c>
      <x:c r="E306" t="str">
        <x:v>B</x:v>
      </x:c>
      <x:c r="F306" t="str">
        <x:v>W</x:v>
      </x:c>
      <x:c r="G306" t="str">
        <x:v>B</x:v>
      </x:c>
      <x:c r="H306" t="str">
        <x:v>B</x:v>
      </x:c>
      <x:c r="I306" t="str">
        <x:v>W</x:v>
      </x:c>
      <x:c r="J306" t="str">
        <x:v>B</x:v>
      </x:c>
      <x:c r="K306" t="str">
        <x:v>B</x:v>
      </x:c>
      <x:c r="L306" t="str">
        <x:v>B</x:v>
      </x:c>
      <x:c r="M306" t="str">
        <x:v>B</x:v>
      </x:c>
      <x:c r="N306" t="str">
        <x:v>B</x:v>
      </x:c>
      <x:c r="O306" t="str">
        <x:v>W</x:v>
      </x:c>
      <x:c r="P306" t="str">
        <x:v>W</x:v>
      </x:c>
      <x:c r="Q306" t="str">
        <x:v>W</x:v>
      </x:c>
      <x:c r="R306" t="str">
        <x:v>B</x:v>
      </x:c>
      <x:c r="S306" t="str">
        <x:v>W</x:v>
      </x:c>
      <x:c r="T306" t="str">
        <x:v>B</x:v>
      </x:c>
      <x:c r="U306" t="str">
        <x:v>B</x:v>
      </x:c>
      <x:c r="V306" t="n">
        <x:f>COUNTIF(B306:U306,"W")</x:f>
        <x:v>8</x:v>
      </x:c>
      <x:c r="W306" s="5" t="str">
        <x:f>IF(COUNTIF(B306:D306,"W")&gt;0,"Y","N")</x:f>
        <x:v>Y</x:v>
      </x:c>
      <x:c r="X306" s="1"/>
      <x:c r="Y306" s="1"/>
      <x:c r="Z306" s="1"/>
      <x:c r="AA306" s="1"/>
      <x:c r="AB306" s="1"/>
      <x:c r="AC306" s="1"/>
      <x:c r="AD306" s="1"/>
    </x:row>
    <x:row r="307">
      <x:c r="A307" s="1">
        <x:v>306</x:v>
      </x:c>
      <x:c r="B307" t="str">
        <x:v>B</x:v>
      </x:c>
      <x:c r="C307" t="str">
        <x:v>B</x:v>
      </x:c>
      <x:c r="D307" t="str">
        <x:v>B</x:v>
      </x:c>
      <x:c r="E307" t="str">
        <x:v>B</x:v>
      </x:c>
      <x:c r="F307" t="str">
        <x:v>W</x:v>
      </x:c>
      <x:c r="G307" t="str">
        <x:v>W</x:v>
      </x:c>
      <x:c r="H307" t="str">
        <x:v>B</x:v>
      </x:c>
      <x:c r="I307" t="str">
        <x:v>W</x:v>
      </x:c>
      <x:c r="J307" t="str">
        <x:v>B</x:v>
      </x:c>
      <x:c r="K307" t="str">
        <x:v>B</x:v>
      </x:c>
      <x:c r="L307" t="str">
        <x:v>B</x:v>
      </x:c>
      <x:c r="M307" t="str">
        <x:v>W</x:v>
      </x:c>
      <x:c r="N307" t="str">
        <x:v>B</x:v>
      </x:c>
      <x:c r="O307" t="str">
        <x:v>B</x:v>
      </x:c>
      <x:c r="P307" t="str">
        <x:v>W</x:v>
      </x:c>
      <x:c r="Q307" t="str">
        <x:v>B</x:v>
      </x:c>
      <x:c r="R307" t="str">
        <x:v>W</x:v>
      </x:c>
      <x:c r="S307" t="str">
        <x:v>W</x:v>
      </x:c>
      <x:c r="T307" t="str">
        <x:v>B</x:v>
      </x:c>
      <x:c r="U307" t="str">
        <x:v>B</x:v>
      </x:c>
      <x:c r="V307" t="n">
        <x:f>COUNTIF(B307:U307,"W")</x:f>
        <x:v>7</x:v>
      </x:c>
      <x:c r="W307" s="5" t="str">
        <x:f>IF(COUNTIF(B307:D307,"W")&gt;0,"Y","N")</x:f>
        <x:v>N</x:v>
      </x:c>
      <x:c r="X307" s="1"/>
      <x:c r="Y307" s="1"/>
      <x:c r="Z307" s="1"/>
      <x:c r="AA307" s="1"/>
      <x:c r="AB307" s="1"/>
      <x:c r="AC307" s="1"/>
      <x:c r="AD307" s="1"/>
    </x:row>
    <x:row r="308">
      <x:c r="A308" s="1">
        <x:v>307</x:v>
      </x:c>
      <x:c r="B308" t="str">
        <x:v>W</x:v>
      </x:c>
      <x:c r="C308" t="str">
        <x:v>B</x:v>
      </x:c>
      <x:c r="D308" t="str">
        <x:v>B</x:v>
      </x:c>
      <x:c r="E308" t="str">
        <x:v>B</x:v>
      </x:c>
      <x:c r="F308" t="str">
        <x:v>B</x:v>
      </x:c>
      <x:c r="G308" t="str">
        <x:v>W</x:v>
      </x:c>
      <x:c r="H308" t="str">
        <x:v>B</x:v>
      </x:c>
      <x:c r="I308" t="str">
        <x:v>B</x:v>
      </x:c>
      <x:c r="J308" t="str">
        <x:v>W</x:v>
      </x:c>
      <x:c r="K308" t="str">
        <x:v>W</x:v>
      </x:c>
      <x:c r="L308" t="str">
        <x:v>W</x:v>
      </x:c>
      <x:c r="M308" t="str">
        <x:v>B</x:v>
      </x:c>
      <x:c r="N308" t="str">
        <x:v>B</x:v>
      </x:c>
      <x:c r="O308" t="str">
        <x:v>W</x:v>
      </x:c>
      <x:c r="P308" t="str">
        <x:v>B</x:v>
      </x:c>
      <x:c r="Q308" t="str">
        <x:v>B</x:v>
      </x:c>
      <x:c r="R308" t="str">
        <x:v>W</x:v>
      </x:c>
      <x:c r="S308" t="str">
        <x:v>W</x:v>
      </x:c>
      <x:c r="T308" t="str">
        <x:v>B</x:v>
      </x:c>
      <x:c r="U308" t="str">
        <x:v>B</x:v>
      </x:c>
      <x:c r="V308" t="n">
        <x:f>COUNTIF(B308:U308,"W")</x:f>
        <x:v>8</x:v>
      </x:c>
      <x:c r="W308" s="5" t="str">
        <x:f>IF(COUNTIF(B308:D308,"W")&gt;0,"Y","N")</x:f>
        <x:v>Y</x:v>
      </x:c>
      <x:c r="X308" s="1"/>
      <x:c r="Y308" s="1"/>
      <x:c r="Z308" s="1"/>
      <x:c r="AA308" s="1"/>
      <x:c r="AB308" s="1"/>
      <x:c r="AC308" s="1"/>
      <x:c r="AD308" s="1"/>
    </x:row>
    <x:row r="309">
      <x:c r="A309" s="1">
        <x:v>308</x:v>
      </x:c>
      <x:c r="B309" t="str">
        <x:v>B</x:v>
      </x:c>
      <x:c r="C309" t="str">
        <x:v>W</x:v>
      </x:c>
      <x:c r="D309" t="str">
        <x:v>W</x:v>
      </x:c>
      <x:c r="E309" t="str">
        <x:v>W</x:v>
      </x:c>
      <x:c r="F309" t="str">
        <x:v>B</x:v>
      </x:c>
      <x:c r="G309" t="str">
        <x:v>W</x:v>
      </x:c>
      <x:c r="H309" t="str">
        <x:v>B</x:v>
      </x:c>
      <x:c r="I309" t="str">
        <x:v>W</x:v>
      </x:c>
      <x:c r="J309" t="str">
        <x:v>W</x:v>
      </x:c>
      <x:c r="K309" t="str">
        <x:v>W</x:v>
      </x:c>
      <x:c r="L309" t="str">
        <x:v>W</x:v>
      </x:c>
      <x:c r="M309" t="str">
        <x:v>B</x:v>
      </x:c>
      <x:c r="N309" t="str">
        <x:v>W</x:v>
      </x:c>
      <x:c r="O309" t="str">
        <x:v>W</x:v>
      </x:c>
      <x:c r="P309" t="str">
        <x:v>B</x:v>
      </x:c>
      <x:c r="Q309" t="str">
        <x:v>B</x:v>
      </x:c>
      <x:c r="R309" t="str">
        <x:v>B</x:v>
      </x:c>
      <x:c r="S309" t="str">
        <x:v>B</x:v>
      </x:c>
      <x:c r="T309" t="str">
        <x:v>W</x:v>
      </x:c>
      <x:c r="U309" t="str">
        <x:v>W</x:v>
      </x:c>
      <x:c r="V309" t="n">
        <x:f>COUNTIF(B309:U309,"W")</x:f>
        <x:v>12</x:v>
      </x:c>
      <x:c r="W309" s="5" t="str">
        <x:f>IF(COUNTIF(B309:D309,"W")&gt;0,"Y","N")</x:f>
        <x:v>Y</x:v>
      </x:c>
      <x:c r="X309" s="1"/>
      <x:c r="Y309" s="1"/>
      <x:c r="Z309" s="1"/>
      <x:c r="AA309" s="1"/>
      <x:c r="AB309" s="1"/>
      <x:c r="AC309" s="1"/>
      <x:c r="AD309" s="1"/>
    </x:row>
    <x:row r="310">
      <x:c r="A310" s="1">
        <x:v>309</x:v>
      </x:c>
      <x:c r="B310" t="str">
        <x:v>B</x:v>
      </x:c>
      <x:c r="C310" t="str">
        <x:v>B</x:v>
      </x:c>
      <x:c r="D310" t="str">
        <x:v>B</x:v>
      </x:c>
      <x:c r="E310" t="str">
        <x:v>B</x:v>
      </x:c>
      <x:c r="F310" t="str">
        <x:v>B</x:v>
      </x:c>
      <x:c r="G310" t="str">
        <x:v>W</x:v>
      </x:c>
      <x:c r="H310" t="str">
        <x:v>W</x:v>
      </x:c>
      <x:c r="I310" t="str">
        <x:v>B</x:v>
      </x:c>
      <x:c r="J310" t="str">
        <x:v>B</x:v>
      </x:c>
      <x:c r="K310" t="str">
        <x:v>B</x:v>
      </x:c>
      <x:c r="L310" t="str">
        <x:v>W</x:v>
      </x:c>
      <x:c r="M310" t="str">
        <x:v>B</x:v>
      </x:c>
      <x:c r="N310" t="str">
        <x:v>B</x:v>
      </x:c>
      <x:c r="O310" t="str">
        <x:v>W</x:v>
      </x:c>
      <x:c r="P310" t="str">
        <x:v>B</x:v>
      </x:c>
      <x:c r="Q310" t="str">
        <x:v>B</x:v>
      </x:c>
      <x:c r="R310" t="str">
        <x:v>B</x:v>
      </x:c>
      <x:c r="S310" t="str">
        <x:v>B</x:v>
      </x:c>
      <x:c r="T310" t="str">
        <x:v>W</x:v>
      </x:c>
      <x:c r="U310" t="str">
        <x:v>W</x:v>
      </x:c>
      <x:c r="V310" t="n">
        <x:f>COUNTIF(B310:U310,"W")</x:f>
        <x:v>6</x:v>
      </x:c>
      <x:c r="W310" s="5" t="str">
        <x:f>IF(COUNTIF(B310:D310,"W")&gt;0,"Y","N")</x:f>
        <x:v>N</x:v>
      </x:c>
      <x:c r="X310" s="1"/>
      <x:c r="Y310" s="1"/>
      <x:c r="Z310" s="1"/>
      <x:c r="AA310" s="1"/>
      <x:c r="AB310" s="1"/>
      <x:c r="AC310" s="1"/>
      <x:c r="AD310" s="1"/>
    </x:row>
    <x:row r="311">
      <x:c r="A311" s="1">
        <x:v>310</x:v>
      </x:c>
      <x:c r="B311" t="str">
        <x:v>B</x:v>
      </x:c>
      <x:c r="C311" t="str">
        <x:v>W</x:v>
      </x:c>
      <x:c r="D311" t="str">
        <x:v>B</x:v>
      </x:c>
      <x:c r="E311" t="str">
        <x:v>B</x:v>
      </x:c>
      <x:c r="F311" t="str">
        <x:v>W</x:v>
      </x:c>
      <x:c r="G311" t="str">
        <x:v>B</x:v>
      </x:c>
      <x:c r="H311" t="str">
        <x:v>W</x:v>
      </x:c>
      <x:c r="I311" t="str">
        <x:v>W</x:v>
      </x:c>
      <x:c r="J311" t="str">
        <x:v>W</x:v>
      </x:c>
      <x:c r="K311" t="str">
        <x:v>B</x:v>
      </x:c>
      <x:c r="L311" t="str">
        <x:v>W</x:v>
      </x:c>
      <x:c r="M311" t="str">
        <x:v>B</x:v>
      </x:c>
      <x:c r="N311" t="str">
        <x:v>B</x:v>
      </x:c>
      <x:c r="O311" t="str">
        <x:v>B</x:v>
      </x:c>
      <x:c r="P311" t="str">
        <x:v>B</x:v>
      </x:c>
      <x:c r="Q311" t="str">
        <x:v>B</x:v>
      </x:c>
      <x:c r="R311" t="str">
        <x:v>B</x:v>
      </x:c>
      <x:c r="S311" t="str">
        <x:v>W</x:v>
      </x:c>
      <x:c r="T311" t="str">
        <x:v>W</x:v>
      </x:c>
      <x:c r="U311" t="str">
        <x:v>W</x:v>
      </x:c>
      <x:c r="V311" t="n">
        <x:f>COUNTIF(B311:U311,"W")</x:f>
        <x:v>9</x:v>
      </x:c>
      <x:c r="W311" s="5" t="str">
        <x:f>IF(COUNTIF(B311:D311,"W")&gt;0,"Y","N")</x:f>
        <x:v>Y</x:v>
      </x:c>
      <x:c r="X311" s="1"/>
      <x:c r="Y311" s="1"/>
      <x:c r="Z311" s="1"/>
      <x:c r="AA311" s="1"/>
      <x:c r="AB311" s="1"/>
      <x:c r="AC311" s="1"/>
      <x:c r="AD311" s="1"/>
    </x:row>
    <x:row r="312">
      <x:c r="A312" s="1">
        <x:v>311</x:v>
      </x:c>
      <x:c r="B312" t="str">
        <x:v>B</x:v>
      </x:c>
      <x:c r="C312" t="str">
        <x:v>B</x:v>
      </x:c>
      <x:c r="D312" t="str">
        <x:v>B</x:v>
      </x:c>
      <x:c r="E312" t="str">
        <x:v>W</x:v>
      </x:c>
      <x:c r="F312" t="str">
        <x:v>W</x:v>
      </x:c>
      <x:c r="G312" t="str">
        <x:v>B</x:v>
      </x:c>
      <x:c r="H312" t="str">
        <x:v>W</x:v>
      </x:c>
      <x:c r="I312" t="str">
        <x:v>W</x:v>
      </x:c>
      <x:c r="J312" t="str">
        <x:v>B</x:v>
      </x:c>
      <x:c r="K312" t="str">
        <x:v>B</x:v>
      </x:c>
      <x:c r="L312" t="str">
        <x:v>W</x:v>
      </x:c>
      <x:c r="M312" t="str">
        <x:v>B</x:v>
      </x:c>
      <x:c r="N312" t="str">
        <x:v>B</x:v>
      </x:c>
      <x:c r="O312" t="str">
        <x:v>B</x:v>
      </x:c>
      <x:c r="P312" t="str">
        <x:v>B</x:v>
      </x:c>
      <x:c r="Q312" t="str">
        <x:v>W</x:v>
      </x:c>
      <x:c r="R312" t="str">
        <x:v>W</x:v>
      </x:c>
      <x:c r="S312" t="str">
        <x:v>B</x:v>
      </x:c>
      <x:c r="T312" t="str">
        <x:v>W</x:v>
      </x:c>
      <x:c r="U312" t="str">
        <x:v>B</x:v>
      </x:c>
      <x:c r="V312" t="n">
        <x:f>COUNTIF(B312:U312,"W")</x:f>
        <x:v>8</x:v>
      </x:c>
      <x:c r="W312" s="5" t="str">
        <x:f>IF(COUNTIF(B312:D312,"W")&gt;0,"Y","N")</x:f>
        <x:v>N</x:v>
      </x:c>
      <x:c r="X312" s="1"/>
      <x:c r="Y312" s="1"/>
      <x:c r="Z312" s="1"/>
      <x:c r="AA312" s="1"/>
      <x:c r="AB312" s="1"/>
      <x:c r="AC312" s="1"/>
      <x:c r="AD312" s="1"/>
    </x:row>
    <x:row r="313">
      <x:c r="A313" s="1">
        <x:v>312</x:v>
      </x:c>
      <x:c r="B313" t="str">
        <x:v>W</x:v>
      </x:c>
      <x:c r="C313" t="str">
        <x:v>B</x:v>
      </x:c>
      <x:c r="D313" t="str">
        <x:v>B</x:v>
      </x:c>
      <x:c r="E313" t="str">
        <x:v>B</x:v>
      </x:c>
      <x:c r="F313" t="str">
        <x:v>W</x:v>
      </x:c>
      <x:c r="G313" t="str">
        <x:v>W</x:v>
      </x:c>
      <x:c r="H313" t="str">
        <x:v>W</x:v>
      </x:c>
      <x:c r="I313" t="str">
        <x:v>W</x:v>
      </x:c>
      <x:c r="J313" t="str">
        <x:v>B</x:v>
      </x:c>
      <x:c r="K313" t="str">
        <x:v>W</x:v>
      </x:c>
      <x:c r="L313" t="str">
        <x:v>B</x:v>
      </x:c>
      <x:c r="M313" t="str">
        <x:v>B</x:v>
      </x:c>
      <x:c r="N313" t="str">
        <x:v>B</x:v>
      </x:c>
      <x:c r="O313" t="str">
        <x:v>W</x:v>
      </x:c>
      <x:c r="P313" t="str">
        <x:v>B</x:v>
      </x:c>
      <x:c r="Q313" t="str">
        <x:v>B</x:v>
      </x:c>
      <x:c r="R313" t="str">
        <x:v>B</x:v>
      </x:c>
      <x:c r="S313" t="str">
        <x:v>B</x:v>
      </x:c>
      <x:c r="T313" t="str">
        <x:v>B</x:v>
      </x:c>
      <x:c r="U313" t="str">
        <x:v>B</x:v>
      </x:c>
      <x:c r="V313" t="n">
        <x:f>COUNTIF(B313:U313,"W")</x:f>
        <x:v>7</x:v>
      </x:c>
      <x:c r="W313" s="5" t="str">
        <x:f>IF(COUNTIF(B313:D313,"W")&gt;0,"Y","N")</x:f>
        <x:v>Y</x:v>
      </x:c>
      <x:c r="X313" s="1"/>
      <x:c r="Y313" s="1"/>
      <x:c r="Z313" s="1"/>
      <x:c r="AA313" s="1"/>
      <x:c r="AB313" s="1"/>
      <x:c r="AC313" s="1"/>
      <x:c r="AD313" s="1"/>
    </x:row>
    <x:row r="314">
      <x:c r="A314" s="1">
        <x:v>313</x:v>
      </x:c>
      <x:c r="B314" t="str">
        <x:v>B</x:v>
      </x:c>
      <x:c r="C314" t="str">
        <x:v>B</x:v>
      </x:c>
      <x:c r="D314" t="str">
        <x:v>B</x:v>
      </x:c>
      <x:c r="E314" t="str">
        <x:v>W</x:v>
      </x:c>
      <x:c r="F314" t="str">
        <x:v>B</x:v>
      </x:c>
      <x:c r="G314" t="str">
        <x:v>B</x:v>
      </x:c>
      <x:c r="H314" t="str">
        <x:v>W</x:v>
      </x:c>
      <x:c r="I314" t="str">
        <x:v>B</x:v>
      </x:c>
      <x:c r="J314" t="str">
        <x:v>W</x:v>
      </x:c>
      <x:c r="K314" t="str">
        <x:v>B</x:v>
      </x:c>
      <x:c r="L314" t="str">
        <x:v>B</x:v>
      </x:c>
      <x:c r="M314" t="str">
        <x:v>W</x:v>
      </x:c>
      <x:c r="N314" t="str">
        <x:v>B</x:v>
      </x:c>
      <x:c r="O314" t="str">
        <x:v>W</x:v>
      </x:c>
      <x:c r="P314" t="str">
        <x:v>B</x:v>
      </x:c>
      <x:c r="Q314" t="str">
        <x:v>B</x:v>
      </x:c>
      <x:c r="R314" t="str">
        <x:v>B</x:v>
      </x:c>
      <x:c r="S314" t="str">
        <x:v>W</x:v>
      </x:c>
      <x:c r="T314" t="str">
        <x:v>B</x:v>
      </x:c>
      <x:c r="U314" t="str">
        <x:v>B</x:v>
      </x:c>
      <x:c r="V314" t="n">
        <x:f>COUNTIF(B314:U314,"W")</x:f>
        <x:v>6</x:v>
      </x:c>
      <x:c r="W314" s="5" t="str">
        <x:f>IF(COUNTIF(B314:D314,"W")&gt;0,"Y","N")</x:f>
        <x:v>N</x:v>
      </x:c>
      <x:c r="X314" s="1"/>
      <x:c r="Y314" s="1"/>
      <x:c r="Z314" s="1"/>
      <x:c r="AA314" s="1"/>
      <x:c r="AB314" s="1"/>
      <x:c r="AC314" s="1"/>
      <x:c r="AD314" s="1"/>
    </x:row>
    <x:row r="315">
      <x:c r="A315" s="1">
        <x:v>314</x:v>
      </x:c>
      <x:c r="B315" t="str">
        <x:v>B</x:v>
      </x:c>
      <x:c r="C315" t="str">
        <x:v>W</x:v>
      </x:c>
      <x:c r="D315" t="str">
        <x:v>B</x:v>
      </x:c>
      <x:c r="E315" t="str">
        <x:v>B</x:v>
      </x:c>
      <x:c r="F315" t="str">
        <x:v>B</x:v>
      </x:c>
      <x:c r="G315" t="str">
        <x:v>B</x:v>
      </x:c>
      <x:c r="H315" t="str">
        <x:v>W</x:v>
      </x:c>
      <x:c r="I315" t="str">
        <x:v>W</x:v>
      </x:c>
      <x:c r="J315" t="str">
        <x:v>W</x:v>
      </x:c>
      <x:c r="K315" t="str">
        <x:v>B</x:v>
      </x:c>
      <x:c r="L315" t="str">
        <x:v>B</x:v>
      </x:c>
      <x:c r="M315" t="str">
        <x:v>W</x:v>
      </x:c>
      <x:c r="N315" t="str">
        <x:v>B</x:v>
      </x:c>
      <x:c r="O315" t="str">
        <x:v>B</x:v>
      </x:c>
      <x:c r="P315" t="str">
        <x:v>B</x:v>
      </x:c>
      <x:c r="Q315" t="str">
        <x:v>B</x:v>
      </x:c>
      <x:c r="R315" t="str">
        <x:v>B</x:v>
      </x:c>
      <x:c r="S315" t="str">
        <x:v>B</x:v>
      </x:c>
      <x:c r="T315" t="str">
        <x:v>W</x:v>
      </x:c>
      <x:c r="U315" t="str">
        <x:v>W</x:v>
      </x:c>
      <x:c r="V315" t="n">
        <x:f>COUNTIF(B315:U315,"W")</x:f>
        <x:v>7</x:v>
      </x:c>
      <x:c r="W315" s="5" t="str">
        <x:f>IF(COUNTIF(B315:D315,"W")&gt;0,"Y","N")</x:f>
        <x:v>Y</x:v>
      </x:c>
      <x:c r="X315" s="1"/>
      <x:c r="Y315" s="1"/>
      <x:c r="Z315" s="1"/>
      <x:c r="AA315" s="1"/>
      <x:c r="AB315" s="1"/>
      <x:c r="AC315" s="1"/>
      <x:c r="AD315" s="1"/>
    </x:row>
    <x:row r="316">
      <x:c r="A316" s="1">
        <x:v>315</x:v>
      </x:c>
      <x:c r="B316" t="str">
        <x:v>B</x:v>
      </x:c>
      <x:c r="C316" t="str">
        <x:v>B</x:v>
      </x:c>
      <x:c r="D316" t="str">
        <x:v>B</x:v>
      </x:c>
      <x:c r="E316" t="str">
        <x:v>W</x:v>
      </x:c>
      <x:c r="F316" t="str">
        <x:v>W</x:v>
      </x:c>
      <x:c r="G316" t="str">
        <x:v>B</x:v>
      </x:c>
      <x:c r="H316" t="str">
        <x:v>B</x:v>
      </x:c>
      <x:c r="I316" t="str">
        <x:v>W</x:v>
      </x:c>
      <x:c r="J316" t="str">
        <x:v>B</x:v>
      </x:c>
      <x:c r="K316" t="str">
        <x:v>B</x:v>
      </x:c>
      <x:c r="L316" t="str">
        <x:v>W</x:v>
      </x:c>
      <x:c r="M316" t="str">
        <x:v>W</x:v>
      </x:c>
      <x:c r="N316" t="str">
        <x:v>B</x:v>
      </x:c>
      <x:c r="O316" t="str">
        <x:v>W</x:v>
      </x:c>
      <x:c r="P316" t="str">
        <x:v>B</x:v>
      </x:c>
      <x:c r="Q316" t="str">
        <x:v>B</x:v>
      </x:c>
      <x:c r="R316" t="str">
        <x:v>B</x:v>
      </x:c>
      <x:c r="S316" t="str">
        <x:v>B</x:v>
      </x:c>
      <x:c r="T316" t="str">
        <x:v>W</x:v>
      </x:c>
      <x:c r="U316" t="str">
        <x:v>B</x:v>
      </x:c>
      <x:c r="V316" t="n">
        <x:f>COUNTIF(B316:U316,"W")</x:f>
        <x:v>7</x:v>
      </x:c>
      <x:c r="W316" s="5" t="str">
        <x:f>IF(COUNTIF(B316:D316,"W")&gt;0,"Y","N")</x:f>
        <x:v>N</x:v>
      </x:c>
      <x:c r="X316" s="1"/>
      <x:c r="Y316" s="1"/>
      <x:c r="Z316" s="1"/>
      <x:c r="AA316" s="1"/>
      <x:c r="AB316" s="1"/>
      <x:c r="AC316" s="1"/>
      <x:c r="AD316" s="1"/>
    </x:row>
    <x:row r="317">
      <x:c r="A317" s="1">
        <x:v>316</x:v>
      </x:c>
      <x:c r="B317" t="str">
        <x:v>W</x:v>
      </x:c>
      <x:c r="C317" t="str">
        <x:v>B</x:v>
      </x:c>
      <x:c r="D317" t="str">
        <x:v>B</x:v>
      </x:c>
      <x:c r="E317" t="str">
        <x:v>W</x:v>
      </x:c>
      <x:c r="F317" t="str">
        <x:v>B</x:v>
      </x:c>
      <x:c r="G317" t="str">
        <x:v>W</x:v>
      </x:c>
      <x:c r="H317" t="str">
        <x:v>B</x:v>
      </x:c>
      <x:c r="I317" t="str">
        <x:v>B</x:v>
      </x:c>
      <x:c r="J317" t="str">
        <x:v>B</x:v>
      </x:c>
      <x:c r="K317" t="str">
        <x:v>B</x:v>
      </x:c>
      <x:c r="L317" t="str">
        <x:v>B</x:v>
      </x:c>
      <x:c r="M317" t="str">
        <x:v>B</x:v>
      </x:c>
      <x:c r="N317" t="str">
        <x:v>W</x:v>
      </x:c>
      <x:c r="O317" t="str">
        <x:v>B</x:v>
      </x:c>
      <x:c r="P317" t="str">
        <x:v>W</x:v>
      </x:c>
      <x:c r="Q317" t="str">
        <x:v>W</x:v>
      </x:c>
      <x:c r="R317" t="str">
        <x:v>B</x:v>
      </x:c>
      <x:c r="S317" t="str">
        <x:v>W</x:v>
      </x:c>
      <x:c r="T317" t="str">
        <x:v>B</x:v>
      </x:c>
      <x:c r="U317" t="str">
        <x:v>B</x:v>
      </x:c>
      <x:c r="V317" t="n">
        <x:f>COUNTIF(B317:U317,"W")</x:f>
        <x:v>7</x:v>
      </x:c>
      <x:c r="W317" s="5" t="str">
        <x:f>IF(COUNTIF(B317:D317,"W")&gt;0,"Y","N")</x:f>
        <x:v>Y</x:v>
      </x:c>
      <x:c r="X317" s="1"/>
      <x:c r="Y317" s="1"/>
      <x:c r="Z317" s="1"/>
      <x:c r="AA317" s="1"/>
      <x:c r="AB317" s="1"/>
      <x:c r="AC317" s="1"/>
      <x:c r="AD317" s="1"/>
    </x:row>
    <x:row r="318">
      <x:c r="A318" s="1">
        <x:v>317</x:v>
      </x:c>
      <x:c r="B318" t="str">
        <x:v>B</x:v>
      </x:c>
      <x:c r="C318" t="str">
        <x:v>B</x:v>
      </x:c>
      <x:c r="D318" t="str">
        <x:v>W</x:v>
      </x:c>
      <x:c r="E318" t="str">
        <x:v>W</x:v>
      </x:c>
      <x:c r="F318" t="str">
        <x:v>W</x:v>
      </x:c>
      <x:c r="G318" t="str">
        <x:v>B</x:v>
      </x:c>
      <x:c r="H318" t="str">
        <x:v>B</x:v>
      </x:c>
      <x:c r="I318" t="str">
        <x:v>B</x:v>
      </x:c>
      <x:c r="J318" t="str">
        <x:v>B</x:v>
      </x:c>
      <x:c r="K318" t="str">
        <x:v>W</x:v>
      </x:c>
      <x:c r="L318" t="str">
        <x:v>B</x:v>
      </x:c>
      <x:c r="M318" t="str">
        <x:v>W</x:v>
      </x:c>
      <x:c r="N318" t="str">
        <x:v>B</x:v>
      </x:c>
      <x:c r="O318" t="str">
        <x:v>B</x:v>
      </x:c>
      <x:c r="P318" t="str">
        <x:v>B</x:v>
      </x:c>
      <x:c r="Q318" t="str">
        <x:v>B</x:v>
      </x:c>
      <x:c r="R318" t="str">
        <x:v>B</x:v>
      </x:c>
      <x:c r="S318" t="str">
        <x:v>W</x:v>
      </x:c>
      <x:c r="T318" t="str">
        <x:v>W</x:v>
      </x:c>
      <x:c r="U318" t="str">
        <x:v>B</x:v>
      </x:c>
      <x:c r="V318" t="n">
        <x:f>COUNTIF(B318:U318,"W")</x:f>
        <x:v>7</x:v>
      </x:c>
      <x:c r="W318" s="5" t="str">
        <x:f>IF(COUNTIF(B318:D318,"W")&gt;0,"Y","N")</x:f>
        <x:v>Y</x:v>
      </x:c>
      <x:c r="X318" s="1"/>
      <x:c r="Y318" s="1"/>
      <x:c r="Z318" s="1"/>
      <x:c r="AA318" s="1"/>
      <x:c r="AB318" s="1"/>
      <x:c r="AC318" s="1"/>
      <x:c r="AD318" s="1"/>
    </x:row>
    <x:row r="319">
      <x:c r="A319" s="1">
        <x:v>318</x:v>
      </x:c>
      <x:c r="B319" t="str">
        <x:v>W</x:v>
      </x:c>
      <x:c r="C319" t="str">
        <x:v>B</x:v>
      </x:c>
      <x:c r="D319" t="str">
        <x:v>B</x:v>
      </x:c>
      <x:c r="E319" t="str">
        <x:v>B</x:v>
      </x:c>
      <x:c r="F319" t="str">
        <x:v>B</x:v>
      </x:c>
      <x:c r="G319" t="str">
        <x:v>B</x:v>
      </x:c>
      <x:c r="H319" t="str">
        <x:v>B</x:v>
      </x:c>
      <x:c r="I319" t="str">
        <x:v>B</x:v>
      </x:c>
      <x:c r="J319" t="str">
        <x:v>W</x:v>
      </x:c>
      <x:c r="K319" t="str">
        <x:v>W</x:v>
      </x:c>
      <x:c r="L319" t="str">
        <x:v>W</x:v>
      </x:c>
      <x:c r="M319" t="str">
        <x:v>B</x:v>
      </x:c>
      <x:c r="N319" t="str">
        <x:v>W</x:v>
      </x:c>
      <x:c r="O319" t="str">
        <x:v>B</x:v>
      </x:c>
      <x:c r="P319" t="str">
        <x:v>B</x:v>
      </x:c>
      <x:c r="Q319" t="str">
        <x:v>B</x:v>
      </x:c>
      <x:c r="R319" t="str">
        <x:v>W</x:v>
      </x:c>
      <x:c r="S319" t="str">
        <x:v>W</x:v>
      </x:c>
      <x:c r="T319" t="str">
        <x:v>B</x:v>
      </x:c>
      <x:c r="U319" t="str">
        <x:v>B</x:v>
      </x:c>
      <x:c r="V319" t="n">
        <x:f>COUNTIF(B319:U319,"W")</x:f>
        <x:v>7</x:v>
      </x:c>
      <x:c r="W319" s="5" t="str">
        <x:f>IF(COUNTIF(B319:D319,"W")&gt;0,"Y","N")</x:f>
        <x:v>Y</x:v>
      </x:c>
      <x:c r="X319" s="1"/>
      <x:c r="Y319" s="1"/>
      <x:c r="Z319" s="1"/>
      <x:c r="AA319" s="1"/>
      <x:c r="AB319" s="1"/>
      <x:c r="AC319" s="1"/>
      <x:c r="AD319" s="1"/>
    </x:row>
    <x:row r="320">
      <x:c r="A320" s="1">
        <x:v>319</x:v>
      </x:c>
      <x:c r="B320" t="str">
        <x:v>B</x:v>
      </x:c>
      <x:c r="C320" t="str">
        <x:v>B</x:v>
      </x:c>
      <x:c r="D320" t="str">
        <x:v>W</x:v>
      </x:c>
      <x:c r="E320" t="str">
        <x:v>W</x:v>
      </x:c>
      <x:c r="F320" t="str">
        <x:v>B</x:v>
      </x:c>
      <x:c r="G320" t="str">
        <x:v>B</x:v>
      </x:c>
      <x:c r="H320" t="str">
        <x:v>W</x:v>
      </x:c>
      <x:c r="I320" t="str">
        <x:v>B</x:v>
      </x:c>
      <x:c r="J320" t="str">
        <x:v>W</x:v>
      </x:c>
      <x:c r="K320" t="str">
        <x:v>B</x:v>
      </x:c>
      <x:c r="L320" t="str">
        <x:v>B</x:v>
      </x:c>
      <x:c r="M320" t="str">
        <x:v>W</x:v>
      </x:c>
      <x:c r="N320" t="str">
        <x:v>B</x:v>
      </x:c>
      <x:c r="O320" t="str">
        <x:v>B</x:v>
      </x:c>
      <x:c r="P320" t="str">
        <x:v>B</x:v>
      </x:c>
      <x:c r="Q320" t="str">
        <x:v>W</x:v>
      </x:c>
      <x:c r="R320" t="str">
        <x:v>W</x:v>
      </x:c>
      <x:c r="S320" t="str">
        <x:v>B</x:v>
      </x:c>
      <x:c r="T320" t="str">
        <x:v>B</x:v>
      </x:c>
      <x:c r="U320" t="str">
        <x:v>W</x:v>
      </x:c>
      <x:c r="V320" t="n">
        <x:f>COUNTIF(B320:U320,"W")</x:f>
        <x:v>8</x:v>
      </x:c>
      <x:c r="W320" s="5" t="str">
        <x:f>IF(COUNTIF(B320:D320,"W")&gt;0,"Y","N")</x:f>
        <x:v>Y</x:v>
      </x:c>
      <x:c r="X320" s="1"/>
      <x:c r="Y320" s="1"/>
      <x:c r="Z320" s="1"/>
      <x:c r="AA320" s="1"/>
      <x:c r="AB320" s="1"/>
      <x:c r="AC320" s="1"/>
      <x:c r="AD320" s="1"/>
    </x:row>
    <x:row r="321">
      <x:c r="A321" s="1">
        <x:v>320</x:v>
      </x:c>
      <x:c r="B321" t="str">
        <x:v>B</x:v>
      </x:c>
      <x:c r="C321" t="str">
        <x:v>B</x:v>
      </x:c>
      <x:c r="D321" t="str">
        <x:v>W</x:v>
      </x:c>
      <x:c r="E321" t="str">
        <x:v>W</x:v>
      </x:c>
      <x:c r="F321" t="str">
        <x:v>B</x:v>
      </x:c>
      <x:c r="G321" t="str">
        <x:v>B</x:v>
      </x:c>
      <x:c r="H321" t="str">
        <x:v>B</x:v>
      </x:c>
      <x:c r="I321" t="str">
        <x:v>B</x:v>
      </x:c>
      <x:c r="J321" t="str">
        <x:v>B</x:v>
      </x:c>
      <x:c r="K321" t="str">
        <x:v>B</x:v>
      </x:c>
      <x:c r="L321" t="str">
        <x:v>B</x:v>
      </x:c>
      <x:c r="M321" t="str">
        <x:v>B</x:v>
      </x:c>
      <x:c r="N321" t="str">
        <x:v>B</x:v>
      </x:c>
      <x:c r="O321" t="str">
        <x:v>B</x:v>
      </x:c>
      <x:c r="P321" t="str">
        <x:v>B</x:v>
      </x:c>
      <x:c r="Q321" t="str">
        <x:v>B</x:v>
      </x:c>
      <x:c r="R321" t="str">
        <x:v>B</x:v>
      </x:c>
      <x:c r="S321" t="str">
        <x:v>B</x:v>
      </x:c>
      <x:c r="T321" t="str">
        <x:v>B</x:v>
      </x:c>
      <x:c r="U321" t="str">
        <x:v>B</x:v>
      </x:c>
      <x:c r="V321" t="n">
        <x:f>COUNTIF(B321:U321,"W")</x:f>
        <x:v>2</x:v>
      </x:c>
      <x:c r="W321" s="5" t="str">
        <x:f>IF(COUNTIF(B321:D321,"W")&gt;0,"Y","N")</x:f>
        <x:v>Y</x:v>
      </x:c>
      <x:c r="X321" s="1"/>
      <x:c r="Y321" s="1"/>
      <x:c r="Z321" s="1"/>
      <x:c r="AA321" s="1"/>
      <x:c r="AB321" s="1"/>
      <x:c r="AC321" s="1"/>
      <x:c r="AD321" s="1"/>
    </x:row>
    <x:row r="322">
      <x:c r="A322" s="1">
        <x:v>321</x:v>
      </x:c>
      <x:c r="B322" t="str">
        <x:v>W</x:v>
      </x:c>
      <x:c r="C322" t="str">
        <x:v>B</x:v>
      </x:c>
      <x:c r="D322" t="str">
        <x:v>W</x:v>
      </x:c>
      <x:c r="E322" t="str">
        <x:v>W</x:v>
      </x:c>
      <x:c r="F322" t="str">
        <x:v>B</x:v>
      </x:c>
      <x:c r="G322" t="str">
        <x:v>B</x:v>
      </x:c>
      <x:c r="H322" t="str">
        <x:v>W</x:v>
      </x:c>
      <x:c r="I322" t="str">
        <x:v>W</x:v>
      </x:c>
      <x:c r="J322" t="str">
        <x:v>W</x:v>
      </x:c>
      <x:c r="K322" t="str">
        <x:v>W</x:v>
      </x:c>
      <x:c r="L322" t="str">
        <x:v>B</x:v>
      </x:c>
      <x:c r="M322" t="str">
        <x:v>B</x:v>
      </x:c>
      <x:c r="N322" t="str">
        <x:v>W</x:v>
      </x:c>
      <x:c r="O322" t="str">
        <x:v>W</x:v>
      </x:c>
      <x:c r="P322" t="str">
        <x:v>B</x:v>
      </x:c>
      <x:c r="Q322" t="str">
        <x:v>B</x:v>
      </x:c>
      <x:c r="R322" t="str">
        <x:v>B</x:v>
      </x:c>
      <x:c r="S322" t="str">
        <x:v>W</x:v>
      </x:c>
      <x:c r="T322" t="str">
        <x:v>B</x:v>
      </x:c>
      <x:c r="U322" t="str">
        <x:v>W</x:v>
      </x:c>
      <x:c r="V322" t="n">
        <x:f>COUNTIF(B322:U322,"W")</x:f>
        <x:v>11</x:v>
      </x:c>
      <x:c r="W322" s="5" t="str">
        <x:f>IF(COUNTIF(B322:D322,"W")&gt;0,"Y","N")</x:f>
        <x:v>Y</x:v>
      </x:c>
      <x:c r="X322" s="1"/>
      <x:c r="Y322" s="1"/>
      <x:c r="Z322" s="1"/>
      <x:c r="AA322" s="1"/>
      <x:c r="AB322" s="1"/>
      <x:c r="AC322" s="1"/>
      <x:c r="AD322" s="1"/>
    </x:row>
    <x:row r="323">
      <x:c r="A323" s="1">
        <x:v>322</x:v>
      </x:c>
      <x:c r="B323" t="str">
        <x:v>B</x:v>
      </x:c>
      <x:c r="C323" t="str">
        <x:v>B</x:v>
      </x:c>
      <x:c r="D323" t="str">
        <x:v>W</x:v>
      </x:c>
      <x:c r="E323" t="str">
        <x:v>B</x:v>
      </x:c>
      <x:c r="F323" t="str">
        <x:v>B</x:v>
      </x:c>
      <x:c r="G323" t="str">
        <x:v>B</x:v>
      </x:c>
      <x:c r="H323" t="str">
        <x:v>B</x:v>
      </x:c>
      <x:c r="I323" t="str">
        <x:v>W</x:v>
      </x:c>
      <x:c r="J323" t="str">
        <x:v>W</x:v>
      </x:c>
      <x:c r="K323" t="str">
        <x:v>B</x:v>
      </x:c>
      <x:c r="L323" t="str">
        <x:v>B</x:v>
      </x:c>
      <x:c r="M323" t="str">
        <x:v>W</x:v>
      </x:c>
      <x:c r="N323" t="str">
        <x:v>B</x:v>
      </x:c>
      <x:c r="O323" t="str">
        <x:v>W</x:v>
      </x:c>
      <x:c r="P323" t="str">
        <x:v>W</x:v>
      </x:c>
      <x:c r="Q323" t="str">
        <x:v>W</x:v>
      </x:c>
      <x:c r="R323" t="str">
        <x:v>B</x:v>
      </x:c>
      <x:c r="S323" t="str">
        <x:v>W</x:v>
      </x:c>
      <x:c r="T323" t="str">
        <x:v>W</x:v>
      </x:c>
      <x:c r="U323" t="str">
        <x:v>B</x:v>
      </x:c>
      <x:c r="V323" t="n">
        <x:f>COUNTIF(B323:U323,"W")</x:f>
        <x:v>9</x:v>
      </x:c>
      <x:c r="W323" s="5" t="str">
        <x:f>IF(COUNTIF(B323:D323,"W")&gt;0,"Y","N")</x:f>
        <x:v>Y</x:v>
      </x:c>
      <x:c r="X323" s="1"/>
      <x:c r="Y323" s="1"/>
      <x:c r="Z323" s="1"/>
      <x:c r="AA323" s="1"/>
      <x:c r="AB323" s="1"/>
      <x:c r="AC323" s="1"/>
      <x:c r="AD323" s="1"/>
    </x:row>
    <x:row r="324">
      <x:c r="A324" s="1">
        <x:v>323</x:v>
      </x:c>
      <x:c r="B324" t="str">
        <x:v>B</x:v>
      </x:c>
      <x:c r="C324" t="str">
        <x:v>B</x:v>
      </x:c>
      <x:c r="D324" t="str">
        <x:v>W</x:v>
      </x:c>
      <x:c r="E324" t="str">
        <x:v>W</x:v>
      </x:c>
      <x:c r="F324" t="str">
        <x:v>B</x:v>
      </x:c>
      <x:c r="G324" t="str">
        <x:v>W</x:v>
      </x:c>
      <x:c r="H324" t="str">
        <x:v>B</x:v>
      </x:c>
      <x:c r="I324" t="str">
        <x:v>W</x:v>
      </x:c>
      <x:c r="J324" t="str">
        <x:v>B</x:v>
      </x:c>
      <x:c r="K324" t="str">
        <x:v>B</x:v>
      </x:c>
      <x:c r="L324" t="str">
        <x:v>B</x:v>
      </x:c>
      <x:c r="M324" t="str">
        <x:v>B</x:v>
      </x:c>
      <x:c r="N324" t="str">
        <x:v>B</x:v>
      </x:c>
      <x:c r="O324" t="str">
        <x:v>B</x:v>
      </x:c>
      <x:c r="P324" t="str">
        <x:v>B</x:v>
      </x:c>
      <x:c r="Q324" t="str">
        <x:v>W</x:v>
      </x:c>
      <x:c r="R324" t="str">
        <x:v>W</x:v>
      </x:c>
      <x:c r="S324" t="str">
        <x:v>B</x:v>
      </x:c>
      <x:c r="T324" t="str">
        <x:v>B</x:v>
      </x:c>
      <x:c r="U324" t="str">
        <x:v>B</x:v>
      </x:c>
      <x:c r="V324" t="n">
        <x:f>COUNTIF(B324:U324,"W")</x:f>
        <x:v>6</x:v>
      </x:c>
      <x:c r="W324" s="5" t="str">
        <x:f>IF(COUNTIF(B324:D324,"W")&gt;0,"Y","N")</x:f>
        <x:v>Y</x:v>
      </x:c>
      <x:c r="X324" s="1"/>
      <x:c r="Y324" s="1"/>
      <x:c r="Z324" s="1"/>
      <x:c r="AA324" s="1"/>
      <x:c r="AB324" s="1"/>
      <x:c r="AC324" s="1"/>
      <x:c r="AD324" s="1"/>
    </x:row>
    <x:row r="325">
      <x:c r="A325" s="1">
        <x:v>324</x:v>
      </x:c>
      <x:c r="B325" t="str">
        <x:v>W</x:v>
      </x:c>
      <x:c r="C325" t="str">
        <x:v>W</x:v>
      </x:c>
      <x:c r="D325" t="str">
        <x:v>W</x:v>
      </x:c>
      <x:c r="E325" t="str">
        <x:v>W</x:v>
      </x:c>
      <x:c r="F325" t="str">
        <x:v>B</x:v>
      </x:c>
      <x:c r="G325" t="str">
        <x:v>B</x:v>
      </x:c>
      <x:c r="H325" t="str">
        <x:v>W</x:v>
      </x:c>
      <x:c r="I325" t="str">
        <x:v>B</x:v>
      </x:c>
      <x:c r="J325" t="str">
        <x:v>B</x:v>
      </x:c>
      <x:c r="K325" t="str">
        <x:v>B</x:v>
      </x:c>
      <x:c r="L325" t="str">
        <x:v>B</x:v>
      </x:c>
      <x:c r="M325" t="str">
        <x:v>B</x:v>
      </x:c>
      <x:c r="N325" t="str">
        <x:v>B</x:v>
      </x:c>
      <x:c r="O325" t="str">
        <x:v>B</x:v>
      </x:c>
      <x:c r="P325" t="str">
        <x:v>B</x:v>
      </x:c>
      <x:c r="Q325" t="str">
        <x:v>W</x:v>
      </x:c>
      <x:c r="R325" t="str">
        <x:v>W</x:v>
      </x:c>
      <x:c r="S325" t="str">
        <x:v>B</x:v>
      </x:c>
      <x:c r="T325" t="str">
        <x:v>B</x:v>
      </x:c>
      <x:c r="U325" t="str">
        <x:v>B</x:v>
      </x:c>
      <x:c r="V325" t="n">
        <x:f>COUNTIF(B325:U325,"W")</x:f>
        <x:v>7</x:v>
      </x:c>
      <x:c r="W325" s="5" t="str">
        <x:f>IF(COUNTIF(B325:D325,"W")&gt;0,"Y","N")</x:f>
        <x:v>Y</x:v>
      </x:c>
      <x:c r="X325" s="1"/>
      <x:c r="Y325" s="1"/>
      <x:c r="Z325" s="1"/>
      <x:c r="AA325" s="1"/>
      <x:c r="AB325" s="1"/>
      <x:c r="AC325" s="1"/>
      <x:c r="AD325" s="1"/>
    </x:row>
    <x:row r="326">
      <x:c r="A326" s="1">
        <x:v>325</x:v>
      </x:c>
      <x:c r="B326" t="str">
        <x:v>W</x:v>
      </x:c>
      <x:c r="C326" t="str">
        <x:v>B</x:v>
      </x:c>
      <x:c r="D326" t="str">
        <x:v>B</x:v>
      </x:c>
      <x:c r="E326" t="str">
        <x:v>B</x:v>
      </x:c>
      <x:c r="F326" t="str">
        <x:v>B</x:v>
      </x:c>
      <x:c r="G326" t="str">
        <x:v>W</x:v>
      </x:c>
      <x:c r="H326" t="str">
        <x:v>W</x:v>
      </x:c>
      <x:c r="I326" t="str">
        <x:v>W</x:v>
      </x:c>
      <x:c r="J326" t="str">
        <x:v>B</x:v>
      </x:c>
      <x:c r="K326" t="str">
        <x:v>B</x:v>
      </x:c>
      <x:c r="L326" t="str">
        <x:v>B</x:v>
      </x:c>
      <x:c r="M326" t="str">
        <x:v>B</x:v>
      </x:c>
      <x:c r="N326" t="str">
        <x:v>B</x:v>
      </x:c>
      <x:c r="O326" t="str">
        <x:v>B</x:v>
      </x:c>
      <x:c r="P326" t="str">
        <x:v>B</x:v>
      </x:c>
      <x:c r="Q326" t="str">
        <x:v>B</x:v>
      </x:c>
      <x:c r="R326" t="str">
        <x:v>W</x:v>
      </x:c>
      <x:c r="S326" t="str">
        <x:v>B</x:v>
      </x:c>
      <x:c r="T326" t="str">
        <x:v>W</x:v>
      </x:c>
      <x:c r="U326" t="str">
        <x:v>B</x:v>
      </x:c>
      <x:c r="V326" t="n">
        <x:f>COUNTIF(B326:U326,"W")</x:f>
        <x:v>6</x:v>
      </x:c>
      <x:c r="W326" s="5" t="str">
        <x:f>IF(COUNTIF(B326:D326,"W")&gt;0,"Y","N")</x:f>
        <x:v>Y</x:v>
      </x:c>
      <x:c r="X326" s="1"/>
      <x:c r="Y326" s="1"/>
      <x:c r="Z326" s="1"/>
      <x:c r="AA326" s="1"/>
      <x:c r="AB326" s="1"/>
      <x:c r="AC326" s="1"/>
      <x:c r="AD326" s="1"/>
    </x:row>
    <x:row r="327">
      <x:c r="A327" s="1">
        <x:v>326</x:v>
      </x:c>
      <x:c r="B327" t="str">
        <x:v>B</x:v>
      </x:c>
      <x:c r="C327" t="str">
        <x:v>W</x:v>
      </x:c>
      <x:c r="D327" t="str">
        <x:v>B</x:v>
      </x:c>
      <x:c r="E327" t="str">
        <x:v>B</x:v>
      </x:c>
      <x:c r="F327" t="str">
        <x:v>W</x:v>
      </x:c>
      <x:c r="G327" t="str">
        <x:v>B</x:v>
      </x:c>
      <x:c r="H327" t="str">
        <x:v>W</x:v>
      </x:c>
      <x:c r="I327" t="str">
        <x:v>W</x:v>
      </x:c>
      <x:c r="J327" t="str">
        <x:v>B</x:v>
      </x:c>
      <x:c r="K327" t="str">
        <x:v>B</x:v>
      </x:c>
      <x:c r="L327" t="str">
        <x:v>B</x:v>
      </x:c>
      <x:c r="M327" t="str">
        <x:v>B</x:v>
      </x:c>
      <x:c r="N327" t="str">
        <x:v>B</x:v>
      </x:c>
      <x:c r="O327" t="str">
        <x:v>W</x:v>
      </x:c>
      <x:c r="P327" t="str">
        <x:v>W</x:v>
      </x:c>
      <x:c r="Q327" t="str">
        <x:v>B</x:v>
      </x:c>
      <x:c r="R327" t="str">
        <x:v>B</x:v>
      </x:c>
      <x:c r="S327" t="str">
        <x:v>W</x:v>
      </x:c>
      <x:c r="T327" t="str">
        <x:v>B</x:v>
      </x:c>
      <x:c r="U327" t="str">
        <x:v>B</x:v>
      </x:c>
      <x:c r="V327" t="n">
        <x:f>COUNTIF(B327:U327,"W")</x:f>
        <x:v>7</x:v>
      </x:c>
      <x:c r="W327" s="5" t="str">
        <x:f>IF(COUNTIF(B327:D327,"W")&gt;0,"Y","N")</x:f>
        <x:v>Y</x:v>
      </x:c>
      <x:c r="X327" s="1"/>
      <x:c r="Y327" s="1"/>
      <x:c r="Z327" s="1"/>
      <x:c r="AA327" s="1"/>
      <x:c r="AB327" s="1"/>
      <x:c r="AC327" s="1"/>
      <x:c r="AD327" s="1"/>
    </x:row>
    <x:row r="328">
      <x:c r="A328" s="1">
        <x:v>327</x:v>
      </x:c>
      <x:c r="B328" t="str">
        <x:v>W</x:v>
      </x:c>
      <x:c r="C328" t="str">
        <x:v>B</x:v>
      </x:c>
      <x:c r="D328" t="str">
        <x:v>B</x:v>
      </x:c>
      <x:c r="E328" t="str">
        <x:v>W</x:v>
      </x:c>
      <x:c r="F328" t="str">
        <x:v>B</x:v>
      </x:c>
      <x:c r="G328" t="str">
        <x:v>B</x:v>
      </x:c>
      <x:c r="H328" t="str">
        <x:v>W</x:v>
      </x:c>
      <x:c r="I328" t="str">
        <x:v>W</x:v>
      </x:c>
      <x:c r="J328" t="str">
        <x:v>B</x:v>
      </x:c>
      <x:c r="K328" t="str">
        <x:v>B</x:v>
      </x:c>
      <x:c r="L328" t="str">
        <x:v>B</x:v>
      </x:c>
      <x:c r="M328" t="str">
        <x:v>W</x:v>
      </x:c>
      <x:c r="N328" t="str">
        <x:v>W</x:v>
      </x:c>
      <x:c r="O328" t="str">
        <x:v>W</x:v>
      </x:c>
      <x:c r="P328" t="str">
        <x:v>W</x:v>
      </x:c>
      <x:c r="Q328" t="str">
        <x:v>B</x:v>
      </x:c>
      <x:c r="R328" t="str">
        <x:v>W</x:v>
      </x:c>
      <x:c r="S328" t="str">
        <x:v>W</x:v>
      </x:c>
      <x:c r="T328" t="str">
        <x:v>W</x:v>
      </x:c>
      <x:c r="U328" t="str">
        <x:v>B</x:v>
      </x:c>
      <x:c r="V328" t="n">
        <x:f>COUNTIF(B328:U328,"W")</x:f>
        <x:v>11</x:v>
      </x:c>
      <x:c r="W328" s="5" t="str">
        <x:f>IF(COUNTIF(B328:D328,"W")&gt;0,"Y","N")</x:f>
        <x:v>Y</x:v>
      </x:c>
      <x:c r="X328" s="1"/>
      <x:c r="Y328" s="1"/>
      <x:c r="Z328" s="1"/>
      <x:c r="AA328" s="1"/>
      <x:c r="AB328" s="1"/>
      <x:c r="AC328" s="1"/>
      <x:c r="AD328" s="1"/>
    </x:row>
    <x:row r="329">
      <x:c r="A329" s="1">
        <x:v>328</x:v>
      </x:c>
      <x:c r="B329" t="str">
        <x:v>B</x:v>
      </x:c>
      <x:c r="C329" t="str">
        <x:v>W</x:v>
      </x:c>
      <x:c r="D329" t="str">
        <x:v>W</x:v>
      </x:c>
      <x:c r="E329" t="str">
        <x:v>W</x:v>
      </x:c>
      <x:c r="F329" t="str">
        <x:v>W</x:v>
      </x:c>
      <x:c r="G329" t="str">
        <x:v>B</x:v>
      </x:c>
      <x:c r="H329" t="str">
        <x:v>W</x:v>
      </x:c>
      <x:c r="I329" t="str">
        <x:v>B</x:v>
      </x:c>
      <x:c r="J329" t="str">
        <x:v>W</x:v>
      </x:c>
      <x:c r="K329" t="str">
        <x:v>B</x:v>
      </x:c>
      <x:c r="L329" t="str">
        <x:v>W</x:v>
      </x:c>
      <x:c r="M329" t="str">
        <x:v>W</x:v>
      </x:c>
      <x:c r="N329" t="str">
        <x:v>W</x:v>
      </x:c>
      <x:c r="O329" t="str">
        <x:v>B</x:v>
      </x:c>
      <x:c r="P329" t="str">
        <x:v>B</x:v>
      </x:c>
      <x:c r="Q329" t="str">
        <x:v>B</x:v>
      </x:c>
      <x:c r="R329" t="str">
        <x:v>B</x:v>
      </x:c>
      <x:c r="S329" t="str">
        <x:v>B</x:v>
      </x:c>
      <x:c r="T329" t="str">
        <x:v>B</x:v>
      </x:c>
      <x:c r="U329" t="str">
        <x:v>B</x:v>
      </x:c>
      <x:c r="V329" t="n">
        <x:f>COUNTIF(B329:U329,"W")</x:f>
        <x:v>9</x:v>
      </x:c>
      <x:c r="W329" s="5" t="str">
        <x:f>IF(COUNTIF(B329:D329,"W")&gt;0,"Y","N")</x:f>
        <x:v>Y</x:v>
      </x:c>
      <x:c r="X329" s="1"/>
      <x:c r="Y329" s="1"/>
      <x:c r="Z329" s="1"/>
      <x:c r="AA329" s="1"/>
      <x:c r="AB329" s="1"/>
      <x:c r="AC329" s="1"/>
      <x:c r="AD329" s="1"/>
    </x:row>
    <x:row r="330">
      <x:c r="A330" s="1">
        <x:v>329</x:v>
      </x:c>
      <x:c r="B330" t="str">
        <x:v>B</x:v>
      </x:c>
      <x:c r="C330" t="str">
        <x:v>W</x:v>
      </x:c>
      <x:c r="D330" t="str">
        <x:v>B</x:v>
      </x:c>
      <x:c r="E330" t="str">
        <x:v>W</x:v>
      </x:c>
      <x:c r="F330" t="str">
        <x:v>B</x:v>
      </x:c>
      <x:c r="G330" t="str">
        <x:v>B</x:v>
      </x:c>
      <x:c r="H330" t="str">
        <x:v>B</x:v>
      </x:c>
      <x:c r="I330" t="str">
        <x:v>W</x:v>
      </x:c>
      <x:c r="J330" t="str">
        <x:v>W</x:v>
      </x:c>
      <x:c r="K330" t="str">
        <x:v>B</x:v>
      </x:c>
      <x:c r="L330" t="str">
        <x:v>W</x:v>
      </x:c>
      <x:c r="M330" t="str">
        <x:v>B</x:v>
      </x:c>
      <x:c r="N330" t="str">
        <x:v>W</x:v>
      </x:c>
      <x:c r="O330" t="str">
        <x:v>B</x:v>
      </x:c>
      <x:c r="P330" t="str">
        <x:v>B</x:v>
      </x:c>
      <x:c r="Q330" t="str">
        <x:v>B</x:v>
      </x:c>
      <x:c r="R330" t="str">
        <x:v>B</x:v>
      </x:c>
      <x:c r="S330" t="str">
        <x:v>B</x:v>
      </x:c>
      <x:c r="T330" t="str">
        <x:v>B</x:v>
      </x:c>
      <x:c r="U330" t="str">
        <x:v>B</x:v>
      </x:c>
      <x:c r="V330" t="n">
        <x:f>COUNTIF(B330:U330,"W")</x:f>
        <x:v>6</x:v>
      </x:c>
      <x:c r="W330" s="5" t="str">
        <x:f>IF(COUNTIF(B330:D330,"W")&gt;0,"Y","N")</x:f>
        <x:v>Y</x:v>
      </x:c>
      <x:c r="X330" s="1"/>
      <x:c r="Y330" s="1"/>
      <x:c r="Z330" s="1"/>
      <x:c r="AA330" s="1"/>
      <x:c r="AB330" s="1"/>
      <x:c r="AC330" s="1"/>
      <x:c r="AD330" s="1"/>
    </x:row>
    <x:row r="331">
      <x:c r="A331" s="1">
        <x:v>330</x:v>
      </x:c>
      <x:c r="B331" t="str">
        <x:v>B</x:v>
      </x:c>
      <x:c r="C331" t="str">
        <x:v>W</x:v>
      </x:c>
      <x:c r="D331" t="str">
        <x:v>B</x:v>
      </x:c>
      <x:c r="E331" t="str">
        <x:v>W</x:v>
      </x:c>
      <x:c r="F331" t="str">
        <x:v>W</x:v>
      </x:c>
      <x:c r="G331" t="str">
        <x:v>B</x:v>
      </x:c>
      <x:c r="H331" t="str">
        <x:v>B</x:v>
      </x:c>
      <x:c r="I331" t="str">
        <x:v>W</x:v>
      </x:c>
      <x:c r="J331" t="str">
        <x:v>W</x:v>
      </x:c>
      <x:c r="K331" t="str">
        <x:v>B</x:v>
      </x:c>
      <x:c r="L331" t="str">
        <x:v>W</x:v>
      </x:c>
      <x:c r="M331" t="str">
        <x:v>W</x:v>
      </x:c>
      <x:c r="N331" t="str">
        <x:v>B</x:v>
      </x:c>
      <x:c r="O331" t="str">
        <x:v>B</x:v>
      </x:c>
      <x:c r="P331" t="str">
        <x:v>B</x:v>
      </x:c>
      <x:c r="Q331" t="str">
        <x:v>W</x:v>
      </x:c>
      <x:c r="R331" t="str">
        <x:v>B</x:v>
      </x:c>
      <x:c r="S331" t="str">
        <x:v>B</x:v>
      </x:c>
      <x:c r="T331" t="str">
        <x:v>W</x:v>
      </x:c>
      <x:c r="U331" t="str">
        <x:v>W</x:v>
      </x:c>
      <x:c r="V331" t="n">
        <x:f>COUNTIF(B331:U331,"W")</x:f>
        <x:v>10</x:v>
      </x:c>
      <x:c r="W331" s="5" t="str">
        <x:f>IF(COUNTIF(B331:D331,"W")&gt;0,"Y","N")</x:f>
        <x:v>Y</x:v>
      </x:c>
      <x:c r="X331" s="1"/>
      <x:c r="Y331" s="1"/>
      <x:c r="Z331" s="1"/>
      <x:c r="AA331" s="1"/>
      <x:c r="AB331" s="1"/>
      <x:c r="AC331" s="1"/>
      <x:c r="AD331" s="1"/>
    </x:row>
    <x:row r="332">
      <x:c r="A332" s="1">
        <x:v>331</x:v>
      </x:c>
      <x:c r="B332" t="str">
        <x:v>B</x:v>
      </x:c>
      <x:c r="C332" t="str">
        <x:v>B</x:v>
      </x:c>
      <x:c r="D332" t="str">
        <x:v>B</x:v>
      </x:c>
      <x:c r="E332" t="str">
        <x:v>B</x:v>
      </x:c>
      <x:c r="F332" t="str">
        <x:v>B</x:v>
      </x:c>
      <x:c r="G332" t="str">
        <x:v>W</x:v>
      </x:c>
      <x:c r="H332" t="str">
        <x:v>B</x:v>
      </x:c>
      <x:c r="I332" t="str">
        <x:v>B</x:v>
      </x:c>
      <x:c r="J332" t="str">
        <x:v>B</x:v>
      </x:c>
      <x:c r="K332" t="str">
        <x:v>B</x:v>
      </x:c>
      <x:c r="L332" t="str">
        <x:v>W</x:v>
      </x:c>
      <x:c r="M332" t="str">
        <x:v>W</x:v>
      </x:c>
      <x:c r="N332" t="str">
        <x:v>B</x:v>
      </x:c>
      <x:c r="O332" t="str">
        <x:v>B</x:v>
      </x:c>
      <x:c r="P332" t="str">
        <x:v>B</x:v>
      </x:c>
      <x:c r="Q332" t="str">
        <x:v>W</x:v>
      </x:c>
      <x:c r="R332" t="str">
        <x:v>B</x:v>
      </x:c>
      <x:c r="S332" t="str">
        <x:v>B</x:v>
      </x:c>
      <x:c r="T332" t="str">
        <x:v>W</x:v>
      </x:c>
      <x:c r="U332" t="str">
        <x:v>B</x:v>
      </x:c>
      <x:c r="V332" t="n">
        <x:f>COUNTIF(B332:U332,"W")</x:f>
        <x:v>5</x:v>
      </x:c>
      <x:c r="W332" s="5" t="str">
        <x:f>IF(COUNTIF(B332:D332,"W")&gt;0,"Y","N")</x:f>
        <x:v>N</x:v>
      </x:c>
      <x:c r="X332" s="1"/>
      <x:c r="Y332" s="1"/>
      <x:c r="Z332" s="1"/>
      <x:c r="AA332" s="1"/>
      <x:c r="AB332" s="1"/>
      <x:c r="AC332" s="1"/>
      <x:c r="AD332" s="1"/>
    </x:row>
    <x:row r="333">
      <x:c r="A333" s="1">
        <x:v>332</x:v>
      </x:c>
      <x:c r="B333" t="str">
        <x:v>B</x:v>
      </x:c>
      <x:c r="C333" t="str">
        <x:v>B</x:v>
      </x:c>
      <x:c r="D333" t="str">
        <x:v>B</x:v>
      </x:c>
      <x:c r="E333" t="str">
        <x:v>W</x:v>
      </x:c>
      <x:c r="F333" t="str">
        <x:v>W</x:v>
      </x:c>
      <x:c r="G333" t="str">
        <x:v>B</x:v>
      </x:c>
      <x:c r="H333" t="str">
        <x:v>B</x:v>
      </x:c>
      <x:c r="I333" t="str">
        <x:v>W</x:v>
      </x:c>
      <x:c r="J333" t="str">
        <x:v>B</x:v>
      </x:c>
      <x:c r="K333" t="str">
        <x:v>B</x:v>
      </x:c>
      <x:c r="L333" t="str">
        <x:v>B</x:v>
      </x:c>
      <x:c r="M333" t="str">
        <x:v>B</x:v>
      </x:c>
      <x:c r="N333" t="str">
        <x:v>B</x:v>
      </x:c>
      <x:c r="O333" t="str">
        <x:v>B</x:v>
      </x:c>
      <x:c r="P333" t="str">
        <x:v>B</x:v>
      </x:c>
      <x:c r="Q333" t="str">
        <x:v>B</x:v>
      </x:c>
      <x:c r="R333" t="str">
        <x:v>W</x:v>
      </x:c>
      <x:c r="S333" t="str">
        <x:v>W</x:v>
      </x:c>
      <x:c r="T333" t="str">
        <x:v>B</x:v>
      </x:c>
      <x:c r="U333" t="str">
        <x:v>B</x:v>
      </x:c>
      <x:c r="V333" t="n">
        <x:f>COUNTIF(B333:U333,"W")</x:f>
        <x:v>5</x:v>
      </x:c>
      <x:c r="W333" s="5" t="str">
        <x:f>IF(COUNTIF(B333:D333,"W")&gt;0,"Y","N")</x:f>
        <x:v>N</x:v>
      </x:c>
      <x:c r="X333" s="1"/>
      <x:c r="Y333" s="1"/>
      <x:c r="Z333" s="1"/>
      <x:c r="AA333" s="1"/>
      <x:c r="AB333" s="1"/>
      <x:c r="AC333" s="1"/>
      <x:c r="AD333" s="1"/>
    </x:row>
    <x:row r="334">
      <x:c r="A334" s="1">
        <x:v>333</x:v>
      </x:c>
      <x:c r="B334" t="str">
        <x:v>W</x:v>
      </x:c>
      <x:c r="C334" t="str">
        <x:v>B</x:v>
      </x:c>
      <x:c r="D334" t="str">
        <x:v>W</x:v>
      </x:c>
      <x:c r="E334" t="str">
        <x:v>W</x:v>
      </x:c>
      <x:c r="F334" t="str">
        <x:v>B</x:v>
      </x:c>
      <x:c r="G334" t="str">
        <x:v>B</x:v>
      </x:c>
      <x:c r="H334" t="str">
        <x:v>B</x:v>
      </x:c>
      <x:c r="I334" t="str">
        <x:v>B</x:v>
      </x:c>
      <x:c r="J334" t="str">
        <x:v>B</x:v>
      </x:c>
      <x:c r="K334" t="str">
        <x:v>B</x:v>
      </x:c>
      <x:c r="L334" t="str">
        <x:v>B</x:v>
      </x:c>
      <x:c r="M334" t="str">
        <x:v>W</x:v>
      </x:c>
      <x:c r="N334" t="str">
        <x:v>B</x:v>
      </x:c>
      <x:c r="O334" t="str">
        <x:v>B</x:v>
      </x:c>
      <x:c r="P334" t="str">
        <x:v>W</x:v>
      </x:c>
      <x:c r="Q334" t="str">
        <x:v>W</x:v>
      </x:c>
      <x:c r="R334" t="str">
        <x:v>W</x:v>
      </x:c>
      <x:c r="S334" t="str">
        <x:v>W</x:v>
      </x:c>
      <x:c r="T334" t="str">
        <x:v>W</x:v>
      </x:c>
      <x:c r="U334" t="str">
        <x:v>B</x:v>
      </x:c>
      <x:c r="V334" t="n">
        <x:f>COUNTIF(B334:U334,"W")</x:f>
        <x:v>9</x:v>
      </x:c>
      <x:c r="W334" s="5" t="str">
        <x:f>IF(COUNTIF(B334:D334,"W")&gt;0,"Y","N")</x:f>
        <x:v>Y</x:v>
      </x:c>
      <x:c r="X334" s="1"/>
      <x:c r="Y334" s="1"/>
      <x:c r="Z334" s="1"/>
      <x:c r="AA334" s="1"/>
      <x:c r="AB334" s="1"/>
      <x:c r="AC334" s="1"/>
      <x:c r="AD334" s="1"/>
    </x:row>
    <x:row r="335">
      <x:c r="A335" s="1">
        <x:v>334</x:v>
      </x:c>
      <x:c r="B335" t="str">
        <x:v>B</x:v>
      </x:c>
      <x:c r="C335" t="str">
        <x:v>B</x:v>
      </x:c>
      <x:c r="D335" t="str">
        <x:v>B</x:v>
      </x:c>
      <x:c r="E335" t="str">
        <x:v>B</x:v>
      </x:c>
      <x:c r="F335" t="str">
        <x:v>W</x:v>
      </x:c>
      <x:c r="G335" t="str">
        <x:v>B</x:v>
      </x:c>
      <x:c r="H335" t="str">
        <x:v>B</x:v>
      </x:c>
      <x:c r="I335" t="str">
        <x:v>B</x:v>
      </x:c>
      <x:c r="J335" t="str">
        <x:v>B</x:v>
      </x:c>
      <x:c r="K335" t="str">
        <x:v>B</x:v>
      </x:c>
      <x:c r="L335" t="str">
        <x:v>B</x:v>
      </x:c>
      <x:c r="M335" t="str">
        <x:v>W</x:v>
      </x:c>
      <x:c r="N335" t="str">
        <x:v>W</x:v>
      </x:c>
      <x:c r="O335" t="str">
        <x:v>B</x:v>
      </x:c>
      <x:c r="P335" t="str">
        <x:v>B</x:v>
      </x:c>
      <x:c r="Q335" t="str">
        <x:v>B</x:v>
      </x:c>
      <x:c r="R335" t="str">
        <x:v>B</x:v>
      </x:c>
      <x:c r="S335" t="str">
        <x:v>W</x:v>
      </x:c>
      <x:c r="T335" t="str">
        <x:v>W</x:v>
      </x:c>
      <x:c r="U335" t="str">
        <x:v>W</x:v>
      </x:c>
      <x:c r="V335" t="n">
        <x:f>COUNTIF(B335:U335,"W")</x:f>
        <x:v>6</x:v>
      </x:c>
      <x:c r="W335" s="5" t="str">
        <x:f>IF(COUNTIF(B335:D335,"W")&gt;0,"Y","N")</x:f>
        <x:v>N</x:v>
      </x:c>
      <x:c r="X335" s="1"/>
      <x:c r="Y335" s="1"/>
      <x:c r="Z335" s="1"/>
      <x:c r="AA335" s="1"/>
      <x:c r="AB335" s="1"/>
      <x:c r="AC335" s="1"/>
      <x:c r="AD335" s="1"/>
    </x:row>
    <x:row r="336">
      <x:c r="A336" s="1">
        <x:v>335</x:v>
      </x:c>
      <x:c r="B336" t="str">
        <x:v>B</x:v>
      </x:c>
      <x:c r="C336" t="str">
        <x:v>B</x:v>
      </x:c>
      <x:c r="D336" t="str">
        <x:v>W</x:v>
      </x:c>
      <x:c r="E336" t="str">
        <x:v>B</x:v>
      </x:c>
      <x:c r="F336" t="str">
        <x:v>W</x:v>
      </x:c>
      <x:c r="G336" t="str">
        <x:v>W</x:v>
      </x:c>
      <x:c r="H336" t="str">
        <x:v>W</x:v>
      </x:c>
      <x:c r="I336" t="str">
        <x:v>W</x:v>
      </x:c>
      <x:c r="J336" t="str">
        <x:v>B</x:v>
      </x:c>
      <x:c r="K336" t="str">
        <x:v>W</x:v>
      </x:c>
      <x:c r="L336" t="str">
        <x:v>W</x:v>
      </x:c>
      <x:c r="M336" t="str">
        <x:v>W</x:v>
      </x:c>
      <x:c r="N336" t="str">
        <x:v>B</x:v>
      </x:c>
      <x:c r="O336" t="str">
        <x:v>B</x:v>
      </x:c>
      <x:c r="P336" t="str">
        <x:v>B</x:v>
      </x:c>
      <x:c r="Q336" t="str">
        <x:v>B</x:v>
      </x:c>
      <x:c r="R336" t="str">
        <x:v>B</x:v>
      </x:c>
      <x:c r="S336" t="str">
        <x:v>B</x:v>
      </x:c>
      <x:c r="T336" t="str">
        <x:v>B</x:v>
      </x:c>
      <x:c r="U336" t="str">
        <x:v>B</x:v>
      </x:c>
      <x:c r="V336" t="n">
        <x:f>COUNTIF(B336:U336,"W")</x:f>
        <x:v>8</x:v>
      </x:c>
      <x:c r="W336" s="5" t="str">
        <x:f>IF(COUNTIF(B336:D336,"W")&gt;0,"Y","N")</x:f>
        <x:v>Y</x:v>
      </x:c>
      <x:c r="X336" s="1"/>
      <x:c r="Y336" s="1"/>
      <x:c r="Z336" s="1"/>
      <x:c r="AA336" s="1"/>
      <x:c r="AB336" s="1"/>
      <x:c r="AC336" s="1"/>
      <x:c r="AD336" s="1"/>
    </x:row>
    <x:row r="337">
      <x:c r="A337" s="1">
        <x:v>336</x:v>
      </x:c>
      <x:c r="B337" t="str">
        <x:v>B</x:v>
      </x:c>
      <x:c r="C337" t="str">
        <x:v>B</x:v>
      </x:c>
      <x:c r="D337" t="str">
        <x:v>B</x:v>
      </x:c>
      <x:c r="E337" t="str">
        <x:v>W</x:v>
      </x:c>
      <x:c r="F337" t="str">
        <x:v>W</x:v>
      </x:c>
      <x:c r="G337" t="str">
        <x:v>B</x:v>
      </x:c>
      <x:c r="H337" t="str">
        <x:v>W</x:v>
      </x:c>
      <x:c r="I337" t="str">
        <x:v>B</x:v>
      </x:c>
      <x:c r="J337" t="str">
        <x:v>B</x:v>
      </x:c>
      <x:c r="K337" t="str">
        <x:v>B</x:v>
      </x:c>
      <x:c r="L337" t="str">
        <x:v>W</x:v>
      </x:c>
      <x:c r="M337" t="str">
        <x:v>B</x:v>
      </x:c>
      <x:c r="N337" t="str">
        <x:v>B</x:v>
      </x:c>
      <x:c r="O337" t="str">
        <x:v>B</x:v>
      </x:c>
      <x:c r="P337" t="str">
        <x:v>W</x:v>
      </x:c>
      <x:c r="Q337" t="str">
        <x:v>B</x:v>
      </x:c>
      <x:c r="R337" t="str">
        <x:v>W</x:v>
      </x:c>
      <x:c r="S337" t="str">
        <x:v>B</x:v>
      </x:c>
      <x:c r="T337" t="str">
        <x:v>B</x:v>
      </x:c>
      <x:c r="U337" t="str">
        <x:v>B</x:v>
      </x:c>
      <x:c r="V337" t="n">
        <x:f>COUNTIF(B337:U337,"W")</x:f>
        <x:v>6</x:v>
      </x:c>
      <x:c r="W337" s="5" t="str">
        <x:f>IF(COUNTIF(B337:D337,"W")&gt;0,"Y","N")</x:f>
        <x:v>N</x:v>
      </x:c>
      <x:c r="X337" s="1"/>
      <x:c r="Y337" s="1"/>
      <x:c r="Z337" s="1"/>
      <x:c r="AA337" s="1"/>
      <x:c r="AB337" s="1"/>
      <x:c r="AC337" s="1"/>
      <x:c r="AD337" s="1"/>
    </x:row>
    <x:row r="338">
      <x:c r="A338" s="1">
        <x:v>337</x:v>
      </x:c>
      <x:c r="B338" t="str">
        <x:v>W</x:v>
      </x:c>
      <x:c r="C338" t="str">
        <x:v>W</x:v>
      </x:c>
      <x:c r="D338" t="str">
        <x:v>B</x:v>
      </x:c>
      <x:c r="E338" t="str">
        <x:v>W</x:v>
      </x:c>
      <x:c r="F338" t="str">
        <x:v>B</x:v>
      </x:c>
      <x:c r="G338" t="str">
        <x:v>B</x:v>
      </x:c>
      <x:c r="H338" t="str">
        <x:v>B</x:v>
      </x:c>
      <x:c r="I338" t="str">
        <x:v>B</x:v>
      </x:c>
      <x:c r="J338" t="str">
        <x:v>B</x:v>
      </x:c>
      <x:c r="K338" t="str">
        <x:v>B</x:v>
      </x:c>
      <x:c r="L338" t="str">
        <x:v>B</x:v>
      </x:c>
      <x:c r="M338" t="str">
        <x:v>B</x:v>
      </x:c>
      <x:c r="N338" t="str">
        <x:v>B</x:v>
      </x:c>
      <x:c r="O338" t="str">
        <x:v>B</x:v>
      </x:c>
      <x:c r="P338" t="str">
        <x:v>W</x:v>
      </x:c>
      <x:c r="Q338" t="str">
        <x:v>B</x:v>
      </x:c>
      <x:c r="R338" t="str">
        <x:v>B</x:v>
      </x:c>
      <x:c r="S338" t="str">
        <x:v>B</x:v>
      </x:c>
      <x:c r="T338" t="str">
        <x:v>B</x:v>
      </x:c>
      <x:c r="U338" t="str">
        <x:v>B</x:v>
      </x:c>
      <x:c r="V338" t="n">
        <x:f>COUNTIF(B338:U338,"W")</x:f>
        <x:v>4</x:v>
      </x:c>
      <x:c r="W338" s="5" t="str">
        <x:f>IF(COUNTIF(B338:D338,"W")&gt;0,"Y","N")</x:f>
        <x:v>Y</x:v>
      </x:c>
      <x:c r="X338" s="1"/>
      <x:c r="Y338" s="1"/>
      <x:c r="Z338" s="1"/>
      <x:c r="AA338" s="1"/>
      <x:c r="AB338" s="1"/>
      <x:c r="AC338" s="1"/>
      <x:c r="AD338" s="1"/>
    </x:row>
    <x:row r="339">
      <x:c r="A339" s="1">
        <x:v>338</x:v>
      </x:c>
      <x:c r="B339" t="str">
        <x:v>B</x:v>
      </x:c>
      <x:c r="C339" t="str">
        <x:v>W</x:v>
      </x:c>
      <x:c r="D339" t="str">
        <x:v>B</x:v>
      </x:c>
      <x:c r="E339" t="str">
        <x:v>W</x:v>
      </x:c>
      <x:c r="F339" t="str">
        <x:v>B</x:v>
      </x:c>
      <x:c r="G339" t="str">
        <x:v>W</x:v>
      </x:c>
      <x:c r="H339" t="str">
        <x:v>B</x:v>
      </x:c>
      <x:c r="I339" t="str">
        <x:v>B</x:v>
      </x:c>
      <x:c r="J339" t="str">
        <x:v>W</x:v>
      </x:c>
      <x:c r="K339" t="str">
        <x:v>B</x:v>
      </x:c>
      <x:c r="L339" t="str">
        <x:v>W</x:v>
      </x:c>
      <x:c r="M339" t="str">
        <x:v>B</x:v>
      </x:c>
      <x:c r="N339" t="str">
        <x:v>B</x:v>
      </x:c>
      <x:c r="O339" t="str">
        <x:v>W</x:v>
      </x:c>
      <x:c r="P339" t="str">
        <x:v>W</x:v>
      </x:c>
      <x:c r="Q339" t="str">
        <x:v>W</x:v>
      </x:c>
      <x:c r="R339" t="str">
        <x:v>B</x:v>
      </x:c>
      <x:c r="S339" t="str">
        <x:v>B</x:v>
      </x:c>
      <x:c r="T339" t="str">
        <x:v>W</x:v>
      </x:c>
      <x:c r="U339" t="str">
        <x:v>W</x:v>
      </x:c>
      <x:c r="V339" t="n">
        <x:f>COUNTIF(B339:U339,"W")</x:f>
        <x:v>10</x:v>
      </x:c>
      <x:c r="W339" s="5" t="str">
        <x:f>IF(COUNTIF(B339:D339,"W")&gt;0,"Y","N")</x:f>
        <x:v>Y</x:v>
      </x:c>
      <x:c r="X339" s="1"/>
      <x:c r="Y339" s="1"/>
      <x:c r="Z339" s="1"/>
      <x:c r="AA339" s="1"/>
      <x:c r="AB339" s="1"/>
      <x:c r="AC339" s="1"/>
      <x:c r="AD339" s="1"/>
    </x:row>
    <x:row r="340">
      <x:c r="A340" s="1">
        <x:v>339</x:v>
      </x:c>
      <x:c r="B340" t="str">
        <x:v>B</x:v>
      </x:c>
      <x:c r="C340" t="str">
        <x:v>B</x:v>
      </x:c>
      <x:c r="D340" t="str">
        <x:v>W</x:v>
      </x:c>
      <x:c r="E340" t="str">
        <x:v>W</x:v>
      </x:c>
      <x:c r="F340" t="str">
        <x:v>B</x:v>
      </x:c>
      <x:c r="G340" t="str">
        <x:v>B</x:v>
      </x:c>
      <x:c r="H340" t="str">
        <x:v>W</x:v>
      </x:c>
      <x:c r="I340" t="str">
        <x:v>B</x:v>
      </x:c>
      <x:c r="J340" t="str">
        <x:v>B</x:v>
      </x:c>
      <x:c r="K340" t="str">
        <x:v>B</x:v>
      </x:c>
      <x:c r="L340" t="str">
        <x:v>W</x:v>
      </x:c>
      <x:c r="M340" t="str">
        <x:v>B</x:v>
      </x:c>
      <x:c r="N340" t="str">
        <x:v>B</x:v>
      </x:c>
      <x:c r="O340" t="str">
        <x:v>B</x:v>
      </x:c>
      <x:c r="P340" t="str">
        <x:v>W</x:v>
      </x:c>
      <x:c r="Q340" t="str">
        <x:v>B</x:v>
      </x:c>
      <x:c r="R340" t="str">
        <x:v>W</x:v>
      </x:c>
      <x:c r="S340" t="str">
        <x:v>B</x:v>
      </x:c>
      <x:c r="T340" t="str">
        <x:v>B</x:v>
      </x:c>
      <x:c r="U340" t="str">
        <x:v>W</x:v>
      </x:c>
      <x:c r="V340" t="n">
        <x:f>COUNTIF(B340:U340,"W")</x:f>
        <x:v>7</x:v>
      </x:c>
      <x:c r="W340" s="5" t="str">
        <x:f>IF(COUNTIF(B340:D340,"W")&gt;0,"Y","N")</x:f>
        <x:v>Y</x:v>
      </x:c>
      <x:c r="X340" s="1"/>
      <x:c r="Y340" s="1"/>
      <x:c r="Z340" s="1"/>
      <x:c r="AA340" s="1"/>
      <x:c r="AB340" s="1"/>
      <x:c r="AC340" s="1"/>
      <x:c r="AD340" s="1"/>
    </x:row>
    <x:row r="341">
      <x:c r="A341" s="1">
        <x:v>340</x:v>
      </x:c>
      <x:c r="B341" t="str">
        <x:v>B</x:v>
      </x:c>
      <x:c r="C341" t="str">
        <x:v>B</x:v>
      </x:c>
      <x:c r="D341" t="str">
        <x:v>B</x:v>
      </x:c>
      <x:c r="E341" t="str">
        <x:v>W</x:v>
      </x:c>
      <x:c r="F341" t="str">
        <x:v>B</x:v>
      </x:c>
      <x:c r="G341" t="str">
        <x:v>B</x:v>
      </x:c>
      <x:c r="H341" t="str">
        <x:v>W</x:v>
      </x:c>
      <x:c r="I341" t="str">
        <x:v>W</x:v>
      </x:c>
      <x:c r="J341" t="str">
        <x:v>W</x:v>
      </x:c>
      <x:c r="K341" t="str">
        <x:v>W</x:v>
      </x:c>
      <x:c r="L341" t="str">
        <x:v>B</x:v>
      </x:c>
      <x:c r="M341" t="str">
        <x:v>B</x:v>
      </x:c>
      <x:c r="N341" t="str">
        <x:v>W</x:v>
      </x:c>
      <x:c r="O341" t="str">
        <x:v>B</x:v>
      </x:c>
      <x:c r="P341" t="str">
        <x:v>W</x:v>
      </x:c>
      <x:c r="Q341" t="str">
        <x:v>B</x:v>
      </x:c>
      <x:c r="R341" t="str">
        <x:v>B</x:v>
      </x:c>
      <x:c r="S341" t="str">
        <x:v>B</x:v>
      </x:c>
      <x:c r="T341" t="str">
        <x:v>B</x:v>
      </x:c>
      <x:c r="U341" t="str">
        <x:v>B</x:v>
      </x:c>
      <x:c r="V341" t="n">
        <x:f>COUNTIF(B341:U341,"W")</x:f>
        <x:v>7</x:v>
      </x:c>
      <x:c r="W341" s="5" t="str">
        <x:f>IF(COUNTIF(B341:D341,"W")&gt;0,"Y","N")</x:f>
        <x:v>N</x:v>
      </x:c>
      <x:c r="X341" s="1"/>
      <x:c r="Y341" s="1"/>
      <x:c r="Z341" s="1"/>
      <x:c r="AA341" s="1"/>
      <x:c r="AB341" s="1"/>
      <x:c r="AC341" s="1"/>
      <x:c r="AD341" s="1"/>
    </x:row>
    <x:row r="342">
      <x:c r="A342" s="1">
        <x:v>341</x:v>
      </x:c>
      <x:c r="B342" t="str">
        <x:v>W</x:v>
      </x:c>
      <x:c r="C342" t="str">
        <x:v>B</x:v>
      </x:c>
      <x:c r="D342" t="str">
        <x:v>W</x:v>
      </x:c>
      <x:c r="E342" t="str">
        <x:v>W</x:v>
      </x:c>
      <x:c r="F342" t="str">
        <x:v>B</x:v>
      </x:c>
      <x:c r="G342" t="str">
        <x:v>W</x:v>
      </x:c>
      <x:c r="H342" t="str">
        <x:v>B</x:v>
      </x:c>
      <x:c r="I342" t="str">
        <x:v>B</x:v>
      </x:c>
      <x:c r="J342" t="str">
        <x:v>W</x:v>
      </x:c>
      <x:c r="K342" t="str">
        <x:v>B</x:v>
      </x:c>
      <x:c r="L342" t="str">
        <x:v>B</x:v>
      </x:c>
      <x:c r="M342" t="str">
        <x:v>B</x:v>
      </x:c>
      <x:c r="N342" t="str">
        <x:v>W</x:v>
      </x:c>
      <x:c r="O342" t="str">
        <x:v>W</x:v>
      </x:c>
      <x:c r="P342" t="str">
        <x:v>W</x:v>
      </x:c>
      <x:c r="Q342" t="str">
        <x:v>B</x:v>
      </x:c>
      <x:c r="R342" t="str">
        <x:v>B</x:v>
      </x:c>
      <x:c r="S342" t="str">
        <x:v>W</x:v>
      </x:c>
      <x:c r="T342" t="str">
        <x:v>B</x:v>
      </x:c>
      <x:c r="U342" t="str">
        <x:v>B</x:v>
      </x:c>
      <x:c r="V342" t="n">
        <x:f>COUNTIF(B342:U342,"W")</x:f>
        <x:v>9</x:v>
      </x:c>
      <x:c r="W342" s="5" t="str">
        <x:f>IF(COUNTIF(B342:D342,"W")&gt;0,"Y","N")</x:f>
        <x:v>Y</x:v>
      </x:c>
      <x:c r="X342" s="1"/>
      <x:c r="Y342" s="1"/>
      <x:c r="Z342" s="1"/>
      <x:c r="AA342" s="1"/>
      <x:c r="AB342" s="1"/>
      <x:c r="AC342" s="1"/>
      <x:c r="AD342" s="1"/>
    </x:row>
    <x:row r="343">
      <x:c r="A343" s="1">
        <x:v>342</x:v>
      </x:c>
      <x:c r="B343" t="str">
        <x:v>W</x:v>
      </x:c>
      <x:c r="C343" t="str">
        <x:v>B</x:v>
      </x:c>
      <x:c r="D343" t="str">
        <x:v>W</x:v>
      </x:c>
      <x:c r="E343" t="str">
        <x:v>W</x:v>
      </x:c>
      <x:c r="F343" t="str">
        <x:v>W</x:v>
      </x:c>
      <x:c r="G343" t="str">
        <x:v>B</x:v>
      </x:c>
      <x:c r="H343" t="str">
        <x:v>B</x:v>
      </x:c>
      <x:c r="I343" t="str">
        <x:v>B</x:v>
      </x:c>
      <x:c r="J343" t="str">
        <x:v>B</x:v>
      </x:c>
      <x:c r="K343" t="str">
        <x:v>W</x:v>
      </x:c>
      <x:c r="L343" t="str">
        <x:v>B</x:v>
      </x:c>
      <x:c r="M343" t="str">
        <x:v>W</x:v>
      </x:c>
      <x:c r="N343" t="str">
        <x:v>W</x:v>
      </x:c>
      <x:c r="O343" t="str">
        <x:v>W</x:v>
      </x:c>
      <x:c r="P343" t="str">
        <x:v>B</x:v>
      </x:c>
      <x:c r="Q343" t="str">
        <x:v>B</x:v>
      </x:c>
      <x:c r="R343" t="str">
        <x:v>B</x:v>
      </x:c>
      <x:c r="S343" t="str">
        <x:v>W</x:v>
      </x:c>
      <x:c r="T343" t="str">
        <x:v>B</x:v>
      </x:c>
      <x:c r="U343" t="str">
        <x:v>B</x:v>
      </x:c>
      <x:c r="V343" t="n">
        <x:f>COUNTIF(B343:U343,"W")</x:f>
        <x:v>9</x:v>
      </x:c>
      <x:c r="W343" s="5" t="str">
        <x:f>IF(COUNTIF(B343:D343,"W")&gt;0,"Y","N")</x:f>
        <x:v>Y</x:v>
      </x:c>
      <x:c r="X343" s="1"/>
      <x:c r="Y343" s="1"/>
      <x:c r="Z343" s="1"/>
      <x:c r="AA343" s="1"/>
      <x:c r="AB343" s="1"/>
      <x:c r="AC343" s="1"/>
      <x:c r="AD343" s="1"/>
    </x:row>
    <x:row r="344">
      <x:c r="A344" s="1">
        <x:v>343</x:v>
      </x:c>
      <x:c r="B344" t="str">
        <x:v>B</x:v>
      </x:c>
      <x:c r="C344" t="str">
        <x:v>W</x:v>
      </x:c>
      <x:c r="D344" t="str">
        <x:v>B</x:v>
      </x:c>
      <x:c r="E344" t="str">
        <x:v>B</x:v>
      </x:c>
      <x:c r="F344" t="str">
        <x:v>W</x:v>
      </x:c>
      <x:c r="G344" t="str">
        <x:v>W</x:v>
      </x:c>
      <x:c r="H344" t="str">
        <x:v>B</x:v>
      </x:c>
      <x:c r="I344" t="str">
        <x:v>W</x:v>
      </x:c>
      <x:c r="J344" t="str">
        <x:v>W</x:v>
      </x:c>
      <x:c r="K344" t="str">
        <x:v>B</x:v>
      </x:c>
      <x:c r="L344" t="str">
        <x:v>W</x:v>
      </x:c>
      <x:c r="M344" t="str">
        <x:v>W</x:v>
      </x:c>
      <x:c r="N344" t="str">
        <x:v>B</x:v>
      </x:c>
      <x:c r="O344" t="str">
        <x:v>W</x:v>
      </x:c>
      <x:c r="P344" t="str">
        <x:v>B</x:v>
      </x:c>
      <x:c r="Q344" t="str">
        <x:v>W</x:v>
      </x:c>
      <x:c r="R344" t="str">
        <x:v>W</x:v>
      </x:c>
      <x:c r="S344" t="str">
        <x:v>B</x:v>
      </x:c>
      <x:c r="T344" t="str">
        <x:v>B</x:v>
      </x:c>
      <x:c r="U344" t="str">
        <x:v>B</x:v>
      </x:c>
      <x:c r="V344" t="n">
        <x:f>COUNTIF(B344:U344,"W")</x:f>
        <x:v>10</x:v>
      </x:c>
      <x:c r="W344" s="5" t="str">
        <x:f>IF(COUNTIF(B344:D344,"W")&gt;0,"Y","N")</x:f>
        <x:v>Y</x:v>
      </x:c>
      <x:c r="X344" s="1"/>
      <x:c r="Y344" s="1"/>
      <x:c r="Z344" s="1"/>
      <x:c r="AA344" s="1"/>
      <x:c r="AB344" s="1"/>
      <x:c r="AC344" s="1"/>
      <x:c r="AD344" s="1"/>
    </x:row>
    <x:row r="345">
      <x:c r="A345" s="1">
        <x:v>344</x:v>
      </x:c>
      <x:c r="B345" t="str">
        <x:v>B</x:v>
      </x:c>
      <x:c r="C345" t="str">
        <x:v>W</x:v>
      </x:c>
      <x:c r="D345" t="str">
        <x:v>W</x:v>
      </x:c>
      <x:c r="E345" t="str">
        <x:v>B</x:v>
      </x:c>
      <x:c r="F345" t="str">
        <x:v>B</x:v>
      </x:c>
      <x:c r="G345" t="str">
        <x:v>B</x:v>
      </x:c>
      <x:c r="H345" t="str">
        <x:v>W</x:v>
      </x:c>
      <x:c r="I345" t="str">
        <x:v>W</x:v>
      </x:c>
      <x:c r="J345" t="str">
        <x:v>B</x:v>
      </x:c>
      <x:c r="K345" t="str">
        <x:v>B</x:v>
      </x:c>
      <x:c r="L345" t="str">
        <x:v>W</x:v>
      </x:c>
      <x:c r="M345" t="str">
        <x:v>W</x:v>
      </x:c>
      <x:c r="N345" t="str">
        <x:v>B</x:v>
      </x:c>
      <x:c r="O345" t="str">
        <x:v>B</x:v>
      </x:c>
      <x:c r="P345" t="str">
        <x:v>B</x:v>
      </x:c>
      <x:c r="Q345" t="str">
        <x:v>B</x:v>
      </x:c>
      <x:c r="R345" t="str">
        <x:v>W</x:v>
      </x:c>
      <x:c r="S345" t="str">
        <x:v>B</x:v>
      </x:c>
      <x:c r="T345" t="str">
        <x:v>B</x:v>
      </x:c>
      <x:c r="U345" t="str">
        <x:v>W</x:v>
      </x:c>
      <x:c r="V345" t="n">
        <x:f>COUNTIF(B345:U345,"W")</x:f>
        <x:v>8</x:v>
      </x:c>
      <x:c r="W345" s="5" t="str">
        <x:f>IF(COUNTIF(B345:D345,"W")&gt;0,"Y","N")</x:f>
        <x:v>Y</x:v>
      </x:c>
      <x:c r="X345" s="1"/>
      <x:c r="Y345" s="1"/>
      <x:c r="Z345" s="1"/>
      <x:c r="AA345" s="1"/>
      <x:c r="AB345" s="1"/>
      <x:c r="AC345" s="1"/>
      <x:c r="AD345" s="1"/>
    </x:row>
    <x:row r="346">
      <x:c r="A346" s="1">
        <x:v>345</x:v>
      </x:c>
      <x:c r="B346" t="str">
        <x:v>W</x:v>
      </x:c>
      <x:c r="C346" t="str">
        <x:v>B</x:v>
      </x:c>
      <x:c r="D346" t="str">
        <x:v>B</x:v>
      </x:c>
      <x:c r="E346" t="str">
        <x:v>W</x:v>
      </x:c>
      <x:c r="F346" t="str">
        <x:v>W</x:v>
      </x:c>
      <x:c r="G346" t="str">
        <x:v>W</x:v>
      </x:c>
      <x:c r="H346" t="str">
        <x:v>B</x:v>
      </x:c>
      <x:c r="I346" t="str">
        <x:v>B</x:v>
      </x:c>
      <x:c r="J346" t="str">
        <x:v>W</x:v>
      </x:c>
      <x:c r="K346" t="str">
        <x:v>B</x:v>
      </x:c>
      <x:c r="L346" t="str">
        <x:v>B</x:v>
      </x:c>
      <x:c r="M346" t="str">
        <x:v>W</x:v>
      </x:c>
      <x:c r="N346" t="str">
        <x:v>B</x:v>
      </x:c>
      <x:c r="O346" t="str">
        <x:v>B</x:v>
      </x:c>
      <x:c r="P346" t="str">
        <x:v>B</x:v>
      </x:c>
      <x:c r="Q346" t="str">
        <x:v>W</x:v>
      </x:c>
      <x:c r="R346" t="str">
        <x:v>B</x:v>
      </x:c>
      <x:c r="S346" t="str">
        <x:v>W</x:v>
      </x:c>
      <x:c r="T346" t="str">
        <x:v>B</x:v>
      </x:c>
      <x:c r="U346" t="str">
        <x:v>B</x:v>
      </x:c>
      <x:c r="V346" t="n">
        <x:f>COUNTIF(B346:U346,"W")</x:f>
        <x:v>8</x:v>
      </x:c>
      <x:c r="W346" s="5" t="str">
        <x:f>IF(COUNTIF(B346:D346,"W")&gt;0,"Y","N")</x:f>
        <x:v>Y</x:v>
      </x:c>
      <x:c r="X346" s="1"/>
      <x:c r="Y346" s="1"/>
      <x:c r="Z346" s="1"/>
      <x:c r="AA346" s="1"/>
      <x:c r="AB346" s="1"/>
      <x:c r="AC346" s="1"/>
      <x:c r="AD346" s="1"/>
    </x:row>
    <x:row r="347">
      <x:c r="A347" s="1">
        <x:v>346</x:v>
      </x:c>
      <x:c r="B347" t="str">
        <x:v>W</x:v>
      </x:c>
      <x:c r="C347" t="str">
        <x:v>B</x:v>
      </x:c>
      <x:c r="D347" t="str">
        <x:v>B</x:v>
      </x:c>
      <x:c r="E347" t="str">
        <x:v>W</x:v>
      </x:c>
      <x:c r="F347" t="str">
        <x:v>B</x:v>
      </x:c>
      <x:c r="G347" t="str">
        <x:v>B</x:v>
      </x:c>
      <x:c r="H347" t="str">
        <x:v>W</x:v>
      </x:c>
      <x:c r="I347" t="str">
        <x:v>W</x:v>
      </x:c>
      <x:c r="J347" t="str">
        <x:v>B</x:v>
      </x:c>
      <x:c r="K347" t="str">
        <x:v>B</x:v>
      </x:c>
      <x:c r="L347" t="str">
        <x:v>W</x:v>
      </x:c>
      <x:c r="M347" t="str">
        <x:v>B</x:v>
      </x:c>
      <x:c r="N347" t="str">
        <x:v>W</x:v>
      </x:c>
      <x:c r="O347" t="str">
        <x:v>B</x:v>
      </x:c>
      <x:c r="P347" t="str">
        <x:v>B</x:v>
      </x:c>
      <x:c r="Q347" t="str">
        <x:v>W</x:v>
      </x:c>
      <x:c r="R347" t="str">
        <x:v>B</x:v>
      </x:c>
      <x:c r="S347" t="str">
        <x:v>W</x:v>
      </x:c>
      <x:c r="T347" t="str">
        <x:v>W</x:v>
      </x:c>
      <x:c r="U347" t="str">
        <x:v>B</x:v>
      </x:c>
      <x:c r="V347" t="n">
        <x:f>COUNTIF(B347:U347,"W")</x:f>
        <x:v>9</x:v>
      </x:c>
      <x:c r="W347" s="5" t="str">
        <x:f>IF(COUNTIF(B347:D347,"W")&gt;0,"Y","N")</x:f>
        <x:v>Y</x:v>
      </x:c>
      <x:c r="X347" s="1"/>
      <x:c r="Y347" s="1"/>
      <x:c r="Z347" s="1"/>
      <x:c r="AA347" s="1"/>
      <x:c r="AB347" s="1"/>
      <x:c r="AC347" s="1"/>
      <x:c r="AD347" s="1"/>
    </x:row>
    <x:row r="348">
      <x:c r="A348" s="1">
        <x:v>347</x:v>
      </x:c>
      <x:c r="B348" t="str">
        <x:v>B</x:v>
      </x:c>
      <x:c r="C348" t="str">
        <x:v>W</x:v>
      </x:c>
      <x:c r="D348" t="str">
        <x:v>W</x:v>
      </x:c>
      <x:c r="E348" t="str">
        <x:v>W</x:v>
      </x:c>
      <x:c r="F348" t="str">
        <x:v>B</x:v>
      </x:c>
      <x:c r="G348" t="str">
        <x:v>W</x:v>
      </x:c>
      <x:c r="H348" t="str">
        <x:v>W</x:v>
      </x:c>
      <x:c r="I348" t="str">
        <x:v>B</x:v>
      </x:c>
      <x:c r="J348" t="str">
        <x:v>W</x:v>
      </x:c>
      <x:c r="K348" t="str">
        <x:v>B</x:v>
      </x:c>
      <x:c r="L348" t="str">
        <x:v>W</x:v>
      </x:c>
      <x:c r="M348" t="str">
        <x:v>W</x:v>
      </x:c>
      <x:c r="N348" t="str">
        <x:v>B</x:v>
      </x:c>
      <x:c r="O348" t="str">
        <x:v>W</x:v>
      </x:c>
      <x:c r="P348" t="str">
        <x:v>B</x:v>
      </x:c>
      <x:c r="Q348" t="str">
        <x:v>W</x:v>
      </x:c>
      <x:c r="R348" t="str">
        <x:v>B</x:v>
      </x:c>
      <x:c r="S348" t="str">
        <x:v>W</x:v>
      </x:c>
      <x:c r="T348" t="str">
        <x:v>B</x:v>
      </x:c>
      <x:c r="U348" t="str">
        <x:v>W</x:v>
      </x:c>
      <x:c r="V348" t="n">
        <x:f>COUNTIF(B348:U348,"W")</x:f>
        <x:v>12</x:v>
      </x:c>
      <x:c r="W348" s="5" t="str">
        <x:f>IF(COUNTIF(B348:D348,"W")&gt;0,"Y","N")</x:f>
        <x:v>Y</x:v>
      </x:c>
      <x:c r="X348" s="1"/>
      <x:c r="Y348" s="1"/>
      <x:c r="Z348" s="1"/>
      <x:c r="AA348" s="1"/>
      <x:c r="AB348" s="1"/>
      <x:c r="AC348" s="1"/>
      <x:c r="AD348" s="1"/>
    </x:row>
    <x:row r="349">
      <x:c r="A349" s="1">
        <x:v>348</x:v>
      </x:c>
      <x:c r="B349" t="str">
        <x:v>W</x:v>
      </x:c>
      <x:c r="C349" t="str">
        <x:v>B</x:v>
      </x:c>
      <x:c r="D349" t="str">
        <x:v>W</x:v>
      </x:c>
      <x:c r="E349" t="str">
        <x:v>B</x:v>
      </x:c>
      <x:c r="F349" t="str">
        <x:v>W</x:v>
      </x:c>
      <x:c r="G349" t="str">
        <x:v>W</x:v>
      </x:c>
      <x:c r="H349" t="str">
        <x:v>B</x:v>
      </x:c>
      <x:c r="I349" t="str">
        <x:v>B</x:v>
      </x:c>
      <x:c r="J349" t="str">
        <x:v>W</x:v>
      </x:c>
      <x:c r="K349" t="str">
        <x:v>W</x:v>
      </x:c>
      <x:c r="L349" t="str">
        <x:v>B</x:v>
      </x:c>
      <x:c r="M349" t="str">
        <x:v>B</x:v>
      </x:c>
      <x:c r="N349" t="str">
        <x:v>B</x:v>
      </x:c>
      <x:c r="O349" t="str">
        <x:v>B</x:v>
      </x:c>
      <x:c r="P349" t="str">
        <x:v>B</x:v>
      </x:c>
      <x:c r="Q349" t="str">
        <x:v>B</x:v>
      </x:c>
      <x:c r="R349" t="str">
        <x:v>B</x:v>
      </x:c>
      <x:c r="S349" t="str">
        <x:v>B</x:v>
      </x:c>
      <x:c r="T349" t="str">
        <x:v>W</x:v>
      </x:c>
      <x:c r="U349" t="str">
        <x:v>B</x:v>
      </x:c>
      <x:c r="V349" t="n">
        <x:f>COUNTIF(B349:U349,"W")</x:f>
        <x:v>7</x:v>
      </x:c>
      <x:c r="W349" s="5" t="str">
        <x:f>IF(COUNTIF(B349:D349,"W")&gt;0,"Y","N")</x:f>
        <x:v>Y</x:v>
      </x:c>
      <x:c r="X349" s="1"/>
      <x:c r="Y349" s="1"/>
      <x:c r="Z349" s="1"/>
      <x:c r="AA349" s="1"/>
      <x:c r="AB349" s="1"/>
      <x:c r="AC349" s="1"/>
      <x:c r="AD349" s="1"/>
    </x:row>
    <x:row r="350">
      <x:c r="A350" s="1">
        <x:v>349</x:v>
      </x:c>
      <x:c r="B350" t="str">
        <x:v>B</x:v>
      </x:c>
      <x:c r="C350" t="str">
        <x:v>W</x:v>
      </x:c>
      <x:c r="D350" t="str">
        <x:v>W</x:v>
      </x:c>
      <x:c r="E350" t="str">
        <x:v>B</x:v>
      </x:c>
      <x:c r="F350" t="str">
        <x:v>W</x:v>
      </x:c>
      <x:c r="G350" t="str">
        <x:v>B</x:v>
      </x:c>
      <x:c r="H350" t="str">
        <x:v>B</x:v>
      </x:c>
      <x:c r="I350" t="str">
        <x:v>B</x:v>
      </x:c>
      <x:c r="J350" t="str">
        <x:v>B</x:v>
      </x:c>
      <x:c r="K350" t="str">
        <x:v>B</x:v>
      </x:c>
      <x:c r="L350" t="str">
        <x:v>W</x:v>
      </x:c>
      <x:c r="M350" t="str">
        <x:v>B</x:v>
      </x:c>
      <x:c r="N350" t="str">
        <x:v>W</x:v>
      </x:c>
      <x:c r="O350" t="str">
        <x:v>B</x:v>
      </x:c>
      <x:c r="P350" t="str">
        <x:v>B</x:v>
      </x:c>
      <x:c r="Q350" t="str">
        <x:v>B</x:v>
      </x:c>
      <x:c r="R350" t="str">
        <x:v>B</x:v>
      </x:c>
      <x:c r="S350" t="str">
        <x:v>B</x:v>
      </x:c>
      <x:c r="T350" t="str">
        <x:v>B</x:v>
      </x:c>
      <x:c r="U350" t="str">
        <x:v>B</x:v>
      </x:c>
      <x:c r="V350" t="n">
        <x:f>COUNTIF(B350:U350,"W")</x:f>
        <x:v>5</x:v>
      </x:c>
      <x:c r="W350" s="5" t="str">
        <x:f>IF(COUNTIF(B350:D350,"W")&gt;0,"Y","N")</x:f>
        <x:v>Y</x:v>
      </x:c>
      <x:c r="X350" s="1"/>
      <x:c r="Y350" s="1"/>
      <x:c r="Z350" s="1"/>
      <x:c r="AA350" s="1"/>
      <x:c r="AB350" s="1"/>
      <x:c r="AC350" s="1"/>
      <x:c r="AD350" s="1"/>
    </x:row>
    <x:row r="351">
      <x:c r="A351" s="1">
        <x:v>350</x:v>
      </x:c>
      <x:c r="B351" t="str">
        <x:v>W</x:v>
      </x:c>
      <x:c r="C351" t="str">
        <x:v>W</x:v>
      </x:c>
      <x:c r="D351" t="str">
        <x:v>W</x:v>
      </x:c>
      <x:c r="E351" t="str">
        <x:v>B</x:v>
      </x:c>
      <x:c r="F351" t="str">
        <x:v>B</x:v>
      </x:c>
      <x:c r="G351" t="str">
        <x:v>B</x:v>
      </x:c>
      <x:c r="H351" t="str">
        <x:v>B</x:v>
      </x:c>
      <x:c r="I351" t="str">
        <x:v>W</x:v>
      </x:c>
      <x:c r="J351" t="str">
        <x:v>B</x:v>
      </x:c>
      <x:c r="K351" t="str">
        <x:v>W</x:v>
      </x:c>
      <x:c r="L351" t="str">
        <x:v>W</x:v>
      </x:c>
      <x:c r="M351" t="str">
        <x:v>W</x:v>
      </x:c>
      <x:c r="N351" t="str">
        <x:v>W</x:v>
      </x:c>
      <x:c r="O351" t="str">
        <x:v>B</x:v>
      </x:c>
      <x:c r="P351" t="str">
        <x:v>B</x:v>
      </x:c>
      <x:c r="Q351" t="str">
        <x:v>W</x:v>
      </x:c>
      <x:c r="R351" t="str">
        <x:v>B</x:v>
      </x:c>
      <x:c r="S351" t="str">
        <x:v>B</x:v>
      </x:c>
      <x:c r="T351" t="str">
        <x:v>B</x:v>
      </x:c>
      <x:c r="U351" t="str">
        <x:v>B</x:v>
      </x:c>
      <x:c r="V351" t="n">
        <x:f>COUNTIF(B351:U351,"W")</x:f>
        <x:v>9</x:v>
      </x:c>
      <x:c r="W351" s="5" t="str">
        <x:f>IF(COUNTIF(B351:D351,"W")&gt;0,"Y","N")</x:f>
        <x:v>Y</x:v>
      </x:c>
      <x:c r="X351" s="1"/>
      <x:c r="Y351" s="1"/>
      <x:c r="Z351" s="1"/>
      <x:c r="AA351" s="1"/>
      <x:c r="AB351" s="1"/>
      <x:c r="AC351" s="1"/>
      <x:c r="AD351" s="1"/>
    </x:row>
    <x:row r="352">
      <x:c r="A352" s="1">
        <x:v>351</x:v>
      </x:c>
      <x:c r="B352" t="str">
        <x:v>W</x:v>
      </x:c>
      <x:c r="C352" t="str">
        <x:v>B</x:v>
      </x:c>
      <x:c r="D352" t="str">
        <x:v>W</x:v>
      </x:c>
      <x:c r="E352" t="str">
        <x:v>W</x:v>
      </x:c>
      <x:c r="F352" t="str">
        <x:v>W</x:v>
      </x:c>
      <x:c r="G352" t="str">
        <x:v>B</x:v>
      </x:c>
      <x:c r="H352" t="str">
        <x:v>B</x:v>
      </x:c>
      <x:c r="I352" t="str">
        <x:v>B</x:v>
      </x:c>
      <x:c r="J352" t="str">
        <x:v>B</x:v>
      </x:c>
      <x:c r="K352" t="str">
        <x:v>W</x:v>
      </x:c>
      <x:c r="L352" t="str">
        <x:v>B</x:v>
      </x:c>
      <x:c r="M352" t="str">
        <x:v>B</x:v>
      </x:c>
      <x:c r="N352" t="str">
        <x:v>W</x:v>
      </x:c>
      <x:c r="O352" t="str">
        <x:v>B</x:v>
      </x:c>
      <x:c r="P352" t="str">
        <x:v>B</x:v>
      </x:c>
      <x:c r="Q352" t="str">
        <x:v>B</x:v>
      </x:c>
      <x:c r="R352" t="str">
        <x:v>B</x:v>
      </x:c>
      <x:c r="S352" t="str">
        <x:v>B</x:v>
      </x:c>
      <x:c r="T352" t="str">
        <x:v>W</x:v>
      </x:c>
      <x:c r="U352" t="str">
        <x:v>B</x:v>
      </x:c>
      <x:c r="V352" t="n">
        <x:f>COUNTIF(B352:U352,"W")</x:f>
        <x:v>7</x:v>
      </x:c>
      <x:c r="W352" s="5" t="str">
        <x:f>IF(COUNTIF(B352:D352,"W")&gt;0,"Y","N")</x:f>
        <x:v>Y</x:v>
      </x:c>
      <x:c r="X352" s="1"/>
      <x:c r="Y352" s="1"/>
      <x:c r="Z352" s="1"/>
      <x:c r="AA352" s="1"/>
      <x:c r="AB352" s="1"/>
      <x:c r="AC352" s="1"/>
      <x:c r="AD352" s="1"/>
    </x:row>
    <x:row r="353">
      <x:c r="A353" s="1">
        <x:v>352</x:v>
      </x:c>
      <x:c r="B353" t="str">
        <x:v>W</x:v>
      </x:c>
      <x:c r="C353" t="str">
        <x:v>W</x:v>
      </x:c>
      <x:c r="D353" t="str">
        <x:v>B</x:v>
      </x:c>
      <x:c r="E353" t="str">
        <x:v>W</x:v>
      </x:c>
      <x:c r="F353" t="str">
        <x:v>B</x:v>
      </x:c>
      <x:c r="G353" t="str">
        <x:v>B</x:v>
      </x:c>
      <x:c r="H353" t="str">
        <x:v>B</x:v>
      </x:c>
      <x:c r="I353" t="str">
        <x:v>W</x:v>
      </x:c>
      <x:c r="J353" t="str">
        <x:v>W</x:v>
      </x:c>
      <x:c r="K353" t="str">
        <x:v>B</x:v>
      </x:c>
      <x:c r="L353" t="str">
        <x:v>B</x:v>
      </x:c>
      <x:c r="M353" t="str">
        <x:v>W</x:v>
      </x:c>
      <x:c r="N353" t="str">
        <x:v>B</x:v>
      </x:c>
      <x:c r="O353" t="str">
        <x:v>B</x:v>
      </x:c>
      <x:c r="P353" t="str">
        <x:v>W</x:v>
      </x:c>
      <x:c r="Q353" t="str">
        <x:v>W</x:v>
      </x:c>
      <x:c r="R353" t="str">
        <x:v>B</x:v>
      </x:c>
      <x:c r="S353" t="str">
        <x:v>W</x:v>
      </x:c>
      <x:c r="T353" t="str">
        <x:v>B</x:v>
      </x:c>
      <x:c r="U353" t="str">
        <x:v>B</x:v>
      </x:c>
      <x:c r="V353" t="n">
        <x:f>COUNTIF(B353:U353,"W")</x:f>
        <x:v>9</x:v>
      </x:c>
      <x:c r="W353" s="5" t="str">
        <x:f>IF(COUNTIF(B353:D353,"W")&gt;0,"Y","N")</x:f>
        <x:v>Y</x:v>
      </x:c>
      <x:c r="X353" s="1"/>
      <x:c r="Y353" s="1"/>
      <x:c r="Z353" s="1"/>
      <x:c r="AA353" s="1"/>
      <x:c r="AB353" s="1"/>
      <x:c r="AC353" s="1"/>
      <x:c r="AD353" s="1"/>
    </x:row>
    <x:row r="354">
      <x:c r="A354" s="1">
        <x:v>353</x:v>
      </x:c>
      <x:c r="B354" t="str">
        <x:v>B</x:v>
      </x:c>
      <x:c r="C354" t="str">
        <x:v>B</x:v>
      </x:c>
      <x:c r="D354" t="str">
        <x:v>W</x:v>
      </x:c>
      <x:c r="E354" t="str">
        <x:v>B</x:v>
      </x:c>
      <x:c r="F354" t="str">
        <x:v>B</x:v>
      </x:c>
      <x:c r="G354" t="str">
        <x:v>W</x:v>
      </x:c>
      <x:c r="H354" t="str">
        <x:v>W</x:v>
      </x:c>
      <x:c r="I354" t="str">
        <x:v>W</x:v>
      </x:c>
      <x:c r="J354" t="str">
        <x:v>B</x:v>
      </x:c>
      <x:c r="K354" t="str">
        <x:v>B</x:v>
      </x:c>
      <x:c r="L354" t="str">
        <x:v>W</x:v>
      </x:c>
      <x:c r="M354" t="str">
        <x:v>B</x:v>
      </x:c>
      <x:c r="N354" t="str">
        <x:v>W</x:v>
      </x:c>
      <x:c r="O354" t="str">
        <x:v>B</x:v>
      </x:c>
      <x:c r="P354" t="str">
        <x:v>B</x:v>
      </x:c>
      <x:c r="Q354" t="str">
        <x:v>B</x:v>
      </x:c>
      <x:c r="R354" t="str">
        <x:v>B</x:v>
      </x:c>
      <x:c r="S354" t="str">
        <x:v>B</x:v>
      </x:c>
      <x:c r="T354" t="str">
        <x:v>B</x:v>
      </x:c>
      <x:c r="U354" t="str">
        <x:v>W</x:v>
      </x:c>
      <x:c r="V354" t="n">
        <x:f>COUNTIF(B354:U354,"W")</x:f>
        <x:v>7</x:v>
      </x:c>
      <x:c r="W354" s="5" t="str">
        <x:f>IF(COUNTIF(B354:D354,"W")&gt;0,"Y","N")</x:f>
        <x:v>Y</x:v>
      </x:c>
      <x:c r="X354" s="1"/>
      <x:c r="Y354" s="1"/>
      <x:c r="Z354" s="1"/>
      <x:c r="AA354" s="1"/>
      <x:c r="AB354" s="1"/>
      <x:c r="AC354" s="1"/>
      <x:c r="AD354" s="1"/>
    </x:row>
    <x:row r="355">
      <x:c r="A355" s="1">
        <x:v>354</x:v>
      </x:c>
      <x:c r="B355" t="str">
        <x:v>W</x:v>
      </x:c>
      <x:c r="C355" t="str">
        <x:v>B</x:v>
      </x:c>
      <x:c r="D355" t="str">
        <x:v>W</x:v>
      </x:c>
      <x:c r="E355" t="str">
        <x:v>B</x:v>
      </x:c>
      <x:c r="F355" t="str">
        <x:v>B</x:v>
      </x:c>
      <x:c r="G355" t="str">
        <x:v>B</x:v>
      </x:c>
      <x:c r="H355" t="str">
        <x:v>B</x:v>
      </x:c>
      <x:c r="I355" t="str">
        <x:v>B</x:v>
      </x:c>
      <x:c r="J355" t="str">
        <x:v>B</x:v>
      </x:c>
      <x:c r="K355" t="str">
        <x:v>B</x:v>
      </x:c>
      <x:c r="L355" t="str">
        <x:v>W</x:v>
      </x:c>
      <x:c r="M355" t="str">
        <x:v>B</x:v>
      </x:c>
      <x:c r="N355" t="str">
        <x:v>W</x:v>
      </x:c>
      <x:c r="O355" t="str">
        <x:v>B</x:v>
      </x:c>
      <x:c r="P355" t="str">
        <x:v>W</x:v>
      </x:c>
      <x:c r="Q355" t="str">
        <x:v>W</x:v>
      </x:c>
      <x:c r="R355" t="str">
        <x:v>W</x:v>
      </x:c>
      <x:c r="S355" t="str">
        <x:v>B</x:v>
      </x:c>
      <x:c r="T355" t="str">
        <x:v>B</x:v>
      </x:c>
      <x:c r="U355" t="str">
        <x:v>B</x:v>
      </x:c>
      <x:c r="V355" t="n">
        <x:f>COUNTIF(B355:U355,"W")</x:f>
        <x:v>7</x:v>
      </x:c>
      <x:c r="W355" s="5" t="str">
        <x:f>IF(COUNTIF(B355:D355,"W")&gt;0,"Y","N")</x:f>
        <x:v>Y</x:v>
      </x:c>
      <x:c r="X355" s="1"/>
      <x:c r="Y355" s="1"/>
      <x:c r="Z355" s="1"/>
      <x:c r="AA355" s="1"/>
      <x:c r="AB355" s="1"/>
      <x:c r="AC355" s="1"/>
      <x:c r="AD355" s="1"/>
    </x:row>
    <x:row r="356">
      <x:c r="A356" s="1">
        <x:v>355</x:v>
      </x:c>
      <x:c r="B356" t="str">
        <x:v>B</x:v>
      </x:c>
      <x:c r="C356" t="str">
        <x:v>B</x:v>
      </x:c>
      <x:c r="D356" t="str">
        <x:v>W</x:v>
      </x:c>
      <x:c r="E356" t="str">
        <x:v>B</x:v>
      </x:c>
      <x:c r="F356" t="str">
        <x:v>B</x:v>
      </x:c>
      <x:c r="G356" t="str">
        <x:v>B</x:v>
      </x:c>
      <x:c r="H356" t="str">
        <x:v>W</x:v>
      </x:c>
      <x:c r="I356" t="str">
        <x:v>B</x:v>
      </x:c>
      <x:c r="J356" t="str">
        <x:v>B</x:v>
      </x:c>
      <x:c r="K356" t="str">
        <x:v>W</x:v>
      </x:c>
      <x:c r="L356" t="str">
        <x:v>B</x:v>
      </x:c>
      <x:c r="M356" t="str">
        <x:v>B</x:v>
      </x:c>
      <x:c r="N356" t="str">
        <x:v>B</x:v>
      </x:c>
      <x:c r="O356" t="str">
        <x:v>W</x:v>
      </x:c>
      <x:c r="P356" t="str">
        <x:v>B</x:v>
      </x:c>
      <x:c r="Q356" t="str">
        <x:v>B</x:v>
      </x:c>
      <x:c r="R356" t="str">
        <x:v>W</x:v>
      </x:c>
      <x:c r="S356" t="str">
        <x:v>B</x:v>
      </x:c>
      <x:c r="T356" t="str">
        <x:v>B</x:v>
      </x:c>
      <x:c r="U356" t="str">
        <x:v>B</x:v>
      </x:c>
      <x:c r="V356" t="n">
        <x:f>COUNTIF(B356:U356,"W")</x:f>
        <x:v>5</x:v>
      </x:c>
      <x:c r="W356" s="5" t="str">
        <x:f>IF(COUNTIF(B356:D356,"W")&gt;0,"Y","N")</x:f>
        <x:v>Y</x:v>
      </x:c>
      <x:c r="X356" s="1"/>
      <x:c r="Y356" s="1"/>
      <x:c r="Z356" s="1"/>
      <x:c r="AA356" s="1"/>
      <x:c r="AB356" s="1"/>
      <x:c r="AC356" s="1"/>
      <x:c r="AD356" s="1"/>
    </x:row>
    <x:row r="357">
      <x:c r="A357" s="1">
        <x:v>356</x:v>
      </x:c>
      <x:c r="B357" t="str">
        <x:v>W</x:v>
      </x:c>
      <x:c r="C357" t="str">
        <x:v>W</x:v>
      </x:c>
      <x:c r="D357" t="str">
        <x:v>W</x:v>
      </x:c>
      <x:c r="E357" t="str">
        <x:v>B</x:v>
      </x:c>
      <x:c r="F357" t="str">
        <x:v>B</x:v>
      </x:c>
      <x:c r="G357" t="str">
        <x:v>W</x:v>
      </x:c>
      <x:c r="H357" t="str">
        <x:v>B</x:v>
      </x:c>
      <x:c r="I357" t="str">
        <x:v>W</x:v>
      </x:c>
      <x:c r="J357" t="str">
        <x:v>W</x:v>
      </x:c>
      <x:c r="K357" t="str">
        <x:v>W</x:v>
      </x:c>
      <x:c r="L357" t="str">
        <x:v>B</x:v>
      </x:c>
      <x:c r="M357" t="str">
        <x:v>W</x:v>
      </x:c>
      <x:c r="N357" t="str">
        <x:v>B</x:v>
      </x:c>
      <x:c r="O357" t="str">
        <x:v>B</x:v>
      </x:c>
      <x:c r="P357" t="str">
        <x:v>W</x:v>
      </x:c>
      <x:c r="Q357" t="str">
        <x:v>W</x:v>
      </x:c>
      <x:c r="R357" t="str">
        <x:v>W</x:v>
      </x:c>
      <x:c r="S357" t="str">
        <x:v>B</x:v>
      </x:c>
      <x:c r="T357" t="str">
        <x:v>B</x:v>
      </x:c>
      <x:c r="U357" t="str">
        <x:v>B</x:v>
      </x:c>
      <x:c r="V357" t="n">
        <x:f>COUNTIF(B357:U357,"W")</x:f>
        <x:v>11</x:v>
      </x:c>
      <x:c r="W357" s="5" t="str">
        <x:f>IF(COUNTIF(B357:D357,"W")&gt;0,"Y","N")</x:f>
        <x:v>Y</x:v>
      </x:c>
      <x:c r="X357" s="1"/>
      <x:c r="Y357" s="1"/>
      <x:c r="Z357" s="1"/>
      <x:c r="AA357" s="1"/>
      <x:c r="AB357" s="1"/>
      <x:c r="AC357" s="1"/>
      <x:c r="AD357" s="1"/>
    </x:row>
    <x:row r="358">
      <x:c r="A358" s="1">
        <x:v>357</x:v>
      </x:c>
      <x:c r="B358" t="str">
        <x:v>W</x:v>
      </x:c>
      <x:c r="C358" t="str">
        <x:v>B</x:v>
      </x:c>
      <x:c r="D358" t="str">
        <x:v>B</x:v>
      </x:c>
      <x:c r="E358" t="str">
        <x:v>B</x:v>
      </x:c>
      <x:c r="F358" t="str">
        <x:v>B</x:v>
      </x:c>
      <x:c r="G358" t="str">
        <x:v>W</x:v>
      </x:c>
      <x:c r="H358" t="str">
        <x:v>W</x:v>
      </x:c>
      <x:c r="I358" t="str">
        <x:v>W</x:v>
      </x:c>
      <x:c r="J358" t="str">
        <x:v>B</x:v>
      </x:c>
      <x:c r="K358" t="str">
        <x:v>W</x:v>
      </x:c>
      <x:c r="L358" t="str">
        <x:v>W</x:v>
      </x:c>
      <x:c r="M358" t="str">
        <x:v>W</x:v>
      </x:c>
      <x:c r="N358" t="str">
        <x:v>W</x:v>
      </x:c>
      <x:c r="O358" t="str">
        <x:v>W</x:v>
      </x:c>
      <x:c r="P358" t="str">
        <x:v>B</x:v>
      </x:c>
      <x:c r="Q358" t="str">
        <x:v>B</x:v>
      </x:c>
      <x:c r="R358" t="str">
        <x:v>B</x:v>
      </x:c>
      <x:c r="S358" t="str">
        <x:v>W</x:v>
      </x:c>
      <x:c r="T358" t="str">
        <x:v>W</x:v>
      </x:c>
      <x:c r="U358" t="str">
        <x:v>B</x:v>
      </x:c>
      <x:c r="V358" t="n">
        <x:f>COUNTIF(B358:U358,"W")</x:f>
        <x:v>11</x:v>
      </x:c>
      <x:c r="W358" s="5" t="str">
        <x:f>IF(COUNTIF(B358:D358,"W")&gt;0,"Y","N")</x:f>
        <x:v>Y</x:v>
      </x:c>
      <x:c r="X358" s="1"/>
      <x:c r="Y358" s="1"/>
      <x:c r="Z358" s="1"/>
      <x:c r="AA358" s="1"/>
      <x:c r="AB358" s="1"/>
      <x:c r="AC358" s="1"/>
      <x:c r="AD358" s="1"/>
    </x:row>
    <x:row r="359">
      <x:c r="A359" s="1">
        <x:v>358</x:v>
      </x:c>
      <x:c r="B359" t="str">
        <x:v>B</x:v>
      </x:c>
      <x:c r="C359" t="str">
        <x:v>B</x:v>
      </x:c>
      <x:c r="D359" t="str">
        <x:v>B</x:v>
      </x:c>
      <x:c r="E359" t="str">
        <x:v>W</x:v>
      </x:c>
      <x:c r="F359" t="str">
        <x:v>W</x:v>
      </x:c>
      <x:c r="G359" t="str">
        <x:v>B</x:v>
      </x:c>
      <x:c r="H359" t="str">
        <x:v>B</x:v>
      </x:c>
      <x:c r="I359" t="str">
        <x:v>B</x:v>
      </x:c>
      <x:c r="J359" t="str">
        <x:v>W</x:v>
      </x:c>
      <x:c r="K359" t="str">
        <x:v>B</x:v>
      </x:c>
      <x:c r="L359" t="str">
        <x:v>B</x:v>
      </x:c>
      <x:c r="M359" t="str">
        <x:v>B</x:v>
      </x:c>
      <x:c r="N359" t="str">
        <x:v>B</x:v>
      </x:c>
      <x:c r="O359" t="str">
        <x:v>B</x:v>
      </x:c>
      <x:c r="P359" t="str">
        <x:v>B</x:v>
      </x:c>
      <x:c r="Q359" t="str">
        <x:v>W</x:v>
      </x:c>
      <x:c r="R359" t="str">
        <x:v>W</x:v>
      </x:c>
      <x:c r="S359" t="str">
        <x:v>B</x:v>
      </x:c>
      <x:c r="T359" t="str">
        <x:v>B</x:v>
      </x:c>
      <x:c r="U359" t="str">
        <x:v>W</x:v>
      </x:c>
      <x:c r="V359" t="n">
        <x:f>COUNTIF(B359:U359,"W")</x:f>
        <x:v>6</x:v>
      </x:c>
      <x:c r="W359" s="5" t="str">
        <x:f>IF(COUNTIF(B359:D359,"W")&gt;0,"Y","N")</x:f>
        <x:v>N</x:v>
      </x:c>
      <x:c r="X359" s="1"/>
      <x:c r="Y359" s="1"/>
      <x:c r="Z359" s="1"/>
      <x:c r="AA359" s="1"/>
      <x:c r="AB359" s="1"/>
      <x:c r="AC359" s="1"/>
      <x:c r="AD359" s="1"/>
    </x:row>
    <x:row r="360">
      <x:c r="A360" s="1">
        <x:v>359</x:v>
      </x:c>
      <x:c r="B360" t="str">
        <x:v>W</x:v>
      </x:c>
      <x:c r="C360" t="str">
        <x:v>W</x:v>
      </x:c>
      <x:c r="D360" t="str">
        <x:v>W</x:v>
      </x:c>
      <x:c r="E360" t="str">
        <x:v>B</x:v>
      </x:c>
      <x:c r="F360" t="str">
        <x:v>W</x:v>
      </x:c>
      <x:c r="G360" t="str">
        <x:v>W</x:v>
      </x:c>
      <x:c r="H360" t="str">
        <x:v>W</x:v>
      </x:c>
      <x:c r="I360" t="str">
        <x:v>B</x:v>
      </x:c>
      <x:c r="J360" t="str">
        <x:v>W</x:v>
      </x:c>
      <x:c r="K360" t="str">
        <x:v>B</x:v>
      </x:c>
      <x:c r="L360" t="str">
        <x:v>W</x:v>
      </x:c>
      <x:c r="M360" t="str">
        <x:v>B</x:v>
      </x:c>
      <x:c r="N360" t="str">
        <x:v>W</x:v>
      </x:c>
      <x:c r="O360" t="str">
        <x:v>W</x:v>
      </x:c>
      <x:c r="P360" t="str">
        <x:v>B</x:v>
      </x:c>
      <x:c r="Q360" t="str">
        <x:v>W</x:v>
      </x:c>
      <x:c r="R360" t="str">
        <x:v>B</x:v>
      </x:c>
      <x:c r="S360" t="str">
        <x:v>B</x:v>
      </x:c>
      <x:c r="T360" t="str">
        <x:v>B</x:v>
      </x:c>
      <x:c r="U360" t="str">
        <x:v>B</x:v>
      </x:c>
      <x:c r="V360" t="n">
        <x:f>COUNTIF(B360:U360,"W")</x:f>
        <x:v>11</x:v>
      </x:c>
      <x:c r="W360" s="5" t="str">
        <x:f>IF(COUNTIF(B360:D360,"W")&gt;0,"Y","N")</x:f>
        <x:v>Y</x:v>
      </x:c>
      <x:c r="X360" s="1"/>
      <x:c r="Y360" s="1"/>
      <x:c r="Z360" s="1"/>
      <x:c r="AA360" s="1"/>
      <x:c r="AB360" s="1"/>
      <x:c r="AC360" s="1"/>
      <x:c r="AD360" s="1"/>
    </x:row>
    <x:row r="361">
      <x:c r="A361" s="1">
        <x:v>360</x:v>
      </x:c>
      <x:c r="B361" t="str">
        <x:v>B</x:v>
      </x:c>
      <x:c r="C361" t="str">
        <x:v>B</x:v>
      </x:c>
      <x:c r="D361" t="str">
        <x:v>B</x:v>
      </x:c>
      <x:c r="E361" t="str">
        <x:v>B</x:v>
      </x:c>
      <x:c r="F361" t="str">
        <x:v>B</x:v>
      </x:c>
      <x:c r="G361" t="str">
        <x:v>B</x:v>
      </x:c>
      <x:c r="H361" t="str">
        <x:v>B</x:v>
      </x:c>
      <x:c r="I361" t="str">
        <x:v>W</x:v>
      </x:c>
      <x:c r="J361" t="str">
        <x:v>B</x:v>
      </x:c>
      <x:c r="K361" t="str">
        <x:v>B</x:v>
      </x:c>
      <x:c r="L361" t="str">
        <x:v>B</x:v>
      </x:c>
      <x:c r="M361" t="str">
        <x:v>B</x:v>
      </x:c>
      <x:c r="N361" t="str">
        <x:v>B</x:v>
      </x:c>
      <x:c r="O361" t="str">
        <x:v>B</x:v>
      </x:c>
      <x:c r="P361" t="str">
        <x:v>B</x:v>
      </x:c>
      <x:c r="Q361" t="str">
        <x:v>B</x:v>
      </x:c>
      <x:c r="R361" t="str">
        <x:v>B</x:v>
      </x:c>
      <x:c r="S361" t="str">
        <x:v>W</x:v>
      </x:c>
      <x:c r="T361" t="str">
        <x:v>B</x:v>
      </x:c>
      <x:c r="U361" t="str">
        <x:v>B</x:v>
      </x:c>
      <x:c r="V361" t="n">
        <x:f>COUNTIF(B361:U361,"W")</x:f>
        <x:v>2</x:v>
      </x:c>
      <x:c r="W361" s="5" t="str">
        <x:f>IF(COUNTIF(B361:D361,"W")&gt;0,"Y","N")</x:f>
        <x:v>N</x:v>
      </x:c>
      <x:c r="X361" s="1"/>
      <x:c r="Y361" s="1"/>
      <x:c r="Z361" s="1"/>
      <x:c r="AA361" s="1"/>
      <x:c r="AB361" s="1"/>
      <x:c r="AC361" s="1"/>
      <x:c r="AD361" s="1"/>
    </x:row>
    <x:row r="362">
      <x:c r="A362" s="1">
        <x:v>361</x:v>
      </x:c>
      <x:c r="B362" t="str">
        <x:v>B</x:v>
      </x:c>
      <x:c r="C362" t="str">
        <x:v>B</x:v>
      </x:c>
      <x:c r="D362" t="str">
        <x:v>W</x:v>
      </x:c>
      <x:c r="E362" t="str">
        <x:v>W</x:v>
      </x:c>
      <x:c r="F362" t="str">
        <x:v>W</x:v>
      </x:c>
      <x:c r="G362" t="str">
        <x:v>B</x:v>
      </x:c>
      <x:c r="H362" t="str">
        <x:v>B</x:v>
      </x:c>
      <x:c r="I362" t="str">
        <x:v>W</x:v>
      </x:c>
      <x:c r="J362" t="str">
        <x:v>W</x:v>
      </x:c>
      <x:c r="K362" t="str">
        <x:v>B</x:v>
      </x:c>
      <x:c r="L362" t="str">
        <x:v>W</x:v>
      </x:c>
      <x:c r="M362" t="str">
        <x:v>B</x:v>
      </x:c>
      <x:c r="N362" t="str">
        <x:v>B</x:v>
      </x:c>
      <x:c r="O362" t="str">
        <x:v>B</x:v>
      </x:c>
      <x:c r="P362" t="str">
        <x:v>W</x:v>
      </x:c>
      <x:c r="Q362" t="str">
        <x:v>B</x:v>
      </x:c>
      <x:c r="R362" t="str">
        <x:v>B</x:v>
      </x:c>
      <x:c r="S362" t="str">
        <x:v>B</x:v>
      </x:c>
      <x:c r="T362" t="str">
        <x:v>W</x:v>
      </x:c>
      <x:c r="U362" t="str">
        <x:v>B</x:v>
      </x:c>
      <x:c r="V362" t="n">
        <x:f>COUNTIF(B362:U362,"W")</x:f>
        <x:v>8</x:v>
      </x:c>
      <x:c r="W362" s="5" t="str">
        <x:f>IF(COUNTIF(B362:D362,"W")&gt;0,"Y","N")</x:f>
        <x:v>Y</x:v>
      </x:c>
      <x:c r="X362" s="1"/>
      <x:c r="Y362" s="1"/>
      <x:c r="Z362" s="1"/>
      <x:c r="AA362" s="1"/>
      <x:c r="AB362" s="1"/>
      <x:c r="AC362" s="1"/>
      <x:c r="AD362" s="1"/>
    </x:row>
    <x:row r="363">
      <x:c r="A363" s="1">
        <x:v>362</x:v>
      </x:c>
      <x:c r="B363" t="str">
        <x:v>B</x:v>
      </x:c>
      <x:c r="C363" t="str">
        <x:v>B</x:v>
      </x:c>
      <x:c r="D363" t="str">
        <x:v>W</x:v>
      </x:c>
      <x:c r="E363" t="str">
        <x:v>B</x:v>
      </x:c>
      <x:c r="F363" t="str">
        <x:v>B</x:v>
      </x:c>
      <x:c r="G363" t="str">
        <x:v>B</x:v>
      </x:c>
      <x:c r="H363" t="str">
        <x:v>B</x:v>
      </x:c>
      <x:c r="I363" t="str">
        <x:v>B</x:v>
      </x:c>
      <x:c r="J363" t="str">
        <x:v>W</x:v>
      </x:c>
      <x:c r="K363" t="str">
        <x:v>B</x:v>
      </x:c>
      <x:c r="L363" t="str">
        <x:v>B</x:v>
      </x:c>
      <x:c r="M363" t="str">
        <x:v>B</x:v>
      </x:c>
      <x:c r="N363" t="str">
        <x:v>B</x:v>
      </x:c>
      <x:c r="O363" t="str">
        <x:v>W</x:v>
      </x:c>
      <x:c r="P363" t="str">
        <x:v>W</x:v>
      </x:c>
      <x:c r="Q363" t="str">
        <x:v>W</x:v>
      </x:c>
      <x:c r="R363" t="str">
        <x:v>B</x:v>
      </x:c>
      <x:c r="S363" t="str">
        <x:v>B</x:v>
      </x:c>
      <x:c r="T363" t="str">
        <x:v>B</x:v>
      </x:c>
      <x:c r="U363" t="str">
        <x:v>W</x:v>
      </x:c>
      <x:c r="V363" t="n">
        <x:f>COUNTIF(B363:U363,"W")</x:f>
        <x:v>6</x:v>
      </x:c>
      <x:c r="W363" s="5" t="str">
        <x:f>IF(COUNTIF(B363:D363,"W")&gt;0,"Y","N")</x:f>
        <x:v>Y</x:v>
      </x:c>
      <x:c r="X363" s="1"/>
      <x:c r="Y363" s="1"/>
      <x:c r="Z363" s="1"/>
      <x:c r="AA363" s="1"/>
      <x:c r="AB363" s="1"/>
      <x:c r="AC363" s="1"/>
      <x:c r="AD363" s="1"/>
    </x:row>
    <x:row r="364">
      <x:c r="A364" s="1">
        <x:v>363</x:v>
      </x:c>
      <x:c r="B364" t="str">
        <x:v>B</x:v>
      </x:c>
      <x:c r="C364" t="str">
        <x:v>W</x:v>
      </x:c>
      <x:c r="D364" t="str">
        <x:v>B</x:v>
      </x:c>
      <x:c r="E364" t="str">
        <x:v>B</x:v>
      </x:c>
      <x:c r="F364" t="str">
        <x:v>W</x:v>
      </x:c>
      <x:c r="G364" t="str">
        <x:v>W</x:v>
      </x:c>
      <x:c r="H364" t="str">
        <x:v>W</x:v>
      </x:c>
      <x:c r="I364" t="str">
        <x:v>W</x:v>
      </x:c>
      <x:c r="J364" t="str">
        <x:v>B</x:v>
      </x:c>
      <x:c r="K364" t="str">
        <x:v>W</x:v>
      </x:c>
      <x:c r="L364" t="str">
        <x:v>B</x:v>
      </x:c>
      <x:c r="M364" t="str">
        <x:v>B</x:v>
      </x:c>
      <x:c r="N364" t="str">
        <x:v>W</x:v>
      </x:c>
      <x:c r="O364" t="str">
        <x:v>B</x:v>
      </x:c>
      <x:c r="P364" t="str">
        <x:v>W</x:v>
      </x:c>
      <x:c r="Q364" t="str">
        <x:v>B</x:v>
      </x:c>
      <x:c r="R364" t="str">
        <x:v>W</x:v>
      </x:c>
      <x:c r="S364" t="str">
        <x:v>B</x:v>
      </x:c>
      <x:c r="T364" t="str">
        <x:v>B</x:v>
      </x:c>
      <x:c r="U364" t="str">
        <x:v>B</x:v>
      </x:c>
      <x:c r="V364" t="n">
        <x:f>COUNTIF(B364:U364,"W")</x:f>
        <x:v>9</x:v>
      </x:c>
      <x:c r="W364" s="5" t="str">
        <x:f>IF(COUNTIF(B364:D364,"W")&gt;0,"Y","N")</x:f>
        <x:v>Y</x:v>
      </x:c>
      <x:c r="X364" s="1"/>
      <x:c r="Y364" s="1"/>
      <x:c r="Z364" s="1"/>
      <x:c r="AA364" s="1"/>
      <x:c r="AB364" s="1"/>
      <x:c r="AC364" s="1"/>
      <x:c r="AD364" s="1"/>
    </x:row>
    <x:row r="365">
      <x:c r="A365" s="1">
        <x:v>364</x:v>
      </x:c>
      <x:c r="B365" t="str">
        <x:v>B</x:v>
      </x:c>
      <x:c r="C365" t="str">
        <x:v>B</x:v>
      </x:c>
      <x:c r="D365" t="str">
        <x:v>W</x:v>
      </x:c>
      <x:c r="E365" t="str">
        <x:v>W</x:v>
      </x:c>
      <x:c r="F365" t="str">
        <x:v>W</x:v>
      </x:c>
      <x:c r="G365" t="str">
        <x:v>B</x:v>
      </x:c>
      <x:c r="H365" t="str">
        <x:v>B</x:v>
      </x:c>
      <x:c r="I365" t="str">
        <x:v>B</x:v>
      </x:c>
      <x:c r="J365" t="str">
        <x:v>B</x:v>
      </x:c>
      <x:c r="K365" t="str">
        <x:v>B</x:v>
      </x:c>
      <x:c r="L365" t="str">
        <x:v>W</x:v>
      </x:c>
      <x:c r="M365" t="str">
        <x:v>W</x:v>
      </x:c>
      <x:c r="N365" t="str">
        <x:v>B</x:v>
      </x:c>
      <x:c r="O365" t="str">
        <x:v>B</x:v>
      </x:c>
      <x:c r="P365" t="str">
        <x:v>W</x:v>
      </x:c>
      <x:c r="Q365" t="str">
        <x:v>B</x:v>
      </x:c>
      <x:c r="R365" t="str">
        <x:v>B</x:v>
      </x:c>
      <x:c r="S365" t="str">
        <x:v>B</x:v>
      </x:c>
      <x:c r="T365" t="str">
        <x:v>B</x:v>
      </x:c>
      <x:c r="U365" t="str">
        <x:v>W</x:v>
      </x:c>
      <x:c r="V365" t="n">
        <x:f>COUNTIF(B365:U365,"W")</x:f>
        <x:v>7</x:v>
      </x:c>
      <x:c r="W365" s="5" t="str">
        <x:f>IF(COUNTIF(B365:D365,"W")&gt;0,"Y","N")</x:f>
        <x:v>Y</x:v>
      </x:c>
      <x:c r="X365" s="1"/>
      <x:c r="Y365" s="1"/>
      <x:c r="Z365" s="1"/>
      <x:c r="AA365" s="1"/>
      <x:c r="AB365" s="1"/>
      <x:c r="AC365" s="1"/>
      <x:c r="AD365" s="1"/>
    </x:row>
    <x:row r="366">
      <x:c r="A366" s="1">
        <x:v>365</x:v>
      </x:c>
      <x:c r="B366" t="str">
        <x:v>B</x:v>
      </x:c>
      <x:c r="C366" t="str">
        <x:v>B</x:v>
      </x:c>
      <x:c r="D366" t="str">
        <x:v>W</x:v>
      </x:c>
      <x:c r="E366" t="str">
        <x:v>B</x:v>
      </x:c>
      <x:c r="F366" t="str">
        <x:v>B</x:v>
      </x:c>
      <x:c r="G366" t="str">
        <x:v>W</x:v>
      </x:c>
      <x:c r="H366" t="str">
        <x:v>B</x:v>
      </x:c>
      <x:c r="I366" t="str">
        <x:v>B</x:v>
      </x:c>
      <x:c r="J366" t="str">
        <x:v>W</x:v>
      </x:c>
      <x:c r="K366" t="str">
        <x:v>W</x:v>
      </x:c>
      <x:c r="L366" t="str">
        <x:v>W</x:v>
      </x:c>
      <x:c r="M366" t="str">
        <x:v>B</x:v>
      </x:c>
      <x:c r="N366" t="str">
        <x:v>B</x:v>
      </x:c>
      <x:c r="O366" t="str">
        <x:v>B</x:v>
      </x:c>
      <x:c r="P366" t="str">
        <x:v>W</x:v>
      </x:c>
      <x:c r="Q366" t="str">
        <x:v>B</x:v>
      </x:c>
      <x:c r="R366" t="str">
        <x:v>B</x:v>
      </x:c>
      <x:c r="S366" t="str">
        <x:v>B</x:v>
      </x:c>
      <x:c r="T366" t="str">
        <x:v>B</x:v>
      </x:c>
      <x:c r="U366" t="str">
        <x:v>B</x:v>
      </x:c>
      <x:c r="V366" t="n">
        <x:f>COUNTIF(B366:U366,"W")</x:f>
        <x:v>6</x:v>
      </x:c>
      <x:c r="W366" s="5" t="str">
        <x:f>IF(COUNTIF(B366:D366,"W")&gt;0,"Y","N")</x:f>
        <x:v>Y</x:v>
      </x:c>
      <x:c r="X366" s="1"/>
      <x:c r="Y366" s="1"/>
      <x:c r="Z366" s="1"/>
      <x:c r="AA366" s="1"/>
      <x:c r="AB366" s="1"/>
      <x:c r="AC366" s="1"/>
      <x:c r="AD366" s="1"/>
    </x:row>
    <x:row r="367">
      <x:c r="A367" s="1">
        <x:v>366</x:v>
      </x:c>
      <x:c r="B367" t="str">
        <x:v>B</x:v>
      </x:c>
      <x:c r="C367" t="str">
        <x:v>B</x:v>
      </x:c>
      <x:c r="D367" t="str">
        <x:v>W</x:v>
      </x:c>
      <x:c r="E367" t="str">
        <x:v>W</x:v>
      </x:c>
      <x:c r="F367" t="str">
        <x:v>B</x:v>
      </x:c>
      <x:c r="G367" t="str">
        <x:v>W</x:v>
      </x:c>
      <x:c r="H367" t="str">
        <x:v>B</x:v>
      </x:c>
      <x:c r="I367" t="str">
        <x:v>B</x:v>
      </x:c>
      <x:c r="J367" t="str">
        <x:v>B</x:v>
      </x:c>
      <x:c r="K367" t="str">
        <x:v>W</x:v>
      </x:c>
      <x:c r="L367" t="str">
        <x:v>W</x:v>
      </x:c>
      <x:c r="M367" t="str">
        <x:v>B</x:v>
      </x:c>
      <x:c r="N367" t="str">
        <x:v>B</x:v>
      </x:c>
      <x:c r="O367" t="str">
        <x:v>B</x:v>
      </x:c>
      <x:c r="P367" t="str">
        <x:v>B</x:v>
      </x:c>
      <x:c r="Q367" t="str">
        <x:v>B</x:v>
      </x:c>
      <x:c r="R367" t="str">
        <x:v>B</x:v>
      </x:c>
      <x:c r="S367" t="str">
        <x:v>W</x:v>
      </x:c>
      <x:c r="T367" t="str">
        <x:v>B</x:v>
      </x:c>
      <x:c r="U367" t="str">
        <x:v>W</x:v>
      </x:c>
      <x:c r="V367" t="n">
        <x:f>COUNTIF(B367:U367,"W")</x:f>
        <x:v>7</x:v>
      </x:c>
      <x:c r="W367" s="5" t="str">
        <x:f>IF(COUNTIF(B367:D367,"W")&gt;0,"Y","N")</x:f>
        <x:v>Y</x:v>
      </x:c>
      <x:c r="X367" s="1"/>
      <x:c r="Y367" s="1"/>
      <x:c r="Z367" s="1"/>
      <x:c r="AA367" s="1"/>
      <x:c r="AB367" s="1"/>
      <x:c r="AC367" s="1"/>
      <x:c r="AD367" s="1"/>
    </x:row>
    <x:row r="368">
      <x:c r="A368" s="1">
        <x:v>367</x:v>
      </x:c>
      <x:c r="B368" t="str">
        <x:v>B</x:v>
      </x:c>
      <x:c r="C368" t="str">
        <x:v>W</x:v>
      </x:c>
      <x:c r="D368" t="str">
        <x:v>B</x:v>
      </x:c>
      <x:c r="E368" t="str">
        <x:v>B</x:v>
      </x:c>
      <x:c r="F368" t="str">
        <x:v>W</x:v>
      </x:c>
      <x:c r="G368" t="str">
        <x:v>B</x:v>
      </x:c>
      <x:c r="H368" t="str">
        <x:v>W</x:v>
      </x:c>
      <x:c r="I368" t="str">
        <x:v>W</x:v>
      </x:c>
      <x:c r="J368" t="str">
        <x:v>B</x:v>
      </x:c>
      <x:c r="K368" t="str">
        <x:v>B</x:v>
      </x:c>
      <x:c r="L368" t="str">
        <x:v>B</x:v>
      </x:c>
      <x:c r="M368" t="str">
        <x:v>B</x:v>
      </x:c>
      <x:c r="N368" t="str">
        <x:v>W</x:v>
      </x:c>
      <x:c r="O368" t="str">
        <x:v>B</x:v>
      </x:c>
      <x:c r="P368" t="str">
        <x:v>W</x:v>
      </x:c>
      <x:c r="Q368" t="str">
        <x:v>B</x:v>
      </x:c>
      <x:c r="R368" t="str">
        <x:v>B</x:v>
      </x:c>
      <x:c r="S368" t="str">
        <x:v>B</x:v>
      </x:c>
      <x:c r="T368" t="str">
        <x:v>B</x:v>
      </x:c>
      <x:c r="U368" t="str">
        <x:v>W</x:v>
      </x:c>
      <x:c r="V368" t="n">
        <x:f>COUNTIF(B368:U368,"W")</x:f>
        <x:v>7</x:v>
      </x:c>
      <x:c r="W368" s="5" t="str">
        <x:f>IF(COUNTIF(B368:D368,"W")&gt;0,"Y","N")</x:f>
        <x:v>Y</x:v>
      </x:c>
      <x:c r="X368" s="1"/>
      <x:c r="Y368" s="1"/>
      <x:c r="Z368" s="1"/>
      <x:c r="AA368" s="1"/>
      <x:c r="AB368" s="1"/>
      <x:c r="AC368" s="1"/>
      <x:c r="AD368" s="1"/>
    </x:row>
    <x:row r="369">
      <x:c r="A369" s="1">
        <x:v>368</x:v>
      </x:c>
      <x:c r="B369" t="str">
        <x:v>B</x:v>
      </x:c>
      <x:c r="C369" t="str">
        <x:v>W</x:v>
      </x:c>
      <x:c r="D369" t="str">
        <x:v>B</x:v>
      </x:c>
      <x:c r="E369" t="str">
        <x:v>B</x:v>
      </x:c>
      <x:c r="F369" t="str">
        <x:v>W</x:v>
      </x:c>
      <x:c r="G369" t="str">
        <x:v>B</x:v>
      </x:c>
      <x:c r="H369" t="str">
        <x:v>B</x:v>
      </x:c>
      <x:c r="I369" t="str">
        <x:v>W</x:v>
      </x:c>
      <x:c r="J369" t="str">
        <x:v>B</x:v>
      </x:c>
      <x:c r="K369" t="str">
        <x:v>B</x:v>
      </x:c>
      <x:c r="L369" t="str">
        <x:v>W</x:v>
      </x:c>
      <x:c r="M369" t="str">
        <x:v>B</x:v>
      </x:c>
      <x:c r="N369" t="str">
        <x:v>W</x:v>
      </x:c>
      <x:c r="O369" t="str">
        <x:v>B</x:v>
      </x:c>
      <x:c r="P369" t="str">
        <x:v>B</x:v>
      </x:c>
      <x:c r="Q369" t="str">
        <x:v>W</x:v>
      </x:c>
      <x:c r="R369" t="str">
        <x:v>W</x:v>
      </x:c>
      <x:c r="S369" t="str">
        <x:v>W</x:v>
      </x:c>
      <x:c r="T369" t="str">
        <x:v>B</x:v>
      </x:c>
      <x:c r="U369" t="str">
        <x:v>B</x:v>
      </x:c>
      <x:c r="V369" t="n">
        <x:f>COUNTIF(B369:U369,"W")</x:f>
        <x:v>8</x:v>
      </x:c>
      <x:c r="W369" s="5" t="str">
        <x:f>IF(COUNTIF(B369:D369,"W")&gt;0,"Y","N")</x:f>
        <x:v>Y</x:v>
      </x:c>
      <x:c r="X369" s="1"/>
      <x:c r="Y369" s="1"/>
      <x:c r="Z369" s="1"/>
      <x:c r="AA369" s="1"/>
      <x:c r="AB369" s="1"/>
      <x:c r="AC369" s="1"/>
      <x:c r="AD369" s="1"/>
    </x:row>
    <x:row r="370">
      <x:c r="A370" s="1">
        <x:v>369</x:v>
      </x:c>
      <x:c r="B370" t="str">
        <x:v>B</x:v>
      </x:c>
      <x:c r="C370" t="str">
        <x:v>W</x:v>
      </x:c>
      <x:c r="D370" t="str">
        <x:v>B</x:v>
      </x:c>
      <x:c r="E370" t="str">
        <x:v>W</x:v>
      </x:c>
      <x:c r="F370" t="str">
        <x:v>W</x:v>
      </x:c>
      <x:c r="G370" t="str">
        <x:v>B</x:v>
      </x:c>
      <x:c r="H370" t="str">
        <x:v>B</x:v>
      </x:c>
      <x:c r="I370" t="str">
        <x:v>B</x:v>
      </x:c>
      <x:c r="J370" t="str">
        <x:v>B</x:v>
      </x:c>
      <x:c r="K370" t="str">
        <x:v>B</x:v>
      </x:c>
      <x:c r="L370" t="str">
        <x:v>W</x:v>
      </x:c>
      <x:c r="M370" t="str">
        <x:v>B</x:v>
      </x:c>
      <x:c r="N370" t="str">
        <x:v>W</x:v>
      </x:c>
      <x:c r="O370" t="str">
        <x:v>B</x:v>
      </x:c>
      <x:c r="P370" t="str">
        <x:v>B</x:v>
      </x:c>
      <x:c r="Q370" t="str">
        <x:v>W</x:v>
      </x:c>
      <x:c r="R370" t="str">
        <x:v>B</x:v>
      </x:c>
      <x:c r="S370" t="str">
        <x:v>B</x:v>
      </x:c>
      <x:c r="T370" t="str">
        <x:v>B</x:v>
      </x:c>
      <x:c r="U370" t="str">
        <x:v>B</x:v>
      </x:c>
      <x:c r="V370" t="n">
        <x:f>COUNTIF(B370:U370,"W")</x:f>
        <x:v>6</x:v>
      </x:c>
      <x:c r="W370" s="5" t="str">
        <x:f>IF(COUNTIF(B370:D370,"W")&gt;0,"Y","N")</x:f>
        <x:v>Y</x:v>
      </x:c>
      <x:c r="X370" s="1"/>
      <x:c r="Y370" s="1"/>
      <x:c r="Z370" s="1"/>
      <x:c r="AA370" s="1"/>
      <x:c r="AB370" s="1"/>
      <x:c r="AC370" s="1"/>
      <x:c r="AD370" s="1"/>
    </x:row>
    <x:row r="371">
      <x:c r="A371" s="1">
        <x:v>370</x:v>
      </x:c>
      <x:c r="B371" t="str">
        <x:v>W</x:v>
      </x:c>
      <x:c r="C371" t="str">
        <x:v>B</x:v>
      </x:c>
      <x:c r="D371" t="str">
        <x:v>B</x:v>
      </x:c>
      <x:c r="E371" t="str">
        <x:v>W</x:v>
      </x:c>
      <x:c r="F371" t="str">
        <x:v>B</x:v>
      </x:c>
      <x:c r="G371" t="str">
        <x:v>W</x:v>
      </x:c>
      <x:c r="H371" t="str">
        <x:v>W</x:v>
      </x:c>
      <x:c r="I371" t="str">
        <x:v>B</x:v>
      </x:c>
      <x:c r="J371" t="str">
        <x:v>W</x:v>
      </x:c>
      <x:c r="K371" t="str">
        <x:v>B</x:v>
      </x:c>
      <x:c r="L371" t="str">
        <x:v>B</x:v>
      </x:c>
      <x:c r="M371" t="str">
        <x:v>B</x:v>
      </x:c>
      <x:c r="N371" t="str">
        <x:v>W</x:v>
      </x:c>
      <x:c r="O371" t="str">
        <x:v>W</x:v>
      </x:c>
      <x:c r="P371" t="str">
        <x:v>W</x:v>
      </x:c>
      <x:c r="Q371" t="str">
        <x:v>B</x:v>
      </x:c>
      <x:c r="R371" t="str">
        <x:v>B</x:v>
      </x:c>
      <x:c r="S371" t="str">
        <x:v>B</x:v>
      </x:c>
      <x:c r="T371" t="str">
        <x:v>B</x:v>
      </x:c>
      <x:c r="U371" t="str">
        <x:v>B</x:v>
      </x:c>
      <x:c r="V371" t="n">
        <x:f>COUNTIF(B371:U371,"W")</x:f>
        <x:v>8</x:v>
      </x:c>
      <x:c r="W371" s="5" t="str">
        <x:f>IF(COUNTIF(B371:D371,"W")&gt;0,"Y","N")</x:f>
        <x:v>Y</x:v>
      </x:c>
      <x:c r="X371" s="1"/>
      <x:c r="Y371" s="1"/>
      <x:c r="Z371" s="1"/>
      <x:c r="AA371" s="1"/>
      <x:c r="AB371" s="1"/>
      <x:c r="AC371" s="1"/>
      <x:c r="AD371" s="1"/>
    </x:row>
    <x:row r="372">
      <x:c r="A372" s="1">
        <x:v>371</x:v>
      </x:c>
      <x:c r="B372" t="str">
        <x:v>B</x:v>
      </x:c>
      <x:c r="C372" t="str">
        <x:v>B</x:v>
      </x:c>
      <x:c r="D372" t="str">
        <x:v>B</x:v>
      </x:c>
      <x:c r="E372" t="str">
        <x:v>W</x:v>
      </x:c>
      <x:c r="F372" t="str">
        <x:v>B</x:v>
      </x:c>
      <x:c r="G372" t="str">
        <x:v>B</x:v>
      </x:c>
      <x:c r="H372" t="str">
        <x:v>W</x:v>
      </x:c>
      <x:c r="I372" t="str">
        <x:v>W</x:v>
      </x:c>
      <x:c r="J372" t="str">
        <x:v>B</x:v>
      </x:c>
      <x:c r="K372" t="str">
        <x:v>B</x:v>
      </x:c>
      <x:c r="L372" t="str">
        <x:v>W</x:v>
      </x:c>
      <x:c r="M372" t="str">
        <x:v>B</x:v>
      </x:c>
      <x:c r="N372" t="str">
        <x:v>B</x:v>
      </x:c>
      <x:c r="O372" t="str">
        <x:v>B</x:v>
      </x:c>
      <x:c r="P372" t="str">
        <x:v>B</x:v>
      </x:c>
      <x:c r="Q372" t="str">
        <x:v>B</x:v>
      </x:c>
      <x:c r="R372" t="str">
        <x:v>W</x:v>
      </x:c>
      <x:c r="S372" t="str">
        <x:v>B</x:v>
      </x:c>
      <x:c r="T372" t="str">
        <x:v>B</x:v>
      </x:c>
      <x:c r="U372" t="str">
        <x:v>W</x:v>
      </x:c>
      <x:c r="V372" t="n">
        <x:f>COUNTIF(B372:U372,"W")</x:f>
        <x:v>6</x:v>
      </x:c>
      <x:c r="W372" s="5" t="str">
        <x:f>IF(COUNTIF(B372:D372,"W")&gt;0,"Y","N")</x:f>
        <x:v>N</x:v>
      </x:c>
      <x:c r="X372" s="1"/>
      <x:c r="Y372" s="1"/>
      <x:c r="Z372" s="1"/>
      <x:c r="AA372" s="1"/>
      <x:c r="AB372" s="1"/>
      <x:c r="AC372" s="1"/>
      <x:c r="AD372" s="1"/>
    </x:row>
    <x:row r="373">
      <x:c r="A373" s="1">
        <x:v>372</x:v>
      </x:c>
      <x:c r="B373" t="str">
        <x:v>B</x:v>
      </x:c>
      <x:c r="C373" t="str">
        <x:v>B</x:v>
      </x:c>
      <x:c r="D373" t="str">
        <x:v>B</x:v>
      </x:c>
      <x:c r="E373" t="str">
        <x:v>B</x:v>
      </x:c>
      <x:c r="F373" t="str">
        <x:v>W</x:v>
      </x:c>
      <x:c r="G373" t="str">
        <x:v>W</x:v>
      </x:c>
      <x:c r="H373" t="str">
        <x:v>B</x:v>
      </x:c>
      <x:c r="I373" t="str">
        <x:v>W</x:v>
      </x:c>
      <x:c r="J373" t="str">
        <x:v>W</x:v>
      </x:c>
      <x:c r="K373" t="str">
        <x:v>B</x:v>
      </x:c>
      <x:c r="L373" t="str">
        <x:v>W</x:v>
      </x:c>
      <x:c r="M373" t="str">
        <x:v>B</x:v>
      </x:c>
      <x:c r="N373" t="str">
        <x:v>W</x:v>
      </x:c>
      <x:c r="O373" t="str">
        <x:v>B</x:v>
      </x:c>
      <x:c r="P373" t="str">
        <x:v>W</x:v>
      </x:c>
      <x:c r="Q373" t="str">
        <x:v>W</x:v>
      </x:c>
      <x:c r="R373" t="str">
        <x:v>B</x:v>
      </x:c>
      <x:c r="S373" t="str">
        <x:v>W</x:v>
      </x:c>
      <x:c r="T373" t="str">
        <x:v>B</x:v>
      </x:c>
      <x:c r="U373" t="str">
        <x:v>W</x:v>
      </x:c>
      <x:c r="V373" t="n">
        <x:f>COUNTIF(B373:U373,"W")</x:f>
        <x:v>10</x:v>
      </x:c>
      <x:c r="W373" s="5" t="str">
        <x:f>IF(COUNTIF(B373:D373,"W")&gt;0,"Y","N")</x:f>
        <x:v>N</x:v>
      </x:c>
      <x:c r="X373" s="1"/>
      <x:c r="Y373" s="1"/>
      <x:c r="Z373" s="1"/>
      <x:c r="AA373" s="1"/>
      <x:c r="AB373" s="1"/>
      <x:c r="AC373" s="1"/>
      <x:c r="AD373" s="1"/>
    </x:row>
    <x:row r="374">
      <x:c r="A374" s="1">
        <x:v>373</x:v>
      </x:c>
      <x:c r="B374" t="str">
        <x:v>W</x:v>
      </x:c>
      <x:c r="C374" t="str">
        <x:v>B</x:v>
      </x:c>
      <x:c r="D374" t="str">
        <x:v>B</x:v>
      </x:c>
      <x:c r="E374" t="str">
        <x:v>B</x:v>
      </x:c>
      <x:c r="F374" t="str">
        <x:v>B</x:v>
      </x:c>
      <x:c r="G374" t="str">
        <x:v>B</x:v>
      </x:c>
      <x:c r="H374" t="str">
        <x:v>W</x:v>
      </x:c>
      <x:c r="I374" t="str">
        <x:v>B</x:v>
      </x:c>
      <x:c r="J374" t="str">
        <x:v>W</x:v>
      </x:c>
      <x:c r="K374" t="str">
        <x:v>W</x:v>
      </x:c>
      <x:c r="L374" t="str">
        <x:v>W</x:v>
      </x:c>
      <x:c r="M374" t="str">
        <x:v>W</x:v>
      </x:c>
      <x:c r="N374" t="str">
        <x:v>W</x:v>
      </x:c>
      <x:c r="O374" t="str">
        <x:v>B</x:v>
      </x:c>
      <x:c r="P374" t="str">
        <x:v>B</x:v>
      </x:c>
      <x:c r="Q374" t="str">
        <x:v>B</x:v>
      </x:c>
      <x:c r="R374" t="str">
        <x:v>W</x:v>
      </x:c>
      <x:c r="S374" t="str">
        <x:v>B</x:v>
      </x:c>
      <x:c r="T374" t="str">
        <x:v>B</x:v>
      </x:c>
      <x:c r="U374" t="str">
        <x:v>B</x:v>
      </x:c>
      <x:c r="V374" t="n">
        <x:f>COUNTIF(B374:U374,"W")</x:f>
        <x:v>8</x:v>
      </x:c>
      <x:c r="W374" s="5" t="str">
        <x:f>IF(COUNTIF(B374:D374,"W")&gt;0,"Y","N")</x:f>
        <x:v>Y</x:v>
      </x:c>
      <x:c r="X374" s="1"/>
      <x:c r="Y374" s="1"/>
      <x:c r="Z374" s="1"/>
      <x:c r="AA374" s="1"/>
      <x:c r="AB374" s="1"/>
      <x:c r="AC374" s="1"/>
      <x:c r="AD374" s="1"/>
    </x:row>
    <x:row r="375">
      <x:c r="A375" s="1">
        <x:v>374</x:v>
      </x:c>
      <x:c r="B375" t="str">
        <x:v>B</x:v>
      </x:c>
      <x:c r="C375" t="str">
        <x:v>B</x:v>
      </x:c>
      <x:c r="D375" t="str">
        <x:v>B</x:v>
      </x:c>
      <x:c r="E375" t="str">
        <x:v>B</x:v>
      </x:c>
      <x:c r="F375" t="str">
        <x:v>B</x:v>
      </x:c>
      <x:c r="G375" t="str">
        <x:v>B</x:v>
      </x:c>
      <x:c r="H375" t="str">
        <x:v>W</x:v>
      </x:c>
      <x:c r="I375" t="str">
        <x:v>W</x:v>
      </x:c>
      <x:c r="J375" t="str">
        <x:v>B</x:v>
      </x:c>
      <x:c r="K375" t="str">
        <x:v>W</x:v>
      </x:c>
      <x:c r="L375" t="str">
        <x:v>W</x:v>
      </x:c>
      <x:c r="M375" t="str">
        <x:v>B</x:v>
      </x:c>
      <x:c r="N375" t="str">
        <x:v>W</x:v>
      </x:c>
      <x:c r="O375" t="str">
        <x:v>B</x:v>
      </x:c>
      <x:c r="P375" t="str">
        <x:v>W</x:v>
      </x:c>
      <x:c r="Q375" t="str">
        <x:v>B</x:v>
      </x:c>
      <x:c r="R375" t="str">
        <x:v>B</x:v>
      </x:c>
      <x:c r="S375" t="str">
        <x:v>W</x:v>
      </x:c>
      <x:c r="T375" t="str">
        <x:v>B</x:v>
      </x:c>
      <x:c r="U375" t="str">
        <x:v>B</x:v>
      </x:c>
      <x:c r="V375" t="n">
        <x:f>COUNTIF(B375:U375,"W")</x:f>
        <x:v>7</x:v>
      </x:c>
      <x:c r="W375" s="5" t="str">
        <x:f>IF(COUNTIF(B375:D375,"W")&gt;0,"Y","N")</x:f>
        <x:v>N</x:v>
      </x:c>
      <x:c r="X375" s="1"/>
      <x:c r="Y375" s="1"/>
      <x:c r="Z375" s="1"/>
      <x:c r="AA375" s="1"/>
      <x:c r="AB375" s="1"/>
      <x:c r="AC375" s="1"/>
      <x:c r="AD375" s="1"/>
    </x:row>
    <x:row r="376">
      <x:c r="A376" s="1">
        <x:v>375</x:v>
      </x:c>
      <x:c r="B376" t="str">
        <x:v>B</x:v>
      </x:c>
      <x:c r="C376" t="str">
        <x:v>W</x:v>
      </x:c>
      <x:c r="D376" t="str">
        <x:v>B</x:v>
      </x:c>
      <x:c r="E376" t="str">
        <x:v>B</x:v>
      </x:c>
      <x:c r="F376" t="str">
        <x:v>B</x:v>
      </x:c>
      <x:c r="G376" t="str">
        <x:v>B</x:v>
      </x:c>
      <x:c r="H376" t="str">
        <x:v>B</x:v>
      </x:c>
      <x:c r="I376" t="str">
        <x:v>W</x:v>
      </x:c>
      <x:c r="J376" t="str">
        <x:v>B</x:v>
      </x:c>
      <x:c r="K376" t="str">
        <x:v>B</x:v>
      </x:c>
      <x:c r="L376" t="str">
        <x:v>B</x:v>
      </x:c>
      <x:c r="M376" t="str">
        <x:v>W</x:v>
      </x:c>
      <x:c r="N376" t="str">
        <x:v>B</x:v>
      </x:c>
      <x:c r="O376" t="str">
        <x:v>B</x:v>
      </x:c>
      <x:c r="P376" t="str">
        <x:v>W</x:v>
      </x:c>
      <x:c r="Q376" t="str">
        <x:v>B</x:v>
      </x:c>
      <x:c r="R376" t="str">
        <x:v>B</x:v>
      </x:c>
      <x:c r="S376" t="str">
        <x:v>W</x:v>
      </x:c>
      <x:c r="T376" t="str">
        <x:v>W</x:v>
      </x:c>
      <x:c r="U376" t="str">
        <x:v>B</x:v>
      </x:c>
      <x:c r="V376" t="n">
        <x:f>COUNTIF(B376:U376,"W")</x:f>
        <x:v>6</x:v>
      </x:c>
      <x:c r="W376" s="5" t="str">
        <x:f>IF(COUNTIF(B376:D376,"W")&gt;0,"Y","N")</x:f>
        <x:v>Y</x:v>
      </x:c>
      <x:c r="X376" s="1"/>
      <x:c r="Y376" s="1"/>
      <x:c r="Z376" s="1"/>
      <x:c r="AA376" s="1"/>
      <x:c r="AB376" s="1"/>
      <x:c r="AC376" s="1"/>
      <x:c r="AD376" s="1"/>
    </x:row>
    <x:row r="377">
      <x:c r="A377" s="1">
        <x:v>376</x:v>
      </x:c>
      <x:c r="B377" t="str">
        <x:v>B</x:v>
      </x:c>
      <x:c r="C377" t="str">
        <x:v>B</x:v>
      </x:c>
      <x:c r="D377" t="str">
        <x:v>W</x:v>
      </x:c>
      <x:c r="E377" t="str">
        <x:v>B</x:v>
      </x:c>
      <x:c r="F377" t="str">
        <x:v>B</x:v>
      </x:c>
      <x:c r="G377" t="str">
        <x:v>B</x:v>
      </x:c>
      <x:c r="H377" t="str">
        <x:v>B</x:v>
      </x:c>
      <x:c r="I377" t="str">
        <x:v>W</x:v>
      </x:c>
      <x:c r="J377" t="str">
        <x:v>W</x:v>
      </x:c>
      <x:c r="K377" t="str">
        <x:v>W</x:v>
      </x:c>
      <x:c r="L377" t="str">
        <x:v>B</x:v>
      </x:c>
      <x:c r="M377" t="str">
        <x:v>B</x:v>
      </x:c>
      <x:c r="N377" t="str">
        <x:v>B</x:v>
      </x:c>
      <x:c r="O377" t="str">
        <x:v>B</x:v>
      </x:c>
      <x:c r="P377" t="str">
        <x:v>B</x:v>
      </x:c>
      <x:c r="Q377" t="str">
        <x:v>B</x:v>
      </x:c>
      <x:c r="R377" t="str">
        <x:v>W</x:v>
      </x:c>
      <x:c r="S377" t="str">
        <x:v>W</x:v>
      </x:c>
      <x:c r="T377" t="str">
        <x:v>B</x:v>
      </x:c>
      <x:c r="U377" t="str">
        <x:v>B</x:v>
      </x:c>
      <x:c r="V377" t="n">
        <x:f>COUNTIF(B377:U377,"W")</x:f>
        <x:v>6</x:v>
      </x:c>
      <x:c r="W377" s="5" t="str">
        <x:f>IF(COUNTIF(B377:D377,"W")&gt;0,"Y","N")</x:f>
        <x:v>Y</x:v>
      </x:c>
      <x:c r="X377" s="1"/>
      <x:c r="Y377" s="1"/>
      <x:c r="Z377" s="1"/>
      <x:c r="AA377" s="1"/>
      <x:c r="AB377" s="1"/>
      <x:c r="AC377" s="1"/>
      <x:c r="AD377" s="1"/>
    </x:row>
    <x:row r="378">
      <x:c r="A378" s="1">
        <x:v>377</x:v>
      </x:c>
      <x:c r="B378" t="str">
        <x:v>W</x:v>
      </x:c>
      <x:c r="C378" t="str">
        <x:v>B</x:v>
      </x:c>
      <x:c r="D378" t="str">
        <x:v>W</x:v>
      </x:c>
      <x:c r="E378" t="str">
        <x:v>B</x:v>
      </x:c>
      <x:c r="F378" t="str">
        <x:v>B</x:v>
      </x:c>
      <x:c r="G378" t="str">
        <x:v>B</x:v>
      </x:c>
      <x:c r="H378" t="str">
        <x:v>W</x:v>
      </x:c>
      <x:c r="I378" t="str">
        <x:v>W</x:v>
      </x:c>
      <x:c r="J378" t="str">
        <x:v>W</x:v>
      </x:c>
      <x:c r="K378" t="str">
        <x:v>B</x:v>
      </x:c>
      <x:c r="L378" t="str">
        <x:v>B</x:v>
      </x:c>
      <x:c r="M378" t="str">
        <x:v>W</x:v>
      </x:c>
      <x:c r="N378" t="str">
        <x:v>W</x:v>
      </x:c>
      <x:c r="O378" t="str">
        <x:v>W</x:v>
      </x:c>
      <x:c r="P378" t="str">
        <x:v>B</x:v>
      </x:c>
      <x:c r="Q378" t="str">
        <x:v>B</x:v>
      </x:c>
      <x:c r="R378" t="str">
        <x:v>W</x:v>
      </x:c>
      <x:c r="S378" t="str">
        <x:v>W</x:v>
      </x:c>
      <x:c r="T378" t="str">
        <x:v>B</x:v>
      </x:c>
      <x:c r="U378" t="str">
        <x:v>B</x:v>
      </x:c>
      <x:c r="V378" t="n">
        <x:f>COUNTIF(B378:U378,"W")</x:f>
        <x:v>10</x:v>
      </x:c>
      <x:c r="W378" s="5" t="str">
        <x:f>IF(COUNTIF(B378:D378,"W")&gt;0,"Y","N")</x:f>
        <x:v>Y</x:v>
      </x:c>
      <x:c r="X378" s="1"/>
      <x:c r="Y378" s="1"/>
      <x:c r="Z378" s="1"/>
      <x:c r="AA378" s="1"/>
      <x:c r="AB378" s="1"/>
      <x:c r="AC378" s="1"/>
      <x:c r="AD378" s="1"/>
    </x:row>
    <x:row r="379">
      <x:c r="A379" s="1">
        <x:v>378</x:v>
      </x:c>
      <x:c r="B379" t="str">
        <x:v>W</x:v>
      </x:c>
      <x:c r="C379" t="str">
        <x:v>W</x:v>
      </x:c>
      <x:c r="D379" t="str">
        <x:v>B</x:v>
      </x:c>
      <x:c r="E379" t="str">
        <x:v>B</x:v>
      </x:c>
      <x:c r="F379" t="str">
        <x:v>B</x:v>
      </x:c>
      <x:c r="G379" t="str">
        <x:v>B</x:v>
      </x:c>
      <x:c r="H379" t="str">
        <x:v>W</x:v>
      </x:c>
      <x:c r="I379" t="str">
        <x:v>B</x:v>
      </x:c>
      <x:c r="J379" t="str">
        <x:v>B</x:v>
      </x:c>
      <x:c r="K379" t="str">
        <x:v>B</x:v>
      </x:c>
      <x:c r="L379" t="str">
        <x:v>B</x:v>
      </x:c>
      <x:c r="M379" t="str">
        <x:v>W</x:v>
      </x:c>
      <x:c r="N379" t="str">
        <x:v>B</x:v>
      </x:c>
      <x:c r="O379" t="str">
        <x:v>W</x:v>
      </x:c>
      <x:c r="P379" t="str">
        <x:v>B</x:v>
      </x:c>
      <x:c r="Q379" t="str">
        <x:v>W</x:v>
      </x:c>
      <x:c r="R379" t="str">
        <x:v>B</x:v>
      </x:c>
      <x:c r="S379" t="str">
        <x:v>B</x:v>
      </x:c>
      <x:c r="T379" t="str">
        <x:v>B</x:v>
      </x:c>
      <x:c r="U379" t="str">
        <x:v>B</x:v>
      </x:c>
      <x:c r="V379" t="n">
        <x:f>COUNTIF(B379:U379,"W")</x:f>
        <x:v>6</x:v>
      </x:c>
      <x:c r="W379" s="5" t="str">
        <x:f>IF(COUNTIF(B379:D379,"W")&gt;0,"Y","N")</x:f>
        <x:v>Y</x:v>
      </x:c>
      <x:c r="X379" s="1"/>
      <x:c r="Y379" s="1"/>
      <x:c r="Z379" s="1"/>
      <x:c r="AA379" s="1"/>
      <x:c r="AB379" s="1"/>
      <x:c r="AC379" s="1"/>
      <x:c r="AD379" s="1"/>
    </x:row>
    <x:row r="380">
      <x:c r="A380" s="1">
        <x:v>379</x:v>
      </x:c>
      <x:c r="B380" t="str">
        <x:v>B</x:v>
      </x:c>
      <x:c r="C380" t="str">
        <x:v>W</x:v>
      </x:c>
      <x:c r="D380" t="str">
        <x:v>B</x:v>
      </x:c>
      <x:c r="E380" t="str">
        <x:v>B</x:v>
      </x:c>
      <x:c r="F380" t="str">
        <x:v>B</x:v>
      </x:c>
      <x:c r="G380" t="str">
        <x:v>B</x:v>
      </x:c>
      <x:c r="H380" t="str">
        <x:v>W</x:v>
      </x:c>
      <x:c r="I380" t="str">
        <x:v>B</x:v>
      </x:c>
      <x:c r="J380" t="str">
        <x:v>B</x:v>
      </x:c>
      <x:c r="K380" t="str">
        <x:v>W</x:v>
      </x:c>
      <x:c r="L380" t="str">
        <x:v>B</x:v>
      </x:c>
      <x:c r="M380" t="str">
        <x:v>W</x:v>
      </x:c>
      <x:c r="N380" t="str">
        <x:v>W</x:v>
      </x:c>
      <x:c r="O380" t="str">
        <x:v>B</x:v>
      </x:c>
      <x:c r="P380" t="str">
        <x:v>W</x:v>
      </x:c>
      <x:c r="Q380" t="str">
        <x:v>B</x:v>
      </x:c>
      <x:c r="R380" t="str">
        <x:v>B</x:v>
      </x:c>
      <x:c r="S380" t="str">
        <x:v>B</x:v>
      </x:c>
      <x:c r="T380" t="str">
        <x:v>B</x:v>
      </x:c>
      <x:c r="U380" t="str">
        <x:v>W</x:v>
      </x:c>
      <x:c r="V380" t="n">
        <x:f>COUNTIF(B380:U380,"W")</x:f>
        <x:v>7</x:v>
      </x:c>
      <x:c r="W380" s="5" t="str">
        <x:f>IF(COUNTIF(B380:D380,"W")&gt;0,"Y","N")</x:f>
        <x:v>Y</x:v>
      </x:c>
      <x:c r="X380" s="1"/>
      <x:c r="Y380" s="1"/>
      <x:c r="Z380" s="1"/>
      <x:c r="AA380" s="1"/>
      <x:c r="AB380" s="1"/>
      <x:c r="AC380" s="1"/>
      <x:c r="AD380" s="1"/>
    </x:row>
    <x:row r="381">
      <x:c r="A381" s="1">
        <x:v>380</x:v>
      </x:c>
      <x:c r="B381" t="str">
        <x:v>W</x:v>
      </x:c>
      <x:c r="C381" t="str">
        <x:v>B</x:v>
      </x:c>
      <x:c r="D381" t="str">
        <x:v>B</x:v>
      </x:c>
      <x:c r="E381" t="str">
        <x:v>B</x:v>
      </x:c>
      <x:c r="F381" t="str">
        <x:v>W</x:v>
      </x:c>
      <x:c r="G381" t="str">
        <x:v>B</x:v>
      </x:c>
      <x:c r="H381" t="str">
        <x:v>B</x:v>
      </x:c>
      <x:c r="I381" t="str">
        <x:v>B</x:v>
      </x:c>
      <x:c r="J381" t="str">
        <x:v>W</x:v>
      </x:c>
      <x:c r="K381" t="str">
        <x:v>B</x:v>
      </x:c>
      <x:c r="L381" t="str">
        <x:v>B</x:v>
      </x:c>
      <x:c r="M381" t="str">
        <x:v>B</x:v>
      </x:c>
      <x:c r="N381" t="str">
        <x:v>B</x:v>
      </x:c>
      <x:c r="O381" t="str">
        <x:v>W</x:v>
      </x:c>
      <x:c r="P381" t="str">
        <x:v>B</x:v>
      </x:c>
      <x:c r="Q381" t="str">
        <x:v>B</x:v>
      </x:c>
      <x:c r="R381" t="str">
        <x:v>W</x:v>
      </x:c>
      <x:c r="S381" t="str">
        <x:v>B</x:v>
      </x:c>
      <x:c r="T381" t="str">
        <x:v>B</x:v>
      </x:c>
      <x:c r="U381" t="str">
        <x:v>B</x:v>
      </x:c>
      <x:c r="V381" t="n">
        <x:f>COUNTIF(B381:U381,"W")</x:f>
        <x:v>5</x:v>
      </x:c>
      <x:c r="W381" s="5" t="str">
        <x:f>IF(COUNTIF(B381:D381,"W")&gt;0,"Y","N")</x:f>
        <x:v>Y</x:v>
      </x:c>
      <x:c r="X381" s="1"/>
      <x:c r="Y381" s="1"/>
      <x:c r="Z381" s="1"/>
      <x:c r="AA381" s="1"/>
      <x:c r="AB381" s="1"/>
      <x:c r="AC381" s="1"/>
      <x:c r="AD381" s="1"/>
    </x:row>
    <x:row r="382">
      <x:c r="A382" s="1">
        <x:v>381</x:v>
      </x:c>
      <x:c r="B382" t="str">
        <x:v>W</x:v>
      </x:c>
      <x:c r="C382" t="str">
        <x:v>B</x:v>
      </x:c>
      <x:c r="D382" t="str">
        <x:v>B</x:v>
      </x:c>
      <x:c r="E382" t="str">
        <x:v>B</x:v>
      </x:c>
      <x:c r="F382" t="str">
        <x:v>W</x:v>
      </x:c>
      <x:c r="G382" t="str">
        <x:v>W</x:v>
      </x:c>
      <x:c r="H382" t="str">
        <x:v>B</x:v>
      </x:c>
      <x:c r="I382" t="str">
        <x:v>B</x:v>
      </x:c>
      <x:c r="J382" t="str">
        <x:v>W</x:v>
      </x:c>
      <x:c r="K382" t="str">
        <x:v>B</x:v>
      </x:c>
      <x:c r="L382" t="str">
        <x:v>W</x:v>
      </x:c>
      <x:c r="M382" t="str">
        <x:v>W</x:v>
      </x:c>
      <x:c r="N382" t="str">
        <x:v>W</x:v>
      </x:c>
      <x:c r="O382" t="str">
        <x:v>W</x:v>
      </x:c>
      <x:c r="P382" t="str">
        <x:v>B</x:v>
      </x:c>
      <x:c r="Q382" t="str">
        <x:v>W</x:v>
      </x:c>
      <x:c r="R382" t="str">
        <x:v>B</x:v>
      </x:c>
      <x:c r="S382" t="str">
        <x:v>W</x:v>
      </x:c>
      <x:c r="T382" t="str">
        <x:v>B</x:v>
      </x:c>
      <x:c r="U382" t="str">
        <x:v>B</x:v>
      </x:c>
      <x:c r="V382" t="n">
        <x:f>COUNTIF(B382:U382,"W")</x:f>
        <x:v>10</x:v>
      </x:c>
      <x:c r="W382" s="5" t="str">
        <x:f>IF(COUNTIF(B382:D382,"W")&gt;0,"Y","N")</x:f>
        <x:v>Y</x:v>
      </x:c>
      <x:c r="X382" s="1"/>
      <x:c r="Y382" s="1"/>
      <x:c r="Z382" s="1"/>
      <x:c r="AA382" s="1"/>
      <x:c r="AB382" s="1"/>
      <x:c r="AC382" s="1"/>
      <x:c r="AD382" s="1"/>
    </x:row>
    <x:row r="383">
      <x:c r="A383" s="1">
        <x:v>382</x:v>
      </x:c>
      <x:c r="B383" t="str">
        <x:v>W</x:v>
      </x:c>
      <x:c r="C383" t="str">
        <x:v>B</x:v>
      </x:c>
      <x:c r="D383" t="str">
        <x:v>B</x:v>
      </x:c>
      <x:c r="E383" t="str">
        <x:v>W</x:v>
      </x:c>
      <x:c r="F383" t="str">
        <x:v>B</x:v>
      </x:c>
      <x:c r="G383" t="str">
        <x:v>W</x:v>
      </x:c>
      <x:c r="H383" t="str">
        <x:v>W</x:v>
      </x:c>
      <x:c r="I383" t="str">
        <x:v>W</x:v>
      </x:c>
      <x:c r="J383" t="str">
        <x:v>B</x:v>
      </x:c>
      <x:c r="K383" t="str">
        <x:v>B</x:v>
      </x:c>
      <x:c r="L383" t="str">
        <x:v>B</x:v>
      </x:c>
      <x:c r="M383" t="str">
        <x:v>B</x:v>
      </x:c>
      <x:c r="N383" t="str">
        <x:v>B</x:v>
      </x:c>
      <x:c r="O383" t="str">
        <x:v>B</x:v>
      </x:c>
      <x:c r="P383" t="str">
        <x:v>B</x:v>
      </x:c>
      <x:c r="Q383" t="str">
        <x:v>B</x:v>
      </x:c>
      <x:c r="R383" t="str">
        <x:v>B</x:v>
      </x:c>
      <x:c r="S383" t="str">
        <x:v>W</x:v>
      </x:c>
      <x:c r="T383" t="str">
        <x:v>W</x:v>
      </x:c>
      <x:c r="U383" t="str">
        <x:v>W</x:v>
      </x:c>
      <x:c r="V383" t="n">
        <x:f>COUNTIF(B383:U383,"W")</x:f>
        <x:v>8</x:v>
      </x:c>
      <x:c r="W383" s="5" t="str">
        <x:f>IF(COUNTIF(B383:D383,"W")&gt;0,"Y","N")</x:f>
        <x:v>Y</x:v>
      </x:c>
      <x:c r="X383" s="1"/>
      <x:c r="Y383" s="1"/>
      <x:c r="Z383" s="1"/>
      <x:c r="AA383" s="1"/>
      <x:c r="AB383" s="1"/>
      <x:c r="AC383" s="1"/>
      <x:c r="AD383" s="1"/>
    </x:row>
    <x:row r="384">
      <x:c r="A384" s="1">
        <x:v>383</x:v>
      </x:c>
      <x:c r="B384" t="str">
        <x:v>B</x:v>
      </x:c>
      <x:c r="C384" t="str">
        <x:v>B</x:v>
      </x:c>
      <x:c r="D384" t="str">
        <x:v>B</x:v>
      </x:c>
      <x:c r="E384" t="str">
        <x:v>B</x:v>
      </x:c>
      <x:c r="F384" t="str">
        <x:v>W</x:v>
      </x:c>
      <x:c r="G384" t="str">
        <x:v>B</x:v>
      </x:c>
      <x:c r="H384" t="str">
        <x:v>W</x:v>
      </x:c>
      <x:c r="I384" t="str">
        <x:v>B</x:v>
      </x:c>
      <x:c r="J384" t="str">
        <x:v>W</x:v>
      </x:c>
      <x:c r="K384" t="str">
        <x:v>W</x:v>
      </x:c>
      <x:c r="L384" t="str">
        <x:v>B</x:v>
      </x:c>
      <x:c r="M384" t="str">
        <x:v>B</x:v>
      </x:c>
      <x:c r="N384" t="str">
        <x:v>W</x:v>
      </x:c>
      <x:c r="O384" t="str">
        <x:v>W</x:v>
      </x:c>
      <x:c r="P384" t="str">
        <x:v>W</x:v>
      </x:c>
      <x:c r="Q384" t="str">
        <x:v>B</x:v>
      </x:c>
      <x:c r="R384" t="str">
        <x:v>B</x:v>
      </x:c>
      <x:c r="S384" t="str">
        <x:v>B</x:v>
      </x:c>
      <x:c r="T384" t="str">
        <x:v>W</x:v>
      </x:c>
      <x:c r="U384" t="str">
        <x:v>B</x:v>
      </x:c>
      <x:c r="V384" t="n">
        <x:f>COUNTIF(B384:U384,"W")</x:f>
        <x:v>8</x:v>
      </x:c>
      <x:c r="W384" s="5" t="str">
        <x:f>IF(COUNTIF(B384:D384,"W")&gt;0,"Y","N")</x:f>
        <x:v>N</x:v>
      </x:c>
      <x:c r="X384" s="1"/>
      <x:c r="Y384" s="1"/>
      <x:c r="Z384" s="1"/>
      <x:c r="AA384" s="1"/>
      <x:c r="AB384" s="1"/>
      <x:c r="AC384" s="1"/>
      <x:c r="AD384" s="1"/>
    </x:row>
    <x:row r="385">
      <x:c r="A385" s="1">
        <x:v>384</x:v>
      </x:c>
      <x:c r="B385" t="str">
        <x:v>B</x:v>
      </x:c>
      <x:c r="C385" t="str">
        <x:v>W</x:v>
      </x:c>
      <x:c r="D385" t="str">
        <x:v>B</x:v>
      </x:c>
      <x:c r="E385" t="str">
        <x:v>W</x:v>
      </x:c>
      <x:c r="F385" t="str">
        <x:v>W</x:v>
      </x:c>
      <x:c r="G385" t="str">
        <x:v>B</x:v>
      </x:c>
      <x:c r="H385" t="str">
        <x:v>B</x:v>
      </x:c>
      <x:c r="I385" t="str">
        <x:v>B</x:v>
      </x:c>
      <x:c r="J385" t="str">
        <x:v>B</x:v>
      </x:c>
      <x:c r="K385" t="str">
        <x:v>B</x:v>
      </x:c>
      <x:c r="L385" t="str">
        <x:v>B</x:v>
      </x:c>
      <x:c r="M385" t="str">
        <x:v>W</x:v>
      </x:c>
      <x:c r="N385" t="str">
        <x:v>W</x:v>
      </x:c>
      <x:c r="O385" t="str">
        <x:v>B</x:v>
      </x:c>
      <x:c r="P385" t="str">
        <x:v>W</x:v>
      </x:c>
      <x:c r="Q385" t="str">
        <x:v>W</x:v>
      </x:c>
      <x:c r="R385" t="str">
        <x:v>B</x:v>
      </x:c>
      <x:c r="S385" t="str">
        <x:v>W</x:v>
      </x:c>
      <x:c r="T385" t="str">
        <x:v>B</x:v>
      </x:c>
      <x:c r="U385" t="str">
        <x:v>B</x:v>
      </x:c>
      <x:c r="V385" t="n">
        <x:f>COUNTIF(B385:U385,"W")</x:f>
        <x:v>8</x:v>
      </x:c>
      <x:c r="W385" s="5" t="str">
        <x:f>IF(COUNTIF(B385:D385,"W")&gt;0,"Y","N")</x:f>
        <x:v>Y</x:v>
      </x:c>
      <x:c r="X385" s="1"/>
      <x:c r="Y385" s="1"/>
      <x:c r="Z385" s="1"/>
      <x:c r="AA385" s="1"/>
      <x:c r="AB385" s="1"/>
      <x:c r="AC385" s="1"/>
      <x:c r="AD385" s="1"/>
    </x:row>
    <x:row r="386">
      <x:c r="A386" s="1">
        <x:v>385</x:v>
      </x:c>
      <x:c r="B386" t="str">
        <x:v>B</x:v>
      </x:c>
      <x:c r="C386" t="str">
        <x:v>W</x:v>
      </x:c>
      <x:c r="D386" t="str">
        <x:v>B</x:v>
      </x:c>
      <x:c r="E386" t="str">
        <x:v>W</x:v>
      </x:c>
      <x:c r="F386" t="str">
        <x:v>W</x:v>
      </x:c>
      <x:c r="G386" t="str">
        <x:v>B</x:v>
      </x:c>
      <x:c r="H386" t="str">
        <x:v>W</x:v>
      </x:c>
      <x:c r="I386" t="str">
        <x:v>B</x:v>
      </x:c>
      <x:c r="J386" t="str">
        <x:v>B</x:v>
      </x:c>
      <x:c r="K386" t="str">
        <x:v>B</x:v>
      </x:c>
      <x:c r="L386" t="str">
        <x:v>B</x:v>
      </x:c>
      <x:c r="M386" t="str">
        <x:v>B</x:v>
      </x:c>
      <x:c r="N386" t="str">
        <x:v>W</x:v>
      </x:c>
      <x:c r="O386" t="str">
        <x:v>W</x:v>
      </x:c>
      <x:c r="P386" t="str">
        <x:v>B</x:v>
      </x:c>
      <x:c r="Q386" t="str">
        <x:v>B</x:v>
      </x:c>
      <x:c r="R386" t="str">
        <x:v>B</x:v>
      </x:c>
      <x:c r="S386" t="str">
        <x:v>W</x:v>
      </x:c>
      <x:c r="T386" t="str">
        <x:v>W</x:v>
      </x:c>
      <x:c r="U386" t="str">
        <x:v>W</x:v>
      </x:c>
      <x:c r="V386" t="n">
        <x:f>COUNTIF(B386:U386,"W")</x:f>
        <x:v>9</x:v>
      </x:c>
      <x:c r="W386" s="5" t="str">
        <x:f>IF(COUNTIF(B386:D386,"W")&gt;0,"Y","N")</x:f>
        <x:v>Y</x:v>
      </x:c>
      <x:c r="X386" s="1"/>
      <x:c r="Y386" s="1"/>
      <x:c r="Z386" s="1"/>
      <x:c r="AA386" s="1"/>
      <x:c r="AB386" s="1"/>
      <x:c r="AC386" s="1"/>
      <x:c r="AD386" s="1"/>
    </x:row>
    <x:row r="387">
      <x:c r="A387" s="1">
        <x:v>386</x:v>
      </x:c>
      <x:c r="B387" t="str">
        <x:v>B</x:v>
      </x:c>
      <x:c r="C387" t="str">
        <x:v>B</x:v>
      </x:c>
      <x:c r="D387" t="str">
        <x:v>B</x:v>
      </x:c>
      <x:c r="E387" t="str">
        <x:v>W</x:v>
      </x:c>
      <x:c r="F387" t="str">
        <x:v>B</x:v>
      </x:c>
      <x:c r="G387" t="str">
        <x:v>B</x:v>
      </x:c>
      <x:c r="H387" t="str">
        <x:v>B</x:v>
      </x:c>
      <x:c r="I387" t="str">
        <x:v>B</x:v>
      </x:c>
      <x:c r="J387" t="str">
        <x:v>B</x:v>
      </x:c>
      <x:c r="K387" t="str">
        <x:v>W</x:v>
      </x:c>
      <x:c r="L387" t="str">
        <x:v>B</x:v>
      </x:c>
      <x:c r="M387" t="str">
        <x:v>B</x:v>
      </x:c>
      <x:c r="N387" t="str">
        <x:v>B</x:v>
      </x:c>
      <x:c r="O387" t="str">
        <x:v>B</x:v>
      </x:c>
      <x:c r="P387" t="str">
        <x:v>W</x:v>
      </x:c>
      <x:c r="Q387" t="str">
        <x:v>B</x:v>
      </x:c>
      <x:c r="R387" t="str">
        <x:v>W</x:v>
      </x:c>
      <x:c r="S387" t="str">
        <x:v>B</x:v>
      </x:c>
      <x:c r="T387" t="str">
        <x:v>B</x:v>
      </x:c>
      <x:c r="U387" t="str">
        <x:v>B</x:v>
      </x:c>
      <x:c r="V387" t="n">
        <x:f>COUNTIF(B387:U387,"W")</x:f>
        <x:v>4</x:v>
      </x:c>
      <x:c r="W387" s="5" t="str">
        <x:f>IF(COUNTIF(B387:D387,"W")&gt;0,"Y","N")</x:f>
        <x:v>N</x:v>
      </x:c>
      <x:c r="X387" s="1"/>
      <x:c r="Y387" s="1"/>
      <x:c r="Z387" s="1"/>
      <x:c r="AA387" s="1"/>
      <x:c r="AB387" s="1"/>
      <x:c r="AC387" s="1"/>
      <x:c r="AD387" s="1"/>
    </x:row>
    <x:row r="388">
      <x:c r="A388" s="1">
        <x:v>387</x:v>
      </x:c>
      <x:c r="B388" t="str">
        <x:v>B</x:v>
      </x:c>
      <x:c r="C388" t="str">
        <x:v>B</x:v>
      </x:c>
      <x:c r="D388" t="str">
        <x:v>B</x:v>
      </x:c>
      <x:c r="E388" t="str">
        <x:v>W</x:v>
      </x:c>
      <x:c r="F388" t="str">
        <x:v>B</x:v>
      </x:c>
      <x:c r="G388" t="str">
        <x:v>B</x:v>
      </x:c>
      <x:c r="H388" t="str">
        <x:v>W</x:v>
      </x:c>
      <x:c r="I388" t="str">
        <x:v>B</x:v>
      </x:c>
      <x:c r="J388" t="str">
        <x:v>B</x:v>
      </x:c>
      <x:c r="K388" t="str">
        <x:v>W</x:v>
      </x:c>
      <x:c r="L388" t="str">
        <x:v>B</x:v>
      </x:c>
      <x:c r="M388" t="str">
        <x:v>B</x:v>
      </x:c>
      <x:c r="N388" t="str">
        <x:v>B</x:v>
      </x:c>
      <x:c r="O388" t="str">
        <x:v>B</x:v>
      </x:c>
      <x:c r="P388" t="str">
        <x:v>B</x:v>
      </x:c>
      <x:c r="Q388" t="str">
        <x:v>B</x:v>
      </x:c>
      <x:c r="R388" t="str">
        <x:v>W</x:v>
      </x:c>
      <x:c r="S388" t="str">
        <x:v>B</x:v>
      </x:c>
      <x:c r="T388" t="str">
        <x:v>B</x:v>
      </x:c>
      <x:c r="U388" t="str">
        <x:v>W</x:v>
      </x:c>
      <x:c r="V388" t="n">
        <x:f>COUNTIF(B388:U388,"W")</x:f>
        <x:v>5</x:v>
      </x:c>
      <x:c r="W388" s="5" t="str">
        <x:f>IF(COUNTIF(B388:D388,"W")&gt;0,"Y","N")</x:f>
        <x:v>N</x:v>
      </x:c>
      <x:c r="X388" s="1"/>
      <x:c r="Y388" s="1"/>
      <x:c r="Z388" s="1"/>
      <x:c r="AA388" s="1"/>
      <x:c r="AB388" s="1"/>
      <x:c r="AC388" s="1"/>
      <x:c r="AD388" s="1"/>
    </x:row>
    <x:row r="389">
      <x:c r="A389" s="1">
        <x:v>388</x:v>
      </x:c>
      <x:c r="B389" t="str">
        <x:v>W</x:v>
      </x:c>
      <x:c r="C389" t="str">
        <x:v>W</x:v>
      </x:c>
      <x:c r="D389" t="str">
        <x:v>B</x:v>
      </x:c>
      <x:c r="E389" t="str">
        <x:v>B</x:v>
      </x:c>
      <x:c r="F389" t="str">
        <x:v>B</x:v>
      </x:c>
      <x:c r="G389" t="str">
        <x:v>W</x:v>
      </x:c>
      <x:c r="H389" t="str">
        <x:v>B</x:v>
      </x:c>
      <x:c r="I389" t="str">
        <x:v>B</x:v>
      </x:c>
      <x:c r="J389" t="str">
        <x:v>B</x:v>
      </x:c>
      <x:c r="K389" t="str">
        <x:v>B</x:v>
      </x:c>
      <x:c r="L389" t="str">
        <x:v>B</x:v>
      </x:c>
      <x:c r="M389" t="str">
        <x:v>B</x:v>
      </x:c>
      <x:c r="N389" t="str">
        <x:v>W</x:v>
      </x:c>
      <x:c r="O389" t="str">
        <x:v>W</x:v>
      </x:c>
      <x:c r="P389" t="str">
        <x:v>W</x:v>
      </x:c>
      <x:c r="Q389" t="str">
        <x:v>W</x:v>
      </x:c>
      <x:c r="R389" t="str">
        <x:v>W</x:v>
      </x:c>
      <x:c r="S389" t="str">
        <x:v>B</x:v>
      </x:c>
      <x:c r="T389" t="str">
        <x:v>B</x:v>
      </x:c>
      <x:c r="U389" t="str">
        <x:v>B</x:v>
      </x:c>
      <x:c r="V389" t="n">
        <x:f>COUNTIF(B389:U389,"W")</x:f>
        <x:v>8</x:v>
      </x:c>
      <x:c r="W389" s="5" t="str">
        <x:f>IF(COUNTIF(B389:D389,"W")&gt;0,"Y","N")</x:f>
        <x:v>Y</x:v>
      </x:c>
      <x:c r="X389" s="1"/>
      <x:c r="Y389" s="1"/>
      <x:c r="Z389" s="1"/>
      <x:c r="AA389" s="1"/>
      <x:c r="AB389" s="1"/>
      <x:c r="AC389" s="1"/>
      <x:c r="AD389" s="1"/>
    </x:row>
    <x:row r="390">
      <x:c r="A390" s="1">
        <x:v>389</x:v>
      </x:c>
      <x:c r="B390" t="str">
        <x:v>B</x:v>
      </x:c>
      <x:c r="C390" t="str">
        <x:v>B</x:v>
      </x:c>
      <x:c r="D390" t="str">
        <x:v>B</x:v>
      </x:c>
      <x:c r="E390" t="str">
        <x:v>W</x:v>
      </x:c>
      <x:c r="F390" t="str">
        <x:v>W</x:v>
      </x:c>
      <x:c r="G390" t="str">
        <x:v>B</x:v>
      </x:c>
      <x:c r="H390" t="str">
        <x:v>B</x:v>
      </x:c>
      <x:c r="I390" t="str">
        <x:v>B</x:v>
      </x:c>
      <x:c r="J390" t="str">
        <x:v>B</x:v>
      </x:c>
      <x:c r="K390" t="str">
        <x:v>W</x:v>
      </x:c>
      <x:c r="L390" t="str">
        <x:v>B</x:v>
      </x:c>
      <x:c r="M390" t="str">
        <x:v>B</x:v>
      </x:c>
      <x:c r="N390" t="str">
        <x:v>B</x:v>
      </x:c>
      <x:c r="O390" t="str">
        <x:v>B</x:v>
      </x:c>
      <x:c r="P390" t="str">
        <x:v>B</x:v>
      </x:c>
      <x:c r="Q390" t="str">
        <x:v>W</x:v>
      </x:c>
      <x:c r="R390" t="str">
        <x:v>B</x:v>
      </x:c>
      <x:c r="S390" t="str">
        <x:v>B</x:v>
      </x:c>
      <x:c r="T390" t="str">
        <x:v>W</x:v>
      </x:c>
      <x:c r="U390" t="str">
        <x:v>B</x:v>
      </x:c>
      <x:c r="V390" t="n">
        <x:f>COUNTIF(B390:U390,"W")</x:f>
        <x:v>5</x:v>
      </x:c>
      <x:c r="W390" s="5" t="str">
        <x:f>IF(COUNTIF(B390:D390,"W")&gt;0,"Y","N")</x:f>
        <x:v>N</x:v>
      </x:c>
      <x:c r="X390" s="1"/>
      <x:c r="Y390" s="1"/>
      <x:c r="Z390" s="1"/>
      <x:c r="AA390" s="1"/>
      <x:c r="AB390" s="1"/>
      <x:c r="AC390" s="1"/>
      <x:c r="AD390" s="1"/>
    </x:row>
    <x:row r="391">
      <x:c r="A391" s="1">
        <x:v>390</x:v>
      </x:c>
      <x:c r="B391" t="str">
        <x:v>W</x:v>
      </x:c>
      <x:c r="C391" t="str">
        <x:v>B</x:v>
      </x:c>
      <x:c r="D391" t="str">
        <x:v>B</x:v>
      </x:c>
      <x:c r="E391" t="str">
        <x:v>W</x:v>
      </x:c>
      <x:c r="F391" t="str">
        <x:v>W</x:v>
      </x:c>
      <x:c r="G391" t="str">
        <x:v>B</x:v>
      </x:c>
      <x:c r="H391" t="str">
        <x:v>B</x:v>
      </x:c>
      <x:c r="I391" t="str">
        <x:v>W</x:v>
      </x:c>
      <x:c r="J391" t="str">
        <x:v>B</x:v>
      </x:c>
      <x:c r="K391" t="str">
        <x:v>B</x:v>
      </x:c>
      <x:c r="L391" t="str">
        <x:v>B</x:v>
      </x:c>
      <x:c r="M391" t="str">
        <x:v>W</x:v>
      </x:c>
      <x:c r="N391" t="str">
        <x:v>W</x:v>
      </x:c>
      <x:c r="O391" t="str">
        <x:v>W</x:v>
      </x:c>
      <x:c r="P391" t="str">
        <x:v>B</x:v>
      </x:c>
      <x:c r="Q391" t="str">
        <x:v>W</x:v>
      </x:c>
      <x:c r="R391" t="str">
        <x:v>B</x:v>
      </x:c>
      <x:c r="S391" t="str">
        <x:v>W</x:v>
      </x:c>
      <x:c r="T391" t="str">
        <x:v>B</x:v>
      </x:c>
      <x:c r="U391" t="str">
        <x:v>W</x:v>
      </x:c>
      <x:c r="V391" t="n">
        <x:f>COUNTIF(B391:U391,"W")</x:f>
        <x:v>10</x:v>
      </x:c>
      <x:c r="W391" s="5" t="str">
        <x:f>IF(COUNTIF(B391:D391,"W")&gt;0,"Y","N")</x:f>
        <x:v>Y</x:v>
      </x:c>
      <x:c r="X391" s="1"/>
      <x:c r="Y391" s="1"/>
      <x:c r="Z391" s="1"/>
      <x:c r="AA391" s="1"/>
      <x:c r="AB391" s="1"/>
      <x:c r="AC391" s="1"/>
      <x:c r="AD391" s="1"/>
    </x:row>
    <x:row r="392">
      <x:c r="A392" s="1">
        <x:v>391</x:v>
      </x:c>
      <x:c r="B392" t="str">
        <x:v>B</x:v>
      </x:c>
      <x:c r="C392" t="str">
        <x:v>W</x:v>
      </x:c>
      <x:c r="D392" t="str">
        <x:v>B</x:v>
      </x:c>
      <x:c r="E392" t="str">
        <x:v>B</x:v>
      </x:c>
      <x:c r="F392" t="str">
        <x:v>B</x:v>
      </x:c>
      <x:c r="G392" t="str">
        <x:v>W</x:v>
      </x:c>
      <x:c r="H392" t="str">
        <x:v>W</x:v>
      </x:c>
      <x:c r="I392" t="str">
        <x:v>B</x:v>
      </x:c>
      <x:c r="J392" t="str">
        <x:v>W</x:v>
      </x:c>
      <x:c r="K392" t="str">
        <x:v>B</x:v>
      </x:c>
      <x:c r="L392" t="str">
        <x:v>B</x:v>
      </x:c>
      <x:c r="M392" t="str">
        <x:v>B</x:v>
      </x:c>
      <x:c r="N392" t="str">
        <x:v>W</x:v>
      </x:c>
      <x:c r="O392" t="str">
        <x:v>B</x:v>
      </x:c>
      <x:c r="P392" t="str">
        <x:v>W</x:v>
      </x:c>
      <x:c r="Q392" t="str">
        <x:v>B</x:v>
      </x:c>
      <x:c r="R392" t="str">
        <x:v>W</x:v>
      </x:c>
      <x:c r="S392" t="str">
        <x:v>B</x:v>
      </x:c>
      <x:c r="T392" t="str">
        <x:v>W</x:v>
      </x:c>
      <x:c r="U392" t="str">
        <x:v>B</x:v>
      </x:c>
      <x:c r="V392" t="n">
        <x:f>COUNTIF(B392:U392,"W")</x:f>
        <x:v>8</x:v>
      </x:c>
      <x:c r="W392" s="5" t="str">
        <x:f>IF(COUNTIF(B392:D392,"W")&gt;0,"Y","N")</x:f>
        <x:v>Y</x:v>
      </x:c>
      <x:c r="X392" s="1"/>
      <x:c r="Y392" s="1"/>
      <x:c r="Z392" s="1"/>
      <x:c r="AA392" s="1"/>
      <x:c r="AB392" s="1"/>
      <x:c r="AC392" s="1"/>
      <x:c r="AD392" s="1"/>
    </x:row>
    <x:row r="393">
      <x:c r="A393" s="1">
        <x:v>392</x:v>
      </x:c>
      <x:c r="B393" t="str">
        <x:v>B</x:v>
      </x:c>
      <x:c r="C393" t="str">
        <x:v>W</x:v>
      </x:c>
      <x:c r="D393" t="str">
        <x:v>B</x:v>
      </x:c>
      <x:c r="E393" t="str">
        <x:v>B</x:v>
      </x:c>
      <x:c r="F393" t="str">
        <x:v>B</x:v>
      </x:c>
      <x:c r="G393" t="str">
        <x:v>B</x:v>
      </x:c>
      <x:c r="H393" t="str">
        <x:v>W</x:v>
      </x:c>
      <x:c r="I393" t="str">
        <x:v>B</x:v>
      </x:c>
      <x:c r="J393" t="str">
        <x:v>B</x:v>
      </x:c>
      <x:c r="K393" t="str">
        <x:v>W</x:v>
      </x:c>
      <x:c r="L393" t="str">
        <x:v>W</x:v>
      </x:c>
      <x:c r="M393" t="str">
        <x:v>B</x:v>
      </x:c>
      <x:c r="N393" t="str">
        <x:v>B</x:v>
      </x:c>
      <x:c r="O393" t="str">
        <x:v>B</x:v>
      </x:c>
      <x:c r="P393" t="str">
        <x:v>W</x:v>
      </x:c>
      <x:c r="Q393" t="str">
        <x:v>W</x:v>
      </x:c>
      <x:c r="R393" t="str">
        <x:v>W</x:v>
      </x:c>
      <x:c r="S393" t="str">
        <x:v>B</x:v>
      </x:c>
      <x:c r="T393" t="str">
        <x:v>W</x:v>
      </x:c>
      <x:c r="U393" t="str">
        <x:v>W</x:v>
      </x:c>
      <x:c r="V393" t="n">
        <x:f>COUNTIF(B393:U393,"W")</x:f>
        <x:v>9</x:v>
      </x:c>
      <x:c r="W393" s="5" t="str">
        <x:f>IF(COUNTIF(B393:D393,"W")&gt;0,"Y","N")</x:f>
        <x:v>Y</x:v>
      </x:c>
      <x:c r="X393" s="1"/>
      <x:c r="Y393" s="1"/>
      <x:c r="Z393" s="1"/>
      <x:c r="AA393" s="1"/>
      <x:c r="AB393" s="1"/>
      <x:c r="AC393" s="1"/>
      <x:c r="AD393" s="1"/>
    </x:row>
    <x:row r="394">
      <x:c r="A394" s="1">
        <x:v>393</x:v>
      </x:c>
      <x:c r="B394" t="str">
        <x:v>B</x:v>
      </x:c>
      <x:c r="C394" t="str">
        <x:v>B</x:v>
      </x:c>
      <x:c r="D394" t="str">
        <x:v>W</x:v>
      </x:c>
      <x:c r="E394" t="str">
        <x:v>B</x:v>
      </x:c>
      <x:c r="F394" t="str">
        <x:v>W</x:v>
      </x:c>
      <x:c r="G394" t="str">
        <x:v>W</x:v>
      </x:c>
      <x:c r="H394" t="str">
        <x:v>B</x:v>
      </x:c>
      <x:c r="I394" t="str">
        <x:v>W</x:v>
      </x:c>
      <x:c r="J394" t="str">
        <x:v>W</x:v>
      </x:c>
      <x:c r="K394" t="str">
        <x:v>B</x:v>
      </x:c>
      <x:c r="L394" t="str">
        <x:v>B</x:v>
      </x:c>
      <x:c r="M394" t="str">
        <x:v>B</x:v>
      </x:c>
      <x:c r="N394" t="str">
        <x:v>B</x:v>
      </x:c>
      <x:c r="O394" t="str">
        <x:v>W</x:v>
      </x:c>
      <x:c r="P394" t="str">
        <x:v>B</x:v>
      </x:c>
      <x:c r="Q394" t="str">
        <x:v>B</x:v>
      </x:c>
      <x:c r="R394" t="str">
        <x:v>B</x:v>
      </x:c>
      <x:c r="S394" t="str">
        <x:v>W</x:v>
      </x:c>
      <x:c r="T394" t="str">
        <x:v>W</x:v>
      </x:c>
      <x:c r="U394" t="str">
        <x:v>B</x:v>
      </x:c>
      <x:c r="V394" t="n">
        <x:f>COUNTIF(B394:U394,"W")</x:f>
        <x:v>8</x:v>
      </x:c>
      <x:c r="W394" s="5" t="str">
        <x:f>IF(COUNTIF(B394:D394,"W")&gt;0,"Y","N")</x:f>
        <x:v>Y</x:v>
      </x:c>
      <x:c r="X394" s="1"/>
      <x:c r="Y394" s="1"/>
      <x:c r="Z394" s="1"/>
      <x:c r="AA394" s="1"/>
      <x:c r="AB394" s="1"/>
      <x:c r="AC394" s="1"/>
      <x:c r="AD394" s="1"/>
    </x:row>
    <x:row r="395">
      <x:c r="A395" s="1">
        <x:v>394</x:v>
      </x:c>
      <x:c r="B395" t="str">
        <x:v>B</x:v>
      </x:c>
      <x:c r="C395" t="str">
        <x:v>W</x:v>
      </x:c>
      <x:c r="D395" t="str">
        <x:v>W</x:v>
      </x:c>
      <x:c r="E395" t="str">
        <x:v>B</x:v>
      </x:c>
      <x:c r="F395" t="str">
        <x:v>W</x:v>
      </x:c>
      <x:c r="G395" t="str">
        <x:v>W</x:v>
      </x:c>
      <x:c r="H395" t="str">
        <x:v>B</x:v>
      </x:c>
      <x:c r="I395" t="str">
        <x:v>W</x:v>
      </x:c>
      <x:c r="J395" t="str">
        <x:v>B</x:v>
      </x:c>
      <x:c r="K395" t="str">
        <x:v>W</x:v>
      </x:c>
      <x:c r="L395" t="str">
        <x:v>B</x:v>
      </x:c>
      <x:c r="M395" t="str">
        <x:v>B</x:v>
      </x:c>
      <x:c r="N395" t="str">
        <x:v>B</x:v>
      </x:c>
      <x:c r="O395" t="str">
        <x:v>B</x:v>
      </x:c>
      <x:c r="P395" t="str">
        <x:v>B</x:v>
      </x:c>
      <x:c r="Q395" t="str">
        <x:v>B</x:v>
      </x:c>
      <x:c r="R395" t="str">
        <x:v>B</x:v>
      </x:c>
      <x:c r="S395" t="str">
        <x:v>B</x:v>
      </x:c>
      <x:c r="T395" t="str">
        <x:v>B</x:v>
      </x:c>
      <x:c r="U395" t="str">
        <x:v>B</x:v>
      </x:c>
      <x:c r="V395" t="n">
        <x:f>COUNTIF(B395:U395,"W")</x:f>
        <x:v>6</x:v>
      </x:c>
      <x:c r="W395" s="5" t="str">
        <x:f>IF(COUNTIF(B395:D395,"W")&gt;0,"Y","N")</x:f>
        <x:v>Y</x:v>
      </x:c>
      <x:c r="X395" s="1"/>
      <x:c r="Y395" s="1"/>
      <x:c r="Z395" s="1"/>
      <x:c r="AA395" s="1"/>
      <x:c r="AB395" s="1"/>
      <x:c r="AC395" s="1"/>
      <x:c r="AD395" s="1"/>
    </x:row>
    <x:row r="396">
      <x:c r="A396" s="1">
        <x:v>395</x:v>
      </x:c>
      <x:c r="B396" t="str">
        <x:v>W</x:v>
      </x:c>
      <x:c r="C396" t="str">
        <x:v>W</x:v>
      </x:c>
      <x:c r="D396" t="str">
        <x:v>B</x:v>
      </x:c>
      <x:c r="E396" t="str">
        <x:v>B</x:v>
      </x:c>
      <x:c r="F396" t="str">
        <x:v>W</x:v>
      </x:c>
      <x:c r="G396" t="str">
        <x:v>W</x:v>
      </x:c>
      <x:c r="H396" t="str">
        <x:v>B</x:v>
      </x:c>
      <x:c r="I396" t="str">
        <x:v>W</x:v>
      </x:c>
      <x:c r="J396" t="str">
        <x:v>W</x:v>
      </x:c>
      <x:c r="K396" t="str">
        <x:v>B</x:v>
      </x:c>
      <x:c r="L396" t="str">
        <x:v>B</x:v>
      </x:c>
      <x:c r="M396" t="str">
        <x:v>B</x:v>
      </x:c>
      <x:c r="N396" t="str">
        <x:v>B</x:v>
      </x:c>
      <x:c r="O396" t="str">
        <x:v>B</x:v>
      </x:c>
      <x:c r="P396" t="str">
        <x:v>W</x:v>
      </x:c>
      <x:c r="Q396" t="str">
        <x:v>B</x:v>
      </x:c>
      <x:c r="R396" t="str">
        <x:v>W</x:v>
      </x:c>
      <x:c r="S396" t="str">
        <x:v>B</x:v>
      </x:c>
      <x:c r="T396" t="str">
        <x:v>B</x:v>
      </x:c>
      <x:c r="U396" t="str">
        <x:v>B</x:v>
      </x:c>
      <x:c r="V396" t="n">
        <x:f>COUNTIF(B396:U396,"W")</x:f>
        <x:v>8</x:v>
      </x:c>
      <x:c r="W396" s="5" t="str">
        <x:f>IF(COUNTIF(B396:D396,"W")&gt;0,"Y","N")</x:f>
        <x:v>Y</x:v>
      </x:c>
      <x:c r="X396" s="1"/>
      <x:c r="Y396" s="1"/>
      <x:c r="Z396" s="1"/>
      <x:c r="AA396" s="1"/>
      <x:c r="AB396" s="1"/>
      <x:c r="AC396" s="1"/>
      <x:c r="AD396" s="1"/>
    </x:row>
    <x:row r="397">
      <x:c r="A397" s="1">
        <x:v>396</x:v>
      </x:c>
      <x:c r="B397" t="str">
        <x:v>W</x:v>
      </x:c>
      <x:c r="C397" t="str">
        <x:v>B</x:v>
      </x:c>
      <x:c r="D397" t="str">
        <x:v>B</x:v>
      </x:c>
      <x:c r="E397" t="str">
        <x:v>B</x:v>
      </x:c>
      <x:c r="F397" t="str">
        <x:v>W</x:v>
      </x:c>
      <x:c r="G397" t="str">
        <x:v>B</x:v>
      </x:c>
      <x:c r="H397" t="str">
        <x:v>B</x:v>
      </x:c>
      <x:c r="I397" t="str">
        <x:v>B</x:v>
      </x:c>
      <x:c r="J397" t="str">
        <x:v>W</x:v>
      </x:c>
      <x:c r="K397" t="str">
        <x:v>B</x:v>
      </x:c>
      <x:c r="L397" t="str">
        <x:v>W</x:v>
      </x:c>
      <x:c r="M397" t="str">
        <x:v>B</x:v>
      </x:c>
      <x:c r="N397" t="str">
        <x:v>B</x:v>
      </x:c>
      <x:c r="O397" t="str">
        <x:v>W</x:v>
      </x:c>
      <x:c r="P397" t="str">
        <x:v>W</x:v>
      </x:c>
      <x:c r="Q397" t="str">
        <x:v>B</x:v>
      </x:c>
      <x:c r="R397" t="str">
        <x:v>B</x:v>
      </x:c>
      <x:c r="S397" t="str">
        <x:v>B</x:v>
      </x:c>
      <x:c r="T397" t="str">
        <x:v>B</x:v>
      </x:c>
      <x:c r="U397" t="str">
        <x:v>B</x:v>
      </x:c>
      <x:c r="V397" t="n">
        <x:f>COUNTIF(B397:U397,"W")</x:f>
        <x:v>6</x:v>
      </x:c>
      <x:c r="W397" s="5" t="str">
        <x:f>IF(COUNTIF(B397:D397,"W")&gt;0,"Y","N")</x:f>
        <x:v>Y</x:v>
      </x:c>
      <x:c r="X397" s="1"/>
      <x:c r="Y397" s="1"/>
      <x:c r="Z397" s="1"/>
      <x:c r="AA397" s="1"/>
      <x:c r="AB397" s="1"/>
      <x:c r="AC397" s="1"/>
      <x:c r="AD397" s="1"/>
    </x:row>
    <x:row r="398">
      <x:c r="A398" s="1">
        <x:v>397</x:v>
      </x:c>
      <x:c r="B398" t="str">
        <x:v>B</x:v>
      </x:c>
      <x:c r="C398" t="str">
        <x:v>B</x:v>
      </x:c>
      <x:c r="D398" t="str">
        <x:v>B</x:v>
      </x:c>
      <x:c r="E398" t="str">
        <x:v>W</x:v>
      </x:c>
      <x:c r="F398" t="str">
        <x:v>B</x:v>
      </x:c>
      <x:c r="G398" t="str">
        <x:v>B</x:v>
      </x:c>
      <x:c r="H398" t="str">
        <x:v>B</x:v>
      </x:c>
      <x:c r="I398" t="str">
        <x:v>B</x:v>
      </x:c>
      <x:c r="J398" t="str">
        <x:v>B</x:v>
      </x:c>
      <x:c r="K398" t="str">
        <x:v>B</x:v>
      </x:c>
      <x:c r="L398" t="str">
        <x:v>B</x:v>
      </x:c>
      <x:c r="M398" t="str">
        <x:v>B</x:v>
      </x:c>
      <x:c r="N398" t="str">
        <x:v>B</x:v>
      </x:c>
      <x:c r="O398" t="str">
        <x:v>B</x:v>
      </x:c>
      <x:c r="P398" t="str">
        <x:v>W</x:v>
      </x:c>
      <x:c r="Q398" t="str">
        <x:v>B</x:v>
      </x:c>
      <x:c r="R398" t="str">
        <x:v>B</x:v>
      </x:c>
      <x:c r="S398" t="str">
        <x:v>W</x:v>
      </x:c>
      <x:c r="T398" t="str">
        <x:v>B</x:v>
      </x:c>
      <x:c r="U398" t="str">
        <x:v>W</x:v>
      </x:c>
      <x:c r="V398" t="n">
        <x:f>COUNTIF(B398:U398,"W")</x:f>
        <x:v>4</x:v>
      </x:c>
      <x:c r="W398" s="5" t="str">
        <x:f>IF(COUNTIF(B398:D398,"W")&gt;0,"Y","N")</x:f>
        <x:v>N</x:v>
      </x:c>
      <x:c r="X398" s="1"/>
      <x:c r="Y398" s="1"/>
      <x:c r="Z398" s="1"/>
      <x:c r="AA398" s="1"/>
      <x:c r="AB398" s="1"/>
      <x:c r="AC398" s="1"/>
      <x:c r="AD398" s="1"/>
    </x:row>
    <x:row r="399">
      <x:c r="A399" s="1">
        <x:v>398</x:v>
      </x:c>
      <x:c r="B399" t="str">
        <x:v>B</x:v>
      </x:c>
      <x:c r="C399" t="str">
        <x:v>B</x:v>
      </x:c>
      <x:c r="D399" t="str">
        <x:v>B</x:v>
      </x:c>
      <x:c r="E399" t="str">
        <x:v>W</x:v>
      </x:c>
      <x:c r="F399" t="str">
        <x:v>B</x:v>
      </x:c>
      <x:c r="G399" t="str">
        <x:v>B</x:v>
      </x:c>
      <x:c r="H399" t="str">
        <x:v>W</x:v>
      </x:c>
      <x:c r="I399" t="str">
        <x:v>W</x:v>
      </x:c>
      <x:c r="J399" t="str">
        <x:v>B</x:v>
      </x:c>
      <x:c r="K399" t="str">
        <x:v>B</x:v>
      </x:c>
      <x:c r="L399" t="str">
        <x:v>B</x:v>
      </x:c>
      <x:c r="M399" t="str">
        <x:v>B</x:v>
      </x:c>
      <x:c r="N399" t="str">
        <x:v>B</x:v>
      </x:c>
      <x:c r="O399" t="str">
        <x:v>B</x:v>
      </x:c>
      <x:c r="P399" t="str">
        <x:v>W</x:v>
      </x:c>
      <x:c r="Q399" t="str">
        <x:v>B</x:v>
      </x:c>
      <x:c r="R399" t="str">
        <x:v>B</x:v>
      </x:c>
      <x:c r="S399" t="str">
        <x:v>B</x:v>
      </x:c>
      <x:c r="T399" t="str">
        <x:v>B</x:v>
      </x:c>
      <x:c r="U399" t="str">
        <x:v>B</x:v>
      </x:c>
      <x:c r="V399" t="n">
        <x:f>COUNTIF(B399:U399,"W")</x:f>
        <x:v>4</x:v>
      </x:c>
      <x:c r="W399" s="5" t="str">
        <x:f>IF(COUNTIF(B399:D399,"W")&gt;0,"Y","N")</x:f>
        <x:v>N</x:v>
      </x:c>
      <x:c r="X399" s="1"/>
      <x:c r="Y399" s="1"/>
      <x:c r="Z399" s="1"/>
      <x:c r="AA399" s="1"/>
      <x:c r="AB399" s="1"/>
      <x:c r="AC399" s="1"/>
      <x:c r="AD399" s="1"/>
    </x:row>
    <x:row r="400">
      <x:c r="A400" s="1">
        <x:v>399</x:v>
      </x:c>
      <x:c r="B400" t="str">
        <x:v>B</x:v>
      </x:c>
      <x:c r="C400" t="str">
        <x:v>B</x:v>
      </x:c>
      <x:c r="D400" t="str">
        <x:v>B</x:v>
      </x:c>
      <x:c r="E400" t="str">
        <x:v>B</x:v>
      </x:c>
      <x:c r="F400" t="str">
        <x:v>B</x:v>
      </x:c>
      <x:c r="G400" t="str">
        <x:v>B</x:v>
      </x:c>
      <x:c r="H400" t="str">
        <x:v>W</x:v>
      </x:c>
      <x:c r="I400" t="str">
        <x:v>B</x:v>
      </x:c>
      <x:c r="J400" t="str">
        <x:v>B</x:v>
      </x:c>
      <x:c r="K400" t="str">
        <x:v>B</x:v>
      </x:c>
      <x:c r="L400" t="str">
        <x:v>B</x:v>
      </x:c>
      <x:c r="M400" t="str">
        <x:v>W</x:v>
      </x:c>
      <x:c r="N400" t="str">
        <x:v>B</x:v>
      </x:c>
      <x:c r="O400" t="str">
        <x:v>B</x:v>
      </x:c>
      <x:c r="P400" t="str">
        <x:v>B</x:v>
      </x:c>
      <x:c r="Q400" t="str">
        <x:v>W</x:v>
      </x:c>
      <x:c r="R400" t="str">
        <x:v>B</x:v>
      </x:c>
      <x:c r="S400" t="str">
        <x:v>B</x:v>
      </x:c>
      <x:c r="T400" t="str">
        <x:v>B</x:v>
      </x:c>
      <x:c r="U400" t="str">
        <x:v>B</x:v>
      </x:c>
      <x:c r="V400" t="n">
        <x:f>COUNTIF(B400:U400,"W")</x:f>
        <x:v>3</x:v>
      </x:c>
      <x:c r="W400" s="5" t="str">
        <x:f>IF(COUNTIF(B400:D400,"W")&gt;0,"Y","N")</x:f>
        <x:v>N</x:v>
      </x:c>
      <x:c r="X400" s="1"/>
      <x:c r="Y400" s="1"/>
      <x:c r="Z400" s="1"/>
      <x:c r="AA400" s="1"/>
      <x:c r="AB400" s="1"/>
      <x:c r="AC400" s="1"/>
      <x:c r="AD400" s="1"/>
    </x:row>
    <x:row r="401">
      <x:c r="A401" s="1">
        <x:v>400</x:v>
      </x:c>
      <x:c r="B401" t="str">
        <x:v>W</x:v>
      </x:c>
      <x:c r="C401" t="str">
        <x:v>B</x:v>
      </x:c>
      <x:c r="D401" t="str">
        <x:v>W</x:v>
      </x:c>
      <x:c r="E401" t="str">
        <x:v>W</x:v>
      </x:c>
      <x:c r="F401" t="str">
        <x:v>B</x:v>
      </x:c>
      <x:c r="G401" t="str">
        <x:v>B</x:v>
      </x:c>
      <x:c r="H401" t="str">
        <x:v>W</x:v>
      </x:c>
      <x:c r="I401" t="str">
        <x:v>B</x:v>
      </x:c>
      <x:c r="J401" t="str">
        <x:v>B</x:v>
      </x:c>
      <x:c r="K401" t="str">
        <x:v>B</x:v>
      </x:c>
      <x:c r="L401" t="str">
        <x:v>B</x:v>
      </x:c>
      <x:c r="M401" t="str">
        <x:v>W</x:v>
      </x:c>
      <x:c r="N401" t="str">
        <x:v>B</x:v>
      </x:c>
      <x:c r="O401" t="str">
        <x:v>B</x:v>
      </x:c>
      <x:c r="P401" t="str">
        <x:v>B</x:v>
      </x:c>
      <x:c r="Q401" t="str">
        <x:v>B</x:v>
      </x:c>
      <x:c r="R401" t="str">
        <x:v>W</x:v>
      </x:c>
      <x:c r="S401" t="str">
        <x:v>B</x:v>
      </x:c>
      <x:c r="T401" t="str">
        <x:v>B</x:v>
      </x:c>
      <x:c r="U401" t="str">
        <x:v>W</x:v>
      </x:c>
      <x:c r="V401" t="n">
        <x:f>COUNTIF(B401:U401,"W")</x:f>
        <x:v>7</x:v>
      </x:c>
      <x:c r="W401" s="5" t="str">
        <x:f>IF(COUNTIF(B401:D401,"W")&gt;0,"Y","N")</x:f>
        <x:v>Y</x:v>
      </x:c>
      <x:c r="X401" s="1"/>
      <x:c r="Y401" s="1"/>
      <x:c r="Z401" s="1"/>
      <x:c r="AA401" s="1"/>
      <x:c r="AB401" s="1"/>
      <x:c r="AC401" s="1"/>
      <x:c r="AD401" s="1"/>
    </x:row>
    <x:row r="402">
      <x:c r="A402" s="1">
        <x:v>401</x:v>
      </x:c>
      <x:c r="B402" t="str">
        <x:v>W</x:v>
      </x:c>
      <x:c r="C402" t="str">
        <x:v>W</x:v>
      </x:c>
      <x:c r="D402" t="str">
        <x:v>B</x:v>
      </x:c>
      <x:c r="E402" t="str">
        <x:v>W</x:v>
      </x:c>
      <x:c r="F402" t="str">
        <x:v>B</x:v>
      </x:c>
      <x:c r="G402" t="str">
        <x:v>B</x:v>
      </x:c>
      <x:c r="H402" t="str">
        <x:v>B</x:v>
      </x:c>
      <x:c r="I402" t="str">
        <x:v>B</x:v>
      </x:c>
      <x:c r="J402" t="str">
        <x:v>B</x:v>
      </x:c>
      <x:c r="K402" t="str">
        <x:v>B</x:v>
      </x:c>
      <x:c r="L402" t="str">
        <x:v>B</x:v>
      </x:c>
      <x:c r="M402" t="str">
        <x:v>W</x:v>
      </x:c>
      <x:c r="N402" t="str">
        <x:v>B</x:v>
      </x:c>
      <x:c r="O402" t="str">
        <x:v>B</x:v>
      </x:c>
      <x:c r="P402" t="str">
        <x:v>W</x:v>
      </x:c>
      <x:c r="Q402" t="str">
        <x:v>B</x:v>
      </x:c>
      <x:c r="R402" t="str">
        <x:v>W</x:v>
      </x:c>
      <x:c r="S402" t="str">
        <x:v>B</x:v>
      </x:c>
      <x:c r="T402" t="str">
        <x:v>B</x:v>
      </x:c>
      <x:c r="U402" t="str">
        <x:v>W</x:v>
      </x:c>
      <x:c r="V402" t="n">
        <x:f>COUNTIF(B402:U402,"W")</x:f>
        <x:v>7</x:v>
      </x:c>
      <x:c r="W402" s="5" t="str">
        <x:f>IF(COUNTIF(B402:D402,"W")&gt;0,"Y","N")</x:f>
        <x:v>Y</x:v>
      </x:c>
      <x:c r="X402" s="1"/>
      <x:c r="Y402" s="1"/>
      <x:c r="Z402" s="1"/>
      <x:c r="AA402" s="1"/>
      <x:c r="AB402" s="1"/>
      <x:c r="AC402" s="1"/>
      <x:c r="AD402" s="1"/>
    </x:row>
    <x:row r="403">
      <x:c r="A403" s="1">
        <x:v>402</x:v>
      </x:c>
      <x:c r="B403" t="str">
        <x:v>W</x:v>
      </x:c>
      <x:c r="C403" t="str">
        <x:v>W</x:v>
      </x:c>
      <x:c r="D403" t="str">
        <x:v>W</x:v>
      </x:c>
      <x:c r="E403" t="str">
        <x:v>B</x:v>
      </x:c>
      <x:c r="F403" t="str">
        <x:v>W</x:v>
      </x:c>
      <x:c r="G403" t="str">
        <x:v>W</x:v>
      </x:c>
      <x:c r="H403" t="str">
        <x:v>B</x:v>
      </x:c>
      <x:c r="I403" t="str">
        <x:v>B</x:v>
      </x:c>
      <x:c r="J403" t="str">
        <x:v>B</x:v>
      </x:c>
      <x:c r="K403" t="str">
        <x:v>B</x:v>
      </x:c>
      <x:c r="L403" t="str">
        <x:v>W</x:v>
      </x:c>
      <x:c r="M403" t="str">
        <x:v>W</x:v>
      </x:c>
      <x:c r="N403" t="str">
        <x:v>B</x:v>
      </x:c>
      <x:c r="O403" t="str">
        <x:v>W</x:v>
      </x:c>
      <x:c r="P403" t="str">
        <x:v>W</x:v>
      </x:c>
      <x:c r="Q403" t="str">
        <x:v>B</x:v>
      </x:c>
      <x:c r="R403" t="str">
        <x:v>W</x:v>
      </x:c>
      <x:c r="S403" t="str">
        <x:v>B</x:v>
      </x:c>
      <x:c r="T403" t="str">
        <x:v>B</x:v>
      </x:c>
      <x:c r="U403" t="str">
        <x:v>B</x:v>
      </x:c>
      <x:c r="V403" t="n">
        <x:f>COUNTIF(B403:U403,"W")</x:f>
        <x:v>10</x:v>
      </x:c>
      <x:c r="W403" s="5" t="str">
        <x:f>IF(COUNTIF(B403:D403,"W")&gt;0,"Y","N")</x:f>
        <x:v>Y</x:v>
      </x:c>
      <x:c r="X403" s="1"/>
      <x:c r="Y403" s="1"/>
      <x:c r="Z403" s="1"/>
      <x:c r="AA403" s="1"/>
      <x:c r="AB403" s="1"/>
      <x:c r="AC403" s="1"/>
      <x:c r="AD403" s="1"/>
    </x:row>
    <x:row r="404">
      <x:c r="A404" s="1">
        <x:v>403</x:v>
      </x:c>
      <x:c r="B404" t="str">
        <x:v>W</x:v>
      </x:c>
      <x:c r="C404" t="str">
        <x:v>B</x:v>
      </x:c>
      <x:c r="D404" t="str">
        <x:v>B</x:v>
      </x:c>
      <x:c r="E404" t="str">
        <x:v>B</x:v>
      </x:c>
      <x:c r="F404" t="str">
        <x:v>W</x:v>
      </x:c>
      <x:c r="G404" t="str">
        <x:v>B</x:v>
      </x:c>
      <x:c r="H404" t="str">
        <x:v>W</x:v>
      </x:c>
      <x:c r="I404" t="str">
        <x:v>B</x:v>
      </x:c>
      <x:c r="J404" t="str">
        <x:v>B</x:v>
      </x:c>
      <x:c r="K404" t="str">
        <x:v>W</x:v>
      </x:c>
      <x:c r="L404" t="str">
        <x:v>B</x:v>
      </x:c>
      <x:c r="M404" t="str">
        <x:v>W</x:v>
      </x:c>
      <x:c r="N404" t="str">
        <x:v>W</x:v>
      </x:c>
      <x:c r="O404" t="str">
        <x:v>B</x:v>
      </x:c>
      <x:c r="P404" t="str">
        <x:v>B</x:v>
      </x:c>
      <x:c r="Q404" t="str">
        <x:v>B</x:v>
      </x:c>
      <x:c r="R404" t="str">
        <x:v>B</x:v>
      </x:c>
      <x:c r="S404" t="str">
        <x:v>W</x:v>
      </x:c>
      <x:c r="T404" t="str">
        <x:v>B</x:v>
      </x:c>
      <x:c r="U404" t="str">
        <x:v>B</x:v>
      </x:c>
      <x:c r="V404" t="n">
        <x:f>COUNTIF(B404:U404,"W")</x:f>
        <x:v>7</x:v>
      </x:c>
      <x:c r="W404" s="5" t="str">
        <x:f>IF(COUNTIF(B404:D404,"W")&gt;0,"Y","N")</x:f>
        <x:v>Y</x:v>
      </x:c>
      <x:c r="X404" s="1"/>
      <x:c r="Y404" s="1"/>
      <x:c r="Z404" s="1"/>
      <x:c r="AA404" s="1"/>
      <x:c r="AB404" s="1"/>
      <x:c r="AC404" s="1"/>
      <x:c r="AD404" s="1"/>
    </x:row>
    <x:row r="405">
      <x:c r="A405" s="1">
        <x:v>404</x:v>
      </x:c>
      <x:c r="B405" t="str">
        <x:v>W</x:v>
      </x:c>
      <x:c r="C405" t="str">
        <x:v>B</x:v>
      </x:c>
      <x:c r="D405" t="str">
        <x:v>W</x:v>
      </x:c>
      <x:c r="E405" t="str">
        <x:v>W</x:v>
      </x:c>
      <x:c r="F405" t="str">
        <x:v>W</x:v>
      </x:c>
      <x:c r="G405" t="str">
        <x:v>W</x:v>
      </x:c>
      <x:c r="H405" t="str">
        <x:v>W</x:v>
      </x:c>
      <x:c r="I405" t="str">
        <x:v>W</x:v>
      </x:c>
      <x:c r="J405" t="str">
        <x:v>B</x:v>
      </x:c>
      <x:c r="K405" t="str">
        <x:v>B</x:v>
      </x:c>
      <x:c r="L405" t="str">
        <x:v>W</x:v>
      </x:c>
      <x:c r="M405" t="str">
        <x:v>W</x:v>
      </x:c>
      <x:c r="N405" t="str">
        <x:v>W</x:v>
      </x:c>
      <x:c r="O405" t="str">
        <x:v>W</x:v>
      </x:c>
      <x:c r="P405" t="str">
        <x:v>B</x:v>
      </x:c>
      <x:c r="Q405" t="str">
        <x:v>B</x:v>
      </x:c>
      <x:c r="R405" t="str">
        <x:v>W</x:v>
      </x:c>
      <x:c r="S405" t="str">
        <x:v>W</x:v>
      </x:c>
      <x:c r="T405" t="str">
        <x:v>W</x:v>
      </x:c>
      <x:c r="U405" t="str">
        <x:v>B</x:v>
      </x:c>
      <x:c r="V405" t="n">
        <x:f>COUNTIF(B405:U405,"W")</x:f>
        <x:v>14</x:v>
      </x:c>
      <x:c r="W405" s="5" t="str">
        <x:f>IF(COUNTIF(B405:D405,"W")&gt;0,"Y","N")</x:f>
        <x:v>Y</x:v>
      </x:c>
      <x:c r="X405" s="1"/>
      <x:c r="Y405" s="1"/>
      <x:c r="Z405" s="1"/>
      <x:c r="AA405" s="1"/>
      <x:c r="AB405" s="1"/>
      <x:c r="AC405" s="1"/>
      <x:c r="AD405" s="1"/>
    </x:row>
    <x:row r="406">
      <x:c r="A406" s="1">
        <x:v>405</x:v>
      </x:c>
      <x:c r="B406" t="str">
        <x:v>B</x:v>
      </x:c>
      <x:c r="C406" t="str">
        <x:v>W</x:v>
      </x:c>
      <x:c r="D406" t="str">
        <x:v>B</x:v>
      </x:c>
      <x:c r="E406" t="str">
        <x:v>B</x:v>
      </x:c>
      <x:c r="F406" t="str">
        <x:v>W</x:v>
      </x:c>
      <x:c r="G406" t="str">
        <x:v>B</x:v>
      </x:c>
      <x:c r="H406" t="str">
        <x:v>W</x:v>
      </x:c>
      <x:c r="I406" t="str">
        <x:v>B</x:v>
      </x:c>
      <x:c r="J406" t="str">
        <x:v>W</x:v>
      </x:c>
      <x:c r="K406" t="str">
        <x:v>B</x:v>
      </x:c>
      <x:c r="L406" t="str">
        <x:v>B</x:v>
      </x:c>
      <x:c r="M406" t="str">
        <x:v>W</x:v>
      </x:c>
      <x:c r="N406" t="str">
        <x:v>B</x:v>
      </x:c>
      <x:c r="O406" t="str">
        <x:v>B</x:v>
      </x:c>
      <x:c r="P406" t="str">
        <x:v>B</x:v>
      </x:c>
      <x:c r="Q406" t="str">
        <x:v>B</x:v>
      </x:c>
      <x:c r="R406" t="str">
        <x:v>B</x:v>
      </x:c>
      <x:c r="S406" t="str">
        <x:v>B</x:v>
      </x:c>
      <x:c r="T406" t="str">
        <x:v>W</x:v>
      </x:c>
      <x:c r="U406" t="str">
        <x:v>B</x:v>
      </x:c>
      <x:c r="V406" t="n">
        <x:f>COUNTIF(B406:U406,"W")</x:f>
        <x:v>6</x:v>
      </x:c>
      <x:c r="W406" s="5" t="str">
        <x:f>IF(COUNTIF(B406:D406,"W")&gt;0,"Y","N")</x:f>
        <x:v>Y</x:v>
      </x:c>
      <x:c r="X406" s="1"/>
      <x:c r="Y406" s="1"/>
      <x:c r="Z406" s="1"/>
      <x:c r="AA406" s="1"/>
      <x:c r="AB406" s="1"/>
      <x:c r="AC406" s="1"/>
      <x:c r="AD406" s="1"/>
    </x:row>
    <x:row r="407">
      <x:c r="A407" s="1">
        <x:v>406</x:v>
      </x:c>
      <x:c r="B407" t="str">
        <x:v>B</x:v>
      </x:c>
      <x:c r="C407" t="str">
        <x:v>B</x:v>
      </x:c>
      <x:c r="D407" t="str">
        <x:v>B</x:v>
      </x:c>
      <x:c r="E407" t="str">
        <x:v>W</x:v>
      </x:c>
      <x:c r="F407" t="str">
        <x:v>B</x:v>
      </x:c>
      <x:c r="G407" t="str">
        <x:v>B</x:v>
      </x:c>
      <x:c r="H407" t="str">
        <x:v>B</x:v>
      </x:c>
      <x:c r="I407" t="str">
        <x:v>B</x:v>
      </x:c>
      <x:c r="J407" t="str">
        <x:v>B</x:v>
      </x:c>
      <x:c r="K407" t="str">
        <x:v>B</x:v>
      </x:c>
      <x:c r="L407" t="str">
        <x:v>W</x:v>
      </x:c>
      <x:c r="M407" t="str">
        <x:v>W</x:v>
      </x:c>
      <x:c r="N407" t="str">
        <x:v>B</x:v>
      </x:c>
      <x:c r="O407" t="str">
        <x:v>W</x:v>
      </x:c>
      <x:c r="P407" t="str">
        <x:v>W</x:v>
      </x:c>
      <x:c r="Q407" t="str">
        <x:v>B</x:v>
      </x:c>
      <x:c r="R407" t="str">
        <x:v>B</x:v>
      </x:c>
      <x:c r="S407" t="str">
        <x:v>B</x:v>
      </x:c>
      <x:c r="T407" t="str">
        <x:v>B</x:v>
      </x:c>
      <x:c r="U407" t="str">
        <x:v>W</x:v>
      </x:c>
      <x:c r="V407" t="n">
        <x:f>COUNTIF(B407:U407,"W")</x:f>
        <x:v>6</x:v>
      </x:c>
      <x:c r="W407" s="5" t="str">
        <x:f>IF(COUNTIF(B407:D407,"W")&gt;0,"Y","N")</x:f>
        <x:v>N</x:v>
      </x:c>
      <x:c r="X407" s="1"/>
      <x:c r="Y407" s="1"/>
      <x:c r="Z407" s="1"/>
      <x:c r="AA407" s="1"/>
      <x:c r="AB407" s="1"/>
      <x:c r="AC407" s="1"/>
      <x:c r="AD407" s="1"/>
    </x:row>
    <x:row r="408">
      <x:c r="A408" s="1">
        <x:v>407</x:v>
      </x:c>
      <x:c r="B408" t="str">
        <x:v>W</x:v>
      </x:c>
      <x:c r="C408" t="str">
        <x:v>B</x:v>
      </x:c>
      <x:c r="D408" t="str">
        <x:v>B</x:v>
      </x:c>
      <x:c r="E408" t="str">
        <x:v>B</x:v>
      </x:c>
      <x:c r="F408" t="str">
        <x:v>W</x:v>
      </x:c>
      <x:c r="G408" t="str">
        <x:v>B</x:v>
      </x:c>
      <x:c r="H408" t="str">
        <x:v>W</x:v>
      </x:c>
      <x:c r="I408" t="str">
        <x:v>B</x:v>
      </x:c>
      <x:c r="J408" t="str">
        <x:v>W</x:v>
      </x:c>
      <x:c r="K408" t="str">
        <x:v>B</x:v>
      </x:c>
      <x:c r="L408" t="str">
        <x:v>W</x:v>
      </x:c>
      <x:c r="M408" t="str">
        <x:v>W</x:v>
      </x:c>
      <x:c r="N408" t="str">
        <x:v>W</x:v>
      </x:c>
      <x:c r="O408" t="str">
        <x:v>W</x:v>
      </x:c>
      <x:c r="P408" t="str">
        <x:v>B</x:v>
      </x:c>
      <x:c r="Q408" t="str">
        <x:v>B</x:v>
      </x:c>
      <x:c r="R408" t="str">
        <x:v>B</x:v>
      </x:c>
      <x:c r="S408" t="str">
        <x:v>W</x:v>
      </x:c>
      <x:c r="T408" t="str">
        <x:v>B</x:v>
      </x:c>
      <x:c r="U408" t="str">
        <x:v>B</x:v>
      </x:c>
      <x:c r="V408" t="n">
        <x:f>COUNTIF(B408:U408,"W")</x:f>
        <x:v>9</x:v>
      </x:c>
      <x:c r="W408" s="5" t="str">
        <x:f>IF(COUNTIF(B408:D408,"W")&gt;0,"Y","N")</x:f>
        <x:v>Y</x:v>
      </x:c>
      <x:c r="X408" s="1"/>
      <x:c r="Y408" s="1"/>
      <x:c r="Z408" s="1"/>
      <x:c r="AA408" s="1"/>
      <x:c r="AB408" s="1"/>
      <x:c r="AC408" s="1"/>
      <x:c r="AD408" s="1"/>
    </x:row>
    <x:row r="409">
      <x:c r="A409" s="1">
        <x:v>408</x:v>
      </x:c>
      <x:c r="B409" t="str">
        <x:v>B</x:v>
      </x:c>
      <x:c r="C409" t="str">
        <x:v>B</x:v>
      </x:c>
      <x:c r="D409" t="str">
        <x:v>B</x:v>
      </x:c>
      <x:c r="E409" t="str">
        <x:v>B</x:v>
      </x:c>
      <x:c r="F409" t="str">
        <x:v>B</x:v>
      </x:c>
      <x:c r="G409" t="str">
        <x:v>B</x:v>
      </x:c>
      <x:c r="H409" t="str">
        <x:v>B</x:v>
      </x:c>
      <x:c r="I409" t="str">
        <x:v>B</x:v>
      </x:c>
      <x:c r="J409" t="str">
        <x:v>B</x:v>
      </x:c>
      <x:c r="K409" t="str">
        <x:v>B</x:v>
      </x:c>
      <x:c r="L409" t="str">
        <x:v>W</x:v>
      </x:c>
      <x:c r="M409" t="str">
        <x:v>W</x:v>
      </x:c>
      <x:c r="N409" t="str">
        <x:v>B</x:v>
      </x:c>
      <x:c r="O409" t="str">
        <x:v>B</x:v>
      </x:c>
      <x:c r="P409" t="str">
        <x:v>W</x:v>
      </x:c>
      <x:c r="Q409" t="str">
        <x:v>B</x:v>
      </x:c>
      <x:c r="R409" t="str">
        <x:v>W</x:v>
      </x:c>
      <x:c r="S409" t="str">
        <x:v>B</x:v>
      </x:c>
      <x:c r="T409" t="str">
        <x:v>B</x:v>
      </x:c>
      <x:c r="U409" t="str">
        <x:v>W</x:v>
      </x:c>
      <x:c r="V409" t="n">
        <x:f>COUNTIF(B409:U409,"W")</x:f>
        <x:v>5</x:v>
      </x:c>
      <x:c r="W409" s="5" t="str">
        <x:f>IF(COUNTIF(B409:D409,"W")&gt;0,"Y","N")</x:f>
        <x:v>N</x:v>
      </x:c>
      <x:c r="X409" s="1"/>
      <x:c r="Y409" s="1"/>
      <x:c r="Z409" s="1"/>
      <x:c r="AA409" s="1"/>
      <x:c r="AB409" s="1"/>
      <x:c r="AC409" s="1"/>
      <x:c r="AD409" s="1"/>
    </x:row>
    <x:row r="410">
      <x:c r="A410" s="1">
        <x:v>409</x:v>
      </x:c>
      <x:c r="B410" t="str">
        <x:v>W</x:v>
      </x:c>
      <x:c r="C410" t="str">
        <x:v>B</x:v>
      </x:c>
      <x:c r="D410" t="str">
        <x:v>W</x:v>
      </x:c>
      <x:c r="E410" t="str">
        <x:v>B</x:v>
      </x:c>
      <x:c r="F410" t="str">
        <x:v>B</x:v>
      </x:c>
      <x:c r="G410" t="str">
        <x:v>W</x:v>
      </x:c>
      <x:c r="H410" t="str">
        <x:v>W</x:v>
      </x:c>
      <x:c r="I410" t="str">
        <x:v>W</x:v>
      </x:c>
      <x:c r="J410" t="str">
        <x:v>B</x:v>
      </x:c>
      <x:c r="K410" t="str">
        <x:v>B</x:v>
      </x:c>
      <x:c r="L410" t="str">
        <x:v>B</x:v>
      </x:c>
      <x:c r="M410" t="str">
        <x:v>W</x:v>
      </x:c>
      <x:c r="N410" t="str">
        <x:v>B</x:v>
      </x:c>
      <x:c r="O410" t="str">
        <x:v>W</x:v>
      </x:c>
      <x:c r="P410" t="str">
        <x:v>W</x:v>
      </x:c>
      <x:c r="Q410" t="str">
        <x:v>B</x:v>
      </x:c>
      <x:c r="R410" t="str">
        <x:v>B</x:v>
      </x:c>
      <x:c r="S410" t="str">
        <x:v>B</x:v>
      </x:c>
      <x:c r="T410" t="str">
        <x:v>B</x:v>
      </x:c>
      <x:c r="U410" t="str">
        <x:v>B</x:v>
      </x:c>
      <x:c r="V410" t="n">
        <x:f>COUNTIF(B410:U410,"W")</x:f>
        <x:v>8</x:v>
      </x:c>
      <x:c r="W410" s="5" t="str">
        <x:f>IF(COUNTIF(B410:D410,"W")&gt;0,"Y","N")</x:f>
        <x:v>Y</x:v>
      </x:c>
      <x:c r="X410" s="1"/>
      <x:c r="Y410" s="1"/>
      <x:c r="Z410" s="1"/>
      <x:c r="AA410" s="1"/>
      <x:c r="AB410" s="1"/>
      <x:c r="AC410" s="1"/>
      <x:c r="AD410" s="1"/>
    </x:row>
    <x:row r="411">
      <x:c r="A411" s="1">
        <x:v>410</x:v>
      </x:c>
      <x:c r="B411" t="str">
        <x:v>W</x:v>
      </x:c>
      <x:c r="C411" t="str">
        <x:v>B</x:v>
      </x:c>
      <x:c r="D411" t="str">
        <x:v>W</x:v>
      </x:c>
      <x:c r="E411" t="str">
        <x:v>W</x:v>
      </x:c>
      <x:c r="F411" t="str">
        <x:v>W</x:v>
      </x:c>
      <x:c r="G411" t="str">
        <x:v>B</x:v>
      </x:c>
      <x:c r="H411" t="str">
        <x:v>W</x:v>
      </x:c>
      <x:c r="I411" t="str">
        <x:v>B</x:v>
      </x:c>
      <x:c r="J411" t="str">
        <x:v>B</x:v>
      </x:c>
      <x:c r="K411" t="str">
        <x:v>B</x:v>
      </x:c>
      <x:c r="L411" t="str">
        <x:v>B</x:v>
      </x:c>
      <x:c r="M411" t="str">
        <x:v>B</x:v>
      </x:c>
      <x:c r="N411" t="str">
        <x:v>B</x:v>
      </x:c>
      <x:c r="O411" t="str">
        <x:v>B</x:v>
      </x:c>
      <x:c r="P411" t="str">
        <x:v>W</x:v>
      </x:c>
      <x:c r="Q411" t="str">
        <x:v>W</x:v>
      </x:c>
      <x:c r="R411" t="str">
        <x:v>W</x:v>
      </x:c>
      <x:c r="S411" t="str">
        <x:v>W</x:v>
      </x:c>
      <x:c r="T411" t="str">
        <x:v>B</x:v>
      </x:c>
      <x:c r="U411" t="str">
        <x:v>B</x:v>
      </x:c>
      <x:c r="V411" t="n">
        <x:f>COUNTIF(B411:U411,"W")</x:f>
        <x:v>9</x:v>
      </x:c>
      <x:c r="W411" s="5" t="str">
        <x:f>IF(COUNTIF(B411:D411,"W")&gt;0,"Y","N")</x:f>
        <x:v>Y</x:v>
      </x:c>
      <x:c r="X411" s="1"/>
      <x:c r="Y411" s="1"/>
      <x:c r="Z411" s="1"/>
      <x:c r="AA411" s="1"/>
      <x:c r="AB411" s="1"/>
      <x:c r="AC411" s="1"/>
      <x:c r="AD411" s="1"/>
    </x:row>
    <x:row r="412">
      <x:c r="A412" s="1">
        <x:v>411</x:v>
      </x:c>
      <x:c r="B412" t="str">
        <x:v>W</x:v>
      </x:c>
      <x:c r="C412" t="str">
        <x:v>W</x:v>
      </x:c>
      <x:c r="D412" t="str">
        <x:v>B</x:v>
      </x:c>
      <x:c r="E412" t="str">
        <x:v>B</x:v>
      </x:c>
      <x:c r="F412" t="str">
        <x:v>B</x:v>
      </x:c>
      <x:c r="G412" t="str">
        <x:v>B</x:v>
      </x:c>
      <x:c r="H412" t="str">
        <x:v>W</x:v>
      </x:c>
      <x:c r="I412" t="str">
        <x:v>B</x:v>
      </x:c>
      <x:c r="J412" t="str">
        <x:v>B</x:v>
      </x:c>
      <x:c r="K412" t="str">
        <x:v>B</x:v>
      </x:c>
      <x:c r="L412" t="str">
        <x:v>B</x:v>
      </x:c>
      <x:c r="M412" t="str">
        <x:v>B</x:v>
      </x:c>
      <x:c r="N412" t="str">
        <x:v>W</x:v>
      </x:c>
      <x:c r="O412" t="str">
        <x:v>B</x:v>
      </x:c>
      <x:c r="P412" t="str">
        <x:v>B</x:v>
      </x:c>
      <x:c r="Q412" t="str">
        <x:v>B</x:v>
      </x:c>
      <x:c r="R412" t="str">
        <x:v>W</x:v>
      </x:c>
      <x:c r="S412" t="str">
        <x:v>B</x:v>
      </x:c>
      <x:c r="T412" t="str">
        <x:v>B</x:v>
      </x:c>
      <x:c r="U412" t="str">
        <x:v>W</x:v>
      </x:c>
      <x:c r="V412" t="n">
        <x:f>COUNTIF(B412:U412,"W")</x:f>
        <x:v>6</x:v>
      </x:c>
      <x:c r="W412" s="5" t="str">
        <x:f>IF(COUNTIF(B412:D412,"W")&gt;0,"Y","N")</x:f>
        <x:v>Y</x:v>
      </x:c>
      <x:c r="X412" s="1"/>
      <x:c r="Y412" s="1"/>
      <x:c r="Z412" s="1"/>
      <x:c r="AA412" s="1"/>
      <x:c r="AB412" s="1"/>
      <x:c r="AC412" s="1"/>
      <x:c r="AD412" s="1"/>
    </x:row>
    <x:row r="413">
      <x:c r="A413" s="1">
        <x:v>412</x:v>
      </x:c>
      <x:c r="B413" t="str">
        <x:v>W</x:v>
      </x:c>
      <x:c r="C413" t="str">
        <x:v>W</x:v>
      </x:c>
      <x:c r="D413" t="str">
        <x:v>B</x:v>
      </x:c>
      <x:c r="E413" t="str">
        <x:v>W</x:v>
      </x:c>
      <x:c r="F413" t="str">
        <x:v>B</x:v>
      </x:c>
      <x:c r="G413" t="str">
        <x:v>W</x:v>
      </x:c>
      <x:c r="H413" t="str">
        <x:v>W</x:v>
      </x:c>
      <x:c r="I413" t="str">
        <x:v>B</x:v>
      </x:c>
      <x:c r="J413" t="str">
        <x:v>W</x:v>
      </x:c>
      <x:c r="K413" t="str">
        <x:v>W</x:v>
      </x:c>
      <x:c r="L413" t="str">
        <x:v>B</x:v>
      </x:c>
      <x:c r="M413" t="str">
        <x:v>B</x:v>
      </x:c>
      <x:c r="N413" t="str">
        <x:v>B</x:v>
      </x:c>
      <x:c r="O413" t="str">
        <x:v>B</x:v>
      </x:c>
      <x:c r="P413" t="str">
        <x:v>B</x:v>
      </x:c>
      <x:c r="Q413" t="str">
        <x:v>W</x:v>
      </x:c>
      <x:c r="R413" t="str">
        <x:v>B</x:v>
      </x:c>
      <x:c r="S413" t="str">
        <x:v>W</x:v>
      </x:c>
      <x:c r="T413" t="str">
        <x:v>W</x:v>
      </x:c>
      <x:c r="U413" t="str">
        <x:v>B</x:v>
      </x:c>
      <x:c r="V413" t="n">
        <x:f>COUNTIF(B413:U413,"W")</x:f>
        <x:v>10</x:v>
      </x:c>
      <x:c r="W413" s="5" t="str">
        <x:f>IF(COUNTIF(B413:D413,"W")&gt;0,"Y","N")</x:f>
        <x:v>Y</x:v>
      </x:c>
      <x:c r="X413" s="1"/>
      <x:c r="Y413" s="1"/>
      <x:c r="Z413" s="1"/>
      <x:c r="AA413" s="1"/>
      <x:c r="AB413" s="1"/>
      <x:c r="AC413" s="1"/>
      <x:c r="AD413" s="1"/>
    </x:row>
    <x:row r="414">
      <x:c r="A414" s="1">
        <x:v>413</x:v>
      </x:c>
      <x:c r="B414" t="str">
        <x:v>W</x:v>
      </x:c>
      <x:c r="C414" t="str">
        <x:v>B</x:v>
      </x:c>
      <x:c r="D414" t="str">
        <x:v>B</x:v>
      </x:c>
      <x:c r="E414" t="str">
        <x:v>B</x:v>
      </x:c>
      <x:c r="F414" t="str">
        <x:v>B</x:v>
      </x:c>
      <x:c r="G414" t="str">
        <x:v>B</x:v>
      </x:c>
      <x:c r="H414" t="str">
        <x:v>B</x:v>
      </x:c>
      <x:c r="I414" t="str">
        <x:v>B</x:v>
      </x:c>
      <x:c r="J414" t="str">
        <x:v>B</x:v>
      </x:c>
      <x:c r="K414" t="str">
        <x:v>B</x:v>
      </x:c>
      <x:c r="L414" t="str">
        <x:v>B</x:v>
      </x:c>
      <x:c r="M414" t="str">
        <x:v>W</x:v>
      </x:c>
      <x:c r="N414" t="str">
        <x:v>W</x:v>
      </x:c>
      <x:c r="O414" t="str">
        <x:v>W</x:v>
      </x:c>
      <x:c r="P414" t="str">
        <x:v>B</x:v>
      </x:c>
      <x:c r="Q414" t="str">
        <x:v>W</x:v>
      </x:c>
      <x:c r="R414" t="str">
        <x:v>B</x:v>
      </x:c>
      <x:c r="S414" t="str">
        <x:v>B</x:v>
      </x:c>
      <x:c r="T414" t="str">
        <x:v>B</x:v>
      </x:c>
      <x:c r="U414" t="str">
        <x:v>B</x:v>
      </x:c>
      <x:c r="V414" t="n">
        <x:f>COUNTIF(B414:U414,"W")</x:f>
        <x:v>5</x:v>
      </x:c>
      <x:c r="W414" s="5" t="str">
        <x:f>IF(COUNTIF(B414:D414,"W")&gt;0,"Y","N")</x:f>
        <x:v>Y</x:v>
      </x:c>
      <x:c r="X414" s="1"/>
      <x:c r="Y414" s="1"/>
      <x:c r="Z414" s="1"/>
      <x:c r="AA414" s="1"/>
      <x:c r="AB414" s="1"/>
      <x:c r="AC414" s="1"/>
      <x:c r="AD414" s="1"/>
    </x:row>
    <x:row r="415">
      <x:c r="A415" s="1">
        <x:v>414</x:v>
      </x:c>
      <x:c r="B415" t="str">
        <x:v>B</x:v>
      </x:c>
      <x:c r="C415" t="str">
        <x:v>B</x:v>
      </x:c>
      <x:c r="D415" t="str">
        <x:v>B</x:v>
      </x:c>
      <x:c r="E415" t="str">
        <x:v>B</x:v>
      </x:c>
      <x:c r="F415" t="str">
        <x:v>B</x:v>
      </x:c>
      <x:c r="G415" t="str">
        <x:v>B</x:v>
      </x:c>
      <x:c r="H415" t="str">
        <x:v>B</x:v>
      </x:c>
      <x:c r="I415" t="str">
        <x:v>W</x:v>
      </x:c>
      <x:c r="J415" t="str">
        <x:v>W</x:v>
      </x:c>
      <x:c r="K415" t="str">
        <x:v>B</x:v>
      </x:c>
      <x:c r="L415" t="str">
        <x:v>B</x:v>
      </x:c>
      <x:c r="M415" t="str">
        <x:v>B</x:v>
      </x:c>
      <x:c r="N415" t="str">
        <x:v>B</x:v>
      </x:c>
      <x:c r="O415" t="str">
        <x:v>W</x:v>
      </x:c>
      <x:c r="P415" t="str">
        <x:v>B</x:v>
      </x:c>
      <x:c r="Q415" t="str">
        <x:v>B</x:v>
      </x:c>
      <x:c r="R415" t="str">
        <x:v>W</x:v>
      </x:c>
      <x:c r="S415" t="str">
        <x:v>W</x:v>
      </x:c>
      <x:c r="T415" t="str">
        <x:v>W</x:v>
      </x:c>
      <x:c r="U415" t="str">
        <x:v>B</x:v>
      </x:c>
      <x:c r="V415" t="n">
        <x:f>COUNTIF(B415:U415,"W")</x:f>
        <x:v>6</x:v>
      </x:c>
      <x:c r="W415" s="5" t="str">
        <x:f>IF(COUNTIF(B415:D415,"W")&gt;0,"Y","N")</x:f>
        <x:v>N</x:v>
      </x:c>
      <x:c r="X415" s="1"/>
      <x:c r="Y415" s="1"/>
      <x:c r="Z415" s="1"/>
      <x:c r="AA415" s="1"/>
      <x:c r="AB415" s="1"/>
      <x:c r="AC415" s="1"/>
      <x:c r="AD415" s="1"/>
    </x:row>
    <x:row r="416">
      <x:c r="A416" s="1">
        <x:v>415</x:v>
      </x:c>
      <x:c r="B416" t="str">
        <x:v>B</x:v>
      </x:c>
      <x:c r="C416" t="str">
        <x:v>B</x:v>
      </x:c>
      <x:c r="D416" t="str">
        <x:v>W</x:v>
      </x:c>
      <x:c r="E416" t="str">
        <x:v>W</x:v>
      </x:c>
      <x:c r="F416" t="str">
        <x:v>B</x:v>
      </x:c>
      <x:c r="G416" t="str">
        <x:v>B</x:v>
      </x:c>
      <x:c r="H416" t="str">
        <x:v>B</x:v>
      </x:c>
      <x:c r="I416" t="str">
        <x:v>B</x:v>
      </x:c>
      <x:c r="J416" t="str">
        <x:v>B</x:v>
      </x:c>
      <x:c r="K416" t="str">
        <x:v>W</x:v>
      </x:c>
      <x:c r="L416" t="str">
        <x:v>B</x:v>
      </x:c>
      <x:c r="M416" t="str">
        <x:v>W</x:v>
      </x:c>
      <x:c r="N416" t="str">
        <x:v>W</x:v>
      </x:c>
      <x:c r="O416" t="str">
        <x:v>W</x:v>
      </x:c>
      <x:c r="P416" t="str">
        <x:v>B</x:v>
      </x:c>
      <x:c r="Q416" t="str">
        <x:v>B</x:v>
      </x:c>
      <x:c r="R416" t="str">
        <x:v>B</x:v>
      </x:c>
      <x:c r="S416" t="str">
        <x:v>B</x:v>
      </x:c>
      <x:c r="T416" t="str">
        <x:v>W</x:v>
      </x:c>
      <x:c r="U416" t="str">
        <x:v>B</x:v>
      </x:c>
      <x:c r="V416" t="n">
        <x:f>COUNTIF(B416:U416,"W")</x:f>
        <x:v>7</x:v>
      </x:c>
      <x:c r="W416" s="5" t="str">
        <x:f>IF(COUNTIF(B416:D416,"W")&gt;0,"Y","N")</x:f>
        <x:v>Y</x:v>
      </x:c>
      <x:c r="X416" s="1"/>
      <x:c r="Y416" s="1"/>
      <x:c r="Z416" s="1"/>
      <x:c r="AA416" s="1"/>
      <x:c r="AB416" s="1"/>
      <x:c r="AC416" s="1"/>
      <x:c r="AD416" s="1"/>
    </x:row>
    <x:row r="417">
      <x:c r="A417" s="1">
        <x:v>416</x:v>
      </x:c>
      <x:c r="B417" t="str">
        <x:v>B</x:v>
      </x:c>
      <x:c r="C417" t="str">
        <x:v>B</x:v>
      </x:c>
      <x:c r="D417" t="str">
        <x:v>B</x:v>
      </x:c>
      <x:c r="E417" t="str">
        <x:v>B</x:v>
      </x:c>
      <x:c r="F417" t="str">
        <x:v>B</x:v>
      </x:c>
      <x:c r="G417" t="str">
        <x:v>B</x:v>
      </x:c>
      <x:c r="H417" t="str">
        <x:v>B</x:v>
      </x:c>
      <x:c r="I417" t="str">
        <x:v>B</x:v>
      </x:c>
      <x:c r="J417" t="str">
        <x:v>W</x:v>
      </x:c>
      <x:c r="K417" t="str">
        <x:v>B</x:v>
      </x:c>
      <x:c r="L417" t="str">
        <x:v>B</x:v>
      </x:c>
      <x:c r="M417" t="str">
        <x:v>B</x:v>
      </x:c>
      <x:c r="N417" t="str">
        <x:v>B</x:v>
      </x:c>
      <x:c r="O417" t="str">
        <x:v>B</x:v>
      </x:c>
      <x:c r="P417" t="str">
        <x:v>W</x:v>
      </x:c>
      <x:c r="Q417" t="str">
        <x:v>B</x:v>
      </x:c>
      <x:c r="R417" t="str">
        <x:v>B</x:v>
      </x:c>
      <x:c r="S417" t="str">
        <x:v>W</x:v>
      </x:c>
      <x:c r="T417" t="str">
        <x:v>B</x:v>
      </x:c>
      <x:c r="U417" t="str">
        <x:v>B</x:v>
      </x:c>
      <x:c r="V417" t="n">
        <x:f>COUNTIF(B417:U417,"W")</x:f>
        <x:v>3</x:v>
      </x:c>
      <x:c r="W417" s="5" t="str">
        <x:f>IF(COUNTIF(B417:D417,"W")&gt;0,"Y","N")</x:f>
        <x:v>N</x:v>
      </x:c>
      <x:c r="X417" s="1"/>
      <x:c r="Y417" s="1"/>
      <x:c r="Z417" s="1"/>
      <x:c r="AA417" s="1"/>
      <x:c r="AB417" s="1"/>
      <x:c r="AC417" s="1"/>
      <x:c r="AD417" s="1"/>
    </x:row>
    <x:row r="418">
      <x:c r="A418" s="1">
        <x:v>417</x:v>
      </x:c>
      <x:c r="B418" t="str">
        <x:v>B</x:v>
      </x:c>
      <x:c r="C418" t="str">
        <x:v>W</x:v>
      </x:c>
      <x:c r="D418" t="str">
        <x:v>B</x:v>
      </x:c>
      <x:c r="E418" t="str">
        <x:v>W</x:v>
      </x:c>
      <x:c r="F418" t="str">
        <x:v>B</x:v>
      </x:c>
      <x:c r="G418" t="str">
        <x:v>B</x:v>
      </x:c>
      <x:c r="H418" t="str">
        <x:v>W</x:v>
      </x:c>
      <x:c r="I418" t="str">
        <x:v>B</x:v>
      </x:c>
      <x:c r="J418" t="str">
        <x:v>B</x:v>
      </x:c>
      <x:c r="K418" t="str">
        <x:v>W</x:v>
      </x:c>
      <x:c r="L418" t="str">
        <x:v>W</x:v>
      </x:c>
      <x:c r="M418" t="str">
        <x:v>W</x:v>
      </x:c>
      <x:c r="N418" t="str">
        <x:v>B</x:v>
      </x:c>
      <x:c r="O418" t="str">
        <x:v>B</x:v>
      </x:c>
      <x:c r="P418" t="str">
        <x:v>W</x:v>
      </x:c>
      <x:c r="Q418" t="str">
        <x:v>B</x:v>
      </x:c>
      <x:c r="R418" t="str">
        <x:v>W</x:v>
      </x:c>
      <x:c r="S418" t="str">
        <x:v>B</x:v>
      </x:c>
      <x:c r="T418" t="str">
        <x:v>W</x:v>
      </x:c>
      <x:c r="U418" t="str">
        <x:v>B</x:v>
      </x:c>
      <x:c r="V418" t="n">
        <x:f>COUNTIF(B418:U418,"W")</x:f>
        <x:v>9</x:v>
      </x:c>
      <x:c r="W418" s="5" t="str">
        <x:f>IF(COUNTIF(B418:D418,"W")&gt;0,"Y","N")</x:f>
        <x:v>Y</x:v>
      </x:c>
      <x:c r="X418" s="1"/>
      <x:c r="Y418" s="1"/>
      <x:c r="Z418" s="1"/>
      <x:c r="AA418" s="1"/>
      <x:c r="AB418" s="1"/>
      <x:c r="AC418" s="1"/>
      <x:c r="AD418" s="1"/>
    </x:row>
    <x:row r="419">
      <x:c r="A419" s="1">
        <x:v>418</x:v>
      </x:c>
      <x:c r="B419" t="str">
        <x:v>W</x:v>
      </x:c>
      <x:c r="C419" t="str">
        <x:v>B</x:v>
      </x:c>
      <x:c r="D419" t="str">
        <x:v>B</x:v>
      </x:c>
      <x:c r="E419" t="str">
        <x:v>W</x:v>
      </x:c>
      <x:c r="F419" t="str">
        <x:v>B</x:v>
      </x:c>
      <x:c r="G419" t="str">
        <x:v>B</x:v>
      </x:c>
      <x:c r="H419" t="str">
        <x:v>B</x:v>
      </x:c>
      <x:c r="I419" t="str">
        <x:v>B</x:v>
      </x:c>
      <x:c r="J419" t="str">
        <x:v>B</x:v>
      </x:c>
      <x:c r="K419" t="str">
        <x:v>B</x:v>
      </x:c>
      <x:c r="L419" t="str">
        <x:v>W</x:v>
      </x:c>
      <x:c r="M419" t="str">
        <x:v>B</x:v>
      </x:c>
      <x:c r="N419" t="str">
        <x:v>W</x:v>
      </x:c>
      <x:c r="O419" t="str">
        <x:v>B</x:v>
      </x:c>
      <x:c r="P419" t="str">
        <x:v>W</x:v>
      </x:c>
      <x:c r="Q419" t="str">
        <x:v>B</x:v>
      </x:c>
      <x:c r="R419" t="str">
        <x:v>B</x:v>
      </x:c>
      <x:c r="S419" t="str">
        <x:v>B</x:v>
      </x:c>
      <x:c r="T419" t="str">
        <x:v>B</x:v>
      </x:c>
      <x:c r="U419" t="str">
        <x:v>B</x:v>
      </x:c>
      <x:c r="V419" t="n">
        <x:f>COUNTIF(B419:U419,"W")</x:f>
        <x:v>5</x:v>
      </x:c>
      <x:c r="W419" s="5" t="str">
        <x:f>IF(COUNTIF(B419:D419,"W")&gt;0,"Y","N")</x:f>
        <x:v>Y</x:v>
      </x:c>
      <x:c r="X419" s="1"/>
      <x:c r="Y419" s="1"/>
      <x:c r="Z419" s="1"/>
      <x:c r="AA419" s="1"/>
      <x:c r="AB419" s="1"/>
      <x:c r="AC419" s="1"/>
      <x:c r="AD419" s="1"/>
    </x:row>
    <x:row r="420">
      <x:c r="A420" s="1">
        <x:v>419</x:v>
      </x:c>
      <x:c r="B420" t="str">
        <x:v>B</x:v>
      </x:c>
      <x:c r="C420" t="str">
        <x:v>W</x:v>
      </x:c>
      <x:c r="D420" t="str">
        <x:v>B</x:v>
      </x:c>
      <x:c r="E420" t="str">
        <x:v>B</x:v>
      </x:c>
      <x:c r="F420" t="str">
        <x:v>B</x:v>
      </x:c>
      <x:c r="G420" t="str">
        <x:v>B</x:v>
      </x:c>
      <x:c r="H420" t="str">
        <x:v>B</x:v>
      </x:c>
      <x:c r="I420" t="str">
        <x:v>B</x:v>
      </x:c>
      <x:c r="J420" t="str">
        <x:v>B</x:v>
      </x:c>
      <x:c r="K420" t="str">
        <x:v>B</x:v>
      </x:c>
      <x:c r="L420" t="str">
        <x:v>B</x:v>
      </x:c>
      <x:c r="M420" t="str">
        <x:v>B</x:v>
      </x:c>
      <x:c r="N420" t="str">
        <x:v>B</x:v>
      </x:c>
      <x:c r="O420" t="str">
        <x:v>W</x:v>
      </x:c>
      <x:c r="P420" t="str">
        <x:v>W</x:v>
      </x:c>
      <x:c r="Q420" t="str">
        <x:v>B</x:v>
      </x:c>
      <x:c r="R420" t="str">
        <x:v>B</x:v>
      </x:c>
      <x:c r="S420" t="str">
        <x:v>W</x:v>
      </x:c>
      <x:c r="T420" t="str">
        <x:v>B</x:v>
      </x:c>
      <x:c r="U420" t="str">
        <x:v>B</x:v>
      </x:c>
      <x:c r="V420" t="n">
        <x:f>COUNTIF(B420:U420,"W")</x:f>
        <x:v>4</x:v>
      </x:c>
      <x:c r="W420" s="5" t="str">
        <x:f>IF(COUNTIF(B420:D420,"W")&gt;0,"Y","N")</x:f>
        <x:v>Y</x:v>
      </x:c>
      <x:c r="X420" s="1"/>
      <x:c r="Y420" s="1"/>
      <x:c r="Z420" s="1"/>
      <x:c r="AA420" s="1"/>
      <x:c r="AB420" s="1"/>
      <x:c r="AC420" s="1"/>
      <x:c r="AD420" s="1"/>
    </x:row>
    <x:row r="421">
      <x:c r="A421" s="1">
        <x:v>420</x:v>
      </x:c>
      <x:c r="B421" t="str">
        <x:v>W</x:v>
      </x:c>
      <x:c r="C421" t="str">
        <x:v>B</x:v>
      </x:c>
      <x:c r="D421" t="str">
        <x:v>B</x:v>
      </x:c>
      <x:c r="E421" t="str">
        <x:v>B</x:v>
      </x:c>
      <x:c r="F421" t="str">
        <x:v>W</x:v>
      </x:c>
      <x:c r="G421" t="str">
        <x:v>B</x:v>
      </x:c>
      <x:c r="H421" t="str">
        <x:v>B</x:v>
      </x:c>
      <x:c r="I421" t="str">
        <x:v>B</x:v>
      </x:c>
      <x:c r="J421" t="str">
        <x:v>B</x:v>
      </x:c>
      <x:c r="K421" t="str">
        <x:v>B</x:v>
      </x:c>
      <x:c r="L421" t="str">
        <x:v>B</x:v>
      </x:c>
      <x:c r="M421" t="str">
        <x:v>W</x:v>
      </x:c>
      <x:c r="N421" t="str">
        <x:v>W</x:v>
      </x:c>
      <x:c r="O421" t="str">
        <x:v>B</x:v>
      </x:c>
      <x:c r="P421" t="str">
        <x:v>B</x:v>
      </x:c>
      <x:c r="Q421" t="str">
        <x:v>B</x:v>
      </x:c>
      <x:c r="R421" t="str">
        <x:v>B</x:v>
      </x:c>
      <x:c r="S421" t="str">
        <x:v>B</x:v>
      </x:c>
      <x:c r="T421" t="str">
        <x:v>B</x:v>
      </x:c>
      <x:c r="U421" t="str">
        <x:v>B</x:v>
      </x:c>
      <x:c r="V421" t="n">
        <x:f>COUNTIF(B421:U421,"W")</x:f>
        <x:v>4</x:v>
      </x:c>
      <x:c r="W421" s="5" t="str">
        <x:f>IF(COUNTIF(B421:D421,"W")&gt;0,"Y","N")</x:f>
        <x:v>Y</x:v>
      </x:c>
      <x:c r="X421" s="1"/>
      <x:c r="Y421" s="1"/>
      <x:c r="Z421" s="1"/>
      <x:c r="AA421" s="1"/>
      <x:c r="AB421" s="1"/>
      <x:c r="AC421" s="1"/>
      <x:c r="AD421" s="1"/>
    </x:row>
    <x:row r="422">
      <x:c r="A422" s="1">
        <x:v>421</x:v>
      </x:c>
      <x:c r="B422" t="str">
        <x:v>W</x:v>
      </x:c>
      <x:c r="C422" t="str">
        <x:v>B</x:v>
      </x:c>
      <x:c r="D422" t="str">
        <x:v>W</x:v>
      </x:c>
      <x:c r="E422" t="str">
        <x:v>B</x:v>
      </x:c>
      <x:c r="F422" t="str">
        <x:v>B</x:v>
      </x:c>
      <x:c r="G422" t="str">
        <x:v>W</x:v>
      </x:c>
      <x:c r="H422" t="str">
        <x:v>B</x:v>
      </x:c>
      <x:c r="I422" t="str">
        <x:v>B</x:v>
      </x:c>
      <x:c r="J422" t="str">
        <x:v>B</x:v>
      </x:c>
      <x:c r="K422" t="str">
        <x:v>W</x:v>
      </x:c>
      <x:c r="L422" t="str">
        <x:v>W</x:v>
      </x:c>
      <x:c r="M422" t="str">
        <x:v>B</x:v>
      </x:c>
      <x:c r="N422" t="str">
        <x:v>W</x:v>
      </x:c>
      <x:c r="O422" t="str">
        <x:v>B</x:v>
      </x:c>
      <x:c r="P422" t="str">
        <x:v>W</x:v>
      </x:c>
      <x:c r="Q422" t="str">
        <x:v>B</x:v>
      </x:c>
      <x:c r="R422" t="str">
        <x:v>W</x:v>
      </x:c>
      <x:c r="S422" t="str">
        <x:v>B</x:v>
      </x:c>
      <x:c r="T422" t="str">
        <x:v>W</x:v>
      </x:c>
      <x:c r="U422" t="str">
        <x:v>B</x:v>
      </x:c>
      <x:c r="V422" t="n">
        <x:f>COUNTIF(B422:U422,"W")</x:f>
        <x:v>9</x:v>
      </x:c>
      <x:c r="W422" s="5" t="str">
        <x:f>IF(COUNTIF(B422:D422,"W")&gt;0,"Y","N")</x:f>
        <x:v>Y</x:v>
      </x:c>
      <x:c r="X422" s="1"/>
      <x:c r="Y422" s="1"/>
      <x:c r="Z422" s="1"/>
      <x:c r="AA422" s="1"/>
      <x:c r="AB422" s="1"/>
      <x:c r="AC422" s="1"/>
      <x:c r="AD422" s="1"/>
    </x:row>
    <x:row r="423">
      <x:c r="A423" s="1">
        <x:v>422</x:v>
      </x:c>
      <x:c r="B423" t="str">
        <x:v>B</x:v>
      </x:c>
      <x:c r="C423" t="str">
        <x:v>B</x:v>
      </x:c>
      <x:c r="D423" t="str">
        <x:v>W</x:v>
      </x:c>
      <x:c r="E423" t="str">
        <x:v>B</x:v>
      </x:c>
      <x:c r="F423" t="str">
        <x:v>B</x:v>
      </x:c>
      <x:c r="G423" t="str">
        <x:v>B</x:v>
      </x:c>
      <x:c r="H423" t="str">
        <x:v>W</x:v>
      </x:c>
      <x:c r="I423" t="str">
        <x:v>B</x:v>
      </x:c>
      <x:c r="J423" t="str">
        <x:v>W</x:v>
      </x:c>
      <x:c r="K423" t="str">
        <x:v>W</x:v>
      </x:c>
      <x:c r="L423" t="str">
        <x:v>B</x:v>
      </x:c>
      <x:c r="M423" t="str">
        <x:v>B</x:v>
      </x:c>
      <x:c r="N423" t="str">
        <x:v>B</x:v>
      </x:c>
      <x:c r="O423" t="str">
        <x:v>W</x:v>
      </x:c>
      <x:c r="P423" t="str">
        <x:v>W</x:v>
      </x:c>
      <x:c r="Q423" t="str">
        <x:v>B</x:v>
      </x:c>
      <x:c r="R423" t="str">
        <x:v>W</x:v>
      </x:c>
      <x:c r="S423" t="str">
        <x:v>W</x:v>
      </x:c>
      <x:c r="T423" t="str">
        <x:v>B</x:v>
      </x:c>
      <x:c r="U423" t="str">
        <x:v>W</x:v>
      </x:c>
      <x:c r="V423" t="n">
        <x:f>COUNTIF(B423:U423,"W")</x:f>
        <x:v>9</x:v>
      </x:c>
      <x:c r="W423" s="5" t="str">
        <x:f>IF(COUNTIF(B423:D423,"W")&gt;0,"Y","N")</x:f>
        <x:v>Y</x:v>
      </x:c>
      <x:c r="X423" s="1"/>
      <x:c r="Y423" s="1"/>
      <x:c r="Z423" s="1"/>
      <x:c r="AA423" s="1"/>
      <x:c r="AB423" s="1"/>
      <x:c r="AC423" s="1"/>
      <x:c r="AD423" s="1"/>
    </x:row>
    <x:row r="424">
      <x:c r="A424" s="1">
        <x:v>423</x:v>
      </x:c>
      <x:c r="B424" t="str">
        <x:v>B</x:v>
      </x:c>
      <x:c r="C424" t="str">
        <x:v>B</x:v>
      </x:c>
      <x:c r="D424" t="str">
        <x:v>B</x:v>
      </x:c>
      <x:c r="E424" t="str">
        <x:v>W</x:v>
      </x:c>
      <x:c r="F424" t="str">
        <x:v>W</x:v>
      </x:c>
      <x:c r="G424" t="str">
        <x:v>B</x:v>
      </x:c>
      <x:c r="H424" t="str">
        <x:v>W</x:v>
      </x:c>
      <x:c r="I424" t="str">
        <x:v>B</x:v>
      </x:c>
      <x:c r="J424" t="str">
        <x:v>W</x:v>
      </x:c>
      <x:c r="K424" t="str">
        <x:v>B</x:v>
      </x:c>
      <x:c r="L424" t="str">
        <x:v>W</x:v>
      </x:c>
      <x:c r="M424" t="str">
        <x:v>B</x:v>
      </x:c>
      <x:c r="N424" t="str">
        <x:v>W</x:v>
      </x:c>
      <x:c r="O424" t="str">
        <x:v>W</x:v>
      </x:c>
      <x:c r="P424" t="str">
        <x:v>B</x:v>
      </x:c>
      <x:c r="Q424" t="str">
        <x:v>B</x:v>
      </x:c>
      <x:c r="R424" t="str">
        <x:v>B</x:v>
      </x:c>
      <x:c r="S424" t="str">
        <x:v>W</x:v>
      </x:c>
      <x:c r="T424" t="str">
        <x:v>B</x:v>
      </x:c>
      <x:c r="U424" t="str">
        <x:v>B</x:v>
      </x:c>
      <x:c r="V424" t="n">
        <x:f>COUNTIF(B424:U424,"W")</x:f>
        <x:v>8</x:v>
      </x:c>
      <x:c r="W424" s="5" t="str">
        <x:f>IF(COUNTIF(B424:D424,"W")&gt;0,"Y","N")</x:f>
        <x:v>N</x:v>
      </x:c>
      <x:c r="X424" s="1"/>
      <x:c r="Y424" s="1"/>
      <x:c r="Z424" s="1"/>
      <x:c r="AA424" s="1"/>
      <x:c r="AB424" s="1"/>
      <x:c r="AC424" s="1"/>
      <x:c r="AD424" s="1"/>
    </x:row>
    <x:row r="425">
      <x:c r="A425" s="1">
        <x:v>424</x:v>
      </x:c>
      <x:c r="B425" t="str">
        <x:v>W</x:v>
      </x:c>
      <x:c r="C425" t="str">
        <x:v>B</x:v>
      </x:c>
      <x:c r="D425" t="str">
        <x:v>B</x:v>
      </x:c>
      <x:c r="E425" t="str">
        <x:v>B</x:v>
      </x:c>
      <x:c r="F425" t="str">
        <x:v>W</x:v>
      </x:c>
      <x:c r="G425" t="str">
        <x:v>W</x:v>
      </x:c>
      <x:c r="H425" t="str">
        <x:v>B</x:v>
      </x:c>
      <x:c r="I425" t="str">
        <x:v>B</x:v>
      </x:c>
      <x:c r="J425" t="str">
        <x:v>W</x:v>
      </x:c>
      <x:c r="K425" t="str">
        <x:v>B</x:v>
      </x:c>
      <x:c r="L425" t="str">
        <x:v>B</x:v>
      </x:c>
      <x:c r="M425" t="str">
        <x:v>B</x:v>
      </x:c>
      <x:c r="N425" t="str">
        <x:v>W</x:v>
      </x:c>
      <x:c r="O425" t="str">
        <x:v>W</x:v>
      </x:c>
      <x:c r="P425" t="str">
        <x:v>B</x:v>
      </x:c>
      <x:c r="Q425" t="str">
        <x:v>B</x:v>
      </x:c>
      <x:c r="R425" t="str">
        <x:v>B</x:v>
      </x:c>
      <x:c r="S425" t="str">
        <x:v>B</x:v>
      </x:c>
      <x:c r="T425" t="str">
        <x:v>W</x:v>
      </x:c>
      <x:c r="U425" t="str">
        <x:v>W</x:v>
      </x:c>
      <x:c r="V425" t="n">
        <x:f>COUNTIF(B425:U425,"W")</x:f>
        <x:v>8</x:v>
      </x:c>
      <x:c r="W425" s="5" t="str">
        <x:f>IF(COUNTIF(B425:D425,"W")&gt;0,"Y","N")</x:f>
        <x:v>Y</x:v>
      </x:c>
      <x:c r="X425" s="1"/>
      <x:c r="Y425" s="1"/>
      <x:c r="Z425" s="1"/>
      <x:c r="AA425" s="1"/>
      <x:c r="AB425" s="1"/>
      <x:c r="AC425" s="1"/>
      <x:c r="AD425" s="1"/>
    </x:row>
    <x:row r="426">
      <x:c r="A426" s="1">
        <x:v>425</x:v>
      </x:c>
      <x:c r="B426" t="str">
        <x:v>B</x:v>
      </x:c>
      <x:c r="C426" t="str">
        <x:v>B</x:v>
      </x:c>
      <x:c r="D426" t="str">
        <x:v>W</x:v>
      </x:c>
      <x:c r="E426" t="str">
        <x:v>B</x:v>
      </x:c>
      <x:c r="F426" t="str">
        <x:v>B</x:v>
      </x:c>
      <x:c r="G426" t="str">
        <x:v>B</x:v>
      </x:c>
      <x:c r="H426" t="str">
        <x:v>B</x:v>
      </x:c>
      <x:c r="I426" t="str">
        <x:v>W</x:v>
      </x:c>
      <x:c r="J426" t="str">
        <x:v>W</x:v>
      </x:c>
      <x:c r="K426" t="str">
        <x:v>W</x:v>
      </x:c>
      <x:c r="L426" t="str">
        <x:v>B</x:v>
      </x:c>
      <x:c r="M426" t="str">
        <x:v>B</x:v>
      </x:c>
      <x:c r="N426" t="str">
        <x:v>B</x:v>
      </x:c>
      <x:c r="O426" t="str">
        <x:v>W</x:v>
      </x:c>
      <x:c r="P426" t="str">
        <x:v>W</x:v>
      </x:c>
      <x:c r="Q426" t="str">
        <x:v>B</x:v>
      </x:c>
      <x:c r="R426" t="str">
        <x:v>B</x:v>
      </x:c>
      <x:c r="S426" t="str">
        <x:v>B</x:v>
      </x:c>
      <x:c r="T426" t="str">
        <x:v>B</x:v>
      </x:c>
      <x:c r="U426" t="str">
        <x:v>B</x:v>
      </x:c>
      <x:c r="V426" t="n">
        <x:f>COUNTIF(B426:U426,"W")</x:f>
        <x:v>6</x:v>
      </x:c>
      <x:c r="W426" s="5" t="str">
        <x:f>IF(COUNTIF(B426:D426,"W")&gt;0,"Y","N")</x:f>
        <x:v>Y</x:v>
      </x:c>
      <x:c r="X426" s="1"/>
      <x:c r="Y426" s="1"/>
      <x:c r="Z426" s="1"/>
      <x:c r="AA426" s="1"/>
      <x:c r="AB426" s="1"/>
      <x:c r="AC426" s="1"/>
      <x:c r="AD426" s="1"/>
    </x:row>
    <x:row r="427">
      <x:c r="A427" s="1">
        <x:v>426</x:v>
      </x:c>
      <x:c r="B427" t="str">
        <x:v>B</x:v>
      </x:c>
      <x:c r="C427" t="str">
        <x:v>B</x:v>
      </x:c>
      <x:c r="D427" t="str">
        <x:v>B</x:v>
      </x:c>
      <x:c r="E427" t="str">
        <x:v>W</x:v>
      </x:c>
      <x:c r="F427" t="str">
        <x:v>W</x:v>
      </x:c>
      <x:c r="G427" t="str">
        <x:v>W</x:v>
      </x:c>
      <x:c r="H427" t="str">
        <x:v>B</x:v>
      </x:c>
      <x:c r="I427" t="str">
        <x:v>B</x:v>
      </x:c>
      <x:c r="J427" t="str">
        <x:v>W</x:v>
      </x:c>
      <x:c r="K427" t="str">
        <x:v>W</x:v>
      </x:c>
      <x:c r="L427" t="str">
        <x:v>B</x:v>
      </x:c>
      <x:c r="M427" t="str">
        <x:v>W</x:v>
      </x:c>
      <x:c r="N427" t="str">
        <x:v>B</x:v>
      </x:c>
      <x:c r="O427" t="str">
        <x:v>B</x:v>
      </x:c>
      <x:c r="P427" t="str">
        <x:v>B</x:v>
      </x:c>
      <x:c r="Q427" t="str">
        <x:v>B</x:v>
      </x:c>
      <x:c r="R427" t="str">
        <x:v>B</x:v>
      </x:c>
      <x:c r="S427" t="str">
        <x:v>B</x:v>
      </x:c>
      <x:c r="T427" t="str">
        <x:v>W</x:v>
      </x:c>
      <x:c r="U427" t="str">
        <x:v>B</x:v>
      </x:c>
      <x:c r="V427" t="n">
        <x:f>COUNTIF(B427:U427,"W")</x:f>
        <x:v>7</x:v>
      </x:c>
      <x:c r="W427" s="5" t="str">
        <x:f>IF(COUNTIF(B427:D427,"W")&gt;0,"Y","N")</x:f>
        <x:v>N</x:v>
      </x:c>
      <x:c r="X427" s="1"/>
      <x:c r="Y427" s="1"/>
      <x:c r="Z427" s="1"/>
      <x:c r="AA427" s="1"/>
      <x:c r="AB427" s="1"/>
      <x:c r="AC427" s="1"/>
      <x:c r="AD427" s="1"/>
    </x:row>
    <x:row r="428">
      <x:c r="A428" s="1">
        <x:v>427</x:v>
      </x:c>
      <x:c r="B428" t="str">
        <x:v>B</x:v>
      </x:c>
      <x:c r="C428" t="str">
        <x:v>B</x:v>
      </x:c>
      <x:c r="D428" t="str">
        <x:v>B</x:v>
      </x:c>
      <x:c r="E428" t="str">
        <x:v>W</x:v>
      </x:c>
      <x:c r="F428" t="str">
        <x:v>B</x:v>
      </x:c>
      <x:c r="G428" t="str">
        <x:v>W</x:v>
      </x:c>
      <x:c r="H428" t="str">
        <x:v>B</x:v>
      </x:c>
      <x:c r="I428" t="str">
        <x:v>B</x:v>
      </x:c>
      <x:c r="J428" t="str">
        <x:v>W</x:v>
      </x:c>
      <x:c r="K428" t="str">
        <x:v>B</x:v>
      </x:c>
      <x:c r="L428" t="str">
        <x:v>B</x:v>
      </x:c>
      <x:c r="M428" t="str">
        <x:v>W</x:v>
      </x:c>
      <x:c r="N428" t="str">
        <x:v>B</x:v>
      </x:c>
      <x:c r="O428" t="str">
        <x:v>W</x:v>
      </x:c>
      <x:c r="P428" t="str">
        <x:v>W</x:v>
      </x:c>
      <x:c r="Q428" t="str">
        <x:v>B</x:v>
      </x:c>
      <x:c r="R428" t="str">
        <x:v>B</x:v>
      </x:c>
      <x:c r="S428" t="str">
        <x:v>B</x:v>
      </x:c>
      <x:c r="T428" t="str">
        <x:v>B</x:v>
      </x:c>
      <x:c r="U428" t="str">
        <x:v>B</x:v>
      </x:c>
      <x:c r="V428" t="n">
        <x:f>COUNTIF(B428:U428,"W")</x:f>
        <x:v>6</x:v>
      </x:c>
      <x:c r="W428" s="5" t="str">
        <x:f>IF(COUNTIF(B428:D428,"W")&gt;0,"Y","N")</x:f>
        <x:v>N</x:v>
      </x:c>
      <x:c r="X428" s="1"/>
      <x:c r="Y428" s="1"/>
      <x:c r="Z428" s="1"/>
      <x:c r="AA428" s="1"/>
      <x:c r="AB428" s="1"/>
      <x:c r="AC428" s="1"/>
      <x:c r="AD428" s="1"/>
    </x:row>
    <x:row r="429">
      <x:c r="A429" s="1">
        <x:v>428</x:v>
      </x:c>
      <x:c r="B429" t="str">
        <x:v>B</x:v>
      </x:c>
      <x:c r="C429" t="str">
        <x:v>B</x:v>
      </x:c>
      <x:c r="D429" t="str">
        <x:v>B</x:v>
      </x:c>
      <x:c r="E429" t="str">
        <x:v>B</x:v>
      </x:c>
      <x:c r="F429" t="str">
        <x:v>W</x:v>
      </x:c>
      <x:c r="G429" t="str">
        <x:v>B</x:v>
      </x:c>
      <x:c r="H429" t="str">
        <x:v>W</x:v>
      </x:c>
      <x:c r="I429" t="str">
        <x:v>W</x:v>
      </x:c>
      <x:c r="J429" t="str">
        <x:v>B</x:v>
      </x:c>
      <x:c r="K429" t="str">
        <x:v>B</x:v>
      </x:c>
      <x:c r="L429" t="str">
        <x:v>B</x:v>
      </x:c>
      <x:c r="M429" t="str">
        <x:v>W</x:v>
      </x:c>
      <x:c r="N429" t="str">
        <x:v>W</x:v>
      </x:c>
      <x:c r="O429" t="str">
        <x:v>B</x:v>
      </x:c>
      <x:c r="P429" t="str">
        <x:v>W</x:v>
      </x:c>
      <x:c r="Q429" t="str">
        <x:v>W</x:v>
      </x:c>
      <x:c r="R429" t="str">
        <x:v>B</x:v>
      </x:c>
      <x:c r="S429" t="str">
        <x:v>W</x:v>
      </x:c>
      <x:c r="T429" t="str">
        <x:v>W</x:v>
      </x:c>
      <x:c r="U429" t="str">
        <x:v>W</x:v>
      </x:c>
      <x:c r="V429" t="n">
        <x:f>COUNTIF(B429:U429,"W")</x:f>
        <x:v>10</x:v>
      </x:c>
      <x:c r="W429" s="5" t="str">
        <x:f>IF(COUNTIF(B429:D429,"W")&gt;0,"Y","N")</x:f>
        <x:v>N</x:v>
      </x:c>
      <x:c r="X429" s="1"/>
      <x:c r="Y429" s="1"/>
      <x:c r="Z429" s="1"/>
      <x:c r="AA429" s="1"/>
      <x:c r="AB429" s="1"/>
      <x:c r="AC429" s="1"/>
      <x:c r="AD429" s="1"/>
    </x:row>
    <x:row r="430">
      <x:c r="A430" s="1">
        <x:v>429</x:v>
      </x:c>
      <x:c r="B430" t="str">
        <x:v>W</x:v>
      </x:c>
      <x:c r="C430" t="str">
        <x:v>W</x:v>
      </x:c>
      <x:c r="D430" t="str">
        <x:v>B</x:v>
      </x:c>
      <x:c r="E430" t="str">
        <x:v>B</x:v>
      </x:c>
      <x:c r="F430" t="str">
        <x:v>W</x:v>
      </x:c>
      <x:c r="G430" t="str">
        <x:v>B</x:v>
      </x:c>
      <x:c r="H430" t="str">
        <x:v>W</x:v>
      </x:c>
      <x:c r="I430" t="str">
        <x:v>B</x:v>
      </x:c>
      <x:c r="J430" t="str">
        <x:v>W</x:v>
      </x:c>
      <x:c r="K430" t="str">
        <x:v>B</x:v>
      </x:c>
      <x:c r="L430" t="str">
        <x:v>B</x:v>
      </x:c>
      <x:c r="M430" t="str">
        <x:v>B</x:v>
      </x:c>
      <x:c r="N430" t="str">
        <x:v>B</x:v>
      </x:c>
      <x:c r="O430" t="str">
        <x:v>B</x:v>
      </x:c>
      <x:c r="P430" t="str">
        <x:v>B</x:v>
      </x:c>
      <x:c r="Q430" t="str">
        <x:v>B</x:v>
      </x:c>
      <x:c r="R430" t="str">
        <x:v>B</x:v>
      </x:c>
      <x:c r="S430" t="str">
        <x:v>B</x:v>
      </x:c>
      <x:c r="T430" t="str">
        <x:v>B</x:v>
      </x:c>
      <x:c r="U430" t="str">
        <x:v>W</x:v>
      </x:c>
      <x:c r="V430" t="n">
        <x:f>COUNTIF(B430:U430,"W")</x:f>
        <x:v>6</x:v>
      </x:c>
      <x:c r="W430" s="5" t="str">
        <x:f>IF(COUNTIF(B430:D430,"W")&gt;0,"Y","N")</x:f>
        <x:v>Y</x:v>
      </x:c>
      <x:c r="X430" s="1"/>
      <x:c r="Y430" s="1"/>
      <x:c r="Z430" s="1"/>
      <x:c r="AA430" s="1"/>
      <x:c r="AB430" s="1"/>
      <x:c r="AC430" s="1"/>
      <x:c r="AD430" s="1"/>
    </x:row>
    <x:row r="431">
      <x:c r="A431" s="1">
        <x:v>430</x:v>
      </x:c>
      <x:c r="B431" t="str">
        <x:v>B</x:v>
      </x:c>
      <x:c r="C431" t="str">
        <x:v>B</x:v>
      </x:c>
      <x:c r="D431" t="str">
        <x:v>B</x:v>
      </x:c>
      <x:c r="E431" t="str">
        <x:v>W</x:v>
      </x:c>
      <x:c r="F431" t="str">
        <x:v>W</x:v>
      </x:c>
      <x:c r="G431" t="str">
        <x:v>B</x:v>
      </x:c>
      <x:c r="H431" t="str">
        <x:v>B</x:v>
      </x:c>
      <x:c r="I431" t="str">
        <x:v>B</x:v>
      </x:c>
      <x:c r="J431" t="str">
        <x:v>B</x:v>
      </x:c>
      <x:c r="K431" t="str">
        <x:v>W</x:v>
      </x:c>
      <x:c r="L431" t="str">
        <x:v>B</x:v>
      </x:c>
      <x:c r="M431" t="str">
        <x:v>B</x:v>
      </x:c>
      <x:c r="N431" t="str">
        <x:v>B</x:v>
      </x:c>
      <x:c r="O431" t="str">
        <x:v>B</x:v>
      </x:c>
      <x:c r="P431" t="str">
        <x:v>W</x:v>
      </x:c>
      <x:c r="Q431" t="str">
        <x:v>B</x:v>
      </x:c>
      <x:c r="R431" t="str">
        <x:v>W</x:v>
      </x:c>
      <x:c r="S431" t="str">
        <x:v>B</x:v>
      </x:c>
      <x:c r="T431" t="str">
        <x:v>W</x:v>
      </x:c>
      <x:c r="U431" t="str">
        <x:v>W</x:v>
      </x:c>
      <x:c r="V431" t="n">
        <x:f>COUNTIF(B431:U431,"W")</x:f>
        <x:v>7</x:v>
      </x:c>
      <x:c r="W431" s="5" t="str">
        <x:f>IF(COUNTIF(B431:D431,"W")&gt;0,"Y","N")</x:f>
        <x:v>N</x:v>
      </x:c>
      <x:c r="X431" s="1"/>
      <x:c r="Y431" s="1"/>
      <x:c r="Z431" s="1"/>
      <x:c r="AA431" s="1"/>
      <x:c r="AB431" s="1"/>
      <x:c r="AC431" s="1"/>
      <x:c r="AD431" s="1"/>
    </x:row>
    <x:row r="432">
      <x:c r="A432" s="1">
        <x:v>431</x:v>
      </x:c>
      <x:c r="B432" t="str">
        <x:v>W</x:v>
      </x:c>
      <x:c r="C432" t="str">
        <x:v>W</x:v>
      </x:c>
      <x:c r="D432" t="str">
        <x:v>W</x:v>
      </x:c>
      <x:c r="E432" t="str">
        <x:v>B</x:v>
      </x:c>
      <x:c r="F432" t="str">
        <x:v>B</x:v>
      </x:c>
      <x:c r="G432" t="str">
        <x:v>B</x:v>
      </x:c>
      <x:c r="H432" t="str">
        <x:v>B</x:v>
      </x:c>
      <x:c r="I432" t="str">
        <x:v>W</x:v>
      </x:c>
      <x:c r="J432" t="str">
        <x:v>W</x:v>
      </x:c>
      <x:c r="K432" t="str">
        <x:v>B</x:v>
      </x:c>
      <x:c r="L432" t="str">
        <x:v>B</x:v>
      </x:c>
      <x:c r="M432" t="str">
        <x:v>B</x:v>
      </x:c>
      <x:c r="N432" t="str">
        <x:v>W</x:v>
      </x:c>
      <x:c r="O432" t="str">
        <x:v>B</x:v>
      </x:c>
      <x:c r="P432" t="str">
        <x:v>B</x:v>
      </x:c>
      <x:c r="Q432" t="str">
        <x:v>B</x:v>
      </x:c>
      <x:c r="R432" t="str">
        <x:v>B</x:v>
      </x:c>
      <x:c r="S432" t="str">
        <x:v>B</x:v>
      </x:c>
      <x:c r="T432" t="str">
        <x:v>B</x:v>
      </x:c>
      <x:c r="U432" t="str">
        <x:v>W</x:v>
      </x:c>
      <x:c r="V432" t="n">
        <x:f>COUNTIF(B432:U432,"W")</x:f>
        <x:v>7</x:v>
      </x:c>
      <x:c r="W432" s="5" t="str">
        <x:f>IF(COUNTIF(B432:D432,"W")&gt;0,"Y","N")</x:f>
        <x:v>Y</x:v>
      </x:c>
      <x:c r="X432" s="1"/>
      <x:c r="Y432" s="1"/>
      <x:c r="Z432" s="1"/>
      <x:c r="AA432" s="1"/>
      <x:c r="AB432" s="1"/>
      <x:c r="AC432" s="1"/>
      <x:c r="AD432" s="1"/>
    </x:row>
    <x:row r="433">
      <x:c r="A433" s="1">
        <x:v>432</x:v>
      </x:c>
      <x:c r="B433" t="str">
        <x:v>B</x:v>
      </x:c>
      <x:c r="C433" t="str">
        <x:v>W</x:v>
      </x:c>
      <x:c r="D433" t="str">
        <x:v>B</x:v>
      </x:c>
      <x:c r="E433" t="str">
        <x:v>B</x:v>
      </x:c>
      <x:c r="F433" t="str">
        <x:v>B</x:v>
      </x:c>
      <x:c r="G433" t="str">
        <x:v>W</x:v>
      </x:c>
      <x:c r="H433" t="str">
        <x:v>B</x:v>
      </x:c>
      <x:c r="I433" t="str">
        <x:v>W</x:v>
      </x:c>
      <x:c r="J433" t="str">
        <x:v>W</x:v>
      </x:c>
      <x:c r="K433" t="str">
        <x:v>B</x:v>
      </x:c>
      <x:c r="L433" t="str">
        <x:v>W</x:v>
      </x:c>
      <x:c r="M433" t="str">
        <x:v>W</x:v>
      </x:c>
      <x:c r="N433" t="str">
        <x:v>B</x:v>
      </x:c>
      <x:c r="O433" t="str">
        <x:v>W</x:v>
      </x:c>
      <x:c r="P433" t="str">
        <x:v>B</x:v>
      </x:c>
      <x:c r="Q433" t="str">
        <x:v>B</x:v>
      </x:c>
      <x:c r="R433" t="str">
        <x:v>W</x:v>
      </x:c>
      <x:c r="S433" t="str">
        <x:v>B</x:v>
      </x:c>
      <x:c r="T433" t="str">
        <x:v>W</x:v>
      </x:c>
      <x:c r="U433" t="str">
        <x:v>W</x:v>
      </x:c>
      <x:c r="V433" t="n">
        <x:f>COUNTIF(B433:U433,"W")</x:f>
        <x:v>10</x:v>
      </x:c>
      <x:c r="W433" s="5" t="str">
        <x:f>IF(COUNTIF(B433:D433,"W")&gt;0,"Y","N")</x:f>
        <x:v>Y</x:v>
      </x:c>
      <x:c r="X433" s="1"/>
      <x:c r="Y433" s="1"/>
      <x:c r="Z433" s="1"/>
      <x:c r="AA433" s="1"/>
      <x:c r="AB433" s="1"/>
      <x:c r="AC433" s="1"/>
      <x:c r="AD433" s="1"/>
    </x:row>
    <x:row r="434">
      <x:c r="A434" s="1">
        <x:v>433</x:v>
      </x:c>
      <x:c r="B434" t="str">
        <x:v>B</x:v>
      </x:c>
      <x:c r="C434" t="str">
        <x:v>W</x:v>
      </x:c>
      <x:c r="D434" t="str">
        <x:v>B</x:v>
      </x:c>
      <x:c r="E434" t="str">
        <x:v>W</x:v>
      </x:c>
      <x:c r="F434" t="str">
        <x:v>W</x:v>
      </x:c>
      <x:c r="G434" t="str">
        <x:v>W</x:v>
      </x:c>
      <x:c r="H434" t="str">
        <x:v>W</x:v>
      </x:c>
      <x:c r="I434" t="str">
        <x:v>B</x:v>
      </x:c>
      <x:c r="J434" t="str">
        <x:v>B</x:v>
      </x:c>
      <x:c r="K434" t="str">
        <x:v>B</x:v>
      </x:c>
      <x:c r="L434" t="str">
        <x:v>W</x:v>
      </x:c>
      <x:c r="M434" t="str">
        <x:v>W</x:v>
      </x:c>
      <x:c r="N434" t="str">
        <x:v>B</x:v>
      </x:c>
      <x:c r="O434" t="str">
        <x:v>W</x:v>
      </x:c>
      <x:c r="P434" t="str">
        <x:v>B</x:v>
      </x:c>
      <x:c r="Q434" t="str">
        <x:v>B</x:v>
      </x:c>
      <x:c r="R434" t="str">
        <x:v>W</x:v>
      </x:c>
      <x:c r="S434" t="str">
        <x:v>B</x:v>
      </x:c>
      <x:c r="T434" t="str">
        <x:v>W</x:v>
      </x:c>
      <x:c r="U434" t="str">
        <x:v>B</x:v>
      </x:c>
      <x:c r="V434" t="n">
        <x:f>COUNTIF(B434:U434,"W")</x:f>
        <x:v>10</x:v>
      </x:c>
      <x:c r="W434" s="5" t="str">
        <x:f>IF(COUNTIF(B434:D434,"W")&gt;0,"Y","N")</x:f>
        <x:v>Y</x:v>
      </x:c>
      <x:c r="X434" s="1"/>
      <x:c r="Y434" s="1"/>
      <x:c r="Z434" s="1"/>
      <x:c r="AA434" s="1"/>
      <x:c r="AB434" s="1"/>
      <x:c r="AC434" s="1"/>
      <x:c r="AD434" s="1"/>
    </x:row>
    <x:row r="435">
      <x:c r="A435" s="1">
        <x:v>434</x:v>
      </x:c>
      <x:c r="B435" t="str">
        <x:v>W</x:v>
      </x:c>
      <x:c r="C435" t="str">
        <x:v>W</x:v>
      </x:c>
      <x:c r="D435" t="str">
        <x:v>W</x:v>
      </x:c>
      <x:c r="E435" t="str">
        <x:v>B</x:v>
      </x:c>
      <x:c r="F435" t="str">
        <x:v>B</x:v>
      </x:c>
      <x:c r="G435" t="str">
        <x:v>W</x:v>
      </x:c>
      <x:c r="H435" t="str">
        <x:v>W</x:v>
      </x:c>
      <x:c r="I435" t="str">
        <x:v>B</x:v>
      </x:c>
      <x:c r="J435" t="str">
        <x:v>B</x:v>
      </x:c>
      <x:c r="K435" t="str">
        <x:v>B</x:v>
      </x:c>
      <x:c r="L435" t="str">
        <x:v>B</x:v>
      </x:c>
      <x:c r="M435" t="str">
        <x:v>B</x:v>
      </x:c>
      <x:c r="N435" t="str">
        <x:v>B</x:v>
      </x:c>
      <x:c r="O435" t="str">
        <x:v>B</x:v>
      </x:c>
      <x:c r="P435" t="str">
        <x:v>W</x:v>
      </x:c>
      <x:c r="Q435" t="str">
        <x:v>B</x:v>
      </x:c>
      <x:c r="R435" t="str">
        <x:v>W</x:v>
      </x:c>
      <x:c r="S435" t="str">
        <x:v>B</x:v>
      </x:c>
      <x:c r="T435" t="str">
        <x:v>B</x:v>
      </x:c>
      <x:c r="U435" t="str">
        <x:v>B</x:v>
      </x:c>
      <x:c r="V435" t="n">
        <x:f>COUNTIF(B435:U435,"W")</x:f>
        <x:v>7</x:v>
      </x:c>
      <x:c r="W435" s="5" t="str">
        <x:f>IF(COUNTIF(B435:D435,"W")&gt;0,"Y","N")</x:f>
        <x:v>Y</x:v>
      </x:c>
      <x:c r="X435" s="1"/>
      <x:c r="Y435" s="1"/>
      <x:c r="Z435" s="1"/>
      <x:c r="AA435" s="1"/>
      <x:c r="AB435" s="1"/>
      <x:c r="AC435" s="1"/>
      <x:c r="AD435" s="1"/>
    </x:row>
    <x:row r="436">
      <x:c r="A436" s="1">
        <x:v>435</x:v>
      </x:c>
      <x:c r="B436" t="str">
        <x:v>W</x:v>
      </x:c>
      <x:c r="C436" t="str">
        <x:v>B</x:v>
      </x:c>
      <x:c r="D436" t="str">
        <x:v>B</x:v>
      </x:c>
      <x:c r="E436" t="str">
        <x:v>W</x:v>
      </x:c>
      <x:c r="F436" t="str">
        <x:v>B</x:v>
      </x:c>
      <x:c r="G436" t="str">
        <x:v>B</x:v>
      </x:c>
      <x:c r="H436" t="str">
        <x:v>W</x:v>
      </x:c>
      <x:c r="I436" t="str">
        <x:v>B</x:v>
      </x:c>
      <x:c r="J436" t="str">
        <x:v>W</x:v>
      </x:c>
      <x:c r="K436" t="str">
        <x:v>B</x:v>
      </x:c>
      <x:c r="L436" t="str">
        <x:v>B</x:v>
      </x:c>
      <x:c r="M436" t="str">
        <x:v>W</x:v>
      </x:c>
      <x:c r="N436" t="str">
        <x:v>B</x:v>
      </x:c>
      <x:c r="O436" t="str">
        <x:v>B</x:v>
      </x:c>
      <x:c r="P436" t="str">
        <x:v>W</x:v>
      </x:c>
      <x:c r="Q436" t="str">
        <x:v>B</x:v>
      </x:c>
      <x:c r="R436" t="str">
        <x:v>B</x:v>
      </x:c>
      <x:c r="S436" t="str">
        <x:v>B</x:v>
      </x:c>
      <x:c r="T436" t="str">
        <x:v>B</x:v>
      </x:c>
      <x:c r="U436" t="str">
        <x:v>W</x:v>
      </x:c>
      <x:c r="V436" t="n">
        <x:f>COUNTIF(B436:U436,"W")</x:f>
        <x:v>7</x:v>
      </x:c>
      <x:c r="W436" s="5" t="str">
        <x:f>IF(COUNTIF(B436:D436,"W")&gt;0,"Y","N")</x:f>
        <x:v>Y</x:v>
      </x:c>
      <x:c r="X436" s="1"/>
      <x:c r="Y436" s="1"/>
      <x:c r="Z436" s="1"/>
      <x:c r="AA436" s="1"/>
      <x:c r="AB436" s="1"/>
      <x:c r="AC436" s="1"/>
      <x:c r="AD436" s="1"/>
    </x:row>
    <x:row r="437">
      <x:c r="A437" s="1">
        <x:v>436</x:v>
      </x:c>
      <x:c r="B437" t="str">
        <x:v>B</x:v>
      </x:c>
      <x:c r="C437" t="str">
        <x:v>B</x:v>
      </x:c>
      <x:c r="D437" t="str">
        <x:v>B</x:v>
      </x:c>
      <x:c r="E437" t="str">
        <x:v>W</x:v>
      </x:c>
      <x:c r="F437" t="str">
        <x:v>B</x:v>
      </x:c>
      <x:c r="G437" t="str">
        <x:v>W</x:v>
      </x:c>
      <x:c r="H437" t="str">
        <x:v>B</x:v>
      </x:c>
      <x:c r="I437" t="str">
        <x:v>B</x:v>
      </x:c>
      <x:c r="J437" t="str">
        <x:v>W</x:v>
      </x:c>
      <x:c r="K437" t="str">
        <x:v>B</x:v>
      </x:c>
      <x:c r="L437" t="str">
        <x:v>B</x:v>
      </x:c>
      <x:c r="M437" t="str">
        <x:v>W</x:v>
      </x:c>
      <x:c r="N437" t="str">
        <x:v>W</x:v>
      </x:c>
      <x:c r="O437" t="str">
        <x:v>W</x:v>
      </x:c>
      <x:c r="P437" t="str">
        <x:v>B</x:v>
      </x:c>
      <x:c r="Q437" t="str">
        <x:v>B</x:v>
      </x:c>
      <x:c r="R437" t="str">
        <x:v>B</x:v>
      </x:c>
      <x:c r="S437" t="str">
        <x:v>W</x:v>
      </x:c>
      <x:c r="T437" t="str">
        <x:v>B</x:v>
      </x:c>
      <x:c r="U437" t="str">
        <x:v>B</x:v>
      </x:c>
      <x:c r="V437" t="n">
        <x:f>COUNTIF(B437:U437,"W")</x:f>
        <x:v>7</x:v>
      </x:c>
      <x:c r="W437" s="5" t="str">
        <x:f>IF(COUNTIF(B437:D437,"W")&gt;0,"Y","N")</x:f>
        <x:v>N</x:v>
      </x:c>
      <x:c r="X437" s="1"/>
      <x:c r="Y437" s="1"/>
      <x:c r="Z437" s="1"/>
      <x:c r="AA437" s="1"/>
      <x:c r="AB437" s="1"/>
      <x:c r="AC437" s="1"/>
      <x:c r="AD437" s="1"/>
    </x:row>
    <x:row r="438">
      <x:c r="A438" s="1">
        <x:v>437</x:v>
      </x:c>
      <x:c r="B438" t="str">
        <x:v>B</x:v>
      </x:c>
      <x:c r="C438" t="str">
        <x:v>W</x:v>
      </x:c>
      <x:c r="D438" t="str">
        <x:v>W</x:v>
      </x:c>
      <x:c r="E438" t="str">
        <x:v>W</x:v>
      </x:c>
      <x:c r="F438" t="str">
        <x:v>B</x:v>
      </x:c>
      <x:c r="G438" t="str">
        <x:v>B</x:v>
      </x:c>
      <x:c r="H438" t="str">
        <x:v>B</x:v>
      </x:c>
      <x:c r="I438" t="str">
        <x:v>B</x:v>
      </x:c>
      <x:c r="J438" t="str">
        <x:v>B</x:v>
      </x:c>
      <x:c r="K438" t="str">
        <x:v>B</x:v>
      </x:c>
      <x:c r="L438" t="str">
        <x:v>B</x:v>
      </x:c>
      <x:c r="M438" t="str">
        <x:v>W</x:v>
      </x:c>
      <x:c r="N438" t="str">
        <x:v>B</x:v>
      </x:c>
      <x:c r="O438" t="str">
        <x:v>W</x:v>
      </x:c>
      <x:c r="P438" t="str">
        <x:v>B</x:v>
      </x:c>
      <x:c r="Q438" t="str">
        <x:v>W</x:v>
      </x:c>
      <x:c r="R438" t="str">
        <x:v>B</x:v>
      </x:c>
      <x:c r="S438" t="str">
        <x:v>W</x:v>
      </x:c>
      <x:c r="T438" t="str">
        <x:v>B</x:v>
      </x:c>
      <x:c r="U438" t="str">
        <x:v>W</x:v>
      </x:c>
      <x:c r="V438" t="n">
        <x:f>COUNTIF(B438:U438,"W")</x:f>
        <x:v>8</x:v>
      </x:c>
      <x:c r="W438" s="5" t="str">
        <x:f>IF(COUNTIF(B438:D438,"W")&gt;0,"Y","N")</x:f>
        <x:v>Y</x:v>
      </x:c>
      <x:c r="X438" s="1"/>
      <x:c r="Y438" s="1"/>
      <x:c r="Z438" s="1"/>
      <x:c r="AA438" s="1"/>
      <x:c r="AB438" s="1"/>
      <x:c r="AC438" s="1"/>
      <x:c r="AD438" s="1"/>
    </x:row>
    <x:row r="439">
      <x:c r="A439" s="1">
        <x:v>438</x:v>
      </x:c>
      <x:c r="B439" t="str">
        <x:v>B</x:v>
      </x:c>
      <x:c r="C439" t="str">
        <x:v>B</x:v>
      </x:c>
      <x:c r="D439" t="str">
        <x:v>W</x:v>
      </x:c>
      <x:c r="E439" t="str">
        <x:v>W</x:v>
      </x:c>
      <x:c r="F439" t="str">
        <x:v>B</x:v>
      </x:c>
      <x:c r="G439" t="str">
        <x:v>B</x:v>
      </x:c>
      <x:c r="H439" t="str">
        <x:v>B</x:v>
      </x:c>
      <x:c r="I439" t="str">
        <x:v>W</x:v>
      </x:c>
      <x:c r="J439" t="str">
        <x:v>W</x:v>
      </x:c>
      <x:c r="K439" t="str">
        <x:v>W</x:v>
      </x:c>
      <x:c r="L439" t="str">
        <x:v>B</x:v>
      </x:c>
      <x:c r="M439" t="str">
        <x:v>B</x:v>
      </x:c>
      <x:c r="N439" t="str">
        <x:v>W</x:v>
      </x:c>
      <x:c r="O439" t="str">
        <x:v>W</x:v>
      </x:c>
      <x:c r="P439" t="str">
        <x:v>W</x:v>
      </x:c>
      <x:c r="Q439" t="str">
        <x:v>W</x:v>
      </x:c>
      <x:c r="R439" t="str">
        <x:v>B</x:v>
      </x:c>
      <x:c r="S439" t="str">
        <x:v>B</x:v>
      </x:c>
      <x:c r="T439" t="str">
        <x:v>B</x:v>
      </x:c>
      <x:c r="U439" t="str">
        <x:v>W</x:v>
      </x:c>
      <x:c r="V439" t="n">
        <x:f>COUNTIF(B439:U439,"W")</x:f>
        <x:v>10</x:v>
      </x:c>
      <x:c r="W439" s="5" t="str">
        <x:f>IF(COUNTIF(B439:D439,"W")&gt;0,"Y","N")</x:f>
        <x:v>Y</x:v>
      </x:c>
      <x:c r="X439" s="1"/>
      <x:c r="Y439" s="1"/>
      <x:c r="Z439" s="1"/>
      <x:c r="AA439" s="1"/>
      <x:c r="AB439" s="1"/>
      <x:c r="AC439" s="1"/>
      <x:c r="AD439" s="1"/>
    </x:row>
    <x:row r="440">
      <x:c r="A440" s="1">
        <x:v>439</x:v>
      </x:c>
      <x:c r="B440" t="str">
        <x:v>B</x:v>
      </x:c>
      <x:c r="C440" t="str">
        <x:v>B</x:v>
      </x:c>
      <x:c r="D440" t="str">
        <x:v>B</x:v>
      </x:c>
      <x:c r="E440" t="str">
        <x:v>W</x:v>
      </x:c>
      <x:c r="F440" t="str">
        <x:v>B</x:v>
      </x:c>
      <x:c r="G440" t="str">
        <x:v>B</x:v>
      </x:c>
      <x:c r="H440" t="str">
        <x:v>B</x:v>
      </x:c>
      <x:c r="I440" t="str">
        <x:v>B</x:v>
      </x:c>
      <x:c r="J440" t="str">
        <x:v>W</x:v>
      </x:c>
      <x:c r="K440" t="str">
        <x:v>B</x:v>
      </x:c>
      <x:c r="L440" t="str">
        <x:v>W</x:v>
      </x:c>
      <x:c r="M440" t="str">
        <x:v>W</x:v>
      </x:c>
      <x:c r="N440" t="str">
        <x:v>B</x:v>
      </x:c>
      <x:c r="O440" t="str">
        <x:v>W</x:v>
      </x:c>
      <x:c r="P440" t="str">
        <x:v>B</x:v>
      </x:c>
      <x:c r="Q440" t="str">
        <x:v>B</x:v>
      </x:c>
      <x:c r="R440" t="str">
        <x:v>B</x:v>
      </x:c>
      <x:c r="S440" t="str">
        <x:v>B</x:v>
      </x:c>
      <x:c r="T440" t="str">
        <x:v>W</x:v>
      </x:c>
      <x:c r="U440" t="str">
        <x:v>W</x:v>
      </x:c>
      <x:c r="V440" t="n">
        <x:f>COUNTIF(B440:U440,"W")</x:f>
        <x:v>7</x:v>
      </x:c>
      <x:c r="W440" s="5" t="str">
        <x:f>IF(COUNTIF(B440:D440,"W")&gt;0,"Y","N")</x:f>
        <x:v>N</x:v>
      </x:c>
      <x:c r="X440" s="1"/>
      <x:c r="Y440" s="1"/>
      <x:c r="Z440" s="1"/>
      <x:c r="AA440" s="1"/>
      <x:c r="AB440" s="1"/>
      <x:c r="AC440" s="1"/>
      <x:c r="AD440" s="1"/>
    </x:row>
    <x:row r="441">
      <x:c r="A441" s="1">
        <x:v>440</x:v>
      </x:c>
      <x:c r="B441" t="str">
        <x:v>B</x:v>
      </x:c>
      <x:c r="C441" t="str">
        <x:v>B</x:v>
      </x:c>
      <x:c r="D441" t="str">
        <x:v>B</x:v>
      </x:c>
      <x:c r="E441" t="str">
        <x:v>B</x:v>
      </x:c>
      <x:c r="F441" t="str">
        <x:v>W</x:v>
      </x:c>
      <x:c r="G441" t="str">
        <x:v>B</x:v>
      </x:c>
      <x:c r="H441" t="str">
        <x:v>B</x:v>
      </x:c>
      <x:c r="I441" t="str">
        <x:v>W</x:v>
      </x:c>
      <x:c r="J441" t="str">
        <x:v>W</x:v>
      </x:c>
      <x:c r="K441" t="str">
        <x:v>B</x:v>
      </x:c>
      <x:c r="L441" t="str">
        <x:v>B</x:v>
      </x:c>
      <x:c r="M441" t="str">
        <x:v>W</x:v>
      </x:c>
      <x:c r="N441" t="str">
        <x:v>W</x:v>
      </x:c>
      <x:c r="O441" t="str">
        <x:v>W</x:v>
      </x:c>
      <x:c r="P441" t="str">
        <x:v>B</x:v>
      </x:c>
      <x:c r="Q441" t="str">
        <x:v>B</x:v>
      </x:c>
      <x:c r="R441" t="str">
        <x:v>W</x:v>
      </x:c>
      <x:c r="S441" t="str">
        <x:v>W</x:v>
      </x:c>
      <x:c r="T441" t="str">
        <x:v>B</x:v>
      </x:c>
      <x:c r="U441" t="str">
        <x:v>W</x:v>
      </x:c>
      <x:c r="V441" t="n">
        <x:f>COUNTIF(B441:U441,"W")</x:f>
        <x:v>9</x:v>
      </x:c>
      <x:c r="W441" s="5" t="str">
        <x:f>IF(COUNTIF(B441:D441,"W")&gt;0,"Y","N")</x:f>
        <x:v>N</x:v>
      </x:c>
      <x:c r="X441" s="1"/>
      <x:c r="Y441" s="1"/>
      <x:c r="Z441" s="1"/>
      <x:c r="AA441" s="1"/>
      <x:c r="AB441" s="1"/>
      <x:c r="AC441" s="1"/>
      <x:c r="AD441" s="1"/>
    </x:row>
    <x:row r="442">
      <x:c r="A442" s="1">
        <x:v>441</x:v>
      </x:c>
      <x:c r="B442" t="str">
        <x:v>B</x:v>
      </x:c>
      <x:c r="C442" t="str">
        <x:v>B</x:v>
      </x:c>
      <x:c r="D442" t="str">
        <x:v>W</x:v>
      </x:c>
      <x:c r="E442" t="str">
        <x:v>B</x:v>
      </x:c>
      <x:c r="F442" t="str">
        <x:v>B</x:v>
      </x:c>
      <x:c r="G442" t="str">
        <x:v>B</x:v>
      </x:c>
      <x:c r="H442" t="str">
        <x:v>W</x:v>
      </x:c>
      <x:c r="I442" t="str">
        <x:v>B</x:v>
      </x:c>
      <x:c r="J442" t="str">
        <x:v>W</x:v>
      </x:c>
      <x:c r="K442" t="str">
        <x:v>W</x:v>
      </x:c>
      <x:c r="L442" t="str">
        <x:v>B</x:v>
      </x:c>
      <x:c r="M442" t="str">
        <x:v>W</x:v>
      </x:c>
      <x:c r="N442" t="str">
        <x:v>W</x:v>
      </x:c>
      <x:c r="O442" t="str">
        <x:v>B</x:v>
      </x:c>
      <x:c r="P442" t="str">
        <x:v>W</x:v>
      </x:c>
      <x:c r="Q442" t="str">
        <x:v>W</x:v>
      </x:c>
      <x:c r="R442" t="str">
        <x:v>W</x:v>
      </x:c>
      <x:c r="S442" t="str">
        <x:v>B</x:v>
      </x:c>
      <x:c r="T442" t="str">
        <x:v>W</x:v>
      </x:c>
      <x:c r="U442" t="str">
        <x:v>B</x:v>
      </x:c>
      <x:c r="V442" t="n">
        <x:f>COUNTIF(B442:U442,"W")</x:f>
        <x:v>10</x:v>
      </x:c>
      <x:c r="W442" s="5" t="str">
        <x:f>IF(COUNTIF(B442:D442,"W")&gt;0,"Y","N")</x:f>
        <x:v>Y</x:v>
      </x:c>
      <x:c r="X442" s="1"/>
      <x:c r="Y442" s="1"/>
      <x:c r="Z442" s="1"/>
      <x:c r="AA442" s="1"/>
      <x:c r="AB442" s="1"/>
      <x:c r="AC442" s="1"/>
      <x:c r="AD442" s="1"/>
    </x:row>
    <x:row r="443">
      <x:c r="A443" s="1">
        <x:v>442</x:v>
      </x:c>
      <x:c r="B443" t="str">
        <x:v>B</x:v>
      </x:c>
      <x:c r="C443" t="str">
        <x:v>W</x:v>
      </x:c>
      <x:c r="D443" t="str">
        <x:v>W</x:v>
      </x:c>
      <x:c r="E443" t="str">
        <x:v>B</x:v>
      </x:c>
      <x:c r="F443" t="str">
        <x:v>B</x:v>
      </x:c>
      <x:c r="G443" t="str">
        <x:v>B</x:v>
      </x:c>
      <x:c r="H443" t="str">
        <x:v>W</x:v>
      </x:c>
      <x:c r="I443" t="str">
        <x:v>B</x:v>
      </x:c>
      <x:c r="J443" t="str">
        <x:v>B</x:v>
      </x:c>
      <x:c r="K443" t="str">
        <x:v>W</x:v>
      </x:c>
      <x:c r="L443" t="str">
        <x:v>W</x:v>
      </x:c>
      <x:c r="M443" t="str">
        <x:v>B</x:v>
      </x:c>
      <x:c r="N443" t="str">
        <x:v>W</x:v>
      </x:c>
      <x:c r="O443" t="str">
        <x:v>B</x:v>
      </x:c>
      <x:c r="P443" t="str">
        <x:v>B</x:v>
      </x:c>
      <x:c r="Q443" t="str">
        <x:v>B</x:v>
      </x:c>
      <x:c r="R443" t="str">
        <x:v>B</x:v>
      </x:c>
      <x:c r="S443" t="str">
        <x:v>B</x:v>
      </x:c>
      <x:c r="T443" t="str">
        <x:v>B</x:v>
      </x:c>
      <x:c r="U443" t="str">
        <x:v>W</x:v>
      </x:c>
      <x:c r="V443" t="n">
        <x:f>COUNTIF(B443:U443,"W")</x:f>
        <x:v>7</x:v>
      </x:c>
      <x:c r="W443" s="5" t="str">
        <x:f>IF(COUNTIF(B443:D443,"W")&gt;0,"Y","N")</x:f>
        <x:v>Y</x:v>
      </x:c>
      <x:c r="X443" s="1"/>
      <x:c r="Y443" s="1"/>
      <x:c r="Z443" s="1"/>
      <x:c r="AA443" s="1"/>
      <x:c r="AB443" s="1"/>
      <x:c r="AC443" s="1"/>
      <x:c r="AD443" s="1"/>
    </x:row>
    <x:row r="444">
      <x:c r="A444" s="1">
        <x:v>443</x:v>
      </x:c>
      <x:c r="B444" t="str">
        <x:v>B</x:v>
      </x:c>
      <x:c r="C444" t="str">
        <x:v>B</x:v>
      </x:c>
      <x:c r="D444" t="str">
        <x:v>B</x:v>
      </x:c>
      <x:c r="E444" t="str">
        <x:v>W</x:v>
      </x:c>
      <x:c r="F444" t="str">
        <x:v>B</x:v>
      </x:c>
      <x:c r="G444" t="str">
        <x:v>B</x:v>
      </x:c>
      <x:c r="H444" t="str">
        <x:v>B</x:v>
      </x:c>
      <x:c r="I444" t="str">
        <x:v>W</x:v>
      </x:c>
      <x:c r="J444" t="str">
        <x:v>W</x:v>
      </x:c>
      <x:c r="K444" t="str">
        <x:v>W</x:v>
      </x:c>
      <x:c r="L444" t="str">
        <x:v>B</x:v>
      </x:c>
      <x:c r="M444" t="str">
        <x:v>W</x:v>
      </x:c>
      <x:c r="N444" t="str">
        <x:v>W</x:v>
      </x:c>
      <x:c r="O444" t="str">
        <x:v>W</x:v>
      </x:c>
      <x:c r="P444" t="str">
        <x:v>B</x:v>
      </x:c>
      <x:c r="Q444" t="str">
        <x:v>W</x:v>
      </x:c>
      <x:c r="R444" t="str">
        <x:v>B</x:v>
      </x:c>
      <x:c r="S444" t="str">
        <x:v>B</x:v>
      </x:c>
      <x:c r="T444" t="str">
        <x:v>W</x:v>
      </x:c>
      <x:c r="U444" t="str">
        <x:v>W</x:v>
      </x:c>
      <x:c r="V444" t="n">
        <x:f>COUNTIF(B444:U444,"W")</x:f>
        <x:v>10</x:v>
      </x:c>
      <x:c r="W444" s="5" t="str">
        <x:f>IF(COUNTIF(B444:D444,"W")&gt;0,"Y","N")</x:f>
        <x:v>N</x:v>
      </x:c>
      <x:c r="X444" s="1"/>
      <x:c r="Y444" s="1"/>
      <x:c r="Z444" s="1"/>
      <x:c r="AA444" s="1"/>
      <x:c r="AB444" s="1"/>
      <x:c r="AC444" s="1"/>
      <x:c r="AD444" s="1"/>
    </x:row>
    <x:row r="445">
      <x:c r="A445" s="1">
        <x:v>444</x:v>
      </x:c>
      <x:c r="B445" t="str">
        <x:v>B</x:v>
      </x:c>
      <x:c r="C445" t="str">
        <x:v>W</x:v>
      </x:c>
      <x:c r="D445" t="str">
        <x:v>B</x:v>
      </x:c>
      <x:c r="E445" t="str">
        <x:v>B</x:v>
      </x:c>
      <x:c r="F445" t="str">
        <x:v>W</x:v>
      </x:c>
      <x:c r="G445" t="str">
        <x:v>W</x:v>
      </x:c>
      <x:c r="H445" t="str">
        <x:v>B</x:v>
      </x:c>
      <x:c r="I445" t="str">
        <x:v>B</x:v>
      </x:c>
      <x:c r="J445" t="str">
        <x:v>B</x:v>
      </x:c>
      <x:c r="K445" t="str">
        <x:v>B</x:v>
      </x:c>
      <x:c r="L445" t="str">
        <x:v>B</x:v>
      </x:c>
      <x:c r="M445" t="str">
        <x:v>W</x:v>
      </x:c>
      <x:c r="N445" t="str">
        <x:v>B</x:v>
      </x:c>
      <x:c r="O445" t="str">
        <x:v>B</x:v>
      </x:c>
      <x:c r="P445" t="str">
        <x:v>W</x:v>
      </x:c>
      <x:c r="Q445" t="str">
        <x:v>B</x:v>
      </x:c>
      <x:c r="R445" t="str">
        <x:v>B</x:v>
      </x:c>
      <x:c r="S445" t="str">
        <x:v>B</x:v>
      </x:c>
      <x:c r="T445" t="str">
        <x:v>B</x:v>
      </x:c>
      <x:c r="U445" t="str">
        <x:v>W</x:v>
      </x:c>
      <x:c r="V445" t="n">
        <x:f>COUNTIF(B445:U445,"W")</x:f>
        <x:v>6</x:v>
      </x:c>
      <x:c r="W445" s="5" t="str">
        <x:f>IF(COUNTIF(B445:D445,"W")&gt;0,"Y","N")</x:f>
        <x:v>Y</x:v>
      </x:c>
      <x:c r="X445" s="1"/>
      <x:c r="Y445" s="1"/>
      <x:c r="Z445" s="1"/>
      <x:c r="AA445" s="1"/>
      <x:c r="AB445" s="1"/>
      <x:c r="AC445" s="1"/>
      <x:c r="AD445" s="1"/>
    </x:row>
    <x:row r="446">
      <x:c r="A446" s="1">
        <x:v>445</x:v>
      </x:c>
      <x:c r="B446" t="str">
        <x:v>B</x:v>
      </x:c>
      <x:c r="C446" t="str">
        <x:v>W</x:v>
      </x:c>
      <x:c r="D446" t="str">
        <x:v>W</x:v>
      </x:c>
      <x:c r="E446" t="str">
        <x:v>B</x:v>
      </x:c>
      <x:c r="F446" t="str">
        <x:v>B</x:v>
      </x:c>
      <x:c r="G446" t="str">
        <x:v>W</x:v>
      </x:c>
      <x:c r="H446" t="str">
        <x:v>W</x:v>
      </x:c>
      <x:c r="I446" t="str">
        <x:v>B</x:v>
      </x:c>
      <x:c r="J446" t="str">
        <x:v>B</x:v>
      </x:c>
      <x:c r="K446" t="str">
        <x:v>W</x:v>
      </x:c>
      <x:c r="L446" t="str">
        <x:v>B</x:v>
      </x:c>
      <x:c r="M446" t="str">
        <x:v>W</x:v>
      </x:c>
      <x:c r="N446" t="str">
        <x:v>B</x:v>
      </x:c>
      <x:c r="O446" t="str">
        <x:v>B</x:v>
      </x:c>
      <x:c r="P446" t="str">
        <x:v>B</x:v>
      </x:c>
      <x:c r="Q446" t="str">
        <x:v>B</x:v>
      </x:c>
      <x:c r="R446" t="str">
        <x:v>W</x:v>
      </x:c>
      <x:c r="S446" t="str">
        <x:v>W</x:v>
      </x:c>
      <x:c r="T446" t="str">
        <x:v>B</x:v>
      </x:c>
      <x:c r="U446" t="str">
        <x:v>W</x:v>
      </x:c>
      <x:c r="V446" t="n">
        <x:f>COUNTIF(B446:U446,"W")</x:f>
        <x:v>9</x:v>
      </x:c>
      <x:c r="W446" s="5" t="str">
        <x:f>IF(COUNTIF(B446:D446,"W")&gt;0,"Y","N")</x:f>
        <x:v>Y</x:v>
      </x:c>
      <x:c r="X446" s="1"/>
      <x:c r="Y446" s="1"/>
      <x:c r="Z446" s="1"/>
      <x:c r="AA446" s="1"/>
      <x:c r="AB446" s="1"/>
      <x:c r="AC446" s="1"/>
      <x:c r="AD446" s="1"/>
    </x:row>
    <x:row r="447">
      <x:c r="A447" s="1">
        <x:v>446</x:v>
      </x:c>
      <x:c r="B447" t="str">
        <x:v>B</x:v>
      </x:c>
      <x:c r="C447" t="str">
        <x:v>W</x:v>
      </x:c>
      <x:c r="D447" t="str">
        <x:v>W</x:v>
      </x:c>
      <x:c r="E447" t="str">
        <x:v>B</x:v>
      </x:c>
      <x:c r="F447" t="str">
        <x:v>B</x:v>
      </x:c>
      <x:c r="G447" t="str">
        <x:v>W</x:v>
      </x:c>
      <x:c r="H447" t="str">
        <x:v>B</x:v>
      </x:c>
      <x:c r="I447" t="str">
        <x:v>B</x:v>
      </x:c>
      <x:c r="J447" t="str">
        <x:v>W</x:v>
      </x:c>
      <x:c r="K447" t="str">
        <x:v>B</x:v>
      </x:c>
      <x:c r="L447" t="str">
        <x:v>B</x:v>
      </x:c>
      <x:c r="M447" t="str">
        <x:v>B</x:v>
      </x:c>
      <x:c r="N447" t="str">
        <x:v>B</x:v>
      </x:c>
      <x:c r="O447" t="str">
        <x:v>W</x:v>
      </x:c>
      <x:c r="P447" t="str">
        <x:v>B</x:v>
      </x:c>
      <x:c r="Q447" t="str">
        <x:v>W</x:v>
      </x:c>
      <x:c r="R447" t="str">
        <x:v>W</x:v>
      </x:c>
      <x:c r="S447" t="str">
        <x:v>W</x:v>
      </x:c>
      <x:c r="T447" t="str">
        <x:v>W</x:v>
      </x:c>
      <x:c r="U447" t="str">
        <x:v>W</x:v>
      </x:c>
      <x:c r="V447" t="n">
        <x:f>COUNTIF(B447:U447,"W")</x:f>
        <x:v>10</x:v>
      </x:c>
      <x:c r="W447" s="5" t="str">
        <x:f>IF(COUNTIF(B447:D447,"W")&gt;0,"Y","N")</x:f>
        <x:v>Y</x:v>
      </x:c>
      <x:c r="X447" s="1"/>
      <x:c r="Y447" s="1"/>
      <x:c r="Z447" s="1"/>
      <x:c r="AA447" s="1"/>
      <x:c r="AB447" s="1"/>
      <x:c r="AC447" s="1"/>
      <x:c r="AD447" s="1"/>
    </x:row>
    <x:row r="448">
      <x:c r="A448" s="1">
        <x:v>447</x:v>
      </x:c>
      <x:c r="B448" t="str">
        <x:v>B</x:v>
      </x:c>
      <x:c r="C448" t="str">
        <x:v>B</x:v>
      </x:c>
      <x:c r="D448" t="str">
        <x:v>W</x:v>
      </x:c>
      <x:c r="E448" t="str">
        <x:v>B</x:v>
      </x:c>
      <x:c r="F448" t="str">
        <x:v>B</x:v>
      </x:c>
      <x:c r="G448" t="str">
        <x:v>B</x:v>
      </x:c>
      <x:c r="H448" t="str">
        <x:v>W</x:v>
      </x:c>
      <x:c r="I448" t="str">
        <x:v>W</x:v>
      </x:c>
      <x:c r="J448" t="str">
        <x:v>W</x:v>
      </x:c>
      <x:c r="K448" t="str">
        <x:v>B</x:v>
      </x:c>
      <x:c r="L448" t="str">
        <x:v>W</x:v>
      </x:c>
      <x:c r="M448" t="str">
        <x:v>B</x:v>
      </x:c>
      <x:c r="N448" t="str">
        <x:v>W</x:v>
      </x:c>
      <x:c r="O448" t="str">
        <x:v>B</x:v>
      </x:c>
      <x:c r="P448" t="str">
        <x:v>W</x:v>
      </x:c>
      <x:c r="Q448" t="str">
        <x:v>B</x:v>
      </x:c>
      <x:c r="R448" t="str">
        <x:v>W</x:v>
      </x:c>
      <x:c r="S448" t="str">
        <x:v>W</x:v>
      </x:c>
      <x:c r="T448" t="str">
        <x:v>B</x:v>
      </x:c>
      <x:c r="U448" t="str">
        <x:v>W</x:v>
      </x:c>
      <x:c r="V448" t="n">
        <x:f>COUNTIF(B448:U448,"W")</x:f>
        <x:v>10</x:v>
      </x:c>
      <x:c r="W448" s="5" t="str">
        <x:f>IF(COUNTIF(B448:D448,"W")&gt;0,"Y","N")</x:f>
        <x:v>Y</x:v>
      </x:c>
      <x:c r="X448" s="1"/>
      <x:c r="Y448" s="1"/>
      <x:c r="Z448" s="1"/>
      <x:c r="AA448" s="1"/>
      <x:c r="AB448" s="1"/>
      <x:c r="AC448" s="1"/>
      <x:c r="AD448" s="1"/>
    </x:row>
    <x:row r="449">
      <x:c r="A449" s="1">
        <x:v>448</x:v>
      </x:c>
      <x:c r="B449" t="str">
        <x:v>B</x:v>
      </x:c>
      <x:c r="C449" t="str">
        <x:v>B</x:v>
      </x:c>
      <x:c r="D449" t="str">
        <x:v>B</x:v>
      </x:c>
      <x:c r="E449" t="str">
        <x:v>B</x:v>
      </x:c>
      <x:c r="F449" t="str">
        <x:v>B</x:v>
      </x:c>
      <x:c r="G449" t="str">
        <x:v>B</x:v>
      </x:c>
      <x:c r="H449" t="str">
        <x:v>W</x:v>
      </x:c>
      <x:c r="I449" t="str">
        <x:v>B</x:v>
      </x:c>
      <x:c r="J449" t="str">
        <x:v>B</x:v>
      </x:c>
      <x:c r="K449" t="str">
        <x:v>W</x:v>
      </x:c>
      <x:c r="L449" t="str">
        <x:v>B</x:v>
      </x:c>
      <x:c r="M449" t="str">
        <x:v>B</x:v>
      </x:c>
      <x:c r="N449" t="str">
        <x:v>W</x:v>
      </x:c>
      <x:c r="O449" t="str">
        <x:v>B</x:v>
      </x:c>
      <x:c r="P449" t="str">
        <x:v>W</x:v>
      </x:c>
      <x:c r="Q449" t="str">
        <x:v>W</x:v>
      </x:c>
      <x:c r="R449" t="str">
        <x:v>B</x:v>
      </x:c>
      <x:c r="S449" t="str">
        <x:v>B</x:v>
      </x:c>
      <x:c r="T449" t="str">
        <x:v>B</x:v>
      </x:c>
      <x:c r="U449" t="str">
        <x:v>B</x:v>
      </x:c>
      <x:c r="V449" t="n">
        <x:f>COUNTIF(B449:U449,"W")</x:f>
        <x:v>5</x:v>
      </x:c>
      <x:c r="W449" s="5" t="str">
        <x:f>IF(COUNTIF(B449:D449,"W")&gt;0,"Y","N")</x:f>
        <x:v>N</x:v>
      </x:c>
      <x:c r="X449" s="1"/>
      <x:c r="Y449" s="1"/>
      <x:c r="Z449" s="1"/>
      <x:c r="AA449" s="1"/>
      <x:c r="AB449" s="1"/>
      <x:c r="AC449" s="1"/>
      <x:c r="AD449" s="1"/>
    </x:row>
    <x:row r="450">
      <x:c r="A450" s="1">
        <x:v>449</x:v>
      </x:c>
      <x:c r="B450" t="str">
        <x:v>W</x:v>
      </x:c>
      <x:c r="C450" t="str">
        <x:v>W</x:v>
      </x:c>
      <x:c r="D450" t="str">
        <x:v>B</x:v>
      </x:c>
      <x:c r="E450" t="str">
        <x:v>B</x:v>
      </x:c>
      <x:c r="F450" t="str">
        <x:v>B</x:v>
      </x:c>
      <x:c r="G450" t="str">
        <x:v>W</x:v>
      </x:c>
      <x:c r="H450" t="str">
        <x:v>B</x:v>
      </x:c>
      <x:c r="I450" t="str">
        <x:v>B</x:v>
      </x:c>
      <x:c r="J450" t="str">
        <x:v>W</x:v>
      </x:c>
      <x:c r="K450" t="str">
        <x:v>W</x:v>
      </x:c>
      <x:c r="L450" t="str">
        <x:v>W</x:v>
      </x:c>
      <x:c r="M450" t="str">
        <x:v>W</x:v>
      </x:c>
      <x:c r="N450" t="str">
        <x:v>W</x:v>
      </x:c>
      <x:c r="O450" t="str">
        <x:v>B</x:v>
      </x:c>
      <x:c r="P450" t="str">
        <x:v>B</x:v>
      </x:c>
      <x:c r="Q450" t="str">
        <x:v>B</x:v>
      </x:c>
      <x:c r="R450" t="str">
        <x:v>B</x:v>
      </x:c>
      <x:c r="S450" t="str">
        <x:v>B</x:v>
      </x:c>
      <x:c r="T450" t="str">
        <x:v>B</x:v>
      </x:c>
      <x:c r="U450" t="str">
        <x:v>W</x:v>
      </x:c>
      <x:c r="V450" t="n">
        <x:f>COUNTIF(B450:U450,"W")</x:f>
        <x:v>9</x:v>
      </x:c>
      <x:c r="W450" s="5" t="str">
        <x:f>IF(COUNTIF(B450:D450,"W")&gt;0,"Y","N")</x:f>
        <x:v>Y</x:v>
      </x:c>
      <x:c r="X450" s="1"/>
      <x:c r="Y450" s="1"/>
      <x:c r="Z450" s="1"/>
      <x:c r="AA450" s="1"/>
      <x:c r="AB450" s="1"/>
      <x:c r="AC450" s="1"/>
      <x:c r="AD450" s="1"/>
    </x:row>
    <x:row r="451">
      <x:c r="A451" s="1">
        <x:v>450</x:v>
      </x:c>
      <x:c r="B451" t="str">
        <x:v>B</x:v>
      </x:c>
      <x:c r="C451" t="str">
        <x:v>W</x:v>
      </x:c>
      <x:c r="D451" t="str">
        <x:v>B</x:v>
      </x:c>
      <x:c r="E451" t="str">
        <x:v>B</x:v>
      </x:c>
      <x:c r="F451" t="str">
        <x:v>W</x:v>
      </x:c>
      <x:c r="G451" t="str">
        <x:v>B</x:v>
      </x:c>
      <x:c r="H451" t="str">
        <x:v>B</x:v>
      </x:c>
      <x:c r="I451" t="str">
        <x:v>B</x:v>
      </x:c>
      <x:c r="J451" t="str">
        <x:v>B</x:v>
      </x:c>
      <x:c r="K451" t="str">
        <x:v>B</x:v>
      </x:c>
      <x:c r="L451" t="str">
        <x:v>B</x:v>
      </x:c>
      <x:c r="M451" t="str">
        <x:v>B</x:v>
      </x:c>
      <x:c r="N451" t="str">
        <x:v>B</x:v>
      </x:c>
      <x:c r="O451" t="str">
        <x:v>B</x:v>
      </x:c>
      <x:c r="P451" t="str">
        <x:v>B</x:v>
      </x:c>
      <x:c r="Q451" t="str">
        <x:v>W</x:v>
      </x:c>
      <x:c r="R451" t="str">
        <x:v>B</x:v>
      </x:c>
      <x:c r="S451" t="str">
        <x:v>B</x:v>
      </x:c>
      <x:c r="T451" t="str">
        <x:v>W</x:v>
      </x:c>
      <x:c r="U451" t="str">
        <x:v>B</x:v>
      </x:c>
      <x:c r="V451" t="n">
        <x:f>COUNTIF(B451:U451,"W")</x:f>
        <x:v>4</x:v>
      </x:c>
      <x:c r="W451" s="5" t="str">
        <x:f>IF(COUNTIF(B451:D451,"W")&gt;0,"Y","N")</x:f>
        <x:v>Y</x:v>
      </x:c>
      <x:c r="X451" s="1"/>
      <x:c r="Y451" s="1"/>
      <x:c r="Z451" s="1"/>
      <x:c r="AA451" s="1"/>
      <x:c r="AB451" s="1"/>
      <x:c r="AC451" s="1"/>
      <x:c r="AD451" s="1"/>
    </x:row>
    <x:row r="452">
      <x:c r="A452" s="1">
        <x:v>451</x:v>
      </x:c>
      <x:c r="B452" t="str">
        <x:v>W</x:v>
      </x:c>
      <x:c r="C452" t="str">
        <x:v>B</x:v>
      </x:c>
      <x:c r="D452" t="str">
        <x:v>B</x:v>
      </x:c>
      <x:c r="E452" t="str">
        <x:v>W</x:v>
      </x:c>
      <x:c r="F452" t="str">
        <x:v>W</x:v>
      </x:c>
      <x:c r="G452" t="str">
        <x:v>B</x:v>
      </x:c>
      <x:c r="H452" t="str">
        <x:v>W</x:v>
      </x:c>
      <x:c r="I452" t="str">
        <x:v>B</x:v>
      </x:c>
      <x:c r="J452" t="str">
        <x:v>B</x:v>
      </x:c>
      <x:c r="K452" t="str">
        <x:v>W</x:v>
      </x:c>
      <x:c r="L452" t="str">
        <x:v>B</x:v>
      </x:c>
      <x:c r="M452" t="str">
        <x:v>B</x:v>
      </x:c>
      <x:c r="N452" t="str">
        <x:v>B</x:v>
      </x:c>
      <x:c r="O452" t="str">
        <x:v>B</x:v>
      </x:c>
      <x:c r="P452" t="str">
        <x:v>B</x:v>
      </x:c>
      <x:c r="Q452" t="str">
        <x:v>B</x:v>
      </x:c>
      <x:c r="R452" t="str">
        <x:v>W</x:v>
      </x:c>
      <x:c r="S452" t="str">
        <x:v>B</x:v>
      </x:c>
      <x:c r="T452" t="str">
        <x:v>W</x:v>
      </x:c>
      <x:c r="U452" t="str">
        <x:v>W</x:v>
      </x:c>
      <x:c r="V452" t="n">
        <x:f>COUNTIF(B452:U452,"W")</x:f>
        <x:v>8</x:v>
      </x:c>
      <x:c r="W452" s="5" t="str">
        <x:f>IF(COUNTIF(B452:D452,"W")&gt;0,"Y","N")</x:f>
        <x:v>Y</x:v>
      </x:c>
      <x:c r="X452" s="1"/>
      <x:c r="Y452" s="1"/>
      <x:c r="Z452" s="1"/>
      <x:c r="AA452" s="1"/>
      <x:c r="AB452" s="1"/>
      <x:c r="AC452" s="1"/>
      <x:c r="AD452" s="1"/>
    </x:row>
    <x:row r="453">
      <x:c r="A453" s="1">
        <x:v>452</x:v>
      </x:c>
      <x:c r="B453" t="str">
        <x:v>B</x:v>
      </x:c>
      <x:c r="C453" t="str">
        <x:v>B</x:v>
      </x:c>
      <x:c r="D453" t="str">
        <x:v>B</x:v>
      </x:c>
      <x:c r="E453" t="str">
        <x:v>B</x:v>
      </x:c>
      <x:c r="F453" t="str">
        <x:v>W</x:v>
      </x:c>
      <x:c r="G453" t="str">
        <x:v>B</x:v>
      </x:c>
      <x:c r="H453" t="str">
        <x:v>W</x:v>
      </x:c>
      <x:c r="I453" t="str">
        <x:v>B</x:v>
      </x:c>
      <x:c r="J453" t="str">
        <x:v>W</x:v>
      </x:c>
      <x:c r="K453" t="str">
        <x:v>W</x:v>
      </x:c>
      <x:c r="L453" t="str">
        <x:v>B</x:v>
      </x:c>
      <x:c r="M453" t="str">
        <x:v>B</x:v>
      </x:c>
      <x:c r="N453" t="str">
        <x:v>B</x:v>
      </x:c>
      <x:c r="O453" t="str">
        <x:v>W</x:v>
      </x:c>
      <x:c r="P453" t="str">
        <x:v>B</x:v>
      </x:c>
      <x:c r="Q453" t="str">
        <x:v>B</x:v>
      </x:c>
      <x:c r="R453" t="str">
        <x:v>B</x:v>
      </x:c>
      <x:c r="S453" t="str">
        <x:v>B</x:v>
      </x:c>
      <x:c r="T453" t="str">
        <x:v>B</x:v>
      </x:c>
      <x:c r="U453" t="str">
        <x:v>W</x:v>
      </x:c>
      <x:c r="V453" t="n">
        <x:f>COUNTIF(B453:U453,"W")</x:f>
        <x:v>6</x:v>
      </x:c>
      <x:c r="W453" s="5" t="str">
        <x:f>IF(COUNTIF(B453:D453,"W")&gt;0,"Y","N")</x:f>
        <x:v>N</x:v>
      </x:c>
      <x:c r="X453" s="1"/>
      <x:c r="Y453" s="1"/>
      <x:c r="Z453" s="1"/>
      <x:c r="AA453" s="1"/>
      <x:c r="AB453" s="1"/>
      <x:c r="AC453" s="1"/>
      <x:c r="AD453" s="1"/>
    </x:row>
    <x:row r="454">
      <x:c r="A454" s="1">
        <x:v>453</x:v>
      </x:c>
      <x:c r="B454" t="str">
        <x:v>B</x:v>
      </x:c>
      <x:c r="C454" t="str">
        <x:v>W</x:v>
      </x:c>
      <x:c r="D454" t="str">
        <x:v>B</x:v>
      </x:c>
      <x:c r="E454" t="str">
        <x:v>B</x:v>
      </x:c>
      <x:c r="F454" t="str">
        <x:v>W</x:v>
      </x:c>
      <x:c r="G454" t="str">
        <x:v>W</x:v>
      </x:c>
      <x:c r="H454" t="str">
        <x:v>B</x:v>
      </x:c>
      <x:c r="I454" t="str">
        <x:v>B</x:v>
      </x:c>
      <x:c r="J454" t="str">
        <x:v>W</x:v>
      </x:c>
      <x:c r="K454" t="str">
        <x:v>W</x:v>
      </x:c>
      <x:c r="L454" t="str">
        <x:v>B</x:v>
      </x:c>
      <x:c r="M454" t="str">
        <x:v>B</x:v>
      </x:c>
      <x:c r="N454" t="str">
        <x:v>B</x:v>
      </x:c>
      <x:c r="O454" t="str">
        <x:v>B</x:v>
      </x:c>
      <x:c r="P454" t="str">
        <x:v>B</x:v>
      </x:c>
      <x:c r="Q454" t="str">
        <x:v>B</x:v>
      </x:c>
      <x:c r="R454" t="str">
        <x:v>B</x:v>
      </x:c>
      <x:c r="S454" t="str">
        <x:v>B</x:v>
      </x:c>
      <x:c r="T454" t="str">
        <x:v>W</x:v>
      </x:c>
      <x:c r="U454" t="str">
        <x:v>B</x:v>
      </x:c>
      <x:c r="V454" t="n">
        <x:f>COUNTIF(B454:U454,"W")</x:f>
        <x:v>6</x:v>
      </x:c>
      <x:c r="W454" s="5" t="str">
        <x:f>IF(COUNTIF(B454:D454,"W")&gt;0,"Y","N")</x:f>
        <x:v>Y</x:v>
      </x:c>
      <x:c r="X454" s="1"/>
      <x:c r="Y454" s="1"/>
      <x:c r="Z454" s="1"/>
      <x:c r="AA454" s="1"/>
      <x:c r="AB454" s="1"/>
      <x:c r="AC454" s="1"/>
      <x:c r="AD454" s="1"/>
    </x:row>
    <x:row r="455">
      <x:c r="A455" s="1">
        <x:v>454</x:v>
      </x:c>
      <x:c r="B455" t="str">
        <x:v>W</x:v>
      </x:c>
      <x:c r="C455" t="str">
        <x:v>W</x:v>
      </x:c>
      <x:c r="D455" t="str">
        <x:v>W</x:v>
      </x:c>
      <x:c r="E455" t="str">
        <x:v>W</x:v>
      </x:c>
      <x:c r="F455" t="str">
        <x:v>B</x:v>
      </x:c>
      <x:c r="G455" t="str">
        <x:v>B</x:v>
      </x:c>
      <x:c r="H455" t="str">
        <x:v>W</x:v>
      </x:c>
      <x:c r="I455" t="str">
        <x:v>B</x:v>
      </x:c>
      <x:c r="J455" t="str">
        <x:v>B</x:v>
      </x:c>
      <x:c r="K455" t="str">
        <x:v>B</x:v>
      </x:c>
      <x:c r="L455" t="str">
        <x:v>W</x:v>
      </x:c>
      <x:c r="M455" t="str">
        <x:v>B</x:v>
      </x:c>
      <x:c r="N455" t="str">
        <x:v>B</x:v>
      </x:c>
      <x:c r="O455" t="str">
        <x:v>B</x:v>
      </x:c>
      <x:c r="P455" t="str">
        <x:v>B</x:v>
      </x:c>
      <x:c r="Q455" t="str">
        <x:v>W</x:v>
      </x:c>
      <x:c r="R455" t="str">
        <x:v>B</x:v>
      </x:c>
      <x:c r="S455" t="str">
        <x:v>B</x:v>
      </x:c>
      <x:c r="T455" t="str">
        <x:v>W</x:v>
      </x:c>
      <x:c r="U455" t="str">
        <x:v>B</x:v>
      </x:c>
      <x:c r="V455" t="n">
        <x:f>COUNTIF(B455:U455,"W")</x:f>
        <x:v>8</x:v>
      </x:c>
      <x:c r="W455" s="5" t="str">
        <x:f>IF(COUNTIF(B455:D455,"W")&gt;0,"Y","N")</x:f>
        <x:v>Y</x:v>
      </x:c>
      <x:c r="X455" s="1"/>
      <x:c r="Y455" s="1"/>
      <x:c r="Z455" s="1"/>
      <x:c r="AA455" s="1"/>
      <x:c r="AB455" s="1"/>
      <x:c r="AC455" s="1"/>
      <x:c r="AD455" s="1"/>
    </x:row>
    <x:row r="456">
      <x:c r="A456" s="1">
        <x:v>455</x:v>
      </x:c>
      <x:c r="B456" t="str">
        <x:v>B</x:v>
      </x:c>
      <x:c r="C456" t="str">
        <x:v>W</x:v>
      </x:c>
      <x:c r="D456" t="str">
        <x:v>B</x:v>
      </x:c>
      <x:c r="E456" t="str">
        <x:v>W</x:v>
      </x:c>
      <x:c r="F456" t="str">
        <x:v>B</x:v>
      </x:c>
      <x:c r="G456" t="str">
        <x:v>W</x:v>
      </x:c>
      <x:c r="H456" t="str">
        <x:v>W</x:v>
      </x:c>
      <x:c r="I456" t="str">
        <x:v>B</x:v>
      </x:c>
      <x:c r="J456" t="str">
        <x:v>B</x:v>
      </x:c>
      <x:c r="K456" t="str">
        <x:v>W</x:v>
      </x:c>
      <x:c r="L456" t="str">
        <x:v>B</x:v>
      </x:c>
      <x:c r="M456" t="str">
        <x:v>W</x:v>
      </x:c>
      <x:c r="N456" t="str">
        <x:v>B</x:v>
      </x:c>
      <x:c r="O456" t="str">
        <x:v>W</x:v>
      </x:c>
      <x:c r="P456" t="str">
        <x:v>W</x:v>
      </x:c>
      <x:c r="Q456" t="str">
        <x:v>W</x:v>
      </x:c>
      <x:c r="R456" t="str">
        <x:v>W</x:v>
      </x:c>
      <x:c r="S456" t="str">
        <x:v>B</x:v>
      </x:c>
      <x:c r="T456" t="str">
        <x:v>B</x:v>
      </x:c>
      <x:c r="U456" t="str">
        <x:v>B</x:v>
      </x:c>
      <x:c r="V456" t="n">
        <x:f>COUNTIF(B456:U456,"W")</x:f>
        <x:v>10</x:v>
      </x:c>
      <x:c r="W456" s="5" t="str">
        <x:f>IF(COUNTIF(B456:D456,"W")&gt;0,"Y","N")</x:f>
        <x:v>Y</x:v>
      </x:c>
      <x:c r="X456" s="1"/>
      <x:c r="Y456" s="1"/>
      <x:c r="Z456" s="1"/>
      <x:c r="AA456" s="1"/>
      <x:c r="AB456" s="1"/>
      <x:c r="AC456" s="1"/>
      <x:c r="AD456" s="1"/>
    </x:row>
    <x:row r="457">
      <x:c r="A457" s="1">
        <x:v>456</x:v>
      </x:c>
      <x:c r="B457" t="str">
        <x:v>W</x:v>
      </x:c>
      <x:c r="C457" t="str">
        <x:v>W</x:v>
      </x:c>
      <x:c r="D457" t="str">
        <x:v>W</x:v>
      </x:c>
      <x:c r="E457" t="str">
        <x:v>B</x:v>
      </x:c>
      <x:c r="F457" t="str">
        <x:v>W</x:v>
      </x:c>
      <x:c r="G457" t="str">
        <x:v>W</x:v>
      </x:c>
      <x:c r="H457" t="str">
        <x:v>B</x:v>
      </x:c>
      <x:c r="I457" t="str">
        <x:v>B</x:v>
      </x:c>
      <x:c r="J457" t="str">
        <x:v>B</x:v>
      </x:c>
      <x:c r="K457" t="str">
        <x:v>B</x:v>
      </x:c>
      <x:c r="L457" t="str">
        <x:v>B</x:v>
      </x:c>
      <x:c r="M457" t="str">
        <x:v>W</x:v>
      </x:c>
      <x:c r="N457" t="str">
        <x:v>W</x:v>
      </x:c>
      <x:c r="O457" t="str">
        <x:v>B</x:v>
      </x:c>
      <x:c r="P457" t="str">
        <x:v>B</x:v>
      </x:c>
      <x:c r="Q457" t="str">
        <x:v>B</x:v>
      </x:c>
      <x:c r="R457" t="str">
        <x:v>W</x:v>
      </x:c>
      <x:c r="S457" t="str">
        <x:v>B</x:v>
      </x:c>
      <x:c r="T457" t="str">
        <x:v>W</x:v>
      </x:c>
      <x:c r="U457" t="str">
        <x:v>B</x:v>
      </x:c>
      <x:c r="V457" t="n">
        <x:f>COUNTIF(B457:U457,"W")</x:f>
        <x:v>9</x:v>
      </x:c>
      <x:c r="W457" s="5" t="str">
        <x:f>IF(COUNTIF(B457:D457,"W")&gt;0,"Y","N")</x:f>
        <x:v>Y</x:v>
      </x:c>
      <x:c r="X457" s="1"/>
      <x:c r="Y457" s="1"/>
      <x:c r="Z457" s="1"/>
      <x:c r="AA457" s="1"/>
      <x:c r="AB457" s="1"/>
      <x:c r="AC457" s="1"/>
      <x:c r="AD457" s="1"/>
    </x:row>
    <x:row r="458">
      <x:c r="A458" s="1">
        <x:v>457</x:v>
      </x:c>
      <x:c r="B458" t="str">
        <x:v>W</x:v>
      </x:c>
      <x:c r="C458" t="str">
        <x:v>B</x:v>
      </x:c>
      <x:c r="D458" t="str">
        <x:v>B</x:v>
      </x:c>
      <x:c r="E458" t="str">
        <x:v>W</x:v>
      </x:c>
      <x:c r="F458" t="str">
        <x:v>W</x:v>
      </x:c>
      <x:c r="G458" t="str">
        <x:v>W</x:v>
      </x:c>
      <x:c r="H458" t="str">
        <x:v>W</x:v>
      </x:c>
      <x:c r="I458" t="str">
        <x:v>B</x:v>
      </x:c>
      <x:c r="J458" t="str">
        <x:v>W</x:v>
      </x:c>
      <x:c r="K458" t="str">
        <x:v>B</x:v>
      </x:c>
      <x:c r="L458" t="str">
        <x:v>W</x:v>
      </x:c>
      <x:c r="M458" t="str">
        <x:v>W</x:v>
      </x:c>
      <x:c r="N458" t="str">
        <x:v>W</x:v>
      </x:c>
      <x:c r="O458" t="str">
        <x:v>W</x:v>
      </x:c>
      <x:c r="P458" t="str">
        <x:v>B</x:v>
      </x:c>
      <x:c r="Q458" t="str">
        <x:v>B</x:v>
      </x:c>
      <x:c r="R458" t="str">
        <x:v>B</x:v>
      </x:c>
      <x:c r="S458" t="str">
        <x:v>B</x:v>
      </x:c>
      <x:c r="T458" t="str">
        <x:v>B</x:v>
      </x:c>
      <x:c r="U458" t="str">
        <x:v>W</x:v>
      </x:c>
      <x:c r="V458" t="n">
        <x:f>COUNTIF(B458:U458,"W")</x:f>
        <x:v>11</x:v>
      </x:c>
      <x:c r="W458" s="5" t="str">
        <x:f>IF(COUNTIF(B458:D458,"W")&gt;0,"Y","N")</x:f>
        <x:v>Y</x:v>
      </x:c>
      <x:c r="X458" s="1"/>
      <x:c r="Y458" s="1"/>
      <x:c r="Z458" s="1"/>
      <x:c r="AA458" s="1"/>
      <x:c r="AB458" s="1"/>
      <x:c r="AC458" s="1"/>
      <x:c r="AD458" s="1"/>
    </x:row>
    <x:row r="459">
      <x:c r="A459" s="1">
        <x:v>458</x:v>
      </x:c>
      <x:c r="B459" t="str">
        <x:v>W</x:v>
      </x:c>
      <x:c r="C459" t="str">
        <x:v>W</x:v>
      </x:c>
      <x:c r="D459" t="str">
        <x:v>B</x:v>
      </x:c>
      <x:c r="E459" t="str">
        <x:v>W</x:v>
      </x:c>
      <x:c r="F459" t="str">
        <x:v>B</x:v>
      </x:c>
      <x:c r="G459" t="str">
        <x:v>B</x:v>
      </x:c>
      <x:c r="H459" t="str">
        <x:v>W</x:v>
      </x:c>
      <x:c r="I459" t="str">
        <x:v>B</x:v>
      </x:c>
      <x:c r="J459" t="str">
        <x:v>W</x:v>
      </x:c>
      <x:c r="K459" t="str">
        <x:v>W</x:v>
      </x:c>
      <x:c r="L459" t="str">
        <x:v>W</x:v>
      </x:c>
      <x:c r="M459" t="str">
        <x:v>B</x:v>
      </x:c>
      <x:c r="N459" t="str">
        <x:v>W</x:v>
      </x:c>
      <x:c r="O459" t="str">
        <x:v>W</x:v>
      </x:c>
      <x:c r="P459" t="str">
        <x:v>B</x:v>
      </x:c>
      <x:c r="Q459" t="str">
        <x:v>B</x:v>
      </x:c>
      <x:c r="R459" t="str">
        <x:v>B</x:v>
      </x:c>
      <x:c r="S459" t="str">
        <x:v>W</x:v>
      </x:c>
      <x:c r="T459" t="str">
        <x:v>B</x:v>
      </x:c>
      <x:c r="U459" t="str">
        <x:v>B</x:v>
      </x:c>
      <x:c r="V459" t="n">
        <x:f>COUNTIF(B459:U459,"W")</x:f>
        <x:v>10</x:v>
      </x:c>
      <x:c r="W459" s="5" t="str">
        <x:f>IF(COUNTIF(B459:D459,"W")&gt;0,"Y","N")</x:f>
        <x:v>Y</x:v>
      </x:c>
      <x:c r="X459" s="1"/>
      <x:c r="Y459" s="1"/>
      <x:c r="Z459" s="1"/>
      <x:c r="AA459" s="1"/>
      <x:c r="AB459" s="1"/>
      <x:c r="AC459" s="1"/>
      <x:c r="AD459" s="1"/>
    </x:row>
    <x:row r="460">
      <x:c r="A460" s="1">
        <x:v>459</x:v>
      </x:c>
      <x:c r="B460" t="str">
        <x:v>W</x:v>
      </x:c>
      <x:c r="C460" t="str">
        <x:v>B</x:v>
      </x:c>
      <x:c r="D460" t="str">
        <x:v>B</x:v>
      </x:c>
      <x:c r="E460" t="str">
        <x:v>W</x:v>
      </x:c>
      <x:c r="F460" t="str">
        <x:v>W</x:v>
      </x:c>
      <x:c r="G460" t="str">
        <x:v>B</x:v>
      </x:c>
      <x:c r="H460" t="str">
        <x:v>B</x:v>
      </x:c>
      <x:c r="I460" t="str">
        <x:v>B</x:v>
      </x:c>
      <x:c r="J460" t="str">
        <x:v>W</x:v>
      </x:c>
      <x:c r="K460" t="str">
        <x:v>B</x:v>
      </x:c>
      <x:c r="L460" t="str">
        <x:v>W</x:v>
      </x:c>
      <x:c r="M460" t="str">
        <x:v>W</x:v>
      </x:c>
      <x:c r="N460" t="str">
        <x:v>B</x:v>
      </x:c>
      <x:c r="O460" t="str">
        <x:v>W</x:v>
      </x:c>
      <x:c r="P460" t="str">
        <x:v>B</x:v>
      </x:c>
      <x:c r="Q460" t="str">
        <x:v>W</x:v>
      </x:c>
      <x:c r="R460" t="str">
        <x:v>W</x:v>
      </x:c>
      <x:c r="S460" t="str">
        <x:v>B</x:v>
      </x:c>
      <x:c r="T460" t="str">
        <x:v>B</x:v>
      </x:c>
      <x:c r="U460" t="str">
        <x:v>W</x:v>
      </x:c>
      <x:c r="V460" t="n">
        <x:f>COUNTIF(B460:U460,"W")</x:f>
        <x:v>10</x:v>
      </x:c>
      <x:c r="W460" s="5" t="str">
        <x:f>IF(COUNTIF(B460:D460,"W")&gt;0,"Y","N")</x:f>
        <x:v>Y</x:v>
      </x:c>
      <x:c r="X460" s="1"/>
      <x:c r="Y460" s="1"/>
      <x:c r="Z460" s="1"/>
      <x:c r="AA460" s="1"/>
      <x:c r="AB460" s="1"/>
      <x:c r="AC460" s="1"/>
      <x:c r="AD460" s="1"/>
    </x:row>
    <x:row r="461">
      <x:c r="A461" s="1">
        <x:v>460</x:v>
      </x:c>
      <x:c r="B461" t="str">
        <x:v>W</x:v>
      </x:c>
      <x:c r="C461" t="str">
        <x:v>B</x:v>
      </x:c>
      <x:c r="D461" t="str">
        <x:v>B</x:v>
      </x:c>
      <x:c r="E461" t="str">
        <x:v>W</x:v>
      </x:c>
      <x:c r="F461" t="str">
        <x:v>B</x:v>
      </x:c>
      <x:c r="G461" t="str">
        <x:v>B</x:v>
      </x:c>
      <x:c r="H461" t="str">
        <x:v>B</x:v>
      </x:c>
      <x:c r="I461" t="str">
        <x:v>B</x:v>
      </x:c>
      <x:c r="J461" t="str">
        <x:v>W</x:v>
      </x:c>
      <x:c r="K461" t="str">
        <x:v>W</x:v>
      </x:c>
      <x:c r="L461" t="str">
        <x:v>W</x:v>
      </x:c>
      <x:c r="M461" t="str">
        <x:v>W</x:v>
      </x:c>
      <x:c r="N461" t="str">
        <x:v>W</x:v>
      </x:c>
      <x:c r="O461" t="str">
        <x:v>B</x:v>
      </x:c>
      <x:c r="P461" t="str">
        <x:v>B</x:v>
      </x:c>
      <x:c r="Q461" t="str">
        <x:v>W</x:v>
      </x:c>
      <x:c r="R461" t="str">
        <x:v>B</x:v>
      </x:c>
      <x:c r="S461" t="str">
        <x:v>B</x:v>
      </x:c>
      <x:c r="T461" t="str">
        <x:v>W</x:v>
      </x:c>
      <x:c r="U461" t="str">
        <x:v>B</x:v>
      </x:c>
      <x:c r="V461" t="n">
        <x:f>COUNTIF(B461:U461,"W")</x:f>
        <x:v>9</x:v>
      </x:c>
      <x:c r="W461" s="5" t="str">
        <x:f>IF(COUNTIF(B461:D461,"W")&gt;0,"Y","N")</x:f>
        <x:v>Y</x:v>
      </x:c>
      <x:c r="X461" s="1"/>
      <x:c r="Y461" s="1"/>
      <x:c r="Z461" s="1"/>
      <x:c r="AA461" s="1"/>
      <x:c r="AB461" s="1"/>
      <x:c r="AC461" s="1"/>
      <x:c r="AD461" s="1"/>
    </x:row>
    <x:row r="462">
      <x:c r="A462" s="1">
        <x:v>461</x:v>
      </x:c>
      <x:c r="B462" t="str">
        <x:v>B</x:v>
      </x:c>
      <x:c r="C462" t="str">
        <x:v>W</x:v>
      </x:c>
      <x:c r="D462" t="str">
        <x:v>B</x:v>
      </x:c>
      <x:c r="E462" t="str">
        <x:v>B</x:v>
      </x:c>
      <x:c r="F462" t="str">
        <x:v>B</x:v>
      </x:c>
      <x:c r="G462" t="str">
        <x:v>W</x:v>
      </x:c>
      <x:c r="H462" t="str">
        <x:v>B</x:v>
      </x:c>
      <x:c r="I462" t="str">
        <x:v>W</x:v>
      </x:c>
      <x:c r="J462" t="str">
        <x:v>B</x:v>
      </x:c>
      <x:c r="K462" t="str">
        <x:v>B</x:v>
      </x:c>
      <x:c r="L462" t="str">
        <x:v>B</x:v>
      </x:c>
      <x:c r="M462" t="str">
        <x:v>B</x:v>
      </x:c>
      <x:c r="N462" t="str">
        <x:v>W</x:v>
      </x:c>
      <x:c r="O462" t="str">
        <x:v>W</x:v>
      </x:c>
      <x:c r="P462" t="str">
        <x:v>W</x:v>
      </x:c>
      <x:c r="Q462" t="str">
        <x:v>B</x:v>
      </x:c>
      <x:c r="R462" t="str">
        <x:v>B</x:v>
      </x:c>
      <x:c r="S462" t="str">
        <x:v>B</x:v>
      </x:c>
      <x:c r="T462" t="str">
        <x:v>W</x:v>
      </x:c>
      <x:c r="U462" t="str">
        <x:v>W</x:v>
      </x:c>
      <x:c r="V462" t="n">
        <x:f>COUNTIF(B462:U462,"W")</x:f>
        <x:v>8</x:v>
      </x:c>
      <x:c r="W462" s="5" t="str">
        <x:f>IF(COUNTIF(B462:D462,"W")&gt;0,"Y","N")</x:f>
        <x:v>Y</x:v>
      </x:c>
      <x:c r="X462" s="1"/>
      <x:c r="Y462" s="1"/>
      <x:c r="Z462" s="1"/>
      <x:c r="AA462" s="1"/>
      <x:c r="AB462" s="1"/>
      <x:c r="AC462" s="1"/>
      <x:c r="AD462" s="1"/>
    </x:row>
    <x:row r="463">
      <x:c r="A463" s="1">
        <x:v>462</x:v>
      </x:c>
      <x:c r="B463" t="str">
        <x:v>B</x:v>
      </x:c>
      <x:c r="C463" t="str">
        <x:v>B</x:v>
      </x:c>
      <x:c r="D463" t="str">
        <x:v>W</x:v>
      </x:c>
      <x:c r="E463" t="str">
        <x:v>B</x:v>
      </x:c>
      <x:c r="F463" t="str">
        <x:v>W</x:v>
      </x:c>
      <x:c r="G463" t="str">
        <x:v>W</x:v>
      </x:c>
      <x:c r="H463" t="str">
        <x:v>B</x:v>
      </x:c>
      <x:c r="I463" t="str">
        <x:v>B</x:v>
      </x:c>
      <x:c r="J463" t="str">
        <x:v>B</x:v>
      </x:c>
      <x:c r="K463" t="str">
        <x:v>W</x:v>
      </x:c>
      <x:c r="L463" t="str">
        <x:v>B</x:v>
      </x:c>
      <x:c r="M463" t="str">
        <x:v>W</x:v>
      </x:c>
      <x:c r="N463" t="str">
        <x:v>B</x:v>
      </x:c>
      <x:c r="O463" t="str">
        <x:v>B</x:v>
      </x:c>
      <x:c r="P463" t="str">
        <x:v>B</x:v>
      </x:c>
      <x:c r="Q463" t="str">
        <x:v>B</x:v>
      </x:c>
      <x:c r="R463" t="str">
        <x:v>B</x:v>
      </x:c>
      <x:c r="S463" t="str">
        <x:v>W</x:v>
      </x:c>
      <x:c r="T463" t="str">
        <x:v>W</x:v>
      </x:c>
      <x:c r="U463" t="str">
        <x:v>W</x:v>
      </x:c>
      <x:c r="V463" t="n">
        <x:f>COUNTIF(B463:U463,"W")</x:f>
        <x:v>8</x:v>
      </x:c>
      <x:c r="W463" s="5" t="str">
        <x:f>IF(COUNTIF(B463:D463,"W")&gt;0,"Y","N")</x:f>
        <x:v>Y</x:v>
      </x:c>
      <x:c r="X463" s="1"/>
      <x:c r="Y463" s="1"/>
      <x:c r="Z463" s="1"/>
      <x:c r="AA463" s="1"/>
      <x:c r="AB463" s="1"/>
      <x:c r="AC463" s="1"/>
      <x:c r="AD463" s="1"/>
    </x:row>
    <x:row r="464">
      <x:c r="A464" s="1">
        <x:v>463</x:v>
      </x:c>
      <x:c r="B464" t="str">
        <x:v>W</x:v>
      </x:c>
      <x:c r="C464" t="str">
        <x:v>B</x:v>
      </x:c>
      <x:c r="D464" t="str">
        <x:v>B</x:v>
      </x:c>
      <x:c r="E464" t="str">
        <x:v>B</x:v>
      </x:c>
      <x:c r="F464" t="str">
        <x:v>B</x:v>
      </x:c>
      <x:c r="G464" t="str">
        <x:v>W</x:v>
      </x:c>
      <x:c r="H464" t="str">
        <x:v>W</x:v>
      </x:c>
      <x:c r="I464" t="str">
        <x:v>B</x:v>
      </x:c>
      <x:c r="J464" t="str">
        <x:v>B</x:v>
      </x:c>
      <x:c r="K464" t="str">
        <x:v>W</x:v>
      </x:c>
      <x:c r="L464" t="str">
        <x:v>B</x:v>
      </x:c>
      <x:c r="M464" t="str">
        <x:v>B</x:v>
      </x:c>
      <x:c r="N464" t="str">
        <x:v>B</x:v>
      </x:c>
      <x:c r="O464" t="str">
        <x:v>W</x:v>
      </x:c>
      <x:c r="P464" t="str">
        <x:v>B</x:v>
      </x:c>
      <x:c r="Q464" t="str">
        <x:v>B</x:v>
      </x:c>
      <x:c r="R464" t="str">
        <x:v>B</x:v>
      </x:c>
      <x:c r="S464" t="str">
        <x:v>B</x:v>
      </x:c>
      <x:c r="T464" t="str">
        <x:v>W</x:v>
      </x:c>
      <x:c r="U464" t="str">
        <x:v>B</x:v>
      </x:c>
      <x:c r="V464" t="n">
        <x:f>COUNTIF(B464:U464,"W")</x:f>
        <x:v>6</x:v>
      </x:c>
      <x:c r="W464" s="5" t="str">
        <x:f>IF(COUNTIF(B464:D464,"W")&gt;0,"Y","N")</x:f>
        <x:v>Y</x:v>
      </x:c>
      <x:c r="X464" s="1"/>
      <x:c r="Y464" s="1"/>
      <x:c r="Z464" s="1"/>
      <x:c r="AA464" s="1"/>
      <x:c r="AB464" s="1"/>
      <x:c r="AC464" s="1"/>
      <x:c r="AD464" s="1"/>
    </x:row>
    <x:row r="465">
      <x:c r="A465" s="1">
        <x:v>464</x:v>
      </x:c>
      <x:c r="B465" t="str">
        <x:v>B</x:v>
      </x:c>
      <x:c r="C465" t="str">
        <x:v>B</x:v>
      </x:c>
      <x:c r="D465" t="str">
        <x:v>B</x:v>
      </x:c>
      <x:c r="E465" t="str">
        <x:v>B</x:v>
      </x:c>
      <x:c r="F465" t="str">
        <x:v>W</x:v>
      </x:c>
      <x:c r="G465" t="str">
        <x:v>B</x:v>
      </x:c>
      <x:c r="H465" t="str">
        <x:v>B</x:v>
      </x:c>
      <x:c r="I465" t="str">
        <x:v>B</x:v>
      </x:c>
      <x:c r="J465" t="str">
        <x:v>W</x:v>
      </x:c>
      <x:c r="K465" t="str">
        <x:v>W</x:v>
      </x:c>
      <x:c r="L465" t="str">
        <x:v>B</x:v>
      </x:c>
      <x:c r="M465" t="str">
        <x:v>W</x:v>
      </x:c>
      <x:c r="N465" t="str">
        <x:v>B</x:v>
      </x:c>
      <x:c r="O465" t="str">
        <x:v>B</x:v>
      </x:c>
      <x:c r="P465" t="str">
        <x:v>W</x:v>
      </x:c>
      <x:c r="Q465" t="str">
        <x:v>B</x:v>
      </x:c>
      <x:c r="R465" t="str">
        <x:v>W</x:v>
      </x:c>
      <x:c r="S465" t="str">
        <x:v>W</x:v>
      </x:c>
      <x:c r="T465" t="str">
        <x:v>W</x:v>
      </x:c>
      <x:c r="U465" t="str">
        <x:v>B</x:v>
      </x:c>
      <x:c r="V465" t="n">
        <x:f>COUNTIF(B465:U465,"W")</x:f>
        <x:v>8</x:v>
      </x:c>
      <x:c r="W465" s="5" t="str">
        <x:f>IF(COUNTIF(B465:D465,"W")&gt;0,"Y","N")</x:f>
        <x:v>N</x:v>
      </x:c>
      <x:c r="X465" s="1"/>
      <x:c r="Y465" s="1"/>
      <x:c r="Z465" s="1"/>
      <x:c r="AA465" s="1"/>
      <x:c r="AB465" s="1"/>
      <x:c r="AC465" s="1"/>
      <x:c r="AD465" s="1"/>
    </x:row>
    <x:row r="466">
      <x:c r="A466" s="1">
        <x:v>465</x:v>
      </x:c>
      <x:c r="B466" t="str">
        <x:v>B</x:v>
      </x:c>
      <x:c r="C466" t="str">
        <x:v>B</x:v>
      </x:c>
      <x:c r="D466" t="str">
        <x:v>B</x:v>
      </x:c>
      <x:c r="E466" t="str">
        <x:v>B</x:v>
      </x:c>
      <x:c r="F466" t="str">
        <x:v>B</x:v>
      </x:c>
      <x:c r="G466" t="str">
        <x:v>B</x:v>
      </x:c>
      <x:c r="H466" t="str">
        <x:v>B</x:v>
      </x:c>
      <x:c r="I466" t="str">
        <x:v>W</x:v>
      </x:c>
      <x:c r="J466" t="str">
        <x:v>W</x:v>
      </x:c>
      <x:c r="K466" t="str">
        <x:v>W</x:v>
      </x:c>
      <x:c r="L466" t="str">
        <x:v>B</x:v>
      </x:c>
      <x:c r="M466" t="str">
        <x:v>W</x:v>
      </x:c>
      <x:c r="N466" t="str">
        <x:v>B</x:v>
      </x:c>
      <x:c r="O466" t="str">
        <x:v>W</x:v>
      </x:c>
      <x:c r="P466" t="str">
        <x:v>W</x:v>
      </x:c>
      <x:c r="Q466" t="str">
        <x:v>B</x:v>
      </x:c>
      <x:c r="R466" t="str">
        <x:v>B</x:v>
      </x:c>
      <x:c r="S466" t="str">
        <x:v>B</x:v>
      </x:c>
      <x:c r="T466" t="str">
        <x:v>B</x:v>
      </x:c>
      <x:c r="U466" t="str">
        <x:v>B</x:v>
      </x:c>
      <x:c r="V466" t="n">
        <x:f>COUNTIF(B466:U466,"W")</x:f>
        <x:v>6</x:v>
      </x:c>
      <x:c r="W466" s="5" t="str">
        <x:f>IF(COUNTIF(B466:D466,"W")&gt;0,"Y","N")</x:f>
        <x:v>N</x:v>
      </x:c>
      <x:c r="X466" s="1"/>
      <x:c r="Y466" s="1"/>
      <x:c r="Z466" s="1"/>
      <x:c r="AA466" s="1"/>
      <x:c r="AB466" s="1"/>
      <x:c r="AC466" s="1"/>
      <x:c r="AD466" s="1"/>
    </x:row>
    <x:row r="467">
      <x:c r="A467" s="1">
        <x:v>466</x:v>
      </x:c>
      <x:c r="B467" t="str">
        <x:v>B</x:v>
      </x:c>
      <x:c r="C467" t="str">
        <x:v>B</x:v>
      </x:c>
      <x:c r="D467" t="str">
        <x:v>B</x:v>
      </x:c>
      <x:c r="E467" t="str">
        <x:v>B</x:v>
      </x:c>
      <x:c r="F467" t="str">
        <x:v>W</x:v>
      </x:c>
      <x:c r="G467" t="str">
        <x:v>B</x:v>
      </x:c>
      <x:c r="H467" t="str">
        <x:v>B</x:v>
      </x:c>
      <x:c r="I467" t="str">
        <x:v>B</x:v>
      </x:c>
      <x:c r="J467" t="str">
        <x:v>B</x:v>
      </x:c>
      <x:c r="K467" t="str">
        <x:v>B</x:v>
      </x:c>
      <x:c r="L467" t="str">
        <x:v>B</x:v>
      </x:c>
      <x:c r="M467" t="str">
        <x:v>W</x:v>
      </x:c>
      <x:c r="N467" t="str">
        <x:v>W</x:v>
      </x:c>
      <x:c r="O467" t="str">
        <x:v>B</x:v>
      </x:c>
      <x:c r="P467" t="str">
        <x:v>B</x:v>
      </x:c>
      <x:c r="Q467" t="str">
        <x:v>B</x:v>
      </x:c>
      <x:c r="R467" t="str">
        <x:v>B</x:v>
      </x:c>
      <x:c r="S467" t="str">
        <x:v>B</x:v>
      </x:c>
      <x:c r="T467" t="str">
        <x:v>B</x:v>
      </x:c>
      <x:c r="U467" t="str">
        <x:v>B</x:v>
      </x:c>
      <x:c r="V467" t="n">
        <x:f>COUNTIF(B467:U467,"W")</x:f>
        <x:v>3</x:v>
      </x:c>
      <x:c r="W467" s="5" t="str">
        <x:f>IF(COUNTIF(B467:D467,"W")&gt;0,"Y","N")</x:f>
        <x:v>N</x:v>
      </x:c>
      <x:c r="X467" s="1"/>
      <x:c r="Y467" s="1"/>
      <x:c r="Z467" s="1"/>
      <x:c r="AA467" s="1"/>
      <x:c r="AB467" s="1"/>
      <x:c r="AC467" s="1"/>
      <x:c r="AD467" s="1"/>
    </x:row>
    <x:row r="468">
      <x:c r="A468" s="1">
        <x:v>467</x:v>
      </x:c>
      <x:c r="B468" t="str">
        <x:v>W</x:v>
      </x:c>
      <x:c r="C468" t="str">
        <x:v>B</x:v>
      </x:c>
      <x:c r="D468" t="str">
        <x:v>W</x:v>
      </x:c>
      <x:c r="E468" t="str">
        <x:v>B</x:v>
      </x:c>
      <x:c r="F468" t="str">
        <x:v>W</x:v>
      </x:c>
      <x:c r="G468" t="str">
        <x:v>B</x:v>
      </x:c>
      <x:c r="H468" t="str">
        <x:v>B</x:v>
      </x:c>
      <x:c r="I468" t="str">
        <x:v>W</x:v>
      </x:c>
      <x:c r="J468" t="str">
        <x:v>B</x:v>
      </x:c>
      <x:c r="K468" t="str">
        <x:v>B</x:v>
      </x:c>
      <x:c r="L468" t="str">
        <x:v>B</x:v>
      </x:c>
      <x:c r="M468" t="str">
        <x:v>B</x:v>
      </x:c>
      <x:c r="N468" t="str">
        <x:v>W</x:v>
      </x:c>
      <x:c r="O468" t="str">
        <x:v>B</x:v>
      </x:c>
      <x:c r="P468" t="str">
        <x:v>W</x:v>
      </x:c>
      <x:c r="Q468" t="str">
        <x:v>B</x:v>
      </x:c>
      <x:c r="R468" t="str">
        <x:v>W</x:v>
      </x:c>
      <x:c r="S468" t="str">
        <x:v>B</x:v>
      </x:c>
      <x:c r="T468" t="str">
        <x:v>B</x:v>
      </x:c>
      <x:c r="U468" t="str">
        <x:v>W</x:v>
      </x:c>
      <x:c r="V468" t="n">
        <x:f>COUNTIF(B468:U468,"W")</x:f>
        <x:v>8</x:v>
      </x:c>
      <x:c r="W468" s="5" t="str">
        <x:f>IF(COUNTIF(B468:D468,"W")&gt;0,"Y","N")</x:f>
        <x:v>Y</x:v>
      </x:c>
      <x:c r="X468" s="1"/>
      <x:c r="Y468" s="1"/>
      <x:c r="Z468" s="1"/>
      <x:c r="AA468" s="1"/>
      <x:c r="AB468" s="1"/>
      <x:c r="AC468" s="1"/>
      <x:c r="AD468" s="1"/>
    </x:row>
    <x:row r="469">
      <x:c r="A469" s="1">
        <x:v>468</x:v>
      </x:c>
      <x:c r="B469" t="str">
        <x:v>B</x:v>
      </x:c>
      <x:c r="C469" t="str">
        <x:v>W</x:v>
      </x:c>
      <x:c r="D469" t="str">
        <x:v>W</x:v>
      </x:c>
      <x:c r="E469" t="str">
        <x:v>B</x:v>
      </x:c>
      <x:c r="F469" t="str">
        <x:v>B</x:v>
      </x:c>
      <x:c r="G469" t="str">
        <x:v>B</x:v>
      </x:c>
      <x:c r="H469" t="str">
        <x:v>B</x:v>
      </x:c>
      <x:c r="I469" t="str">
        <x:v>B</x:v>
      </x:c>
      <x:c r="J469" t="str">
        <x:v>B</x:v>
      </x:c>
      <x:c r="K469" t="str">
        <x:v>B</x:v>
      </x:c>
      <x:c r="L469" t="str">
        <x:v>B</x:v>
      </x:c>
      <x:c r="M469" t="str">
        <x:v>B</x:v>
      </x:c>
      <x:c r="N469" t="str">
        <x:v>B</x:v>
      </x:c>
      <x:c r="O469" t="str">
        <x:v>W</x:v>
      </x:c>
      <x:c r="P469" t="str">
        <x:v>W</x:v>
      </x:c>
      <x:c r="Q469" t="str">
        <x:v>B</x:v>
      </x:c>
      <x:c r="R469" t="str">
        <x:v>B</x:v>
      </x:c>
      <x:c r="S469" t="str">
        <x:v>W</x:v>
      </x:c>
      <x:c r="T469" t="str">
        <x:v>B</x:v>
      </x:c>
      <x:c r="U469" t="str">
        <x:v>B</x:v>
      </x:c>
      <x:c r="V469" t="n">
        <x:f>COUNTIF(B469:U469,"W")</x:f>
        <x:v>5</x:v>
      </x:c>
      <x:c r="W469" s="5" t="str">
        <x:f>IF(COUNTIF(B469:D469,"W")&gt;0,"Y","N")</x:f>
        <x:v>Y</x:v>
      </x:c>
      <x:c r="X469" s="1"/>
      <x:c r="Y469" s="1"/>
      <x:c r="Z469" s="1"/>
      <x:c r="AA469" s="1"/>
      <x:c r="AB469" s="1"/>
      <x:c r="AC469" s="1"/>
      <x:c r="AD469" s="1"/>
    </x:row>
    <x:row r="470">
      <x:c r="A470" s="1">
        <x:v>469</x:v>
      </x:c>
      <x:c r="B470" t="str">
        <x:v>B</x:v>
      </x:c>
      <x:c r="C470" t="str">
        <x:v>B</x:v>
      </x:c>
      <x:c r="D470" t="str">
        <x:v>W</x:v>
      </x:c>
      <x:c r="E470" t="str">
        <x:v>B</x:v>
      </x:c>
      <x:c r="F470" t="str">
        <x:v>W</x:v>
      </x:c>
      <x:c r="G470" t="str">
        <x:v>B</x:v>
      </x:c>
      <x:c r="H470" t="str">
        <x:v>B</x:v>
      </x:c>
      <x:c r="I470" t="str">
        <x:v>W</x:v>
      </x:c>
      <x:c r="J470" t="str">
        <x:v>B</x:v>
      </x:c>
      <x:c r="K470" t="str">
        <x:v>B</x:v>
      </x:c>
      <x:c r="L470" t="str">
        <x:v>B</x:v>
      </x:c>
      <x:c r="M470" t="str">
        <x:v>W</x:v>
      </x:c>
      <x:c r="N470" t="str">
        <x:v>B</x:v>
      </x:c>
      <x:c r="O470" t="str">
        <x:v>B</x:v>
      </x:c>
      <x:c r="P470" t="str">
        <x:v>B</x:v>
      </x:c>
      <x:c r="Q470" t="str">
        <x:v>B</x:v>
      </x:c>
      <x:c r="R470" t="str">
        <x:v>B</x:v>
      </x:c>
      <x:c r="S470" t="str">
        <x:v>B</x:v>
      </x:c>
      <x:c r="T470" t="str">
        <x:v>B</x:v>
      </x:c>
      <x:c r="U470" t="str">
        <x:v>B</x:v>
      </x:c>
      <x:c r="V470" t="n">
        <x:f>COUNTIF(B470:U470,"W")</x:f>
        <x:v>4</x:v>
      </x:c>
      <x:c r="W470" s="5" t="str">
        <x:f>IF(COUNTIF(B470:D470,"W")&gt;0,"Y","N")</x:f>
        <x:v>Y</x:v>
      </x:c>
      <x:c r="X470" s="1"/>
      <x:c r="Y470" s="1"/>
      <x:c r="Z470" s="1"/>
      <x:c r="AA470" s="1"/>
      <x:c r="AB470" s="1"/>
      <x:c r="AC470" s="1"/>
      <x:c r="AD470" s="1"/>
    </x:row>
    <x:row r="471">
      <x:c r="A471" s="1">
        <x:v>470</x:v>
      </x:c>
      <x:c r="B471" t="str">
        <x:v>B</x:v>
      </x:c>
      <x:c r="C471" t="str">
        <x:v>W</x:v>
      </x:c>
      <x:c r="D471" t="str">
        <x:v>B</x:v>
      </x:c>
      <x:c r="E471" t="str">
        <x:v>W</x:v>
      </x:c>
      <x:c r="F471" t="str">
        <x:v>B</x:v>
      </x:c>
      <x:c r="G471" t="str">
        <x:v>B</x:v>
      </x:c>
      <x:c r="H471" t="str">
        <x:v>W</x:v>
      </x:c>
      <x:c r="I471" t="str">
        <x:v>W</x:v>
      </x:c>
      <x:c r="J471" t="str">
        <x:v>B</x:v>
      </x:c>
      <x:c r="K471" t="str">
        <x:v>B</x:v>
      </x:c>
      <x:c r="L471" t="str">
        <x:v>B</x:v>
      </x:c>
      <x:c r="M471" t="str">
        <x:v>W</x:v>
      </x:c>
      <x:c r="N471" t="str">
        <x:v>B</x:v>
      </x:c>
      <x:c r="O471" t="str">
        <x:v>W</x:v>
      </x:c>
      <x:c r="P471" t="str">
        <x:v>W</x:v>
      </x:c>
      <x:c r="Q471" t="str">
        <x:v>B</x:v>
      </x:c>
      <x:c r="R471" t="str">
        <x:v>W</x:v>
      </x:c>
      <x:c r="S471" t="str">
        <x:v>B</x:v>
      </x:c>
      <x:c r="T471" t="str">
        <x:v>W</x:v>
      </x:c>
      <x:c r="U471" t="str">
        <x:v>B</x:v>
      </x:c>
      <x:c r="V471" t="n">
        <x:f>COUNTIF(B471:U471,"W")</x:f>
        <x:v>9</x:v>
      </x:c>
      <x:c r="W471" s="5" t="str">
        <x:f>IF(COUNTIF(B471:D471,"W")&gt;0,"Y","N")</x:f>
        <x:v>Y</x:v>
      </x:c>
      <x:c r="X471" s="1"/>
      <x:c r="Y471" s="1"/>
      <x:c r="Z471" s="1"/>
      <x:c r="AA471" s="1"/>
      <x:c r="AB471" s="1"/>
      <x:c r="AC471" s="1"/>
      <x:c r="AD471" s="1"/>
    </x:row>
    <x:row r="472">
      <x:c r="A472" s="1">
        <x:v>471</x:v>
      </x:c>
      <x:c r="B472" t="str">
        <x:v>B</x:v>
      </x:c>
      <x:c r="C472" t="str">
        <x:v>B</x:v>
      </x:c>
      <x:c r="D472" t="str">
        <x:v>B</x:v>
      </x:c>
      <x:c r="E472" t="str">
        <x:v>B</x:v>
      </x:c>
      <x:c r="F472" t="str">
        <x:v>B</x:v>
      </x:c>
      <x:c r="G472" t="str">
        <x:v>B</x:v>
      </x:c>
      <x:c r="H472" t="str">
        <x:v>B</x:v>
      </x:c>
      <x:c r="I472" t="str">
        <x:v>B</x:v>
      </x:c>
      <x:c r="J472" t="str">
        <x:v>W</x:v>
      </x:c>
      <x:c r="K472" t="str">
        <x:v>B</x:v>
      </x:c>
      <x:c r="L472" t="str">
        <x:v>B</x:v>
      </x:c>
      <x:c r="M472" t="str">
        <x:v>W</x:v>
      </x:c>
      <x:c r="N472" t="str">
        <x:v>W</x:v>
      </x:c>
      <x:c r="O472" t="str">
        <x:v>B</x:v>
      </x:c>
      <x:c r="P472" t="str">
        <x:v>B</x:v>
      </x:c>
      <x:c r="Q472" t="str">
        <x:v>W</x:v>
      </x:c>
      <x:c r="R472" t="str">
        <x:v>W</x:v>
      </x:c>
      <x:c r="S472" t="str">
        <x:v>B</x:v>
      </x:c>
      <x:c r="T472" t="str">
        <x:v>B</x:v>
      </x:c>
      <x:c r="U472" t="str">
        <x:v>W</x:v>
      </x:c>
      <x:c r="V472" t="n">
        <x:f>COUNTIF(B472:U472,"W")</x:f>
        <x:v>6</x:v>
      </x:c>
      <x:c r="W472" s="5" t="str">
        <x:f>IF(COUNTIF(B472:D472,"W")&gt;0,"Y","N")</x:f>
        <x:v>N</x:v>
      </x:c>
      <x:c r="X472" s="1"/>
      <x:c r="Y472" s="1"/>
      <x:c r="Z472" s="1"/>
      <x:c r="AA472" s="1"/>
      <x:c r="AB472" s="1"/>
      <x:c r="AC472" s="1"/>
      <x:c r="AD472" s="1"/>
    </x:row>
    <x:row r="473">
      <x:c r="A473" s="1">
        <x:v>472</x:v>
      </x:c>
      <x:c r="B473" t="str">
        <x:v>B</x:v>
      </x:c>
      <x:c r="C473" t="str">
        <x:v>W</x:v>
      </x:c>
      <x:c r="D473" t="str">
        <x:v>W</x:v>
      </x:c>
      <x:c r="E473" t="str">
        <x:v>B</x:v>
      </x:c>
      <x:c r="F473" t="str">
        <x:v>B</x:v>
      </x:c>
      <x:c r="G473" t="str">
        <x:v>B</x:v>
      </x:c>
      <x:c r="H473" t="str">
        <x:v>B</x:v>
      </x:c>
      <x:c r="I473" t="str">
        <x:v>B</x:v>
      </x:c>
      <x:c r="J473" t="str">
        <x:v>B</x:v>
      </x:c>
      <x:c r="K473" t="str">
        <x:v>B</x:v>
      </x:c>
      <x:c r="L473" t="str">
        <x:v>B</x:v>
      </x:c>
      <x:c r="M473" t="str">
        <x:v>W</x:v>
      </x:c>
      <x:c r="N473" t="str">
        <x:v>W</x:v>
      </x:c>
      <x:c r="O473" t="str">
        <x:v>B</x:v>
      </x:c>
      <x:c r="P473" t="str">
        <x:v>W</x:v>
      </x:c>
      <x:c r="Q473" t="str">
        <x:v>W</x:v>
      </x:c>
      <x:c r="R473" t="str">
        <x:v>B</x:v>
      </x:c>
      <x:c r="S473" t="str">
        <x:v>B</x:v>
      </x:c>
      <x:c r="T473" t="str">
        <x:v>B</x:v>
      </x:c>
      <x:c r="U473" t="str">
        <x:v>W</x:v>
      </x:c>
      <x:c r="V473" t="n">
        <x:f>COUNTIF(B473:U473,"W")</x:f>
        <x:v>7</x:v>
      </x:c>
      <x:c r="W473" s="5" t="str">
        <x:f>IF(COUNTIF(B473:D473,"W")&gt;0,"Y","N")</x:f>
        <x:v>Y</x:v>
      </x:c>
      <x:c r="X473" s="1"/>
      <x:c r="Y473" s="1"/>
      <x:c r="Z473" s="1"/>
      <x:c r="AA473" s="1"/>
      <x:c r="AB473" s="1"/>
      <x:c r="AC473" s="1"/>
      <x:c r="AD473" s="1"/>
    </x:row>
    <x:row r="474">
      <x:c r="A474" s="1">
        <x:v>473</x:v>
      </x:c>
      <x:c r="B474" t="str">
        <x:v>B</x:v>
      </x:c>
      <x:c r="C474" t="str">
        <x:v>W</x:v>
      </x:c>
      <x:c r="D474" t="str">
        <x:v>B</x:v>
      </x:c>
      <x:c r="E474" t="str">
        <x:v>W</x:v>
      </x:c>
      <x:c r="F474" t="str">
        <x:v>B</x:v>
      </x:c>
      <x:c r="G474" t="str">
        <x:v>B</x:v>
      </x:c>
      <x:c r="H474" t="str">
        <x:v>W</x:v>
      </x:c>
      <x:c r="I474" t="str">
        <x:v>B</x:v>
      </x:c>
      <x:c r="J474" t="str">
        <x:v>W</x:v>
      </x:c>
      <x:c r="K474" t="str">
        <x:v>B</x:v>
      </x:c>
      <x:c r="L474" t="str">
        <x:v>W</x:v>
      </x:c>
      <x:c r="M474" t="str">
        <x:v>B</x:v>
      </x:c>
      <x:c r="N474" t="str">
        <x:v>W</x:v>
      </x:c>
      <x:c r="O474" t="str">
        <x:v>W</x:v>
      </x:c>
      <x:c r="P474" t="str">
        <x:v>B</x:v>
      </x:c>
      <x:c r="Q474" t="str">
        <x:v>B</x:v>
      </x:c>
      <x:c r="R474" t="str">
        <x:v>B</x:v>
      </x:c>
      <x:c r="S474" t="str">
        <x:v>B</x:v>
      </x:c>
      <x:c r="T474" t="str">
        <x:v>W</x:v>
      </x:c>
      <x:c r="U474" t="str">
        <x:v>B</x:v>
      </x:c>
      <x:c r="V474" t="n">
        <x:f>COUNTIF(B474:U474,"W")</x:f>
        <x:v>8</x:v>
      </x:c>
      <x:c r="W474" s="5" t="str">
        <x:f>IF(COUNTIF(B474:D474,"W")&gt;0,"Y","N")</x:f>
        <x:v>Y</x:v>
      </x:c>
      <x:c r="X474" s="1"/>
      <x:c r="Y474" s="1"/>
      <x:c r="Z474" s="1"/>
      <x:c r="AA474" s="1"/>
      <x:c r="AB474" s="1"/>
      <x:c r="AC474" s="1"/>
      <x:c r="AD474" s="1"/>
    </x:row>
    <x:row r="475">
      <x:c r="A475" s="1">
        <x:v>474</x:v>
      </x:c>
      <x:c r="B475" t="str">
        <x:v>W</x:v>
      </x:c>
      <x:c r="C475" t="str">
        <x:v>B</x:v>
      </x:c>
      <x:c r="D475" t="str">
        <x:v>B</x:v>
      </x:c>
      <x:c r="E475" t="str">
        <x:v>B</x:v>
      </x:c>
      <x:c r="F475" t="str">
        <x:v>B</x:v>
      </x:c>
      <x:c r="G475" t="str">
        <x:v>B</x:v>
      </x:c>
      <x:c r="H475" t="str">
        <x:v>B</x:v>
      </x:c>
      <x:c r="I475" t="str">
        <x:v>B</x:v>
      </x:c>
      <x:c r="J475" t="str">
        <x:v>W</x:v>
      </x:c>
      <x:c r="K475" t="str">
        <x:v>W</x:v>
      </x:c>
      <x:c r="L475" t="str">
        <x:v>B</x:v>
      </x:c>
      <x:c r="M475" t="str">
        <x:v>B</x:v>
      </x:c>
      <x:c r="N475" t="str">
        <x:v>W</x:v>
      </x:c>
      <x:c r="O475" t="str">
        <x:v>B</x:v>
      </x:c>
      <x:c r="P475" t="str">
        <x:v>W</x:v>
      </x:c>
      <x:c r="Q475" t="str">
        <x:v>B</x:v>
      </x:c>
      <x:c r="R475" t="str">
        <x:v>W</x:v>
      </x:c>
      <x:c r="S475" t="str">
        <x:v>B</x:v>
      </x:c>
      <x:c r="T475" t="str">
        <x:v>W</x:v>
      </x:c>
      <x:c r="U475" t="str">
        <x:v>W</x:v>
      </x:c>
      <x:c r="V475" t="n">
        <x:f>COUNTIF(B475:U475,"W")</x:f>
        <x:v>8</x:v>
      </x:c>
      <x:c r="W475" s="5" t="str">
        <x:f>IF(COUNTIF(B475:D475,"W")&gt;0,"Y","N")</x:f>
        <x:v>Y</x:v>
      </x:c>
      <x:c r="X475" s="1"/>
      <x:c r="Y475" s="1"/>
      <x:c r="Z475" s="1"/>
      <x:c r="AA475" s="1"/>
      <x:c r="AB475" s="1"/>
      <x:c r="AC475" s="1"/>
      <x:c r="AD475" s="1"/>
    </x:row>
    <x:row r="476">
      <x:c r="A476" s="1">
        <x:v>475</x:v>
      </x:c>
      <x:c r="B476" t="str">
        <x:v>W</x:v>
      </x:c>
      <x:c r="C476" t="str">
        <x:v>B</x:v>
      </x:c>
      <x:c r="D476" t="str">
        <x:v>B</x:v>
      </x:c>
      <x:c r="E476" t="str">
        <x:v>W</x:v>
      </x:c>
      <x:c r="F476" t="str">
        <x:v>B</x:v>
      </x:c>
      <x:c r="G476" t="str">
        <x:v>B</x:v>
      </x:c>
      <x:c r="H476" t="str">
        <x:v>B</x:v>
      </x:c>
      <x:c r="I476" t="str">
        <x:v>B</x:v>
      </x:c>
      <x:c r="J476" t="str">
        <x:v>B</x:v>
      </x:c>
      <x:c r="K476" t="str">
        <x:v>B</x:v>
      </x:c>
      <x:c r="L476" t="str">
        <x:v>B</x:v>
      </x:c>
      <x:c r="M476" t="str">
        <x:v>W</x:v>
      </x:c>
      <x:c r="N476" t="str">
        <x:v>B</x:v>
      </x:c>
      <x:c r="O476" t="str">
        <x:v>B</x:v>
      </x:c>
      <x:c r="P476" t="str">
        <x:v>B</x:v>
      </x:c>
      <x:c r="Q476" t="str">
        <x:v>W</x:v>
      </x:c>
      <x:c r="R476" t="str">
        <x:v>B</x:v>
      </x:c>
      <x:c r="S476" t="str">
        <x:v>B</x:v>
      </x:c>
      <x:c r="T476" t="str">
        <x:v>W</x:v>
      </x:c>
      <x:c r="U476" t="str">
        <x:v>B</x:v>
      </x:c>
      <x:c r="V476" t="n">
        <x:f>COUNTIF(B476:U476,"W")</x:f>
        <x:v>5</x:v>
      </x:c>
      <x:c r="W476" s="5" t="str">
        <x:f>IF(COUNTIF(B476:D476,"W")&gt;0,"Y","N")</x:f>
        <x:v>Y</x:v>
      </x:c>
      <x:c r="X476" s="1"/>
      <x:c r="Y476" s="1"/>
      <x:c r="Z476" s="1"/>
      <x:c r="AA476" s="1"/>
      <x:c r="AB476" s="1"/>
      <x:c r="AC476" s="1"/>
      <x:c r="AD476" s="1"/>
    </x:row>
    <x:row r="477">
      <x:c r="A477" s="1">
        <x:v>476</x:v>
      </x:c>
      <x:c r="B477" t="str">
        <x:v>W</x:v>
      </x:c>
      <x:c r="C477" t="str">
        <x:v>B</x:v>
      </x:c>
      <x:c r="D477" t="str">
        <x:v>B</x:v>
      </x:c>
      <x:c r="E477" t="str">
        <x:v>W</x:v>
      </x:c>
      <x:c r="F477" t="str">
        <x:v>W</x:v>
      </x:c>
      <x:c r="G477" t="str">
        <x:v>B</x:v>
      </x:c>
      <x:c r="H477" t="str">
        <x:v>B</x:v>
      </x:c>
      <x:c r="I477" t="str">
        <x:v>W</x:v>
      </x:c>
      <x:c r="J477" t="str">
        <x:v>W</x:v>
      </x:c>
      <x:c r="K477" t="str">
        <x:v>B</x:v>
      </x:c>
      <x:c r="L477" t="str">
        <x:v>B</x:v>
      </x:c>
      <x:c r="M477" t="str">
        <x:v>B</x:v>
      </x:c>
      <x:c r="N477" t="str">
        <x:v>W</x:v>
      </x:c>
      <x:c r="O477" t="str">
        <x:v>W</x:v>
      </x:c>
      <x:c r="P477" t="str">
        <x:v>B</x:v>
      </x:c>
      <x:c r="Q477" t="str">
        <x:v>B</x:v>
      </x:c>
      <x:c r="R477" t="str">
        <x:v>B</x:v>
      </x:c>
      <x:c r="S477" t="str">
        <x:v>W</x:v>
      </x:c>
      <x:c r="T477" t="str">
        <x:v>B</x:v>
      </x:c>
      <x:c r="U477" t="str">
        <x:v>W</x:v>
      </x:c>
      <x:c r="V477" t="n">
        <x:f>COUNTIF(B477:U477,"W")</x:f>
        <x:v>9</x:v>
      </x:c>
      <x:c r="W477" s="5" t="str">
        <x:f>IF(COUNTIF(B477:D477,"W")&gt;0,"Y","N")</x:f>
        <x:v>Y</x:v>
      </x:c>
      <x:c r="X477" s="1"/>
      <x:c r="Y477" s="1"/>
      <x:c r="Z477" s="1"/>
      <x:c r="AA477" s="1"/>
      <x:c r="AB477" s="1"/>
      <x:c r="AC477" s="1"/>
      <x:c r="AD477" s="1"/>
    </x:row>
    <x:row r="478">
      <x:c r="A478" s="1">
        <x:v>477</x:v>
      </x:c>
      <x:c r="B478" t="str">
        <x:v>B</x:v>
      </x:c>
      <x:c r="C478" t="str">
        <x:v>B</x:v>
      </x:c>
      <x:c r="D478" t="str">
        <x:v>B</x:v>
      </x:c>
      <x:c r="E478" t="str">
        <x:v>W</x:v>
      </x:c>
      <x:c r="F478" t="str">
        <x:v>B</x:v>
      </x:c>
      <x:c r="G478" t="str">
        <x:v>W</x:v>
      </x:c>
      <x:c r="H478" t="str">
        <x:v>B</x:v>
      </x:c>
      <x:c r="I478" t="str">
        <x:v>W</x:v>
      </x:c>
      <x:c r="J478" t="str">
        <x:v>W</x:v>
      </x:c>
      <x:c r="K478" t="str">
        <x:v>W</x:v>
      </x:c>
      <x:c r="L478" t="str">
        <x:v>B</x:v>
      </x:c>
      <x:c r="M478" t="str">
        <x:v>B</x:v>
      </x:c>
      <x:c r="N478" t="str">
        <x:v>B</x:v>
      </x:c>
      <x:c r="O478" t="str">
        <x:v>B</x:v>
      </x:c>
      <x:c r="P478" t="str">
        <x:v>W</x:v>
      </x:c>
      <x:c r="Q478" t="str">
        <x:v>W</x:v>
      </x:c>
      <x:c r="R478" t="str">
        <x:v>B</x:v>
      </x:c>
      <x:c r="S478" t="str">
        <x:v>W</x:v>
      </x:c>
      <x:c r="T478" t="str">
        <x:v>W</x:v>
      </x:c>
      <x:c r="U478" t="str">
        <x:v>B</x:v>
      </x:c>
      <x:c r="V478" t="n">
        <x:f>COUNTIF(B478:U478,"W")</x:f>
        <x:v>9</x:v>
      </x:c>
      <x:c r="W478" s="5" t="str">
        <x:f>IF(COUNTIF(B478:D478,"W")&gt;0,"Y","N")</x:f>
        <x:v>N</x:v>
      </x:c>
      <x:c r="X478" s="1"/>
      <x:c r="Y478" s="1"/>
      <x:c r="Z478" s="1"/>
      <x:c r="AA478" s="1"/>
      <x:c r="AB478" s="1"/>
      <x:c r="AC478" s="1"/>
      <x:c r="AD478" s="1"/>
    </x:row>
    <x:row r="479">
      <x:c r="A479" s="1">
        <x:v>478</x:v>
      </x:c>
      <x:c r="B479" t="str">
        <x:v>B</x:v>
      </x:c>
      <x:c r="C479" t="str">
        <x:v>W</x:v>
      </x:c>
      <x:c r="D479" t="str">
        <x:v>W</x:v>
      </x:c>
      <x:c r="E479" t="str">
        <x:v>B</x:v>
      </x:c>
      <x:c r="F479" t="str">
        <x:v>B</x:v>
      </x:c>
      <x:c r="G479" t="str">
        <x:v>B</x:v>
      </x:c>
      <x:c r="H479" t="str">
        <x:v>W</x:v>
      </x:c>
      <x:c r="I479" t="str">
        <x:v>W</x:v>
      </x:c>
      <x:c r="J479" t="str">
        <x:v>W</x:v>
      </x:c>
      <x:c r="K479" t="str">
        <x:v>B</x:v>
      </x:c>
      <x:c r="L479" t="str">
        <x:v>W</x:v>
      </x:c>
      <x:c r="M479" t="str">
        <x:v>W</x:v>
      </x:c>
      <x:c r="N479" t="str">
        <x:v>W</x:v>
      </x:c>
      <x:c r="O479" t="str">
        <x:v>W</x:v>
      </x:c>
      <x:c r="P479" t="str">
        <x:v>B</x:v>
      </x:c>
      <x:c r="Q479" t="str">
        <x:v>B</x:v>
      </x:c>
      <x:c r="R479" t="str">
        <x:v>B</x:v>
      </x:c>
      <x:c r="S479" t="str">
        <x:v>W</x:v>
      </x:c>
      <x:c r="T479" t="str">
        <x:v>W</x:v>
      </x:c>
      <x:c r="U479" t="str">
        <x:v>B</x:v>
      </x:c>
      <x:c r="V479" t="n">
        <x:f>COUNTIF(B479:U479,"W")</x:f>
        <x:v>11</x:v>
      </x:c>
      <x:c r="W479" s="5" t="str">
        <x:f>IF(COUNTIF(B479:D479,"W")&gt;0,"Y","N")</x:f>
        <x:v>Y</x:v>
      </x:c>
      <x:c r="X479" s="1"/>
      <x:c r="Y479" s="1"/>
      <x:c r="Z479" s="1"/>
      <x:c r="AA479" s="1"/>
      <x:c r="AB479" s="1"/>
      <x:c r="AC479" s="1"/>
      <x:c r="AD479" s="1"/>
    </x:row>
    <x:row r="480">
      <x:c r="A480" s="1">
        <x:v>479</x:v>
      </x:c>
      <x:c r="B480" t="str">
        <x:v>B</x:v>
      </x:c>
      <x:c r="C480" t="str">
        <x:v>B</x:v>
      </x:c>
      <x:c r="D480" t="str">
        <x:v>B</x:v>
      </x:c>
      <x:c r="E480" t="str">
        <x:v>B</x:v>
      </x:c>
      <x:c r="F480" t="str">
        <x:v>B</x:v>
      </x:c>
      <x:c r="G480" t="str">
        <x:v>B</x:v>
      </x:c>
      <x:c r="H480" t="str">
        <x:v>B</x:v>
      </x:c>
      <x:c r="I480" t="str">
        <x:v>W</x:v>
      </x:c>
      <x:c r="J480" t="str">
        <x:v>W</x:v>
      </x:c>
      <x:c r="K480" t="str">
        <x:v>W</x:v>
      </x:c>
      <x:c r="L480" t="str">
        <x:v>B</x:v>
      </x:c>
      <x:c r="M480" t="str">
        <x:v>W</x:v>
      </x:c>
      <x:c r="N480" t="str">
        <x:v>B</x:v>
      </x:c>
      <x:c r="O480" t="str">
        <x:v>B</x:v>
      </x:c>
      <x:c r="P480" t="str">
        <x:v>B</x:v>
      </x:c>
      <x:c r="Q480" t="str">
        <x:v>B</x:v>
      </x:c>
      <x:c r="R480" t="str">
        <x:v>B</x:v>
      </x:c>
      <x:c r="S480" t="str">
        <x:v>W</x:v>
      </x:c>
      <x:c r="T480" t="str">
        <x:v>W</x:v>
      </x:c>
      <x:c r="U480" t="str">
        <x:v>B</x:v>
      </x:c>
      <x:c r="V480" t="n">
        <x:f>COUNTIF(B480:U480,"W")</x:f>
        <x:v>6</x:v>
      </x:c>
      <x:c r="W480" s="5" t="str">
        <x:f>IF(COUNTIF(B480:D480,"W")&gt;0,"Y","N")</x:f>
        <x:v>N</x:v>
      </x:c>
      <x:c r="X480" s="1"/>
      <x:c r="Y480" s="1"/>
      <x:c r="Z480" s="1"/>
      <x:c r="AA480" s="1"/>
      <x:c r="AB480" s="1"/>
      <x:c r="AC480" s="1"/>
      <x:c r="AD480" s="1"/>
    </x:row>
    <x:row r="481">
      <x:c r="A481" s="1">
        <x:v>480</x:v>
      </x:c>
      <x:c r="B481" t="str">
        <x:v>B</x:v>
      </x:c>
      <x:c r="C481" t="str">
        <x:v>W</x:v>
      </x:c>
      <x:c r="D481" t="str">
        <x:v>W</x:v>
      </x:c>
      <x:c r="E481" t="str">
        <x:v>W</x:v>
      </x:c>
      <x:c r="F481" t="str">
        <x:v>W</x:v>
      </x:c>
      <x:c r="G481" t="str">
        <x:v>B</x:v>
      </x:c>
      <x:c r="H481" t="str">
        <x:v>W</x:v>
      </x:c>
      <x:c r="I481" t="str">
        <x:v>B</x:v>
      </x:c>
      <x:c r="J481" t="str">
        <x:v>W</x:v>
      </x:c>
      <x:c r="K481" t="str">
        <x:v>W</x:v>
      </x:c>
      <x:c r="L481" t="str">
        <x:v>B</x:v>
      </x:c>
      <x:c r="M481" t="str">
        <x:v>B</x:v>
      </x:c>
      <x:c r="N481" t="str">
        <x:v>B</x:v>
      </x:c>
      <x:c r="O481" t="str">
        <x:v>B</x:v>
      </x:c>
      <x:c r="P481" t="str">
        <x:v>B</x:v>
      </x:c>
      <x:c r="Q481" t="str">
        <x:v>W</x:v>
      </x:c>
      <x:c r="R481" t="str">
        <x:v>B</x:v>
      </x:c>
      <x:c r="S481" t="str">
        <x:v>W</x:v>
      </x:c>
      <x:c r="T481" t="str">
        <x:v>B</x:v>
      </x:c>
      <x:c r="U481" t="str">
        <x:v>B</x:v>
      </x:c>
      <x:c r="V481" t="n">
        <x:f>COUNTIF(B481:U481,"W")</x:f>
        <x:v>9</x:v>
      </x:c>
      <x:c r="W481" s="5" t="str">
        <x:f>IF(COUNTIF(B481:D481,"W")&gt;0,"Y","N")</x:f>
        <x:v>Y</x:v>
      </x:c>
      <x:c r="X481" s="1"/>
      <x:c r="Y481" s="1"/>
      <x:c r="Z481" s="1"/>
      <x:c r="AA481" s="1"/>
      <x:c r="AB481" s="1"/>
      <x:c r="AC481" s="1"/>
      <x:c r="AD481" s="1"/>
    </x:row>
    <x:row r="482">
      <x:c r="A482" s="1">
        <x:v>481</x:v>
      </x:c>
      <x:c r="B482" t="str">
        <x:v>W</x:v>
      </x:c>
      <x:c r="C482" t="str">
        <x:v>W</x:v>
      </x:c>
      <x:c r="D482" t="str">
        <x:v>W</x:v>
      </x:c>
      <x:c r="E482" t="str">
        <x:v>B</x:v>
      </x:c>
      <x:c r="F482" t="str">
        <x:v>B</x:v>
      </x:c>
      <x:c r="G482" t="str">
        <x:v>B</x:v>
      </x:c>
      <x:c r="H482" t="str">
        <x:v>W</x:v>
      </x:c>
      <x:c r="I482" t="str">
        <x:v>W</x:v>
      </x:c>
      <x:c r="J482" t="str">
        <x:v>W</x:v>
      </x:c>
      <x:c r="K482" t="str">
        <x:v>W</x:v>
      </x:c>
      <x:c r="L482" t="str">
        <x:v>B</x:v>
      </x:c>
      <x:c r="M482" t="str">
        <x:v>W</x:v>
      </x:c>
      <x:c r="N482" t="str">
        <x:v>W</x:v>
      </x:c>
      <x:c r="O482" t="str">
        <x:v>W</x:v>
      </x:c>
      <x:c r="P482" t="str">
        <x:v>B</x:v>
      </x:c>
      <x:c r="Q482" t="str">
        <x:v>W</x:v>
      </x:c>
      <x:c r="R482" t="str">
        <x:v>B</x:v>
      </x:c>
      <x:c r="S482" t="str">
        <x:v>B</x:v>
      </x:c>
      <x:c r="T482" t="str">
        <x:v>B</x:v>
      </x:c>
      <x:c r="U482" t="str">
        <x:v>B</x:v>
      </x:c>
      <x:c r="V482" t="n">
        <x:f>COUNTIF(B482:U482,"W")</x:f>
        <x:v>11</x:v>
      </x:c>
      <x:c r="W482" s="5" t="str">
        <x:f>IF(COUNTIF(B482:D482,"W")&gt;0,"Y","N")</x:f>
        <x:v>Y</x:v>
      </x:c>
      <x:c r="X482" s="1"/>
      <x:c r="Y482" s="1"/>
      <x:c r="Z482" s="1"/>
      <x:c r="AA482" s="1"/>
      <x:c r="AB482" s="1"/>
      <x:c r="AC482" s="1"/>
      <x:c r="AD482" s="1"/>
    </x:row>
    <x:row r="483">
      <x:c r="A483" s="1">
        <x:v>482</x:v>
      </x:c>
      <x:c r="B483" t="str">
        <x:v>W</x:v>
      </x:c>
      <x:c r="C483" t="str">
        <x:v>W</x:v>
      </x:c>
      <x:c r="D483" t="str">
        <x:v>B</x:v>
      </x:c>
      <x:c r="E483" t="str">
        <x:v>B</x:v>
      </x:c>
      <x:c r="F483" t="str">
        <x:v>B</x:v>
      </x:c>
      <x:c r="G483" t="str">
        <x:v>B</x:v>
      </x:c>
      <x:c r="H483" t="str">
        <x:v>B</x:v>
      </x:c>
      <x:c r="I483" t="str">
        <x:v>W</x:v>
      </x:c>
      <x:c r="J483" t="str">
        <x:v>B</x:v>
      </x:c>
      <x:c r="K483" t="str">
        <x:v>B</x:v>
      </x:c>
      <x:c r="L483" t="str">
        <x:v>W</x:v>
      </x:c>
      <x:c r="M483" t="str">
        <x:v>W</x:v>
      </x:c>
      <x:c r="N483" t="str">
        <x:v>B</x:v>
      </x:c>
      <x:c r="O483" t="str">
        <x:v>W</x:v>
      </x:c>
      <x:c r="P483" t="str">
        <x:v>B</x:v>
      </x:c>
      <x:c r="Q483" t="str">
        <x:v>B</x:v>
      </x:c>
      <x:c r="R483" t="str">
        <x:v>B</x:v>
      </x:c>
      <x:c r="S483" t="str">
        <x:v>B</x:v>
      </x:c>
      <x:c r="T483" t="str">
        <x:v>B</x:v>
      </x:c>
      <x:c r="U483" t="str">
        <x:v>B</x:v>
      </x:c>
      <x:c r="V483" t="n">
        <x:f>COUNTIF(B483:U483,"W")</x:f>
        <x:v>6</x:v>
      </x:c>
      <x:c r="W483" s="5" t="str">
        <x:f>IF(COUNTIF(B483:D483,"W")&gt;0,"Y","N")</x:f>
        <x:v>Y</x:v>
      </x:c>
      <x:c r="X483" s="1"/>
      <x:c r="Y483" s="1"/>
      <x:c r="Z483" s="1"/>
      <x:c r="AA483" s="1"/>
      <x:c r="AB483" s="1"/>
      <x:c r="AC483" s="1"/>
      <x:c r="AD483" s="1"/>
    </x:row>
    <x:row r="484">
      <x:c r="A484" s="1">
        <x:v>483</x:v>
      </x:c>
      <x:c r="B484" t="str">
        <x:v>B</x:v>
      </x:c>
      <x:c r="C484" t="str">
        <x:v>B</x:v>
      </x:c>
      <x:c r="D484" t="str">
        <x:v>W</x:v>
      </x:c>
      <x:c r="E484" t="str">
        <x:v>W</x:v>
      </x:c>
      <x:c r="F484" t="str">
        <x:v>B</x:v>
      </x:c>
      <x:c r="G484" t="str">
        <x:v>B</x:v>
      </x:c>
      <x:c r="H484" t="str">
        <x:v>W</x:v>
      </x:c>
      <x:c r="I484" t="str">
        <x:v>W</x:v>
      </x:c>
      <x:c r="J484" t="str">
        <x:v>B</x:v>
      </x:c>
      <x:c r="K484" t="str">
        <x:v>W</x:v>
      </x:c>
      <x:c r="L484" t="str">
        <x:v>B</x:v>
      </x:c>
      <x:c r="M484" t="str">
        <x:v>B</x:v>
      </x:c>
      <x:c r="N484" t="str">
        <x:v>B</x:v>
      </x:c>
      <x:c r="O484" t="str">
        <x:v>B</x:v>
      </x:c>
      <x:c r="P484" t="str">
        <x:v>B</x:v>
      </x:c>
      <x:c r="Q484" t="str">
        <x:v>B</x:v>
      </x:c>
      <x:c r="R484" t="str">
        <x:v>B</x:v>
      </x:c>
      <x:c r="S484" t="str">
        <x:v>B</x:v>
      </x:c>
      <x:c r="T484" t="str">
        <x:v>W</x:v>
      </x:c>
      <x:c r="U484" t="str">
        <x:v>W</x:v>
      </x:c>
      <x:c r="V484" t="n">
        <x:f>COUNTIF(B484:U484,"W")</x:f>
        <x:v>7</x:v>
      </x:c>
      <x:c r="W484" s="5" t="str">
        <x:f>IF(COUNTIF(B484:D484,"W")&gt;0,"Y","N")</x:f>
        <x:v>Y</x:v>
      </x:c>
      <x:c r="X484" s="1"/>
      <x:c r="Y484" s="1"/>
      <x:c r="Z484" s="1"/>
      <x:c r="AA484" s="1"/>
      <x:c r="AB484" s="1"/>
      <x:c r="AC484" s="1"/>
      <x:c r="AD484" s="1"/>
    </x:row>
    <x:row r="485">
      <x:c r="A485" s="1">
        <x:v>484</x:v>
      </x:c>
      <x:c r="B485" t="str">
        <x:v>B</x:v>
      </x:c>
      <x:c r="C485" t="str">
        <x:v>B</x:v>
      </x:c>
      <x:c r="D485" t="str">
        <x:v>W</x:v>
      </x:c>
      <x:c r="E485" t="str">
        <x:v>W</x:v>
      </x:c>
      <x:c r="F485" t="str">
        <x:v>W</x:v>
      </x:c>
      <x:c r="G485" t="str">
        <x:v>W</x:v>
      </x:c>
      <x:c r="H485" t="str">
        <x:v>B</x:v>
      </x:c>
      <x:c r="I485" t="str">
        <x:v>B</x:v>
      </x:c>
      <x:c r="J485" t="str">
        <x:v>B</x:v>
      </x:c>
      <x:c r="K485" t="str">
        <x:v>W</x:v>
      </x:c>
      <x:c r="L485" t="str">
        <x:v>W</x:v>
      </x:c>
      <x:c r="M485" t="str">
        <x:v>B</x:v>
      </x:c>
      <x:c r="N485" t="str">
        <x:v>B</x:v>
      </x:c>
      <x:c r="O485" t="str">
        <x:v>B</x:v>
      </x:c>
      <x:c r="P485" t="str">
        <x:v>B</x:v>
      </x:c>
      <x:c r="Q485" t="str">
        <x:v>B</x:v>
      </x:c>
      <x:c r="R485" t="str">
        <x:v>B</x:v>
      </x:c>
      <x:c r="S485" t="str">
        <x:v>B</x:v>
      </x:c>
      <x:c r="T485" t="str">
        <x:v>W</x:v>
      </x:c>
      <x:c r="U485" t="str">
        <x:v>B</x:v>
      </x:c>
      <x:c r="V485" t="n">
        <x:f>COUNTIF(B485:U485,"W")</x:f>
        <x:v>7</x:v>
      </x:c>
      <x:c r="W485" s="5" t="str">
        <x:f>IF(COUNTIF(B485:D485,"W")&gt;0,"Y","N")</x:f>
        <x:v>Y</x:v>
      </x:c>
      <x:c r="X485" s="1"/>
      <x:c r="Y485" s="1"/>
      <x:c r="Z485" s="1"/>
      <x:c r="AA485" s="1"/>
      <x:c r="AB485" s="1"/>
      <x:c r="AC485" s="1"/>
      <x:c r="AD485" s="1"/>
    </x:row>
    <x:row r="486">
      <x:c r="A486" s="1">
        <x:v>485</x:v>
      </x:c>
      <x:c r="B486" t="str">
        <x:v>B</x:v>
      </x:c>
      <x:c r="C486" t="str">
        <x:v>W</x:v>
      </x:c>
      <x:c r="D486" t="str">
        <x:v>B</x:v>
      </x:c>
      <x:c r="E486" t="str">
        <x:v>B</x:v>
      </x:c>
      <x:c r="F486" t="str">
        <x:v>W</x:v>
      </x:c>
      <x:c r="G486" t="str">
        <x:v>W</x:v>
      </x:c>
      <x:c r="H486" t="str">
        <x:v>W</x:v>
      </x:c>
      <x:c r="I486" t="str">
        <x:v>W</x:v>
      </x:c>
      <x:c r="J486" t="str">
        <x:v>B</x:v>
      </x:c>
      <x:c r="K486" t="str">
        <x:v>B</x:v>
      </x:c>
      <x:c r="L486" t="str">
        <x:v>B</x:v>
      </x:c>
      <x:c r="M486" t="str">
        <x:v>B</x:v>
      </x:c>
      <x:c r="N486" t="str">
        <x:v>B</x:v>
      </x:c>
      <x:c r="O486" t="str">
        <x:v>W</x:v>
      </x:c>
      <x:c r="P486" t="str">
        <x:v>W</x:v>
      </x:c>
      <x:c r="Q486" t="str">
        <x:v>B</x:v>
      </x:c>
      <x:c r="R486" t="str">
        <x:v>B</x:v>
      </x:c>
      <x:c r="S486" t="str">
        <x:v>B</x:v>
      </x:c>
      <x:c r="T486" t="str">
        <x:v>B</x:v>
      </x:c>
      <x:c r="U486" t="str">
        <x:v>B</x:v>
      </x:c>
      <x:c r="V486" t="n">
        <x:f>COUNTIF(B486:U486,"W")</x:f>
        <x:v>7</x:v>
      </x:c>
      <x:c r="W486" s="5" t="str">
        <x:f>IF(COUNTIF(B486:D486,"W")&gt;0,"Y","N")</x:f>
        <x:v>Y</x:v>
      </x:c>
      <x:c r="X486" s="1"/>
      <x:c r="Y486" s="1"/>
      <x:c r="Z486" s="1"/>
      <x:c r="AA486" s="1"/>
      <x:c r="AB486" s="1"/>
      <x:c r="AC486" s="1"/>
      <x:c r="AD486" s="1"/>
    </x:row>
    <x:row r="487">
      <x:c r="A487" s="1">
        <x:v>486</x:v>
      </x:c>
      <x:c r="B487" t="str">
        <x:v>B</x:v>
      </x:c>
      <x:c r="C487" t="str">
        <x:v>B</x:v>
      </x:c>
      <x:c r="D487" t="str">
        <x:v>W</x:v>
      </x:c>
      <x:c r="E487" t="str">
        <x:v>B</x:v>
      </x:c>
      <x:c r="F487" t="str">
        <x:v>B</x:v>
      </x:c>
      <x:c r="G487" t="str">
        <x:v>B</x:v>
      </x:c>
      <x:c r="H487" t="str">
        <x:v>B</x:v>
      </x:c>
      <x:c r="I487" t="str">
        <x:v>B</x:v>
      </x:c>
      <x:c r="J487" t="str">
        <x:v>B</x:v>
      </x:c>
      <x:c r="K487" t="str">
        <x:v>W</x:v>
      </x:c>
      <x:c r="L487" t="str">
        <x:v>W</x:v>
      </x:c>
      <x:c r="M487" t="str">
        <x:v>B</x:v>
      </x:c>
      <x:c r="N487" t="str">
        <x:v>B</x:v>
      </x:c>
      <x:c r="O487" t="str">
        <x:v>B</x:v>
      </x:c>
      <x:c r="P487" t="str">
        <x:v>W</x:v>
      </x:c>
      <x:c r="Q487" t="str">
        <x:v>W</x:v>
      </x:c>
      <x:c r="R487" t="str">
        <x:v>B</x:v>
      </x:c>
      <x:c r="S487" t="str">
        <x:v>B</x:v>
      </x:c>
      <x:c r="T487" t="str">
        <x:v>W</x:v>
      </x:c>
      <x:c r="U487" t="str">
        <x:v>W</x:v>
      </x:c>
      <x:c r="V487" t="n">
        <x:f>COUNTIF(B487:U487,"W")</x:f>
        <x:v>7</x:v>
      </x:c>
      <x:c r="W487" s="5" t="str">
        <x:f>IF(COUNTIF(B487:D487,"W")&gt;0,"Y","N")</x:f>
        <x:v>Y</x:v>
      </x:c>
      <x:c r="X487" s="1"/>
      <x:c r="Y487" s="1"/>
      <x:c r="Z487" s="1"/>
      <x:c r="AA487" s="1"/>
      <x:c r="AB487" s="1"/>
      <x:c r="AC487" s="1"/>
      <x:c r="AD487" s="1"/>
    </x:row>
    <x:row r="488">
      <x:c r="A488" s="1">
        <x:v>487</x:v>
      </x:c>
      <x:c r="B488" t="str">
        <x:v>W</x:v>
      </x:c>
      <x:c r="C488" t="str">
        <x:v>B</x:v>
      </x:c>
      <x:c r="D488" t="str">
        <x:v>W</x:v>
      </x:c>
      <x:c r="E488" t="str">
        <x:v>W</x:v>
      </x:c>
      <x:c r="F488" t="str">
        <x:v>B</x:v>
      </x:c>
      <x:c r="G488" t="str">
        <x:v>B</x:v>
      </x:c>
      <x:c r="H488" t="str">
        <x:v>B</x:v>
      </x:c>
      <x:c r="I488" t="str">
        <x:v>B</x:v>
      </x:c>
      <x:c r="J488" t="str">
        <x:v>B</x:v>
      </x:c>
      <x:c r="K488" t="str">
        <x:v>W</x:v>
      </x:c>
      <x:c r="L488" t="str">
        <x:v>B</x:v>
      </x:c>
      <x:c r="M488" t="str">
        <x:v>B</x:v>
      </x:c>
      <x:c r="N488" t="str">
        <x:v>W</x:v>
      </x:c>
      <x:c r="O488" t="str">
        <x:v>B</x:v>
      </x:c>
      <x:c r="P488" t="str">
        <x:v>B</x:v>
      </x:c>
      <x:c r="Q488" t="str">
        <x:v>B</x:v>
      </x:c>
      <x:c r="R488" t="str">
        <x:v>W</x:v>
      </x:c>
      <x:c r="S488" t="str">
        <x:v>B</x:v>
      </x:c>
      <x:c r="T488" t="str">
        <x:v>B</x:v>
      </x:c>
      <x:c r="U488" t="str">
        <x:v>W</x:v>
      </x:c>
      <x:c r="V488" t="n">
        <x:f>COUNTIF(B488:U488,"W")</x:f>
        <x:v>7</x:v>
      </x:c>
      <x:c r="W488" s="5" t="str">
        <x:f>IF(COUNTIF(B488:D488,"W")&gt;0,"Y","N")</x:f>
        <x:v>Y</x:v>
      </x:c>
      <x:c r="X488" s="1"/>
      <x:c r="Y488" s="1"/>
      <x:c r="Z488" s="1"/>
      <x:c r="AA488" s="1"/>
      <x:c r="AB488" s="1"/>
      <x:c r="AC488" s="1"/>
      <x:c r="AD488" s="1"/>
    </x:row>
    <x:row r="489">
      <x:c r="A489" s="1">
        <x:v>488</x:v>
      </x:c>
      <x:c r="B489" t="str">
        <x:v>B</x:v>
      </x:c>
      <x:c r="C489" t="str">
        <x:v>B</x:v>
      </x:c>
      <x:c r="D489" t="str">
        <x:v>B</x:v>
      </x:c>
      <x:c r="E489" t="str">
        <x:v>B</x:v>
      </x:c>
      <x:c r="F489" t="str">
        <x:v>B</x:v>
      </x:c>
      <x:c r="G489" t="str">
        <x:v>B</x:v>
      </x:c>
      <x:c r="H489" t="str">
        <x:v>B</x:v>
      </x:c>
      <x:c r="I489" t="str">
        <x:v>B</x:v>
      </x:c>
      <x:c r="J489" t="str">
        <x:v>B</x:v>
      </x:c>
      <x:c r="K489" t="str">
        <x:v>B</x:v>
      </x:c>
      <x:c r="L489" t="str">
        <x:v>B</x:v>
      </x:c>
      <x:c r="M489" t="str">
        <x:v>B</x:v>
      </x:c>
      <x:c r="N489" t="str">
        <x:v>B</x:v>
      </x:c>
      <x:c r="O489" t="str">
        <x:v>W</x:v>
      </x:c>
      <x:c r="P489" t="str">
        <x:v>B</x:v>
      </x:c>
      <x:c r="Q489" t="str">
        <x:v>B</x:v>
      </x:c>
      <x:c r="R489" t="str">
        <x:v>B</x:v>
      </x:c>
      <x:c r="S489" t="str">
        <x:v>B</x:v>
      </x:c>
      <x:c r="T489" t="str">
        <x:v>B</x:v>
      </x:c>
      <x:c r="U489" t="str">
        <x:v>B</x:v>
      </x:c>
      <x:c r="V489" t="n">
        <x:f>COUNTIF(B489:U489,"W")</x:f>
        <x:v>1</x:v>
      </x:c>
      <x:c r="W489" s="5" t="str">
        <x:f>IF(COUNTIF(B489:D489,"W")&gt;0,"Y","N")</x:f>
        <x:v>N</x:v>
      </x:c>
      <x:c r="X489" s="1"/>
      <x:c r="Y489" s="1"/>
      <x:c r="Z489" s="1"/>
      <x:c r="AA489" s="1"/>
      <x:c r="AB489" s="1"/>
      <x:c r="AC489" s="1"/>
      <x:c r="AD489" s="1"/>
    </x:row>
    <x:row r="490">
      <x:c r="A490" s="1">
        <x:v>489</x:v>
      </x:c>
      <x:c r="B490" t="str">
        <x:v>B</x:v>
      </x:c>
      <x:c r="C490" t="str">
        <x:v>B</x:v>
      </x:c>
      <x:c r="D490" t="str">
        <x:v>B</x:v>
      </x:c>
      <x:c r="E490" t="str">
        <x:v>W</x:v>
      </x:c>
      <x:c r="F490" t="str">
        <x:v>W</x:v>
      </x:c>
      <x:c r="G490" t="str">
        <x:v>B</x:v>
      </x:c>
      <x:c r="H490" t="str">
        <x:v>W</x:v>
      </x:c>
      <x:c r="I490" t="str">
        <x:v>B</x:v>
      </x:c>
      <x:c r="J490" t="str">
        <x:v>B</x:v>
      </x:c>
      <x:c r="K490" t="str">
        <x:v>W</x:v>
      </x:c>
      <x:c r="L490" t="str">
        <x:v>W</x:v>
      </x:c>
      <x:c r="M490" t="str">
        <x:v>B</x:v>
      </x:c>
      <x:c r="N490" t="str">
        <x:v>W</x:v>
      </x:c>
      <x:c r="O490" t="str">
        <x:v>B</x:v>
      </x:c>
      <x:c r="P490" t="str">
        <x:v>B</x:v>
      </x:c>
      <x:c r="Q490" t="str">
        <x:v>W</x:v>
      </x:c>
      <x:c r="R490" t="str">
        <x:v>B</x:v>
      </x:c>
      <x:c r="S490" t="str">
        <x:v>B</x:v>
      </x:c>
      <x:c r="T490" t="str">
        <x:v>B</x:v>
      </x:c>
      <x:c r="U490" t="str">
        <x:v>W</x:v>
      </x:c>
      <x:c r="V490" t="n">
        <x:f>COUNTIF(B490:U490,"W")</x:f>
        <x:v>8</x:v>
      </x:c>
      <x:c r="W490" s="5" t="str">
        <x:f>IF(COUNTIF(B490:D490,"W")&gt;0,"Y","N")</x:f>
        <x:v>N</x:v>
      </x:c>
      <x:c r="X490" s="1"/>
      <x:c r="Y490" s="1"/>
      <x:c r="Z490" s="1"/>
      <x:c r="AA490" s="1"/>
      <x:c r="AB490" s="1"/>
      <x:c r="AC490" s="1"/>
      <x:c r="AD490" s="1"/>
    </x:row>
    <x:row r="491">
      <x:c r="A491" s="1">
        <x:v>490</x:v>
      </x:c>
      <x:c r="B491" t="str">
        <x:v>W</x:v>
      </x:c>
      <x:c r="C491" t="str">
        <x:v>B</x:v>
      </x:c>
      <x:c r="D491" t="str">
        <x:v>B</x:v>
      </x:c>
      <x:c r="E491" t="str">
        <x:v>B</x:v>
      </x:c>
      <x:c r="F491" t="str">
        <x:v>W</x:v>
      </x:c>
      <x:c r="G491" t="str">
        <x:v>B</x:v>
      </x:c>
      <x:c r="H491" t="str">
        <x:v>B</x:v>
      </x:c>
      <x:c r="I491" t="str">
        <x:v>B</x:v>
      </x:c>
      <x:c r="J491" t="str">
        <x:v>W</x:v>
      </x:c>
      <x:c r="K491" t="str">
        <x:v>B</x:v>
      </x:c>
      <x:c r="L491" t="str">
        <x:v>B</x:v>
      </x:c>
      <x:c r="M491" t="str">
        <x:v>W</x:v>
      </x:c>
      <x:c r="N491" t="str">
        <x:v>B</x:v>
      </x:c>
      <x:c r="O491" t="str">
        <x:v>W</x:v>
      </x:c>
      <x:c r="P491" t="str">
        <x:v>W</x:v>
      </x:c>
      <x:c r="Q491" t="str">
        <x:v>B</x:v>
      </x:c>
      <x:c r="R491" t="str">
        <x:v>B</x:v>
      </x:c>
      <x:c r="S491" t="str">
        <x:v>B</x:v>
      </x:c>
      <x:c r="T491" t="str">
        <x:v>W</x:v>
      </x:c>
      <x:c r="U491" t="str">
        <x:v>B</x:v>
      </x:c>
      <x:c r="V491" t="n">
        <x:f>COUNTIF(B491:U491,"W")</x:f>
        <x:v>7</x:v>
      </x:c>
      <x:c r="W491" s="5" t="str">
        <x:f>IF(COUNTIF(B491:D491,"W")&gt;0,"Y","N")</x:f>
        <x:v>Y</x:v>
      </x:c>
      <x:c r="X491" s="1"/>
      <x:c r="Y491" s="1"/>
      <x:c r="Z491" s="1"/>
      <x:c r="AA491" s="1"/>
      <x:c r="AB491" s="1"/>
      <x:c r="AC491" s="1"/>
      <x:c r="AD491" s="1"/>
    </x:row>
    <x:row r="492">
      <x:c r="A492" s="1">
        <x:v>491</x:v>
      </x:c>
      <x:c r="B492" t="str">
        <x:v>W</x:v>
      </x:c>
      <x:c r="C492" t="str">
        <x:v>B</x:v>
      </x:c>
      <x:c r="D492" t="str">
        <x:v>W</x:v>
      </x:c>
      <x:c r="E492" t="str">
        <x:v>B</x:v>
      </x:c>
      <x:c r="F492" t="str">
        <x:v>W</x:v>
      </x:c>
      <x:c r="G492" t="str">
        <x:v>W</x:v>
      </x:c>
      <x:c r="H492" t="str">
        <x:v>B</x:v>
      </x:c>
      <x:c r="I492" t="str">
        <x:v>B</x:v>
      </x:c>
      <x:c r="J492" t="str">
        <x:v>B</x:v>
      </x:c>
      <x:c r="K492" t="str">
        <x:v>B</x:v>
      </x:c>
      <x:c r="L492" t="str">
        <x:v>B</x:v>
      </x:c>
      <x:c r="M492" t="str">
        <x:v>B</x:v>
      </x:c>
      <x:c r="N492" t="str">
        <x:v>B</x:v>
      </x:c>
      <x:c r="O492" t="str">
        <x:v>B</x:v>
      </x:c>
      <x:c r="P492" t="str">
        <x:v>B</x:v>
      </x:c>
      <x:c r="Q492" t="str">
        <x:v>B</x:v>
      </x:c>
      <x:c r="R492" t="str">
        <x:v>B</x:v>
      </x:c>
      <x:c r="S492" t="str">
        <x:v>B</x:v>
      </x:c>
      <x:c r="T492" t="str">
        <x:v>B</x:v>
      </x:c>
      <x:c r="U492" t="str">
        <x:v>B</x:v>
      </x:c>
      <x:c r="V492" t="n">
        <x:f>COUNTIF(B492:U492,"W")</x:f>
        <x:v>4</x:v>
      </x:c>
      <x:c r="W492" s="5" t="str">
        <x:f>IF(COUNTIF(B492:D492,"W")&gt;0,"Y","N")</x:f>
        <x:v>Y</x:v>
      </x:c>
      <x:c r="X492" s="1"/>
      <x:c r="Y492" s="1"/>
      <x:c r="Z492" s="1"/>
      <x:c r="AA492" s="1"/>
      <x:c r="AB492" s="1"/>
      <x:c r="AC492" s="1"/>
      <x:c r="AD492" s="1"/>
    </x:row>
    <x:row r="493">
      <x:c r="A493" s="1">
        <x:v>492</x:v>
      </x:c>
      <x:c r="B493" t="str">
        <x:v>B</x:v>
      </x:c>
      <x:c r="C493" t="str">
        <x:v>W</x:v>
      </x:c>
      <x:c r="D493" t="str">
        <x:v>W</x:v>
      </x:c>
      <x:c r="E493" t="str">
        <x:v>W</x:v>
      </x:c>
      <x:c r="F493" t="str">
        <x:v>B</x:v>
      </x:c>
      <x:c r="G493" t="str">
        <x:v>B</x:v>
      </x:c>
      <x:c r="H493" t="str">
        <x:v>W</x:v>
      </x:c>
      <x:c r="I493" t="str">
        <x:v>W</x:v>
      </x:c>
      <x:c r="J493" t="str">
        <x:v>B</x:v>
      </x:c>
      <x:c r="K493" t="str">
        <x:v>W</x:v>
      </x:c>
      <x:c r="L493" t="str">
        <x:v>B</x:v>
      </x:c>
      <x:c r="M493" t="str">
        <x:v>B</x:v>
      </x:c>
      <x:c r="N493" t="str">
        <x:v>B</x:v>
      </x:c>
      <x:c r="O493" t="str">
        <x:v>B</x:v>
      </x:c>
      <x:c r="P493" t="str">
        <x:v>W</x:v>
      </x:c>
      <x:c r="Q493" t="str">
        <x:v>B</x:v>
      </x:c>
      <x:c r="R493" t="str">
        <x:v>B</x:v>
      </x:c>
      <x:c r="S493" t="str">
        <x:v>B</x:v>
      </x:c>
      <x:c r="T493" t="str">
        <x:v>W</x:v>
      </x:c>
      <x:c r="U493" t="str">
        <x:v>W</x:v>
      </x:c>
      <x:c r="V493" t="n">
        <x:f>COUNTIF(B493:U493,"W")</x:f>
        <x:v>9</x:v>
      </x:c>
      <x:c r="W493" s="5" t="str">
        <x:f>IF(COUNTIF(B493:D493,"W")&gt;0,"Y","N")</x:f>
        <x:v>Y</x:v>
      </x:c>
      <x:c r="X493" s="1"/>
      <x:c r="Y493" s="1"/>
      <x:c r="Z493" s="1"/>
      <x:c r="AA493" s="1"/>
      <x:c r="AB493" s="1"/>
      <x:c r="AC493" s="1"/>
      <x:c r="AD493" s="1"/>
    </x:row>
    <x:row r="494">
      <x:c r="A494" s="1">
        <x:v>493</x:v>
      </x:c>
      <x:c r="B494" t="str">
        <x:v>W</x:v>
      </x:c>
      <x:c r="C494" t="str">
        <x:v>W</x:v>
      </x:c>
      <x:c r="D494" t="str">
        <x:v>B</x:v>
      </x:c>
      <x:c r="E494" t="str">
        <x:v>B</x:v>
      </x:c>
      <x:c r="F494" t="str">
        <x:v>W</x:v>
      </x:c>
      <x:c r="G494" t="str">
        <x:v>B</x:v>
      </x:c>
      <x:c r="H494" t="str">
        <x:v>W</x:v>
      </x:c>
      <x:c r="I494" t="str">
        <x:v>B</x:v>
      </x:c>
      <x:c r="J494" t="str">
        <x:v>B</x:v>
      </x:c>
      <x:c r="K494" t="str">
        <x:v>W</x:v>
      </x:c>
      <x:c r="L494" t="str">
        <x:v>B</x:v>
      </x:c>
      <x:c r="M494" t="str">
        <x:v>B</x:v>
      </x:c>
      <x:c r="N494" t="str">
        <x:v>B</x:v>
      </x:c>
      <x:c r="O494" t="str">
        <x:v>B</x:v>
      </x:c>
      <x:c r="P494" t="str">
        <x:v>W</x:v>
      </x:c>
      <x:c r="Q494" t="str">
        <x:v>W</x:v>
      </x:c>
      <x:c r="R494" t="str">
        <x:v>B</x:v>
      </x:c>
      <x:c r="S494" t="str">
        <x:v>W</x:v>
      </x:c>
      <x:c r="T494" t="str">
        <x:v>B</x:v>
      </x:c>
      <x:c r="U494" t="str">
        <x:v>W</x:v>
      </x:c>
      <x:c r="V494" t="n">
        <x:f>COUNTIF(B494:U494,"W")</x:f>
        <x:v>9</x:v>
      </x:c>
      <x:c r="W494" s="5" t="str">
        <x:f>IF(COUNTIF(B494:D494,"W")&gt;0,"Y","N")</x:f>
        <x:v>Y</x:v>
      </x:c>
      <x:c r="X494" s="1"/>
      <x:c r="Y494" s="1"/>
      <x:c r="Z494" s="1"/>
      <x:c r="AA494" s="1"/>
      <x:c r="AB494" s="1"/>
      <x:c r="AC494" s="1"/>
      <x:c r="AD494" s="1"/>
    </x:row>
    <x:row r="495">
      <x:c r="A495" s="1">
        <x:v>494</x:v>
      </x:c>
      <x:c r="B495" t="str">
        <x:v>B</x:v>
      </x:c>
      <x:c r="C495" t="str">
        <x:v>B</x:v>
      </x:c>
      <x:c r="D495" t="str">
        <x:v>B</x:v>
      </x:c>
      <x:c r="E495" t="str">
        <x:v>B</x:v>
      </x:c>
      <x:c r="F495" t="str">
        <x:v>B</x:v>
      </x:c>
      <x:c r="G495" t="str">
        <x:v>W</x:v>
      </x:c>
      <x:c r="H495" t="str">
        <x:v>B</x:v>
      </x:c>
      <x:c r="I495" t="str">
        <x:v>B</x:v>
      </x:c>
      <x:c r="J495" t="str">
        <x:v>W</x:v>
      </x:c>
      <x:c r="K495" t="str">
        <x:v>B</x:v>
      </x:c>
      <x:c r="L495" t="str">
        <x:v>B</x:v>
      </x:c>
      <x:c r="M495" t="str">
        <x:v>B</x:v>
      </x:c>
      <x:c r="N495" t="str">
        <x:v>B</x:v>
      </x:c>
      <x:c r="O495" t="str">
        <x:v>W</x:v>
      </x:c>
      <x:c r="P495" t="str">
        <x:v>B</x:v>
      </x:c>
      <x:c r="Q495" t="str">
        <x:v>W</x:v>
      </x:c>
      <x:c r="R495" t="str">
        <x:v>W</x:v>
      </x:c>
      <x:c r="S495" t="str">
        <x:v>B</x:v>
      </x:c>
      <x:c r="T495" t="str">
        <x:v>W</x:v>
      </x:c>
      <x:c r="U495" t="str">
        <x:v>W</x:v>
      </x:c>
      <x:c r="V495" t="n">
        <x:f>COUNTIF(B495:U495,"W")</x:f>
        <x:v>7</x:v>
      </x:c>
      <x:c r="W495" s="5" t="str">
        <x:f>IF(COUNTIF(B495:D495,"W")&gt;0,"Y","N")</x:f>
        <x:v>N</x:v>
      </x:c>
      <x:c r="X495" s="1"/>
      <x:c r="Y495" s="1"/>
      <x:c r="Z495" s="1"/>
      <x:c r="AA495" s="1"/>
      <x:c r="AB495" s="1"/>
      <x:c r="AC495" s="1"/>
      <x:c r="AD495" s="1"/>
    </x:row>
    <x:row r="496">
      <x:c r="A496" s="1">
        <x:v>495</x:v>
      </x:c>
      <x:c r="B496" t="str">
        <x:v>B</x:v>
      </x:c>
      <x:c r="C496" t="str">
        <x:v>B</x:v>
      </x:c>
      <x:c r="D496" t="str">
        <x:v>W</x:v>
      </x:c>
      <x:c r="E496" t="str">
        <x:v>B</x:v>
      </x:c>
      <x:c r="F496" t="str">
        <x:v>W</x:v>
      </x:c>
      <x:c r="G496" t="str">
        <x:v>B</x:v>
      </x:c>
      <x:c r="H496" t="str">
        <x:v>W</x:v>
      </x:c>
      <x:c r="I496" t="str">
        <x:v>B</x:v>
      </x:c>
      <x:c r="J496" t="str">
        <x:v>W</x:v>
      </x:c>
      <x:c r="K496" t="str">
        <x:v>B</x:v>
      </x:c>
      <x:c r="L496" t="str">
        <x:v>B</x:v>
      </x:c>
      <x:c r="M496" t="str">
        <x:v>W</x:v>
      </x:c>
      <x:c r="N496" t="str">
        <x:v>B</x:v>
      </x:c>
      <x:c r="O496" t="str">
        <x:v>W</x:v>
      </x:c>
      <x:c r="P496" t="str">
        <x:v>W</x:v>
      </x:c>
      <x:c r="Q496" t="str">
        <x:v>B</x:v>
      </x:c>
      <x:c r="R496" t="str">
        <x:v>B</x:v>
      </x:c>
      <x:c r="S496" t="str">
        <x:v>B</x:v>
      </x:c>
      <x:c r="T496" t="str">
        <x:v>B</x:v>
      </x:c>
      <x:c r="U496" t="str">
        <x:v>W</x:v>
      </x:c>
      <x:c r="V496" t="n">
        <x:f>COUNTIF(B496:U496,"W")</x:f>
        <x:v>8</x:v>
      </x:c>
      <x:c r="W496" s="5" t="str">
        <x:f>IF(COUNTIF(B496:D496,"W")&gt;0,"Y","N")</x:f>
        <x:v>Y</x:v>
      </x:c>
      <x:c r="X496" s="1"/>
      <x:c r="Y496" s="1"/>
      <x:c r="Z496" s="1"/>
      <x:c r="AA496" s="1"/>
      <x:c r="AB496" s="1"/>
      <x:c r="AC496" s="1"/>
      <x:c r="AD496" s="1"/>
    </x:row>
    <x:row r="497">
      <x:c r="A497" s="1">
        <x:v>496</x:v>
      </x:c>
      <x:c r="B497" t="str">
        <x:v>B</x:v>
      </x:c>
      <x:c r="C497" t="str">
        <x:v>B</x:v>
      </x:c>
      <x:c r="D497" t="str">
        <x:v>W</x:v>
      </x:c>
      <x:c r="E497" t="str">
        <x:v>B</x:v>
      </x:c>
      <x:c r="F497" t="str">
        <x:v>B</x:v>
      </x:c>
      <x:c r="G497" t="str">
        <x:v>W</x:v>
      </x:c>
      <x:c r="H497" t="str">
        <x:v>B</x:v>
      </x:c>
      <x:c r="I497" t="str">
        <x:v>W</x:v>
      </x:c>
      <x:c r="J497" t="str">
        <x:v>B</x:v>
      </x:c>
      <x:c r="K497" t="str">
        <x:v>B</x:v>
      </x:c>
      <x:c r="L497" t="str">
        <x:v>W</x:v>
      </x:c>
      <x:c r="M497" t="str">
        <x:v>B</x:v>
      </x:c>
      <x:c r="N497" t="str">
        <x:v>B</x:v>
      </x:c>
      <x:c r="O497" t="str">
        <x:v>B</x:v>
      </x:c>
      <x:c r="P497" t="str">
        <x:v>B</x:v>
      </x:c>
      <x:c r="Q497" t="str">
        <x:v>W</x:v>
      </x:c>
      <x:c r="R497" t="str">
        <x:v>B</x:v>
      </x:c>
      <x:c r="S497" t="str">
        <x:v>W</x:v>
      </x:c>
      <x:c r="T497" t="str">
        <x:v>B</x:v>
      </x:c>
      <x:c r="U497" t="str">
        <x:v>W</x:v>
      </x:c>
      <x:c r="V497" t="n">
        <x:f>COUNTIF(B497:U497,"W")</x:f>
        <x:v>7</x:v>
      </x:c>
      <x:c r="W497" s="5" t="str">
        <x:f>IF(COUNTIF(B497:D497,"W")&gt;0,"Y","N")</x:f>
        <x:v>Y</x:v>
      </x:c>
      <x:c r="X497" s="1"/>
      <x:c r="Y497" s="1"/>
      <x:c r="Z497" s="1"/>
      <x:c r="AA497" s="1"/>
      <x:c r="AB497" s="1"/>
      <x:c r="AC497" s="1"/>
      <x:c r="AD497" s="1"/>
    </x:row>
    <x:row r="498">
      <x:c r="A498" s="1">
        <x:v>497</x:v>
      </x:c>
      <x:c r="B498" t="str">
        <x:v>B</x:v>
      </x:c>
      <x:c r="C498" t="str">
        <x:v>B</x:v>
      </x:c>
      <x:c r="D498" t="str">
        <x:v>B</x:v>
      </x:c>
      <x:c r="E498" t="str">
        <x:v>W</x:v>
      </x:c>
      <x:c r="F498" t="str">
        <x:v>B</x:v>
      </x:c>
      <x:c r="G498" t="str">
        <x:v>W</x:v>
      </x:c>
      <x:c r="H498" t="str">
        <x:v>B</x:v>
      </x:c>
      <x:c r="I498" t="str">
        <x:v>B</x:v>
      </x:c>
      <x:c r="J498" t="str">
        <x:v>W</x:v>
      </x:c>
      <x:c r="K498" t="str">
        <x:v>B</x:v>
      </x:c>
      <x:c r="L498" t="str">
        <x:v>B</x:v>
      </x:c>
      <x:c r="M498" t="str">
        <x:v>B</x:v>
      </x:c>
      <x:c r="N498" t="str">
        <x:v>W</x:v>
      </x:c>
      <x:c r="O498" t="str">
        <x:v>B</x:v>
      </x:c>
      <x:c r="P498" t="str">
        <x:v>W</x:v>
      </x:c>
      <x:c r="Q498" t="str">
        <x:v>B</x:v>
      </x:c>
      <x:c r="R498" t="str">
        <x:v>W</x:v>
      </x:c>
      <x:c r="S498" t="str">
        <x:v>B</x:v>
      </x:c>
      <x:c r="T498" t="str">
        <x:v>B</x:v>
      </x:c>
      <x:c r="U498" t="str">
        <x:v>B</x:v>
      </x:c>
      <x:c r="V498" t="n">
        <x:f>COUNTIF(B498:U498,"W")</x:f>
        <x:v>6</x:v>
      </x:c>
      <x:c r="W498" s="5" t="str">
        <x:f>IF(COUNTIF(B498:D498,"W")&gt;0,"Y","N")</x:f>
        <x:v>N</x:v>
      </x:c>
      <x:c r="X498" s="1"/>
      <x:c r="Y498" s="1"/>
      <x:c r="Z498" s="1"/>
      <x:c r="AA498" s="1"/>
      <x:c r="AB498" s="1"/>
      <x:c r="AC498" s="1"/>
      <x:c r="AD498" s="1"/>
    </x:row>
    <x:row r="499">
      <x:c r="A499" s="1">
        <x:v>498</x:v>
      </x:c>
      <x:c r="B499" t="str">
        <x:v>B</x:v>
      </x:c>
      <x:c r="C499" t="str">
        <x:v>B</x:v>
      </x:c>
      <x:c r="D499" t="str">
        <x:v>B</x:v>
      </x:c>
      <x:c r="E499" t="str">
        <x:v>B</x:v>
      </x:c>
      <x:c r="F499" t="str">
        <x:v>B</x:v>
      </x:c>
      <x:c r="G499" t="str">
        <x:v>B</x:v>
      </x:c>
      <x:c r="H499" t="str">
        <x:v>B</x:v>
      </x:c>
      <x:c r="I499" t="str">
        <x:v>B</x:v>
      </x:c>
      <x:c r="J499" t="str">
        <x:v>B</x:v>
      </x:c>
      <x:c r="K499" t="str">
        <x:v>W</x:v>
      </x:c>
      <x:c r="L499" t="str">
        <x:v>B</x:v>
      </x:c>
      <x:c r="M499" t="str">
        <x:v>B</x:v>
      </x:c>
      <x:c r="N499" t="str">
        <x:v>B</x:v>
      </x:c>
      <x:c r="O499" t="str">
        <x:v>W</x:v>
      </x:c>
      <x:c r="P499" t="str">
        <x:v>B</x:v>
      </x:c>
      <x:c r="Q499" t="str">
        <x:v>W</x:v>
      </x:c>
      <x:c r="R499" t="str">
        <x:v>B</x:v>
      </x:c>
      <x:c r="S499" t="str">
        <x:v>B</x:v>
      </x:c>
      <x:c r="T499" t="str">
        <x:v>B</x:v>
      </x:c>
      <x:c r="U499" t="str">
        <x:v>W</x:v>
      </x:c>
      <x:c r="V499" t="n">
        <x:f>COUNTIF(B499:U499,"W")</x:f>
        <x:v>4</x:v>
      </x:c>
      <x:c r="W499" s="5" t="str">
        <x:f>IF(COUNTIF(B499:D499,"W")&gt;0,"Y","N")</x:f>
        <x:v>N</x:v>
      </x:c>
      <x:c r="X499" s="1"/>
      <x:c r="Y499" s="1"/>
      <x:c r="Z499" s="1"/>
      <x:c r="AA499" s="1"/>
      <x:c r="AB499" s="1"/>
      <x:c r="AC499" s="1"/>
      <x:c r="AD499" s="1"/>
    </x:row>
    <x:row r="500">
      <x:c r="A500" s="1">
        <x:v>499</x:v>
      </x:c>
      <x:c r="B500" t="str">
        <x:v>B</x:v>
      </x:c>
      <x:c r="C500" t="str">
        <x:v>B</x:v>
      </x:c>
      <x:c r="D500" t="str">
        <x:v>W</x:v>
      </x:c>
      <x:c r="E500" t="str">
        <x:v>W</x:v>
      </x:c>
      <x:c r="F500" t="str">
        <x:v>B</x:v>
      </x:c>
      <x:c r="G500" t="str">
        <x:v>W</x:v>
      </x:c>
      <x:c r="H500" t="str">
        <x:v>W</x:v>
      </x:c>
      <x:c r="I500" t="str">
        <x:v>B</x:v>
      </x:c>
      <x:c r="J500" t="str">
        <x:v>B</x:v>
      </x:c>
      <x:c r="K500" t="str">
        <x:v>B</x:v>
      </x:c>
      <x:c r="L500" t="str">
        <x:v>B</x:v>
      </x:c>
      <x:c r="M500" t="str">
        <x:v>W</x:v>
      </x:c>
      <x:c r="N500" t="str">
        <x:v>B</x:v>
      </x:c>
      <x:c r="O500" t="str">
        <x:v>W</x:v>
      </x:c>
      <x:c r="P500" t="str">
        <x:v>W</x:v>
      </x:c>
      <x:c r="Q500" t="str">
        <x:v>W</x:v>
      </x:c>
      <x:c r="R500" t="str">
        <x:v>B</x:v>
      </x:c>
      <x:c r="S500" t="str">
        <x:v>W</x:v>
      </x:c>
      <x:c r="T500" t="str">
        <x:v>B</x:v>
      </x:c>
      <x:c r="U500" t="str">
        <x:v>B</x:v>
      </x:c>
      <x:c r="V500" t="n">
        <x:f>COUNTIF(B500:U500,"W")</x:f>
        <x:v>9</x:v>
      </x:c>
      <x:c r="W500" s="5" t="str">
        <x:f>IF(COUNTIF(B500:D500,"W")&gt;0,"Y","N")</x:f>
        <x:v>Y</x:v>
      </x:c>
      <x:c r="X500" s="1"/>
      <x:c r="Y500" s="1"/>
      <x:c r="Z500" s="1"/>
      <x:c r="AA500" s="1"/>
      <x:c r="AB500" s="1"/>
      <x:c r="AC500" s="1"/>
      <x:c r="AD500" s="1"/>
    </x:row>
    <x:row r="501">
      <x:c r="A501" s="1">
        <x:v>500</x:v>
      </x:c>
      <x:c r="B501" t="str">
        <x:v>B</x:v>
      </x:c>
      <x:c r="C501" t="str">
        <x:v>B</x:v>
      </x:c>
      <x:c r="D501" t="str">
        <x:v>B</x:v>
      </x:c>
      <x:c r="E501" t="str">
        <x:v>B</x:v>
      </x:c>
      <x:c r="F501" t="str">
        <x:v>W</x:v>
      </x:c>
      <x:c r="G501" t="str">
        <x:v>W</x:v>
      </x:c>
      <x:c r="H501" t="str">
        <x:v>B</x:v>
      </x:c>
      <x:c r="I501" t="str">
        <x:v>B</x:v>
      </x:c>
      <x:c r="J501" t="str">
        <x:v>B</x:v>
      </x:c>
      <x:c r="K501" t="str">
        <x:v>W</x:v>
      </x:c>
      <x:c r="L501" t="str">
        <x:v>B</x:v>
      </x:c>
      <x:c r="M501" t="str">
        <x:v>B</x:v>
      </x:c>
      <x:c r="N501" t="str">
        <x:v>B</x:v>
      </x:c>
      <x:c r="O501" t="str">
        <x:v>W</x:v>
      </x:c>
      <x:c r="P501" t="str">
        <x:v>W</x:v>
      </x:c>
      <x:c r="Q501" t="str">
        <x:v>W</x:v>
      </x:c>
      <x:c r="R501" t="str">
        <x:v>B</x:v>
      </x:c>
      <x:c r="S501" t="str">
        <x:v>B</x:v>
      </x:c>
      <x:c r="T501" t="str">
        <x:v>W</x:v>
      </x:c>
      <x:c r="U501" t="str">
        <x:v>B</x:v>
      </x:c>
      <x:c r="V501" t="n">
        <x:f>COUNTIF(B501:U501,"W")</x:f>
        <x:v>7</x:v>
      </x:c>
      <x:c r="W501" s="5" t="str">
        <x:f>IF(COUNTIF(B501:D501,"W")&gt;0,"Y","N")</x:f>
        <x:v>N</x:v>
      </x:c>
      <x:c r="X501" s="1"/>
      <x:c r="Y501" s="1"/>
      <x:c r="Z501" s="1"/>
      <x:c r="AA501" s="1"/>
      <x:c r="AB501" s="1"/>
      <x:c r="AC501" s="1"/>
      <x:c r="AD501" s="1"/>
    </x:row>
  </x:sheetData>
  <x:mergeCells>
    <x:mergeCell ref="X1:AD1"/>
  </x:mergeCells>
  <x:pageMargins left="0.7" right="0.7" top="0.75" bottom="0.75" header="0.3" footer="0.3"/>
  <x:tableParts count="1">
    <x:tablePart xmlns:r="http://schemas.openxmlformats.org/officeDocument/2006/relationships" r:id="Rfabc7b21767040c5"/>
  </x:tableParts>
</x:worksheet>
</file>